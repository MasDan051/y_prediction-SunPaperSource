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K-0120-P-PRD-DI\Documents Network Produksi - PM\2026\1. JANUARI\"/>
    </mc:Choice>
  </mc:AlternateContent>
  <bookViews>
    <workbookView xWindow="-105" yWindow="-105" windowWidth="20730" windowHeight="11760" tabRatio="931" activeTab="10"/>
  </bookViews>
  <sheets>
    <sheet name="Report1" sheetId="39" r:id="rId1"/>
    <sheet name="GRAFIK" sheetId="49" r:id="rId2"/>
    <sheet name="Listrik" sheetId="45" r:id="rId3"/>
    <sheet name="Trim Rwd" sheetId="47" r:id="rId4"/>
    <sheet name="Efficiency1" sheetId="46" r:id="rId5"/>
    <sheet name="Efficiency2" sheetId="54" r:id="rId6"/>
    <sheet name="Chem" sheetId="1" r:id="rId7"/>
    <sheet name="BB" sheetId="2" r:id="rId8"/>
    <sheet name="RBP" sheetId="50" r:id="rId9"/>
    <sheet name="Sheet1" sheetId="53" r:id="rId10"/>
    <sheet name="summary" sheetId="52"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s>
  <externalReferences>
    <externalReference r:id="rId43"/>
    <externalReference r:id="rId44"/>
    <externalReference r:id="rId45"/>
  </externalReferences>
  <definedNames>
    <definedName name="_xlnm._FilterDatabase" localSheetId="9" hidden="1">Sheet1!$B$1:$F$106</definedName>
    <definedName name="_xlnm.Print_Area" localSheetId="41">'1'!$A$2:$M$61</definedName>
    <definedName name="_xlnm.Print_Area" localSheetId="32">'10'!$A$2:$M$61</definedName>
    <definedName name="_xlnm.Print_Area" localSheetId="31">'11'!$A$2:$M$61</definedName>
    <definedName name="_xlnm.Print_Area" localSheetId="30">'12'!$A$2:$M$61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'2'!$A$2:$M$61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'31'!$A$1:$L$63</definedName>
    <definedName name="_xlnm.Print_Area" localSheetId="38">'4'!$A$1:$M$61</definedName>
    <definedName name="_xlnm.Print_Area" localSheetId="37">'5'!$A$1:$M$61</definedName>
    <definedName name="_xlnm.Print_Area" localSheetId="36">'6'!$A$2:$M$61</definedName>
    <definedName name="_xlnm.Print_Area" localSheetId="35">'7'!$A$2:$M$61</definedName>
    <definedName name="_xlnm.Print_Area" localSheetId="34">'8'!$A$2:$M$61</definedName>
    <definedName name="_xlnm.Print_Area" localSheetId="33">'9'!$A$1:$M$62</definedName>
    <definedName name="_xlnm.Print_Area" localSheetId="6">Chem!$CY$6:$DK$15</definedName>
    <definedName name="_xlnm.Print_Area" localSheetId="4">Efficiency1!$A$3:$X$97</definedName>
    <definedName name="_xlnm.Print_Area" localSheetId="5">Efficiency2!$A$3:$X$94</definedName>
    <definedName name="_xlnm.Print_Area" localSheetId="2">Listrik!$A$2:$AE$40</definedName>
    <definedName name="_xlnm.Print_Area" localSheetId="0">Report1!$A$2:$BE$41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39" i="39" l="1"/>
  <c r="AB38" i="39"/>
  <c r="AB37" i="39"/>
  <c r="AB36" i="39"/>
  <c r="AB35" i="39"/>
  <c r="AB34" i="39"/>
  <c r="AB33" i="39"/>
  <c r="AB32" i="39"/>
  <c r="AB31" i="39"/>
  <c r="AB30" i="39"/>
  <c r="AB29" i="39"/>
  <c r="AB28" i="39"/>
  <c r="AB27" i="39"/>
  <c r="AB26" i="39"/>
  <c r="AB25" i="39"/>
  <c r="AB24" i="39"/>
  <c r="AB23" i="39"/>
  <c r="AB22" i="39"/>
  <c r="AB21" i="39"/>
  <c r="AB20" i="39"/>
  <c r="AB19" i="39"/>
  <c r="AB18" i="39"/>
  <c r="AB17" i="39"/>
  <c r="AB16" i="39"/>
  <c r="AB15" i="39"/>
  <c r="AB14" i="39"/>
  <c r="AB13" i="39"/>
  <c r="AB12" i="39"/>
  <c r="AB11" i="39"/>
  <c r="AB10" i="39"/>
  <c r="AB9" i="39"/>
  <c r="AA188" i="54" l="1"/>
  <c r="AC188" i="54"/>
  <c r="AM188" i="54"/>
  <c r="AR188" i="54"/>
  <c r="AA4" i="50" l="1"/>
  <c r="AA3" i="50"/>
  <c r="J11" i="50"/>
  <c r="K11" i="50" l="1"/>
  <c r="M7" i="50"/>
  <c r="T24" i="50"/>
  <c r="W6" i="50"/>
  <c r="F4" i="50"/>
  <c r="E9" i="45" l="1"/>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W38" i="45" s="1"/>
  <c r="I38" i="45"/>
  <c r="M38" i="45"/>
  <c r="S38" i="45"/>
  <c r="V38" i="45"/>
  <c r="P38" i="45" l="1"/>
  <c r="G176" i="54" l="1"/>
  <c r="G175" i="54"/>
  <c r="G169" i="54"/>
  <c r="G163" i="54"/>
  <c r="G157" i="54"/>
  <c r="G149" i="54"/>
  <c r="G142" i="54"/>
  <c r="G141" i="54"/>
  <c r="G134" i="54"/>
  <c r="G129" i="54"/>
  <c r="G128" i="54"/>
  <c r="G59" i="54"/>
  <c r="G58" i="54"/>
  <c r="H52" i="54"/>
  <c r="G52" i="54"/>
  <c r="G54" i="54"/>
  <c r="G53" i="54"/>
  <c r="X222" i="54"/>
  <c r="Q149" i="54" l="1"/>
  <c r="R149" i="54"/>
  <c r="Q58" i="54"/>
  <c r="Q134" i="54"/>
  <c r="R134" i="54"/>
  <c r="R58" i="54"/>
  <c r="Q36" i="54"/>
  <c r="R36" i="54"/>
  <c r="S175" i="54"/>
  <c r="S169" i="54"/>
  <c r="S163" i="54"/>
  <c r="S157" i="54"/>
  <c r="S149" i="54"/>
  <c r="S141" i="54"/>
  <c r="S134" i="54"/>
  <c r="S129" i="54"/>
  <c r="S118" i="54"/>
  <c r="S58" i="54"/>
  <c r="S54" i="54"/>
  <c r="S47" i="54"/>
  <c r="S43" i="54"/>
  <c r="S29" i="54"/>
  <c r="Q176" i="54"/>
  <c r="Q142" i="54"/>
  <c r="Q141" i="54"/>
  <c r="Q113" i="54"/>
  <c r="Q109" i="54"/>
  <c r="Q98" i="54"/>
  <c r="Q76" i="54"/>
  <c r="Q23" i="54"/>
  <c r="AU39" i="54" l="1"/>
  <c r="S175" i="46"/>
  <c r="AZ180" i="46"/>
  <c r="S169" i="46"/>
  <c r="AZ173" i="46"/>
  <c r="S163" i="46"/>
  <c r="AZ167" i="46"/>
  <c r="S157" i="46"/>
  <c r="AZ161" i="46"/>
  <c r="S149" i="46"/>
  <c r="AZ155" i="46"/>
  <c r="S141" i="46"/>
  <c r="AZ147" i="46"/>
  <c r="S134" i="46"/>
  <c r="AZ139" i="46"/>
  <c r="S129" i="46"/>
  <c r="AZ132" i="46"/>
  <c r="S58" i="46"/>
  <c r="AZ64" i="46"/>
  <c r="S54" i="46"/>
  <c r="AZ56" i="46"/>
  <c r="AC124" i="54" l="1"/>
  <c r="W120" i="54"/>
  <c r="AC114" i="54"/>
  <c r="AC93" i="54"/>
  <c r="AC88" i="54"/>
  <c r="AC83" i="54"/>
  <c r="AC67" i="54"/>
  <c r="Z53" i="54"/>
  <c r="Z50" i="54"/>
  <c r="Z47" i="54"/>
  <c r="W45" i="54"/>
  <c r="Z44" i="54"/>
  <c r="W43" i="54"/>
  <c r="W36" i="54"/>
  <c r="Z17" i="54"/>
  <c r="N182" i="54"/>
  <c r="H182" i="54" s="1"/>
  <c r="N176" i="54"/>
  <c r="H176" i="54" s="1"/>
  <c r="N175" i="54"/>
  <c r="H175" i="54" s="1"/>
  <c r="N169" i="54"/>
  <c r="H169" i="54" s="1"/>
  <c r="N163" i="54"/>
  <c r="H163" i="54" s="1"/>
  <c r="N157" i="54"/>
  <c r="H157" i="54" s="1"/>
  <c r="N149" i="54"/>
  <c r="H149" i="54" s="1"/>
  <c r="N142" i="54"/>
  <c r="H142" i="54" s="1"/>
  <c r="N141" i="54"/>
  <c r="H141" i="54" s="1"/>
  <c r="N134" i="54"/>
  <c r="H134" i="54" s="1"/>
  <c r="N129" i="54"/>
  <c r="H129" i="54" s="1"/>
  <c r="J129" i="54" s="1"/>
  <c r="N128" i="54"/>
  <c r="H128" i="54" s="1"/>
  <c r="N123" i="54"/>
  <c r="H123" i="54" s="1"/>
  <c r="G123" i="54"/>
  <c r="J123" i="54" s="1"/>
  <c r="N120" i="54"/>
  <c r="H120" i="54" s="1"/>
  <c r="G120" i="54"/>
  <c r="N119" i="54"/>
  <c r="H119" i="54" s="1"/>
  <c r="N118" i="54"/>
  <c r="H118" i="54"/>
  <c r="J118" i="54" s="1"/>
  <c r="N113" i="54"/>
  <c r="H113" i="54" s="1"/>
  <c r="N109" i="54"/>
  <c r="H109" i="54" s="1"/>
  <c r="N108" i="54"/>
  <c r="H108" i="54" s="1"/>
  <c r="G108" i="54"/>
  <c r="N105" i="54"/>
  <c r="H105" i="54" s="1"/>
  <c r="G105" i="54"/>
  <c r="N104" i="54"/>
  <c r="H104" i="54" s="1"/>
  <c r="J104" i="54" s="1"/>
  <c r="N103" i="54"/>
  <c r="H103" i="54" s="1"/>
  <c r="J103" i="54" s="1"/>
  <c r="N99" i="54"/>
  <c r="H99" i="54"/>
  <c r="N98" i="54"/>
  <c r="H98" i="54" s="1"/>
  <c r="J98" i="54" s="1"/>
  <c r="N97" i="54"/>
  <c r="H97" i="54" s="1"/>
  <c r="G97" i="54"/>
  <c r="N92" i="54"/>
  <c r="H92" i="54" s="1"/>
  <c r="G92" i="54"/>
  <c r="N87" i="54"/>
  <c r="H87" i="54" s="1"/>
  <c r="G87" i="54"/>
  <c r="N82" i="54"/>
  <c r="H82" i="54" s="1"/>
  <c r="G82" i="54"/>
  <c r="N77" i="54"/>
  <c r="H77" i="54" s="1"/>
  <c r="G77" i="54"/>
  <c r="N76" i="54"/>
  <c r="H76" i="54" s="1"/>
  <c r="N72" i="54"/>
  <c r="H72" i="54" s="1"/>
  <c r="N71" i="54"/>
  <c r="H71" i="54" s="1"/>
  <c r="J71" i="54" s="1"/>
  <c r="N66" i="54"/>
  <c r="H66" i="54" s="1"/>
  <c r="N59" i="54"/>
  <c r="H59" i="54" s="1"/>
  <c r="J59" i="54"/>
  <c r="N58" i="54"/>
  <c r="H58" i="54" s="1"/>
  <c r="N54" i="54"/>
  <c r="H54" i="54" s="1"/>
  <c r="N53" i="54"/>
  <c r="H53" i="54" s="1"/>
  <c r="J53" i="54"/>
  <c r="N52" i="54"/>
  <c r="N50" i="54"/>
  <c r="H50" i="54" s="1"/>
  <c r="N49" i="54"/>
  <c r="H49" i="54" s="1"/>
  <c r="J49" i="54" s="1"/>
  <c r="N48" i="54"/>
  <c r="H48" i="54" s="1"/>
  <c r="N47" i="54"/>
  <c r="H47" i="54" s="1"/>
  <c r="J47" i="54" s="1"/>
  <c r="N45" i="54"/>
  <c r="H45" i="54" s="1"/>
  <c r="N44" i="54"/>
  <c r="H44" i="54" s="1"/>
  <c r="N43" i="54"/>
  <c r="H43" i="54" s="1"/>
  <c r="N42" i="54"/>
  <c r="H42" i="54"/>
  <c r="N37" i="54"/>
  <c r="H37" i="54" s="1"/>
  <c r="N36" i="54"/>
  <c r="H36" i="54" s="1"/>
  <c r="J36" i="54" s="1"/>
  <c r="N35" i="54"/>
  <c r="H35" i="54" s="1"/>
  <c r="N29" i="54"/>
  <c r="H29" i="54" s="1"/>
  <c r="J29" i="54" s="1"/>
  <c r="N24" i="54"/>
  <c r="H24" i="54" s="1"/>
  <c r="N23" i="54"/>
  <c r="H23" i="54" s="1"/>
  <c r="N17" i="54"/>
  <c r="H17" i="54" s="1"/>
  <c r="J17" i="54" s="1"/>
  <c r="N12" i="54"/>
  <c r="H12" i="54" s="1"/>
  <c r="N6" i="54"/>
  <c r="H6" i="54" s="1"/>
  <c r="A6" i="54"/>
  <c r="M34" i="52"/>
  <c r="M29" i="52"/>
  <c r="D34" i="52"/>
  <c r="D29" i="52"/>
  <c r="J77" i="54" l="1"/>
  <c r="J97" i="54"/>
  <c r="J82" i="54"/>
  <c r="J108" i="54"/>
  <c r="J113" i="54"/>
  <c r="J149" i="54"/>
  <c r="J54" i="54"/>
  <c r="J163" i="54"/>
  <c r="J182" i="54"/>
  <c r="J92" i="54"/>
  <c r="J119" i="54"/>
  <c r="J169" i="54"/>
  <c r="J175" i="54"/>
  <c r="J141" i="54"/>
  <c r="J142" i="54"/>
  <c r="J43" i="54"/>
  <c r="J120" i="54"/>
  <c r="J12" i="54"/>
  <c r="J44" i="54"/>
  <c r="J48" i="54"/>
  <c r="J52" i="54"/>
  <c r="J99" i="54"/>
  <c r="J128" i="54"/>
  <c r="J23" i="54"/>
  <c r="J35" i="54"/>
  <c r="J42" i="54"/>
  <c r="J66" i="54"/>
  <c r="J76" i="54"/>
  <c r="J109" i="54"/>
  <c r="J87" i="54"/>
  <c r="J6" i="54"/>
  <c r="J24" i="54"/>
  <c r="J37" i="54"/>
  <c r="J45" i="54"/>
  <c r="J50" i="54"/>
  <c r="J58" i="54"/>
  <c r="J72" i="54"/>
  <c r="J105" i="54"/>
  <c r="J134" i="54"/>
  <c r="J157" i="54"/>
  <c r="J176" i="54"/>
  <c r="AO186" i="54"/>
  <c r="AR186" i="54" s="1"/>
  <c r="BC186" i="54" s="1"/>
  <c r="AM186" i="54"/>
  <c r="AR185" i="54"/>
  <c r="BC185" i="54" s="1"/>
  <c r="AM185" i="54"/>
  <c r="AR184" i="54"/>
  <c r="BC184" i="54" s="1"/>
  <c r="AM184" i="54"/>
  <c r="AR183" i="54"/>
  <c r="BC183" i="54" s="1"/>
  <c r="AM183" i="54"/>
  <c r="AR182" i="54"/>
  <c r="BC182" i="54" s="1"/>
  <c r="AM182" i="54"/>
  <c r="I100" i="47"/>
  <c r="E100" i="47"/>
  <c r="G100" i="47" s="1"/>
  <c r="H100" i="47" s="1"/>
  <c r="O182" i="54" s="1"/>
  <c r="C182" i="54" s="1"/>
  <c r="K16" i="43"/>
  <c r="W182" i="54" s="1"/>
  <c r="AD183" i="54" l="1"/>
  <c r="AD182" i="54"/>
  <c r="AD185" i="54"/>
  <c r="K182" i="54"/>
  <c r="O182" i="46"/>
  <c r="U182" i="46" s="1"/>
  <c r="AD186" i="54"/>
  <c r="V182" i="54"/>
  <c r="W182" i="46"/>
  <c r="U182" i="54"/>
  <c r="AD184" i="54"/>
  <c r="P182" i="54"/>
  <c r="T182" i="54"/>
  <c r="AO186" i="46"/>
  <c r="AR186" i="46" s="1"/>
  <c r="BC186" i="46" s="1"/>
  <c r="AM186" i="46"/>
  <c r="N182" i="46"/>
  <c r="AR185" i="46"/>
  <c r="BC185" i="46" s="1"/>
  <c r="AM185" i="46"/>
  <c r="AR184" i="46"/>
  <c r="BC184" i="46" s="1"/>
  <c r="AM184" i="46"/>
  <c r="AR183" i="46"/>
  <c r="BC183" i="46" s="1"/>
  <c r="AM183" i="46"/>
  <c r="AR182" i="46"/>
  <c r="BC182" i="46" s="1"/>
  <c r="AM182" i="46"/>
  <c r="AD182" i="46" l="1"/>
  <c r="AC182" i="54"/>
  <c r="AB182" i="54" s="1"/>
  <c r="BL39" i="39"/>
  <c r="V182" i="46"/>
  <c r="X182" i="54"/>
  <c r="AD186" i="46"/>
  <c r="AD185" i="46"/>
  <c r="AD184" i="46"/>
  <c r="AD183" i="46"/>
  <c r="P182" i="46"/>
  <c r="C182" i="46"/>
  <c r="N39" i="39" s="1"/>
  <c r="T182" i="46"/>
  <c r="H182" i="46"/>
  <c r="AC124" i="46"/>
  <c r="J182" i="46" l="1"/>
  <c r="K182" i="46"/>
  <c r="L39" i="39" s="1"/>
  <c r="AB4" i="50"/>
  <c r="AB3" i="50"/>
  <c r="AC4" i="50"/>
  <c r="AC3" i="50"/>
  <c r="AD4" i="50"/>
  <c r="AD3" i="50"/>
  <c r="AE3" i="50"/>
  <c r="Z4" i="50"/>
  <c r="Z3" i="50"/>
  <c r="Y3" i="50"/>
  <c r="Y4" i="50"/>
  <c r="AG4" i="50"/>
  <c r="AG3" i="50"/>
  <c r="X182" i="46" l="1"/>
  <c r="AC182" i="46"/>
  <c r="AB182" i="46" s="1"/>
  <c r="AZ180" i="54"/>
  <c r="AR180" i="54"/>
  <c r="BC180" i="54" s="1"/>
  <c r="AM180" i="54"/>
  <c r="AR179" i="54"/>
  <c r="BC179" i="54" s="1"/>
  <c r="AM179" i="54"/>
  <c r="AR178" i="54"/>
  <c r="BC178" i="54" s="1"/>
  <c r="AM178" i="54"/>
  <c r="AR177" i="54"/>
  <c r="BC177" i="54" s="1"/>
  <c r="AM177" i="54"/>
  <c r="AR176" i="54"/>
  <c r="BC176" i="54" s="1"/>
  <c r="AM176" i="54"/>
  <c r="AR175" i="54"/>
  <c r="BC175" i="54" s="1"/>
  <c r="AM175" i="54"/>
  <c r="AD175" i="54" s="1"/>
  <c r="U175" i="54"/>
  <c r="U32" i="4"/>
  <c r="U33" i="4" s="1"/>
  <c r="E98" i="47"/>
  <c r="E97" i="47"/>
  <c r="G97" i="47" s="1"/>
  <c r="H97" i="47" s="1"/>
  <c r="O175" i="54" s="1"/>
  <c r="K16" i="4"/>
  <c r="W176" i="54" s="1"/>
  <c r="K17" i="4"/>
  <c r="W175" i="54" s="1"/>
  <c r="O175" i="46" l="1"/>
  <c r="AD177" i="54"/>
  <c r="W175" i="46"/>
  <c r="AD179" i="54"/>
  <c r="AD180" i="54"/>
  <c r="AD176" i="54"/>
  <c r="W176" i="46"/>
  <c r="AD178" i="54"/>
  <c r="C175" i="54"/>
  <c r="K175" i="54"/>
  <c r="V175" i="54"/>
  <c r="T175" i="54"/>
  <c r="P175" i="54"/>
  <c r="U34" i="4"/>
  <c r="G98" i="47"/>
  <c r="H98" i="47" s="1"/>
  <c r="AM179" i="46"/>
  <c r="AR179" i="46"/>
  <c r="BC179" i="46" s="1"/>
  <c r="Q176" i="46"/>
  <c r="N176" i="46"/>
  <c r="AC175" i="54" l="1"/>
  <c r="O176" i="54"/>
  <c r="O176" i="46"/>
  <c r="C176" i="46" s="1"/>
  <c r="AD179" i="46"/>
  <c r="H176" i="46"/>
  <c r="AR180" i="46"/>
  <c r="BC180" i="46" s="1"/>
  <c r="AM180" i="46"/>
  <c r="AR178" i="46"/>
  <c r="BC178" i="46" s="1"/>
  <c r="AM178" i="46"/>
  <c r="AR177" i="46"/>
  <c r="BC177" i="46" s="1"/>
  <c r="AM177" i="46"/>
  <c r="AR176" i="46"/>
  <c r="BC176" i="46" s="1"/>
  <c r="AM176" i="46"/>
  <c r="AR175" i="46"/>
  <c r="BC175" i="46" s="1"/>
  <c r="AM175" i="46"/>
  <c r="U175" i="46"/>
  <c r="N175" i="46"/>
  <c r="V175" i="46" s="1"/>
  <c r="I38" i="4"/>
  <c r="I97" i="47" s="1"/>
  <c r="G42" i="4"/>
  <c r="I37" i="4" s="1"/>
  <c r="F42" i="4"/>
  <c r="S47" i="4"/>
  <c r="Q46" i="4"/>
  <c r="Y21" i="4"/>
  <c r="Z21" i="4"/>
  <c r="Y20" i="4"/>
  <c r="Z20" i="4"/>
  <c r="Z19" i="4"/>
  <c r="Y19" i="4"/>
  <c r="Y18" i="4"/>
  <c r="Z18" i="4"/>
  <c r="Y8" i="4"/>
  <c r="W8" i="4"/>
  <c r="Z8" i="4" s="1"/>
  <c r="X6" i="4"/>
  <c r="W6" i="4"/>
  <c r="Z6" i="4" s="1"/>
  <c r="Q31" i="4"/>
  <c r="Q41" i="4" s="1"/>
  <c r="Q42" i="4" s="1"/>
  <c r="R33" i="4"/>
  <c r="P33" i="4"/>
  <c r="S33" i="4" s="1"/>
  <c r="R32" i="4"/>
  <c r="P32" i="4"/>
  <c r="S32" i="4" s="1"/>
  <c r="P31" i="4"/>
  <c r="R20" i="4"/>
  <c r="P20" i="4"/>
  <c r="S20" i="4" s="1"/>
  <c r="P19" i="4"/>
  <c r="P18" i="4"/>
  <c r="Q6" i="4"/>
  <c r="R6" i="4" s="1"/>
  <c r="R8" i="4"/>
  <c r="P8" i="4"/>
  <c r="S8" i="4" s="1"/>
  <c r="P7" i="4"/>
  <c r="P6" i="4"/>
  <c r="J4" i="4"/>
  <c r="AD180" i="46" l="1"/>
  <c r="C176" i="54"/>
  <c r="K176" i="54"/>
  <c r="V176" i="54"/>
  <c r="U176" i="54"/>
  <c r="T176" i="54"/>
  <c r="P176" i="54"/>
  <c r="AD175" i="46"/>
  <c r="T176" i="46"/>
  <c r="Q7" i="4"/>
  <c r="R7" i="4" s="1"/>
  <c r="R16" i="4" s="1"/>
  <c r="P176" i="46"/>
  <c r="S6" i="4"/>
  <c r="V176" i="46"/>
  <c r="U176" i="46"/>
  <c r="AD176" i="46"/>
  <c r="J176" i="46"/>
  <c r="K176" i="46"/>
  <c r="AC176" i="46" s="1"/>
  <c r="AD177" i="46"/>
  <c r="AD178" i="46"/>
  <c r="P175" i="46"/>
  <c r="T175" i="46"/>
  <c r="C175" i="46"/>
  <c r="N38" i="39" s="1"/>
  <c r="H175" i="46"/>
  <c r="Y28" i="4"/>
  <c r="Z28" i="4"/>
  <c r="X28" i="4"/>
  <c r="X29" i="4" s="1"/>
  <c r="Y7" i="4"/>
  <c r="Z7" i="4"/>
  <c r="Z16" i="4" s="1"/>
  <c r="Y6" i="4"/>
  <c r="X16" i="4"/>
  <c r="X17" i="4" s="1"/>
  <c r="S31" i="4"/>
  <c r="S41" i="4" s="1"/>
  <c r="S42" i="4" s="1"/>
  <c r="R31" i="4"/>
  <c r="R41" i="4" s="1"/>
  <c r="R42" i="4" s="1"/>
  <c r="S18" i="4"/>
  <c r="R18" i="4"/>
  <c r="Q19" i="4"/>
  <c r="R19" i="4" s="1"/>
  <c r="Q16" i="4"/>
  <c r="Q17" i="4" s="1"/>
  <c r="D13" i="52"/>
  <c r="D12" i="52"/>
  <c r="M13" i="52"/>
  <c r="M12" i="52"/>
  <c r="M11" i="52"/>
  <c r="D11" i="52"/>
  <c r="Z17" i="4" l="1"/>
  <c r="AC176" i="54"/>
  <c r="X175" i="54"/>
  <c r="AB175" i="54"/>
  <c r="BL38" i="39"/>
  <c r="S7" i="4"/>
  <c r="S16" i="4" s="1"/>
  <c r="S17" i="4" s="1"/>
  <c r="J175" i="46"/>
  <c r="K175" i="46"/>
  <c r="L38" i="39" s="1"/>
  <c r="Y29" i="4"/>
  <c r="Z29" i="4"/>
  <c r="Y16" i="4"/>
  <c r="Y17" i="4" s="1"/>
  <c r="Q28" i="4"/>
  <c r="Q29" i="4" s="1"/>
  <c r="S19" i="4"/>
  <c r="S28" i="4" s="1"/>
  <c r="S29" i="4" s="1"/>
  <c r="R28" i="4"/>
  <c r="R29" i="4" s="1"/>
  <c r="R17" i="4"/>
  <c r="K38" i="2"/>
  <c r="AC175" i="46" l="1"/>
  <c r="AB175" i="46" s="1"/>
  <c r="X175" i="46"/>
  <c r="S38" i="2"/>
  <c r="AZ173" i="54"/>
  <c r="AM173" i="54" s="1"/>
  <c r="AR173" i="54"/>
  <c r="BC173" i="54" s="1"/>
  <c r="AR172" i="54"/>
  <c r="BC172" i="54" s="1"/>
  <c r="AM172" i="54"/>
  <c r="AR171" i="54"/>
  <c r="BC171" i="54" s="1"/>
  <c r="AM171" i="54"/>
  <c r="AR170" i="54"/>
  <c r="BC170" i="54" s="1"/>
  <c r="AM170" i="54"/>
  <c r="AR169" i="54"/>
  <c r="BC169" i="54" s="1"/>
  <c r="AM169" i="54"/>
  <c r="U31" i="37"/>
  <c r="U32" i="37" s="1"/>
  <c r="U33" i="37" s="1"/>
  <c r="U18" i="37"/>
  <c r="U19" i="37" s="1"/>
  <c r="U20" i="37" s="1"/>
  <c r="U6" i="37"/>
  <c r="U7" i="37" s="1"/>
  <c r="U8" i="37" s="1"/>
  <c r="E95" i="47"/>
  <c r="G95" i="47" s="1"/>
  <c r="H95" i="47" s="1"/>
  <c r="O169" i="54" s="1"/>
  <c r="AD170" i="54" l="1"/>
  <c r="AD172" i="54"/>
  <c r="AD173" i="54"/>
  <c r="AD171" i="54"/>
  <c r="AD169" i="54"/>
  <c r="C169" i="54"/>
  <c r="K169" i="54"/>
  <c r="V169" i="54"/>
  <c r="T169" i="54"/>
  <c r="O169" i="46"/>
  <c r="T169" i="46" s="1"/>
  <c r="P169" i="54"/>
  <c r="U169" i="54"/>
  <c r="AR173" i="46"/>
  <c r="BC173" i="46" s="1"/>
  <c r="AM173" i="46"/>
  <c r="AD173" i="46" s="1"/>
  <c r="AR172" i="46"/>
  <c r="BC172" i="46" s="1"/>
  <c r="AM172" i="46"/>
  <c r="AR171" i="46"/>
  <c r="BC171" i="46" s="1"/>
  <c r="AM171" i="46"/>
  <c r="AR170" i="46"/>
  <c r="BC170" i="46" s="1"/>
  <c r="AM170" i="46"/>
  <c r="AR169" i="46"/>
  <c r="BC169" i="46" s="1"/>
  <c r="AM169" i="46"/>
  <c r="AD169" i="46" s="1"/>
  <c r="N169" i="46"/>
  <c r="F14" i="37"/>
  <c r="F23" i="37"/>
  <c r="I38" i="37"/>
  <c r="I95" i="47" s="1"/>
  <c r="G42" i="37"/>
  <c r="I37" i="37" s="1"/>
  <c r="F42" i="37"/>
  <c r="P33" i="37"/>
  <c r="R34" i="37"/>
  <c r="P34" i="37"/>
  <c r="S34" i="37" s="1"/>
  <c r="Q33" i="37"/>
  <c r="R32" i="37"/>
  <c r="P32" i="37"/>
  <c r="S32" i="37" s="1"/>
  <c r="R21" i="37"/>
  <c r="P21" i="37"/>
  <c r="S21" i="37" s="1"/>
  <c r="Q20" i="37"/>
  <c r="P19" i="37"/>
  <c r="S19" i="37" s="1"/>
  <c r="Q6" i="37"/>
  <c r="R6" i="37" s="1"/>
  <c r="R8" i="37"/>
  <c r="P8" i="37"/>
  <c r="S8" i="37" s="1"/>
  <c r="P7" i="37"/>
  <c r="P6" i="37"/>
  <c r="J4" i="37"/>
  <c r="AC169" i="54" l="1"/>
  <c r="BL37" i="39"/>
  <c r="AD172" i="46"/>
  <c r="Q7" i="37"/>
  <c r="R7" i="37" s="1"/>
  <c r="R16" i="37" s="1"/>
  <c r="V169" i="46"/>
  <c r="AD171" i="46"/>
  <c r="AD170" i="46"/>
  <c r="P169" i="46"/>
  <c r="H169" i="46"/>
  <c r="U169" i="46"/>
  <c r="C169" i="46"/>
  <c r="N37" i="39" s="1"/>
  <c r="S33" i="37"/>
  <c r="S42" i="37" s="1"/>
  <c r="R33" i="37"/>
  <c r="R42" i="37" s="1"/>
  <c r="Q42" i="37"/>
  <c r="Q43" i="37" s="1"/>
  <c r="R20" i="37"/>
  <c r="S20" i="37"/>
  <c r="S29" i="37" s="1"/>
  <c r="R19" i="37"/>
  <c r="Q29" i="37"/>
  <c r="Q30" i="37" s="1"/>
  <c r="S6" i="37"/>
  <c r="AZ167" i="54"/>
  <c r="AM167" i="54" s="1"/>
  <c r="AR167" i="54"/>
  <c r="BC167" i="54" s="1"/>
  <c r="AR166" i="54"/>
  <c r="BC166" i="54" s="1"/>
  <c r="AM166" i="54"/>
  <c r="AD166" i="54" s="1"/>
  <c r="AR165" i="54"/>
  <c r="BC165" i="54" s="1"/>
  <c r="AM165" i="54"/>
  <c r="AR164" i="54"/>
  <c r="BC164" i="54" s="1"/>
  <c r="AM164" i="54"/>
  <c r="AR163" i="54"/>
  <c r="BC163" i="54" s="1"/>
  <c r="AM163" i="54"/>
  <c r="AR167" i="46"/>
  <c r="BC167" i="46" s="1"/>
  <c r="AM167" i="46"/>
  <c r="U31" i="6"/>
  <c r="U32" i="6" s="1"/>
  <c r="U33" i="6" s="1"/>
  <c r="U18" i="6"/>
  <c r="U19" i="6" s="1"/>
  <c r="U20" i="6" s="1"/>
  <c r="U6" i="6"/>
  <c r="U7" i="6" s="1"/>
  <c r="U8" i="6" s="1"/>
  <c r="F93" i="47"/>
  <c r="E93" i="47"/>
  <c r="E92" i="47"/>
  <c r="G92" i="47" s="1"/>
  <c r="H92" i="47" s="1"/>
  <c r="AD164" i="54" l="1"/>
  <c r="AD163" i="54"/>
  <c r="AD165" i="54"/>
  <c r="AD167" i="54"/>
  <c r="R43" i="37"/>
  <c r="O163" i="54"/>
  <c r="U163" i="54" s="1"/>
  <c r="O163" i="46"/>
  <c r="S43" i="37"/>
  <c r="S7" i="37"/>
  <c r="S16" i="37" s="1"/>
  <c r="S30" i="37"/>
  <c r="Q16" i="37"/>
  <c r="Q17" i="37" s="1"/>
  <c r="J169" i="46"/>
  <c r="K169" i="46"/>
  <c r="L37" i="39" s="1"/>
  <c r="R29" i="37"/>
  <c r="R30" i="37" s="1"/>
  <c r="AD167" i="46"/>
  <c r="G93" i="47"/>
  <c r="S17" i="37" l="1"/>
  <c r="T163" i="54"/>
  <c r="V163" i="54"/>
  <c r="C163" i="54"/>
  <c r="K163" i="54"/>
  <c r="R17" i="37"/>
  <c r="P163" i="54"/>
  <c r="AC169" i="46"/>
  <c r="S37" i="2"/>
  <c r="AC163" i="54" l="1"/>
  <c r="BL36" i="39"/>
  <c r="AR166" i="46"/>
  <c r="BC166" i="46" s="1"/>
  <c r="AM166" i="46"/>
  <c r="AR165" i="46"/>
  <c r="BC165" i="46" s="1"/>
  <c r="AM165" i="46"/>
  <c r="AR164" i="46"/>
  <c r="BC164" i="46" s="1"/>
  <c r="AM164" i="46"/>
  <c r="AR163" i="46"/>
  <c r="BC163" i="46" s="1"/>
  <c r="AM163" i="46"/>
  <c r="P163" i="46"/>
  <c r="N163" i="46"/>
  <c r="F14" i="6"/>
  <c r="F26" i="6"/>
  <c r="F17" i="6"/>
  <c r="F23" i="6" s="1"/>
  <c r="I38" i="6"/>
  <c r="I92" i="47" s="1"/>
  <c r="G42" i="6"/>
  <c r="I37" i="6" s="1"/>
  <c r="F42" i="6"/>
  <c r="Q41" i="6"/>
  <c r="Q42" i="6" s="1"/>
  <c r="R33" i="6"/>
  <c r="P33" i="6"/>
  <c r="S33" i="6" s="1"/>
  <c r="R32" i="6"/>
  <c r="P32" i="6"/>
  <c r="S32" i="6" s="1"/>
  <c r="R31" i="6"/>
  <c r="P31" i="6"/>
  <c r="S31" i="6" s="1"/>
  <c r="Q19" i="6"/>
  <c r="Q18" i="6" s="1"/>
  <c r="R18" i="6" s="1"/>
  <c r="R20" i="6"/>
  <c r="P20" i="6"/>
  <c r="S20" i="6" s="1"/>
  <c r="P19" i="6"/>
  <c r="P18" i="6"/>
  <c r="Q16" i="6"/>
  <c r="Q17" i="6" s="1"/>
  <c r="P8" i="6"/>
  <c r="S8" i="6" s="1"/>
  <c r="R7" i="6"/>
  <c r="P7" i="6"/>
  <c r="S7" i="6" s="1"/>
  <c r="R6" i="6"/>
  <c r="P6" i="6"/>
  <c r="S6" i="6" s="1"/>
  <c r="J4" i="6"/>
  <c r="S41" i="6" l="1"/>
  <c r="AD166" i="46"/>
  <c r="R41" i="6"/>
  <c r="AD164" i="46"/>
  <c r="T163" i="46"/>
  <c r="U163" i="46"/>
  <c r="C163" i="46"/>
  <c r="N36" i="39" s="1"/>
  <c r="V163" i="46"/>
  <c r="AD165" i="46"/>
  <c r="AD163" i="46"/>
  <c r="H163" i="46"/>
  <c r="R42" i="6"/>
  <c r="S42" i="6"/>
  <c r="Q28" i="6"/>
  <c r="Q29" i="6" s="1"/>
  <c r="S18" i="6"/>
  <c r="S19" i="6"/>
  <c r="R19" i="6"/>
  <c r="R28" i="6"/>
  <c r="S16" i="6"/>
  <c r="S17" i="6" s="1"/>
  <c r="R8" i="6"/>
  <c r="R16" i="6" s="1"/>
  <c r="R17" i="6" s="1"/>
  <c r="AZ161" i="54"/>
  <c r="AM161" i="54" s="1"/>
  <c r="AR161" i="54"/>
  <c r="BC161" i="54" s="1"/>
  <c r="AR160" i="54"/>
  <c r="BC160" i="54" s="1"/>
  <c r="AM160" i="54"/>
  <c r="AD160" i="54" s="1"/>
  <c r="AR159" i="54"/>
  <c r="BC159" i="54" s="1"/>
  <c r="AM159" i="54"/>
  <c r="AD159" i="54" s="1"/>
  <c r="AR158" i="54"/>
  <c r="BC158" i="54" s="1"/>
  <c r="AM158" i="54"/>
  <c r="AR157" i="54"/>
  <c r="BC157" i="54" s="1"/>
  <c r="AM157" i="54"/>
  <c r="AD157" i="54" s="1"/>
  <c r="U31" i="7"/>
  <c r="U32" i="7" s="1"/>
  <c r="U33" i="7" s="1"/>
  <c r="U18" i="7"/>
  <c r="U19" i="7" s="1"/>
  <c r="U20" i="7" s="1"/>
  <c r="U6" i="7"/>
  <c r="U7" i="7" s="1"/>
  <c r="U8" i="7" s="1"/>
  <c r="F90" i="47"/>
  <c r="E90" i="47"/>
  <c r="AD158" i="54" l="1"/>
  <c r="S28" i="6"/>
  <c r="AD161" i="54"/>
  <c r="K163" i="46"/>
  <c r="L36" i="39" s="1"/>
  <c r="J163" i="46"/>
  <c r="R29" i="6"/>
  <c r="S29" i="6"/>
  <c r="G90" i="47"/>
  <c r="H90" i="47" s="1"/>
  <c r="O157" i="54" s="1"/>
  <c r="C157" i="54" l="1"/>
  <c r="K157" i="54"/>
  <c r="O157" i="46"/>
  <c r="AC163" i="46"/>
  <c r="S36" i="2"/>
  <c r="T157" i="54" l="1"/>
  <c r="AC157" i="54" s="1"/>
  <c r="V157" i="54"/>
  <c r="P157" i="54"/>
  <c r="U157" i="54"/>
  <c r="AR161" i="46"/>
  <c r="BC161" i="46" s="1"/>
  <c r="AM161" i="46"/>
  <c r="AR160" i="46"/>
  <c r="BC160" i="46" s="1"/>
  <c r="AM160" i="46"/>
  <c r="AR159" i="46"/>
  <c r="BC159" i="46" s="1"/>
  <c r="AM159" i="46"/>
  <c r="AR158" i="46"/>
  <c r="BC158" i="46" s="1"/>
  <c r="AM158" i="46"/>
  <c r="AR157" i="46"/>
  <c r="BC157" i="46" s="1"/>
  <c r="AM157" i="46"/>
  <c r="T157" i="46"/>
  <c r="U157" i="46"/>
  <c r="P157" i="46"/>
  <c r="N157" i="46"/>
  <c r="H157" i="46"/>
  <c r="K157" i="46" s="1"/>
  <c r="L35" i="39" s="1"/>
  <c r="C157" i="46"/>
  <c r="N35" i="39" s="1"/>
  <c r="F14" i="7"/>
  <c r="F23" i="7"/>
  <c r="I38" i="7"/>
  <c r="I90" i="47" s="1"/>
  <c r="R32" i="7"/>
  <c r="Q33" i="7"/>
  <c r="Q41" i="7" s="1"/>
  <c r="Q42" i="7" s="1"/>
  <c r="P33" i="7"/>
  <c r="S33" i="7" s="1"/>
  <c r="P32" i="7"/>
  <c r="S32" i="7" s="1"/>
  <c r="R31" i="7"/>
  <c r="P31" i="7"/>
  <c r="S31" i="7" s="1"/>
  <c r="Q6" i="7"/>
  <c r="Q7" i="7" s="1"/>
  <c r="S7" i="7" s="1"/>
  <c r="P7" i="7"/>
  <c r="Q28" i="7"/>
  <c r="Q29" i="7" s="1"/>
  <c r="R18" i="7"/>
  <c r="R28" i="7" s="1"/>
  <c r="P18" i="7"/>
  <c r="S18" i="7" s="1"/>
  <c r="S28" i="7" s="1"/>
  <c r="P6" i="7"/>
  <c r="J4" i="7"/>
  <c r="S29" i="7" l="1"/>
  <c r="R29" i="7"/>
  <c r="R33" i="7"/>
  <c r="AD160" i="46"/>
  <c r="AD158" i="46"/>
  <c r="R7" i="7"/>
  <c r="AD161" i="46"/>
  <c r="BL35" i="39"/>
  <c r="AD159" i="46"/>
  <c r="AD157" i="46"/>
  <c r="AC157" i="46"/>
  <c r="J157" i="46"/>
  <c r="V157" i="46"/>
  <c r="S41" i="7"/>
  <c r="S42" i="7" s="1"/>
  <c r="R41" i="7"/>
  <c r="R42" i="7" s="1"/>
  <c r="Q16" i="7"/>
  <c r="Q17" i="7" s="1"/>
  <c r="R6" i="7"/>
  <c r="S6" i="7"/>
  <c r="S16" i="7" s="1"/>
  <c r="AZ155" i="54"/>
  <c r="AM155" i="54" s="1"/>
  <c r="BA154" i="54"/>
  <c r="AZ147" i="54"/>
  <c r="AM147" i="54" s="1"/>
  <c r="AZ139" i="54"/>
  <c r="BA138" i="54"/>
  <c r="AZ132" i="54"/>
  <c r="AM132" i="54" s="1"/>
  <c r="AZ64" i="54"/>
  <c r="AM64" i="54" s="1"/>
  <c r="BA63" i="54"/>
  <c r="AZ56" i="54"/>
  <c r="AR155" i="54"/>
  <c r="BC155" i="54" s="1"/>
  <c r="AR154" i="54"/>
  <c r="BC154" i="54" s="1"/>
  <c r="AM154" i="54"/>
  <c r="AR153" i="54"/>
  <c r="BC153" i="54" s="1"/>
  <c r="AM153" i="54"/>
  <c r="AR152" i="54"/>
  <c r="BC152" i="54" s="1"/>
  <c r="AM152" i="54"/>
  <c r="AR151" i="54"/>
  <c r="BC151" i="54" s="1"/>
  <c r="AM151" i="54"/>
  <c r="AR150" i="54"/>
  <c r="BC150" i="54" s="1"/>
  <c r="AM150" i="54"/>
  <c r="AR149" i="54"/>
  <c r="BC149" i="54" s="1"/>
  <c r="AM149" i="54"/>
  <c r="AD149" i="54" s="1"/>
  <c r="AR147" i="54"/>
  <c r="BC147" i="54" s="1"/>
  <c r="AR146" i="54"/>
  <c r="BC146" i="54" s="1"/>
  <c r="AM146" i="54"/>
  <c r="AR145" i="54"/>
  <c r="BC145" i="54" s="1"/>
  <c r="AM145" i="54"/>
  <c r="AD145" i="54" s="1"/>
  <c r="AR144" i="54"/>
  <c r="BC144" i="54" s="1"/>
  <c r="AM144" i="54"/>
  <c r="AR143" i="54"/>
  <c r="BC143" i="54" s="1"/>
  <c r="AM143" i="54"/>
  <c r="AR142" i="54"/>
  <c r="BC142" i="54" s="1"/>
  <c r="AM142" i="54"/>
  <c r="AR141" i="54"/>
  <c r="BC141" i="54" s="1"/>
  <c r="AM141" i="54"/>
  <c r="AD141" i="54" s="1"/>
  <c r="AM139" i="54"/>
  <c r="AD139" i="54" s="1"/>
  <c r="AR138" i="54"/>
  <c r="BC138" i="54" s="1"/>
  <c r="AM138" i="54"/>
  <c r="AR137" i="54"/>
  <c r="BC137" i="54" s="1"/>
  <c r="AM137" i="54"/>
  <c r="AR136" i="54"/>
  <c r="BC136" i="54" s="1"/>
  <c r="AM136" i="54"/>
  <c r="AR135" i="54"/>
  <c r="BC135" i="54" s="1"/>
  <c r="AM135" i="54"/>
  <c r="AR134" i="54"/>
  <c r="BC134" i="54" s="1"/>
  <c r="AM134" i="54"/>
  <c r="AR132" i="54"/>
  <c r="BC132" i="54" s="1"/>
  <c r="AR131" i="54"/>
  <c r="BC131" i="54" s="1"/>
  <c r="AM131" i="54"/>
  <c r="AR130" i="54"/>
  <c r="BC130" i="54" s="1"/>
  <c r="AM130" i="54"/>
  <c r="AR129" i="54"/>
  <c r="BC129" i="54" s="1"/>
  <c r="AM129" i="54"/>
  <c r="AR128" i="54"/>
  <c r="BC128" i="54" s="1"/>
  <c r="AM128" i="54"/>
  <c r="AR126" i="54"/>
  <c r="BC126" i="54" s="1"/>
  <c r="AM126" i="54"/>
  <c r="AR125" i="54"/>
  <c r="BC125" i="54" s="1"/>
  <c r="AM125" i="54"/>
  <c r="AD125" i="54" s="1"/>
  <c r="AR124" i="54"/>
  <c r="BC124" i="54" s="1"/>
  <c r="AM124" i="54"/>
  <c r="AR123" i="54"/>
  <c r="BC123" i="54" s="1"/>
  <c r="AM123" i="54"/>
  <c r="AR121" i="54"/>
  <c r="BC121" i="54" s="1"/>
  <c r="AM121" i="54"/>
  <c r="AR120" i="54"/>
  <c r="BC120" i="54" s="1"/>
  <c r="AM120" i="54"/>
  <c r="AD120" i="54" s="1"/>
  <c r="AR119" i="54"/>
  <c r="BC119" i="54" s="1"/>
  <c r="AM119" i="54"/>
  <c r="AR118" i="54"/>
  <c r="BC118" i="54" s="1"/>
  <c r="AM118" i="54"/>
  <c r="AR116" i="54"/>
  <c r="BC116" i="54" s="1"/>
  <c r="AM116" i="54"/>
  <c r="AR115" i="54"/>
  <c r="BC115" i="54" s="1"/>
  <c r="AM115" i="54"/>
  <c r="AR114" i="54"/>
  <c r="BC114" i="54" s="1"/>
  <c r="AM114" i="54"/>
  <c r="AR113" i="54"/>
  <c r="BC113" i="54" s="1"/>
  <c r="AM113" i="54"/>
  <c r="AR111" i="54"/>
  <c r="BC111" i="54" s="1"/>
  <c r="AM111" i="54"/>
  <c r="AR110" i="54"/>
  <c r="BC110" i="54" s="1"/>
  <c r="AM110" i="54"/>
  <c r="AR109" i="54"/>
  <c r="BC109" i="54" s="1"/>
  <c r="AM109" i="54"/>
  <c r="AR108" i="54"/>
  <c r="BC108" i="54" s="1"/>
  <c r="AM108" i="54"/>
  <c r="AR106" i="54"/>
  <c r="BC106" i="54" s="1"/>
  <c r="AM106" i="54"/>
  <c r="AR105" i="54"/>
  <c r="BC105" i="54" s="1"/>
  <c r="AM105" i="54"/>
  <c r="AR104" i="54"/>
  <c r="BC104" i="54" s="1"/>
  <c r="AM104" i="54"/>
  <c r="AR103" i="54"/>
  <c r="BC103" i="54" s="1"/>
  <c r="AM103" i="54"/>
  <c r="AR101" i="54"/>
  <c r="BC101" i="54" s="1"/>
  <c r="AM101" i="54"/>
  <c r="AR100" i="54"/>
  <c r="BC100" i="54" s="1"/>
  <c r="AM100" i="54"/>
  <c r="AR99" i="54"/>
  <c r="BC99" i="54" s="1"/>
  <c r="AM99" i="54"/>
  <c r="AR98" i="54"/>
  <c r="BC98" i="54" s="1"/>
  <c r="AM98" i="54"/>
  <c r="AR97" i="54"/>
  <c r="BC97" i="54" s="1"/>
  <c r="AM97" i="54"/>
  <c r="AR95" i="54"/>
  <c r="BC95" i="54" s="1"/>
  <c r="AM95" i="54"/>
  <c r="AR94" i="54"/>
  <c r="BC94" i="54" s="1"/>
  <c r="AM94" i="54"/>
  <c r="AR93" i="54"/>
  <c r="BC93" i="54" s="1"/>
  <c r="AM93" i="54"/>
  <c r="AR92" i="54"/>
  <c r="BC92" i="54" s="1"/>
  <c r="AM92" i="54"/>
  <c r="AR90" i="54"/>
  <c r="BC90" i="54" s="1"/>
  <c r="AM90" i="54"/>
  <c r="AR89" i="54"/>
  <c r="BC89" i="54" s="1"/>
  <c r="AM89" i="54"/>
  <c r="AR88" i="54"/>
  <c r="BC88" i="54" s="1"/>
  <c r="AM88" i="54"/>
  <c r="AR87" i="54"/>
  <c r="BC87" i="54" s="1"/>
  <c r="AM87" i="54"/>
  <c r="AR85" i="54"/>
  <c r="BC85" i="54" s="1"/>
  <c r="AM85" i="54"/>
  <c r="AR84" i="54"/>
  <c r="BC84" i="54" s="1"/>
  <c r="AM84" i="54"/>
  <c r="AR83" i="54"/>
  <c r="BC83" i="54" s="1"/>
  <c r="AM83" i="54"/>
  <c r="AR82" i="54"/>
  <c r="BC82" i="54" s="1"/>
  <c r="AM82" i="54"/>
  <c r="AR80" i="54"/>
  <c r="BC80" i="54" s="1"/>
  <c r="AM80" i="54"/>
  <c r="AR79" i="54"/>
  <c r="BC79" i="54" s="1"/>
  <c r="AM79" i="54"/>
  <c r="AR78" i="54"/>
  <c r="BC78" i="54" s="1"/>
  <c r="AM78" i="54"/>
  <c r="AR77" i="54"/>
  <c r="BC77" i="54" s="1"/>
  <c r="AM77" i="54"/>
  <c r="AR76" i="54"/>
  <c r="BC76" i="54" s="1"/>
  <c r="AM76" i="54"/>
  <c r="AR74" i="54"/>
  <c r="BC74" i="54" s="1"/>
  <c r="AM74" i="54"/>
  <c r="AR73" i="54"/>
  <c r="BC73" i="54" s="1"/>
  <c r="AM73" i="54"/>
  <c r="BC72" i="54"/>
  <c r="AR72" i="54"/>
  <c r="AM72" i="54"/>
  <c r="AR71" i="54"/>
  <c r="BC71" i="54" s="1"/>
  <c r="AM71" i="54"/>
  <c r="AR69" i="54"/>
  <c r="BC69" i="54" s="1"/>
  <c r="AM69" i="54"/>
  <c r="AR68" i="54"/>
  <c r="BC68" i="54" s="1"/>
  <c r="AM68" i="54"/>
  <c r="AR67" i="54"/>
  <c r="BC67" i="54" s="1"/>
  <c r="AM67" i="54"/>
  <c r="AR66" i="54"/>
  <c r="BC66" i="54" s="1"/>
  <c r="AM66" i="54"/>
  <c r="AR64" i="54"/>
  <c r="BC64" i="54" s="1"/>
  <c r="AR63" i="54"/>
  <c r="AM63" i="54"/>
  <c r="AR62" i="54"/>
  <c r="BC62" i="54" s="1"/>
  <c r="AM62" i="54"/>
  <c r="AR61" i="54"/>
  <c r="BC61" i="54" s="1"/>
  <c r="AM61" i="54"/>
  <c r="AR60" i="54"/>
  <c r="BC60" i="54" s="1"/>
  <c r="AM60" i="54"/>
  <c r="AR59" i="54"/>
  <c r="BC59" i="54" s="1"/>
  <c r="AM59" i="54"/>
  <c r="AR58" i="54"/>
  <c r="BC58" i="54" s="1"/>
  <c r="AM58" i="54"/>
  <c r="AR56" i="54"/>
  <c r="BC56" i="54" s="1"/>
  <c r="AM56" i="54"/>
  <c r="AR55" i="54"/>
  <c r="BC55" i="54" s="1"/>
  <c r="AM55" i="54"/>
  <c r="AR54" i="54"/>
  <c r="BC54" i="54" s="1"/>
  <c r="AM54" i="54"/>
  <c r="BC53" i="54"/>
  <c r="AR53" i="54"/>
  <c r="AM53" i="54"/>
  <c r="AR52" i="54"/>
  <c r="BC52" i="54" s="1"/>
  <c r="AM52" i="54"/>
  <c r="AR50" i="54"/>
  <c r="BC50" i="54" s="1"/>
  <c r="AM50" i="54"/>
  <c r="AR49" i="54"/>
  <c r="BC49" i="54" s="1"/>
  <c r="AM49" i="54"/>
  <c r="AR48" i="54"/>
  <c r="BC48" i="54" s="1"/>
  <c r="AM48" i="54"/>
  <c r="AD48" i="54" s="1"/>
  <c r="AR47" i="54"/>
  <c r="BC47" i="54" s="1"/>
  <c r="AM47" i="54"/>
  <c r="AR45" i="54"/>
  <c r="BC45" i="54" s="1"/>
  <c r="AM45" i="54"/>
  <c r="AR44" i="54"/>
  <c r="BC44" i="54" s="1"/>
  <c r="AM44" i="54"/>
  <c r="AR43" i="54"/>
  <c r="BC43" i="54" s="1"/>
  <c r="AM43" i="54"/>
  <c r="AR42" i="54"/>
  <c r="BC42" i="54" s="1"/>
  <c r="AM42" i="54"/>
  <c r="AR40" i="54"/>
  <c r="BC40" i="54" s="1"/>
  <c r="AM40" i="54"/>
  <c r="AR39" i="54"/>
  <c r="BC39" i="54" s="1"/>
  <c r="AM39" i="54"/>
  <c r="AR38" i="54"/>
  <c r="BC38" i="54" s="1"/>
  <c r="AM38" i="54"/>
  <c r="AR37" i="54"/>
  <c r="BC37" i="54" s="1"/>
  <c r="AM37" i="54"/>
  <c r="AR36" i="54"/>
  <c r="BC36" i="54" s="1"/>
  <c r="AM36" i="54"/>
  <c r="AR35" i="54"/>
  <c r="BC35" i="54" s="1"/>
  <c r="AM35" i="54"/>
  <c r="AR33" i="54"/>
  <c r="BC33" i="54" s="1"/>
  <c r="AM33" i="54"/>
  <c r="AR32" i="54"/>
  <c r="BC32" i="54" s="1"/>
  <c r="AM32" i="54"/>
  <c r="AR31" i="54"/>
  <c r="BC31" i="54" s="1"/>
  <c r="AM31" i="54"/>
  <c r="AR30" i="54"/>
  <c r="BC30" i="54" s="1"/>
  <c r="AM30" i="54"/>
  <c r="AR29" i="54"/>
  <c r="BC29" i="54" s="1"/>
  <c r="AM29" i="54"/>
  <c r="AR27" i="54"/>
  <c r="BC27" i="54" s="1"/>
  <c r="AM27" i="54"/>
  <c r="AR26" i="54"/>
  <c r="BC26" i="54" s="1"/>
  <c r="AM26" i="54"/>
  <c r="AR25" i="54"/>
  <c r="BC25" i="54" s="1"/>
  <c r="AM25" i="54"/>
  <c r="AR24" i="54"/>
  <c r="BC24" i="54" s="1"/>
  <c r="AM24" i="54"/>
  <c r="AR23" i="54"/>
  <c r="BC23" i="54" s="1"/>
  <c r="AM23" i="54"/>
  <c r="AR21" i="54"/>
  <c r="BC21" i="54" s="1"/>
  <c r="AM21" i="54"/>
  <c r="AR20" i="54"/>
  <c r="BC20" i="54" s="1"/>
  <c r="AM20" i="54"/>
  <c r="AR19" i="54"/>
  <c r="BC19" i="54" s="1"/>
  <c r="AM19" i="54"/>
  <c r="AR18" i="54"/>
  <c r="BC18" i="54" s="1"/>
  <c r="AM18" i="54"/>
  <c r="AR17" i="54"/>
  <c r="BC17" i="54" s="1"/>
  <c r="AM17" i="54"/>
  <c r="AR15" i="54"/>
  <c r="BC15" i="54" s="1"/>
  <c r="AM15" i="54"/>
  <c r="AR14" i="54"/>
  <c r="BC14" i="54" s="1"/>
  <c r="AM14" i="54"/>
  <c r="AR13" i="54"/>
  <c r="BC13" i="54" s="1"/>
  <c r="AM13" i="54"/>
  <c r="AR12" i="54"/>
  <c r="BC12" i="54" s="1"/>
  <c r="AM12" i="54"/>
  <c r="AR10" i="54"/>
  <c r="BC10" i="54" s="1"/>
  <c r="AM10" i="54"/>
  <c r="AR9" i="54"/>
  <c r="BC9" i="54" s="1"/>
  <c r="AM9" i="54"/>
  <c r="AR8" i="54"/>
  <c r="BC8" i="54" s="1"/>
  <c r="AM8" i="54"/>
  <c r="AR7" i="54"/>
  <c r="BC7" i="54" s="1"/>
  <c r="AM7" i="54"/>
  <c r="AR6" i="54"/>
  <c r="BC6" i="54" s="1"/>
  <c r="AM6" i="54"/>
  <c r="F19" i="9"/>
  <c r="U42" i="11"/>
  <c r="U43" i="11" s="1"/>
  <c r="U21" i="11"/>
  <c r="U22" i="11" s="1"/>
  <c r="U23" i="11" s="1"/>
  <c r="U18" i="11"/>
  <c r="X32" i="24"/>
  <c r="Y32" i="24" s="1"/>
  <c r="W32" i="24"/>
  <c r="X31" i="24"/>
  <c r="Y31" i="24" s="1"/>
  <c r="W31" i="24"/>
  <c r="AB30" i="24"/>
  <c r="AB31" i="24" s="1"/>
  <c r="AB18" i="24"/>
  <c r="AB19" i="24" s="1"/>
  <c r="AB6" i="24"/>
  <c r="AB27" i="25"/>
  <c r="AB28" i="25" s="1"/>
  <c r="AB29" i="25" s="1"/>
  <c r="AB23" i="25"/>
  <c r="AB24" i="25" s="1"/>
  <c r="AB25" i="25" s="1"/>
  <c r="AB19" i="25"/>
  <c r="AB20" i="25" s="1"/>
  <c r="AB32" i="25"/>
  <c r="AB33" i="25" s="1"/>
  <c r="AB34" i="25" s="1"/>
  <c r="AB6" i="25"/>
  <c r="AB7" i="25" s="1"/>
  <c r="AD135" i="54" l="1"/>
  <c r="AD151" i="54"/>
  <c r="AD54" i="54"/>
  <c r="AD59" i="54"/>
  <c r="AD83" i="54"/>
  <c r="AD88" i="54"/>
  <c r="AD93" i="54"/>
  <c r="AD56" i="54"/>
  <c r="AD61" i="54"/>
  <c r="AD85" i="54"/>
  <c r="AD90" i="54"/>
  <c r="AD115" i="54"/>
  <c r="AD130" i="54"/>
  <c r="AD49" i="54"/>
  <c r="AD110" i="54"/>
  <c r="AD21" i="54"/>
  <c r="AD6" i="54"/>
  <c r="AD29" i="54"/>
  <c r="AD42" i="54"/>
  <c r="AD60" i="54"/>
  <c r="AD74" i="54"/>
  <c r="AD79" i="54"/>
  <c r="AD84" i="54"/>
  <c r="AD89" i="54"/>
  <c r="AD152" i="54"/>
  <c r="AD25" i="54"/>
  <c r="AD47" i="54"/>
  <c r="AD52" i="54"/>
  <c r="AD66" i="54"/>
  <c r="AD71" i="54"/>
  <c r="AD109" i="54"/>
  <c r="AD114" i="54"/>
  <c r="AD124" i="54"/>
  <c r="AD129" i="54"/>
  <c r="AD43" i="54"/>
  <c r="AD30" i="54"/>
  <c r="AD35" i="54"/>
  <c r="AD53" i="54"/>
  <c r="AD26" i="54"/>
  <c r="AD58" i="54"/>
  <c r="AD62" i="54"/>
  <c r="AD87" i="54"/>
  <c r="AD92" i="54"/>
  <c r="AD154" i="54"/>
  <c r="AD14" i="54"/>
  <c r="AD23" i="54"/>
  <c r="AD101" i="54"/>
  <c r="AD106" i="54"/>
  <c r="AD111" i="54"/>
  <c r="AD116" i="54"/>
  <c r="AD121" i="54"/>
  <c r="AD126" i="54"/>
  <c r="AD131" i="54"/>
  <c r="AD24" i="54"/>
  <c r="AD37" i="54"/>
  <c r="AD45" i="54"/>
  <c r="AD50" i="54"/>
  <c r="AD123" i="54"/>
  <c r="AD128" i="54"/>
  <c r="AD155" i="54"/>
  <c r="Z31" i="24"/>
  <c r="AD9" i="54"/>
  <c r="AD18" i="54"/>
  <c r="AD32" i="54"/>
  <c r="AD36" i="54"/>
  <c r="AD39" i="54"/>
  <c r="AD69" i="54"/>
  <c r="AD73" i="54"/>
  <c r="AD77" i="54"/>
  <c r="AD82" i="54"/>
  <c r="AD95" i="54"/>
  <c r="AD99" i="54"/>
  <c r="AD104" i="54"/>
  <c r="AD113" i="54"/>
  <c r="AD138" i="54"/>
  <c r="AD143" i="54"/>
  <c r="AD7" i="54"/>
  <c r="AD10" i="54"/>
  <c r="AD33" i="54"/>
  <c r="AD40" i="54"/>
  <c r="AD44" i="54"/>
  <c r="AD78" i="54"/>
  <c r="AD97" i="54"/>
  <c r="AD100" i="54"/>
  <c r="AD105" i="54"/>
  <c r="AD118" i="54"/>
  <c r="AD144" i="54"/>
  <c r="AD153" i="54"/>
  <c r="AD19" i="54"/>
  <c r="AD67" i="54"/>
  <c r="AD132" i="54"/>
  <c r="AD136" i="54"/>
  <c r="AD150" i="54"/>
  <c r="AD12" i="54"/>
  <c r="AD15" i="54"/>
  <c r="AD119" i="54"/>
  <c r="AD8" i="54"/>
  <c r="AD38" i="54"/>
  <c r="AD72" i="54"/>
  <c r="AD94" i="54"/>
  <c r="AD137" i="54"/>
  <c r="AD147" i="54"/>
  <c r="AD64" i="54"/>
  <c r="AD13" i="54"/>
  <c r="AD17" i="54"/>
  <c r="AD20" i="54"/>
  <c r="AD27" i="54"/>
  <c r="AD31" i="54"/>
  <c r="AD55" i="54"/>
  <c r="AD68" i="54"/>
  <c r="AD76" i="54"/>
  <c r="AD80" i="54"/>
  <c r="AD98" i="54"/>
  <c r="AD103" i="54"/>
  <c r="AD108" i="54"/>
  <c r="AD134" i="54"/>
  <c r="AD142" i="54"/>
  <c r="AD146" i="54"/>
  <c r="X41" i="24"/>
  <c r="X42" i="24" s="1"/>
  <c r="U19" i="11"/>
  <c r="U20" i="11" s="1"/>
  <c r="S17" i="7"/>
  <c r="Z32" i="24"/>
  <c r="R16" i="7"/>
  <c r="R17" i="7" s="1"/>
  <c r="BC63" i="54"/>
  <c r="AD63" i="54" s="1"/>
  <c r="U44" i="11"/>
  <c r="AB32" i="24"/>
  <c r="Y41" i="24"/>
  <c r="Y42" i="24" s="1"/>
  <c r="AB20" i="24"/>
  <c r="AB7" i="24"/>
  <c r="AB8" i="24" s="1"/>
  <c r="AB21" i="25"/>
  <c r="AB8" i="25"/>
  <c r="Z41" i="24" l="1"/>
  <c r="Z42" i="24" s="1"/>
  <c r="C47" i="7"/>
  <c r="C47" i="6"/>
  <c r="C47" i="37"/>
  <c r="C47" i="4"/>
  <c r="C47" i="43"/>
  <c r="C47" i="24"/>
  <c r="C47" i="25"/>
  <c r="C47" i="8"/>
  <c r="C47" i="9"/>
  <c r="C47" i="10"/>
  <c r="C47" i="11"/>
  <c r="S35" i="2" l="1"/>
  <c r="T30" i="8"/>
  <c r="T31" i="8" s="1"/>
  <c r="T32" i="8" s="1"/>
  <c r="T18" i="8"/>
  <c r="T19" i="8" s="1"/>
  <c r="T20" i="8" s="1"/>
  <c r="T6" i="8"/>
  <c r="F87" i="47"/>
  <c r="F86" i="47"/>
  <c r="G86" i="47" s="1"/>
  <c r="E88" i="47"/>
  <c r="G88" i="47" s="1"/>
  <c r="E87" i="47"/>
  <c r="G87" i="47" l="1"/>
  <c r="H86" i="47"/>
  <c r="O149" i="54" s="1"/>
  <c r="T7" i="8"/>
  <c r="T8" i="8" s="1"/>
  <c r="O149" i="46" l="1"/>
  <c r="C149" i="54"/>
  <c r="K149" i="54"/>
  <c r="P149" i="54"/>
  <c r="T149" i="54"/>
  <c r="V149" i="54"/>
  <c r="U149" i="54"/>
  <c r="AC149" i="54" l="1"/>
  <c r="BL34" i="39"/>
  <c r="F28" i="8"/>
  <c r="AM155" i="46"/>
  <c r="AR155" i="46"/>
  <c r="BC155" i="46" s="1"/>
  <c r="AR154" i="46"/>
  <c r="BC154" i="46" s="1"/>
  <c r="AM154" i="46"/>
  <c r="AM153" i="46"/>
  <c r="AR153" i="46"/>
  <c r="BC153" i="46" s="1"/>
  <c r="N149" i="46"/>
  <c r="AR152" i="46"/>
  <c r="BC152" i="46" s="1"/>
  <c r="AM152" i="46"/>
  <c r="AR151" i="46"/>
  <c r="BC151" i="46" s="1"/>
  <c r="AM151" i="46"/>
  <c r="AR150" i="46"/>
  <c r="BC150" i="46" s="1"/>
  <c r="AM150" i="46"/>
  <c r="AR149" i="46"/>
  <c r="BC149" i="46" s="1"/>
  <c r="AM149" i="46"/>
  <c r="F23" i="8"/>
  <c r="G34" i="8"/>
  <c r="I38" i="8"/>
  <c r="I86" i="47" s="1"/>
  <c r="G42" i="8"/>
  <c r="I37" i="8" s="1"/>
  <c r="F42" i="8"/>
  <c r="N45" i="8"/>
  <c r="Q40" i="8"/>
  <c r="Q41" i="8" s="1"/>
  <c r="R30" i="8"/>
  <c r="R40" i="8" s="1"/>
  <c r="R41" i="8" s="1"/>
  <c r="P30" i="8"/>
  <c r="S30" i="8" s="1"/>
  <c r="S40" i="8" s="1"/>
  <c r="S41" i="8" s="1"/>
  <c r="P18" i="8"/>
  <c r="S18" i="8" s="1"/>
  <c r="Q28" i="8"/>
  <c r="Q29" i="8" s="1"/>
  <c r="R18" i="8"/>
  <c r="F11" i="8"/>
  <c r="F14" i="8" s="1"/>
  <c r="Q11" i="8"/>
  <c r="R11" i="8" s="1"/>
  <c r="Q10" i="8"/>
  <c r="Q9" i="8"/>
  <c r="R9" i="8" s="1"/>
  <c r="Q8" i="8"/>
  <c r="R8" i="8" s="1"/>
  <c r="Q7" i="8"/>
  <c r="Q6" i="8"/>
  <c r="R6" i="8" s="1"/>
  <c r="R10" i="8"/>
  <c r="P7" i="8"/>
  <c r="P8" i="8"/>
  <c r="P9" i="8"/>
  <c r="P10" i="8"/>
  <c r="S10" i="8" s="1"/>
  <c r="P11" i="8"/>
  <c r="P6" i="8"/>
  <c r="J4" i="8"/>
  <c r="S9" i="8" l="1"/>
  <c r="S8" i="8"/>
  <c r="AD153" i="46"/>
  <c r="S6" i="8"/>
  <c r="AD149" i="46"/>
  <c r="AD152" i="46"/>
  <c r="AD154" i="46"/>
  <c r="AD155" i="46"/>
  <c r="AD151" i="46"/>
  <c r="AD150" i="46"/>
  <c r="P149" i="46"/>
  <c r="V149" i="46"/>
  <c r="C149" i="46"/>
  <c r="N34" i="39" s="1"/>
  <c r="H149" i="46"/>
  <c r="T149" i="46"/>
  <c r="U149" i="46"/>
  <c r="S28" i="8"/>
  <c r="S29" i="8" s="1"/>
  <c r="R28" i="8"/>
  <c r="R29" i="8" s="1"/>
  <c r="S11" i="8"/>
  <c r="Q16" i="8"/>
  <c r="Q17" i="8" s="1"/>
  <c r="S7" i="8"/>
  <c r="S16" i="8" s="1"/>
  <c r="R7" i="8"/>
  <c r="R16" i="8" s="1"/>
  <c r="F84" i="47"/>
  <c r="G84" i="47" s="1"/>
  <c r="H84" i="47" s="1"/>
  <c r="O142" i="54" s="1"/>
  <c r="F83" i="47"/>
  <c r="E83" i="47"/>
  <c r="F81" i="47"/>
  <c r="E81" i="47"/>
  <c r="E80" i="47"/>
  <c r="G80" i="47" s="1"/>
  <c r="K17" i="9"/>
  <c r="W142" i="54" s="1"/>
  <c r="K7" i="9"/>
  <c r="W141" i="54" s="1"/>
  <c r="C142" i="54" l="1"/>
  <c r="K142" i="54"/>
  <c r="W142" i="46"/>
  <c r="P142" i="54"/>
  <c r="U142" i="54"/>
  <c r="T142" i="54"/>
  <c r="V142" i="54"/>
  <c r="G81" i="47"/>
  <c r="K149" i="46"/>
  <c r="J149" i="46"/>
  <c r="R17" i="8"/>
  <c r="S17" i="8"/>
  <c r="W141" i="46"/>
  <c r="O142" i="46"/>
  <c r="G83" i="47"/>
  <c r="H83" i="47" s="1"/>
  <c r="O141" i="54" s="1"/>
  <c r="H80" i="47"/>
  <c r="O134" i="54" s="1"/>
  <c r="AM139" i="46"/>
  <c r="AD139" i="46" s="1"/>
  <c r="AR147" i="46"/>
  <c r="BC147" i="46" s="1"/>
  <c r="AM147" i="46"/>
  <c r="V34" i="9"/>
  <c r="V35" i="9" s="1"/>
  <c r="V36" i="9" s="1"/>
  <c r="Z28" i="9"/>
  <c r="Z29" i="9" s="1"/>
  <c r="Z30" i="9" s="1"/>
  <c r="Z18" i="9"/>
  <c r="Z19" i="9" s="1"/>
  <c r="Z20" i="9" s="1"/>
  <c r="Z6" i="9"/>
  <c r="Z7" i="9" s="1"/>
  <c r="Z8" i="9" s="1"/>
  <c r="T18" i="10"/>
  <c r="T19" i="10" s="1"/>
  <c r="T20" i="10" s="1"/>
  <c r="T6" i="10"/>
  <c r="T7" i="10" s="1"/>
  <c r="T8" i="10" s="1"/>
  <c r="C134" i="54" l="1"/>
  <c r="K134" i="54"/>
  <c r="AC142" i="54"/>
  <c r="C141" i="54"/>
  <c r="K141" i="54"/>
  <c r="U134" i="54"/>
  <c r="V134" i="54"/>
  <c r="T134" i="54"/>
  <c r="P134" i="54"/>
  <c r="U141" i="54"/>
  <c r="P141" i="54"/>
  <c r="V141" i="54"/>
  <c r="T141" i="54"/>
  <c r="AC149" i="46"/>
  <c r="L34" i="39"/>
  <c r="O134" i="46"/>
  <c r="O141" i="46"/>
  <c r="AD147" i="46"/>
  <c r="S34" i="2"/>
  <c r="S33" i="2"/>
  <c r="AC141" i="54" l="1"/>
  <c r="AB141" i="54"/>
  <c r="X141" i="54"/>
  <c r="AC134" i="54"/>
  <c r="AD197" i="54" s="1"/>
  <c r="BL32" i="39"/>
  <c r="BL33" i="39"/>
  <c r="AM146" i="46"/>
  <c r="AR146" i="46"/>
  <c r="BC146" i="46" s="1"/>
  <c r="Q142" i="46"/>
  <c r="Q141" i="46"/>
  <c r="C141" i="46" s="1"/>
  <c r="N142" i="46"/>
  <c r="H142" i="46" s="1"/>
  <c r="AR145" i="46"/>
  <c r="BC145" i="46" s="1"/>
  <c r="AM145" i="46"/>
  <c r="AR144" i="46"/>
  <c r="BC144" i="46" s="1"/>
  <c r="AM144" i="46"/>
  <c r="AR143" i="46"/>
  <c r="BC143" i="46" s="1"/>
  <c r="AM143" i="46"/>
  <c r="AR142" i="46"/>
  <c r="BC142" i="46" s="1"/>
  <c r="AM142" i="46"/>
  <c r="AR141" i="46"/>
  <c r="BC141" i="46" s="1"/>
  <c r="AM141" i="46"/>
  <c r="N141" i="46"/>
  <c r="H141" i="46" s="1"/>
  <c r="J141" i="46" s="1"/>
  <c r="AM138" i="46"/>
  <c r="AR138" i="46"/>
  <c r="BC138" i="46" s="1"/>
  <c r="C134" i="46"/>
  <c r="N32" i="39" s="1"/>
  <c r="N134" i="46"/>
  <c r="H134" i="46" s="1"/>
  <c r="AR137" i="46"/>
  <c r="BC137" i="46" s="1"/>
  <c r="AM137" i="46"/>
  <c r="AR136" i="46"/>
  <c r="BC136" i="46" s="1"/>
  <c r="AM136" i="46"/>
  <c r="AR135" i="46"/>
  <c r="BC135" i="46" s="1"/>
  <c r="AM135" i="46"/>
  <c r="AR134" i="46"/>
  <c r="BC134" i="46" s="1"/>
  <c r="AM134" i="46"/>
  <c r="F23" i="9"/>
  <c r="I38" i="9"/>
  <c r="I83" i="47" s="1"/>
  <c r="S45" i="9"/>
  <c r="W28" i="9"/>
  <c r="W29" i="9" s="1"/>
  <c r="W10" i="9"/>
  <c r="X10" i="9" s="1"/>
  <c r="V10" i="9"/>
  <c r="W9" i="9"/>
  <c r="X9" i="9" s="1"/>
  <c r="V9" i="9"/>
  <c r="Y9" i="9" s="1"/>
  <c r="W8" i="9"/>
  <c r="X8" i="9" s="1"/>
  <c r="V8" i="9"/>
  <c r="W7" i="9"/>
  <c r="X7" i="9" s="1"/>
  <c r="V7" i="9"/>
  <c r="W6" i="9"/>
  <c r="V6" i="9"/>
  <c r="Y6" i="9" s="1"/>
  <c r="N46" i="9"/>
  <c r="F28" i="9"/>
  <c r="Q31" i="9"/>
  <c r="R31" i="9" s="1"/>
  <c r="P31" i="9"/>
  <c r="Q30" i="9"/>
  <c r="R30" i="9" s="1"/>
  <c r="P30" i="9"/>
  <c r="Q19" i="9"/>
  <c r="R19" i="9" s="1"/>
  <c r="P19" i="9"/>
  <c r="S19" i="9" s="1"/>
  <c r="Q18" i="9"/>
  <c r="P18" i="9"/>
  <c r="Q10" i="9"/>
  <c r="R10" i="9" s="1"/>
  <c r="Q9" i="9"/>
  <c r="R9" i="9" s="1"/>
  <c r="Q8" i="9"/>
  <c r="R8" i="9" s="1"/>
  <c r="F11" i="9"/>
  <c r="F14" i="9" s="1"/>
  <c r="Q7" i="9"/>
  <c r="R7" i="9" s="1"/>
  <c r="Q6" i="9"/>
  <c r="P7" i="9"/>
  <c r="P8" i="9"/>
  <c r="P9" i="9"/>
  <c r="P10" i="9"/>
  <c r="P6" i="9"/>
  <c r="J4" i="9"/>
  <c r="F23" i="10"/>
  <c r="I38" i="10"/>
  <c r="I80" i="47" s="1"/>
  <c r="G42" i="10"/>
  <c r="I37" i="10" s="1"/>
  <c r="F42" i="10"/>
  <c r="N45" i="10"/>
  <c r="Q40" i="10"/>
  <c r="Q41" i="10" s="1"/>
  <c r="P30" i="10"/>
  <c r="R21" i="10"/>
  <c r="Q20" i="10"/>
  <c r="R20" i="10" s="1"/>
  <c r="Q19" i="10"/>
  <c r="R19" i="10" s="1"/>
  <c r="Q18" i="10"/>
  <c r="R23" i="10"/>
  <c r="P23" i="10"/>
  <c r="S23" i="10" s="1"/>
  <c r="R22" i="10"/>
  <c r="P22" i="10"/>
  <c r="S22" i="10" s="1"/>
  <c r="P21" i="10"/>
  <c r="S21" i="10" s="1"/>
  <c r="P20" i="10"/>
  <c r="S20" i="10" s="1"/>
  <c r="P19" i="10"/>
  <c r="R18" i="10"/>
  <c r="P18" i="10"/>
  <c r="Q11" i="10"/>
  <c r="R11" i="10" s="1"/>
  <c r="Q10" i="10"/>
  <c r="Q9" i="10"/>
  <c r="R9" i="10" s="1"/>
  <c r="Q8" i="10"/>
  <c r="R8" i="10" s="1"/>
  <c r="Q7" i="10"/>
  <c r="F11" i="10"/>
  <c r="F14" i="10" s="1"/>
  <c r="P7" i="10"/>
  <c r="P8" i="10"/>
  <c r="P9" i="10"/>
  <c r="P10" i="10"/>
  <c r="P11" i="10"/>
  <c r="Q6" i="10"/>
  <c r="R6" i="10" s="1"/>
  <c r="P6" i="10"/>
  <c r="J4" i="10"/>
  <c r="S7" i="9" l="1"/>
  <c r="S30" i="9"/>
  <c r="S18" i="10"/>
  <c r="Y7" i="9"/>
  <c r="Y10" i="9"/>
  <c r="S8" i="9"/>
  <c r="S31" i="9"/>
  <c r="S40" i="9" s="1"/>
  <c r="S41" i="9" s="1"/>
  <c r="AD141" i="46"/>
  <c r="Q40" i="9"/>
  <c r="Q41" i="9" s="1"/>
  <c r="Y8" i="9"/>
  <c r="S10" i="10"/>
  <c r="W16" i="9"/>
  <c r="W17" i="9" s="1"/>
  <c r="AD134" i="46"/>
  <c r="S11" i="10"/>
  <c r="T141" i="46"/>
  <c r="T134" i="46"/>
  <c r="U134" i="46"/>
  <c r="AD137" i="46"/>
  <c r="V141" i="46"/>
  <c r="S8" i="10"/>
  <c r="S19" i="10"/>
  <c r="S28" i="10" s="1"/>
  <c r="S9" i="10"/>
  <c r="S7" i="10"/>
  <c r="Q28" i="10"/>
  <c r="Q29" i="10" s="1"/>
  <c r="AD145" i="46"/>
  <c r="AD146" i="46"/>
  <c r="AD144" i="46"/>
  <c r="AD142" i="46"/>
  <c r="P142" i="46"/>
  <c r="C142" i="46"/>
  <c r="N33" i="39" s="1"/>
  <c r="U141" i="46"/>
  <c r="J142" i="46"/>
  <c r="K142" i="46"/>
  <c r="V142" i="46"/>
  <c r="U142" i="46"/>
  <c r="T142" i="46"/>
  <c r="AD143" i="46"/>
  <c r="K141" i="46"/>
  <c r="P141" i="46"/>
  <c r="AD138" i="46"/>
  <c r="AD135" i="46"/>
  <c r="P134" i="46"/>
  <c r="K134" i="46"/>
  <c r="J134" i="46"/>
  <c r="V134" i="46"/>
  <c r="AD136" i="46"/>
  <c r="Y28" i="9"/>
  <c r="Y29" i="9" s="1"/>
  <c r="X28" i="9"/>
  <c r="X29" i="9" s="1"/>
  <c r="X6" i="9"/>
  <c r="X16" i="9" s="1"/>
  <c r="R40" i="9"/>
  <c r="Q28" i="9"/>
  <c r="Q29" i="9" s="1"/>
  <c r="S18" i="9"/>
  <c r="S28" i="9" s="1"/>
  <c r="R18" i="9"/>
  <c r="R28" i="9" s="1"/>
  <c r="S9" i="9"/>
  <c r="S10" i="9"/>
  <c r="Q16" i="9"/>
  <c r="Q17" i="9" s="1"/>
  <c r="R6" i="9"/>
  <c r="R16" i="9" s="1"/>
  <c r="S6" i="9"/>
  <c r="S30" i="10"/>
  <c r="S40" i="10" s="1"/>
  <c r="S41" i="10" s="1"/>
  <c r="R30" i="10"/>
  <c r="R28" i="10"/>
  <c r="R10" i="10"/>
  <c r="R7" i="10"/>
  <c r="R16" i="10"/>
  <c r="S6" i="10"/>
  <c r="R4" i="50"/>
  <c r="R3" i="50"/>
  <c r="S4" i="50"/>
  <c r="S3" i="50"/>
  <c r="T4" i="50"/>
  <c r="T3" i="50"/>
  <c r="V4" i="50"/>
  <c r="V3" i="50"/>
  <c r="W4" i="50"/>
  <c r="W3" i="50"/>
  <c r="X4" i="50"/>
  <c r="X3" i="50"/>
  <c r="AC142" i="46" l="1"/>
  <c r="R41" i="9"/>
  <c r="Y16" i="9"/>
  <c r="S29" i="10"/>
  <c r="Y17" i="9"/>
  <c r="S16" i="9"/>
  <c r="X17" i="9"/>
  <c r="AC134" i="46"/>
  <c r="L32" i="39"/>
  <c r="L33" i="39"/>
  <c r="R29" i="10"/>
  <c r="X141" i="46"/>
  <c r="AC141" i="46"/>
  <c r="AB141" i="46" s="1"/>
  <c r="S29" i="9"/>
  <c r="R29" i="9"/>
  <c r="S17" i="9"/>
  <c r="R17" i="9"/>
  <c r="R40" i="10"/>
  <c r="R41" i="10" s="1"/>
  <c r="Q16" i="10"/>
  <c r="Q17" i="10" s="1"/>
  <c r="S16" i="10"/>
  <c r="S17" i="10" l="1"/>
  <c r="R17" i="10"/>
  <c r="O47" i="11"/>
  <c r="O51" i="11"/>
  <c r="E78" i="47" l="1"/>
  <c r="G78" i="47" s="1"/>
  <c r="H78" i="47" s="1"/>
  <c r="O128" i="54" s="1"/>
  <c r="F76" i="47"/>
  <c r="E77" i="47"/>
  <c r="G77" i="47" s="1"/>
  <c r="E76" i="47"/>
  <c r="K7" i="11"/>
  <c r="W129" i="54" s="1"/>
  <c r="K21" i="11"/>
  <c r="W128" i="54" s="1"/>
  <c r="AR132" i="46"/>
  <c r="BC132" i="46" s="1"/>
  <c r="AM132" i="46"/>
  <c r="O48" i="11"/>
  <c r="O49" i="11" s="1"/>
  <c r="O52" i="11"/>
  <c r="O53" i="11" s="1"/>
  <c r="C128" i="54" l="1"/>
  <c r="K128" i="54"/>
  <c r="U128" i="54"/>
  <c r="P128" i="54"/>
  <c r="T128" i="54"/>
  <c r="V128" i="54"/>
  <c r="W129" i="46"/>
  <c r="W128" i="46"/>
  <c r="AD132" i="46"/>
  <c r="O128" i="46"/>
  <c r="H76" i="47"/>
  <c r="O129" i="54" s="1"/>
  <c r="G76" i="47"/>
  <c r="S32" i="2"/>
  <c r="C129" i="54" l="1"/>
  <c r="K129" i="54"/>
  <c r="X128" i="54" s="1"/>
  <c r="AC128" i="54"/>
  <c r="P129" i="54"/>
  <c r="T129" i="54"/>
  <c r="U129" i="54"/>
  <c r="V129" i="54"/>
  <c r="O129" i="46"/>
  <c r="C129" i="46" s="1"/>
  <c r="N129" i="46"/>
  <c r="H129" i="46" s="1"/>
  <c r="AR131" i="46"/>
  <c r="BC131" i="46" s="1"/>
  <c r="AM131" i="46"/>
  <c r="AR130" i="46"/>
  <c r="BC130" i="46" s="1"/>
  <c r="AM130" i="46"/>
  <c r="AR129" i="46"/>
  <c r="BC129" i="46" s="1"/>
  <c r="AM129" i="46"/>
  <c r="AR128" i="46"/>
  <c r="BC128" i="46" s="1"/>
  <c r="AM128" i="46"/>
  <c r="P128" i="46"/>
  <c r="N128" i="46"/>
  <c r="H128" i="46" s="1"/>
  <c r="G128" i="46"/>
  <c r="F23" i="11"/>
  <c r="F9" i="11"/>
  <c r="F14" i="11" s="1"/>
  <c r="I38" i="11"/>
  <c r="I76" i="47" s="1"/>
  <c r="Q44" i="11"/>
  <c r="X40" i="11"/>
  <c r="Y31" i="11"/>
  <c r="Z31" i="11"/>
  <c r="Y32" i="11"/>
  <c r="Z32" i="11"/>
  <c r="Y33" i="11"/>
  <c r="Z33" i="11"/>
  <c r="Y34" i="11"/>
  <c r="Z34" i="11"/>
  <c r="Y35" i="11"/>
  <c r="Z35" i="11"/>
  <c r="Y30" i="11"/>
  <c r="Z30" i="11"/>
  <c r="Q30" i="11"/>
  <c r="Q31" i="11" s="1"/>
  <c r="P31" i="11"/>
  <c r="P30" i="11"/>
  <c r="R20" i="11"/>
  <c r="Q28" i="11"/>
  <c r="P20" i="11"/>
  <c r="S20" i="11" s="1"/>
  <c r="P19" i="11"/>
  <c r="R18" i="11"/>
  <c r="P18" i="11"/>
  <c r="S18" i="11" s="1"/>
  <c r="Q6" i="11"/>
  <c r="Q7" i="11" s="1"/>
  <c r="R7" i="11" s="1"/>
  <c r="P7" i="11"/>
  <c r="P6" i="11"/>
  <c r="J4" i="11"/>
  <c r="AC129" i="54" l="1"/>
  <c r="AB128" i="54" s="1"/>
  <c r="AD131" i="46"/>
  <c r="AD129" i="46"/>
  <c r="S30" i="11"/>
  <c r="BL31" i="39"/>
  <c r="V129" i="46"/>
  <c r="C128" i="46"/>
  <c r="N31" i="39" s="1"/>
  <c r="T128" i="46"/>
  <c r="U128" i="46"/>
  <c r="AD130" i="46"/>
  <c r="V128" i="46"/>
  <c r="J129" i="46"/>
  <c r="K129" i="46"/>
  <c r="P129" i="46"/>
  <c r="U129" i="46"/>
  <c r="T129" i="46"/>
  <c r="AD128" i="46"/>
  <c r="J128" i="46"/>
  <c r="K128" i="46"/>
  <c r="Z40" i="11"/>
  <c r="Y40" i="11"/>
  <c r="X41" i="11"/>
  <c r="S31" i="11"/>
  <c r="S40" i="11" s="1"/>
  <c r="R31" i="11"/>
  <c r="R30" i="11"/>
  <c r="Q40" i="11"/>
  <c r="Q41" i="11" s="1"/>
  <c r="S19" i="11"/>
  <c r="S28" i="11" s="1"/>
  <c r="S29" i="11" s="1"/>
  <c r="R19" i="11"/>
  <c r="R28" i="11" s="1"/>
  <c r="R29" i="11" s="1"/>
  <c r="S7" i="11"/>
  <c r="Q16" i="11"/>
  <c r="Q17" i="11" s="1"/>
  <c r="S6" i="11"/>
  <c r="R6" i="11"/>
  <c r="R16" i="11" s="1"/>
  <c r="KV39" i="1"/>
  <c r="KV38" i="1"/>
  <c r="KV37" i="1"/>
  <c r="KV36" i="1"/>
  <c r="KV35" i="1"/>
  <c r="KV34" i="1"/>
  <c r="KV33" i="1"/>
  <c r="KV32" i="1"/>
  <c r="KV31" i="1"/>
  <c r="KV29" i="1"/>
  <c r="KV28" i="1"/>
  <c r="KV27" i="1"/>
  <c r="KV26" i="1"/>
  <c r="KV25" i="1"/>
  <c r="KV24" i="1"/>
  <c r="KV23" i="1"/>
  <c r="KV22" i="1"/>
  <c r="KV21" i="1"/>
  <c r="KV20" i="1"/>
  <c r="KV19" i="1"/>
  <c r="KV18" i="1"/>
  <c r="KV17" i="1"/>
  <c r="KV16" i="1"/>
  <c r="KV15" i="1"/>
  <c r="KV14" i="1"/>
  <c r="KV13" i="1"/>
  <c r="KV12" i="1"/>
  <c r="KV11" i="1"/>
  <c r="KV10" i="1"/>
  <c r="KV9" i="1"/>
  <c r="KV30" i="1"/>
  <c r="AC129" i="46" l="1"/>
  <c r="S41" i="11"/>
  <c r="R17" i="11"/>
  <c r="L31" i="39"/>
  <c r="AC128" i="46"/>
  <c r="AB128" i="46" s="1"/>
  <c r="X128" i="46"/>
  <c r="Y41" i="11"/>
  <c r="Z41" i="11"/>
  <c r="R40" i="11"/>
  <c r="R41" i="11" s="1"/>
  <c r="S16" i="11"/>
  <c r="S17" i="11" s="1"/>
  <c r="Z53" i="46"/>
  <c r="F73" i="47"/>
  <c r="E74" i="47"/>
  <c r="G74" i="47" s="1"/>
  <c r="H74" i="47" s="1"/>
  <c r="E73" i="47"/>
  <c r="K21" i="12"/>
  <c r="W123" i="54" s="1"/>
  <c r="K7" i="12"/>
  <c r="W124" i="54" s="1"/>
  <c r="W124" i="46" l="1"/>
  <c r="G73" i="47"/>
  <c r="H73" i="47" s="1"/>
  <c r="O123" i="54" s="1"/>
  <c r="W123" i="46"/>
  <c r="C123" i="54" l="1"/>
  <c r="K123" i="54"/>
  <c r="U123" i="54"/>
  <c r="T123" i="54"/>
  <c r="V123" i="54"/>
  <c r="P123" i="54"/>
  <c r="O123" i="46"/>
  <c r="FA31" i="2"/>
  <c r="S31" i="2"/>
  <c r="AC123" i="54" l="1"/>
  <c r="AB123" i="54"/>
  <c r="X123" i="54"/>
  <c r="U123" i="46"/>
  <c r="N123" i="46"/>
  <c r="H123" i="46" s="1"/>
  <c r="G123" i="46"/>
  <c r="AM123" i="46"/>
  <c r="AR123" i="46"/>
  <c r="BC123" i="46" s="1"/>
  <c r="AM124" i="46"/>
  <c r="AR124" i="46"/>
  <c r="BC124" i="46" s="1"/>
  <c r="AM125" i="46"/>
  <c r="AR125" i="46"/>
  <c r="BC125" i="46" s="1"/>
  <c r="AM126" i="46"/>
  <c r="AR126" i="46"/>
  <c r="BC126" i="46" s="1"/>
  <c r="I38" i="12"/>
  <c r="I73" i="47" s="1"/>
  <c r="G40" i="12"/>
  <c r="G39" i="12"/>
  <c r="G38" i="12"/>
  <c r="O10" i="12"/>
  <c r="O9" i="12"/>
  <c r="O8" i="12"/>
  <c r="J4" i="12"/>
  <c r="AD123" i="46" l="1"/>
  <c r="J123" i="46"/>
  <c r="AD126" i="46"/>
  <c r="BL30" i="39"/>
  <c r="K123" i="46"/>
  <c r="L30" i="39" s="1"/>
  <c r="V123" i="46"/>
  <c r="P123" i="46"/>
  <c r="C123" i="46"/>
  <c r="N30" i="39" s="1"/>
  <c r="T123" i="46"/>
  <c r="AD125" i="46"/>
  <c r="AD124" i="46"/>
  <c r="AC123" i="46" l="1"/>
  <c r="S30" i="2" l="1"/>
  <c r="G120" i="46" l="1"/>
  <c r="E71" i="47"/>
  <c r="H71" i="47" s="1"/>
  <c r="O120" i="54" s="1"/>
  <c r="E70" i="47"/>
  <c r="G70" i="47" s="1"/>
  <c r="H70" i="47" s="1"/>
  <c r="O119" i="54" s="1"/>
  <c r="F68" i="47"/>
  <c r="E68" i="47"/>
  <c r="E69" i="47"/>
  <c r="G69" i="47" s="1"/>
  <c r="K7" i="13"/>
  <c r="W119" i="54" s="1"/>
  <c r="K16" i="13"/>
  <c r="W118" i="54" s="1"/>
  <c r="C119" i="54" l="1"/>
  <c r="K119" i="54"/>
  <c r="C120" i="54"/>
  <c r="K120" i="54"/>
  <c r="U119" i="54"/>
  <c r="T119" i="54"/>
  <c r="V119" i="54"/>
  <c r="P119" i="54"/>
  <c r="U120" i="54"/>
  <c r="P120" i="54"/>
  <c r="V120" i="54"/>
  <c r="T120" i="54"/>
  <c r="G71" i="47"/>
  <c r="W119" i="46"/>
  <c r="W118" i="46"/>
  <c r="O120" i="46"/>
  <c r="O119" i="46"/>
  <c r="H68" i="47"/>
  <c r="O118" i="54" s="1"/>
  <c r="G68" i="47"/>
  <c r="AC120" i="54" l="1"/>
  <c r="C118" i="54"/>
  <c r="K118" i="54"/>
  <c r="AC119" i="54"/>
  <c r="T118" i="54"/>
  <c r="P118" i="54"/>
  <c r="U118" i="54"/>
  <c r="V118" i="54"/>
  <c r="O118" i="46"/>
  <c r="T118" i="46" s="1"/>
  <c r="S118" i="46"/>
  <c r="N119" i="46"/>
  <c r="H119" i="46" s="1"/>
  <c r="P119" i="46"/>
  <c r="N120" i="46"/>
  <c r="H120" i="46" s="1"/>
  <c r="P120" i="46"/>
  <c r="W120" i="46"/>
  <c r="AR121" i="46"/>
  <c r="BC121" i="46" s="1"/>
  <c r="AM121" i="46"/>
  <c r="AR120" i="46"/>
  <c r="BC120" i="46" s="1"/>
  <c r="AM120" i="46"/>
  <c r="AR119" i="46"/>
  <c r="BC119" i="46" s="1"/>
  <c r="AM119" i="46"/>
  <c r="AR118" i="46"/>
  <c r="BC118" i="46" s="1"/>
  <c r="AM118" i="46"/>
  <c r="N118" i="46"/>
  <c r="H118" i="46" s="1"/>
  <c r="F14" i="13"/>
  <c r="F23" i="13"/>
  <c r="I38" i="13"/>
  <c r="I68" i="47" s="1"/>
  <c r="Q40" i="13"/>
  <c r="X26" i="13"/>
  <c r="Y26" i="13"/>
  <c r="W34" i="13"/>
  <c r="W35" i="13" s="1"/>
  <c r="X25" i="13"/>
  <c r="V25" i="13"/>
  <c r="Y25" i="13" s="1"/>
  <c r="X24" i="13"/>
  <c r="V24" i="13"/>
  <c r="Y24" i="13" s="1"/>
  <c r="G42" i="13"/>
  <c r="I37" i="13" s="1"/>
  <c r="F42" i="13"/>
  <c r="Q26" i="13"/>
  <c r="Q25" i="13"/>
  <c r="R25" i="13" s="1"/>
  <c r="Q24" i="13"/>
  <c r="R24" i="13" s="1"/>
  <c r="P26" i="13"/>
  <c r="P25" i="13"/>
  <c r="P24" i="13"/>
  <c r="P7" i="13"/>
  <c r="S7" i="13" s="1"/>
  <c r="Q16" i="13"/>
  <c r="Q17" i="13" s="1"/>
  <c r="R7" i="13"/>
  <c r="R6" i="13"/>
  <c r="R16" i="13" s="1"/>
  <c r="P6" i="13"/>
  <c r="S6" i="13" s="1"/>
  <c r="J4" i="13"/>
  <c r="AC118" i="54" l="1"/>
  <c r="AB118" i="54"/>
  <c r="X118" i="54"/>
  <c r="S25" i="13"/>
  <c r="AD121" i="46"/>
  <c r="R17" i="13"/>
  <c r="S26" i="13"/>
  <c r="AD118" i="46"/>
  <c r="Q34" i="13"/>
  <c r="Q35" i="13" s="1"/>
  <c r="S24" i="13"/>
  <c r="R26" i="13"/>
  <c r="R34" i="13" s="1"/>
  <c r="V119" i="46"/>
  <c r="T119" i="46"/>
  <c r="C119" i="46"/>
  <c r="V118" i="46"/>
  <c r="C118" i="46"/>
  <c r="K118" i="46"/>
  <c r="U119" i="46"/>
  <c r="AD120" i="46"/>
  <c r="U118" i="46"/>
  <c r="J119" i="46"/>
  <c r="J120" i="46"/>
  <c r="K120" i="46"/>
  <c r="AC120" i="46" s="1"/>
  <c r="V120" i="46"/>
  <c r="K119" i="46"/>
  <c r="U120" i="46"/>
  <c r="T120" i="46"/>
  <c r="C120" i="46"/>
  <c r="AD119" i="46"/>
  <c r="J118" i="46"/>
  <c r="P118" i="46"/>
  <c r="X34" i="13"/>
  <c r="X35" i="13" s="1"/>
  <c r="Y34" i="13"/>
  <c r="Y35" i="13" s="1"/>
  <c r="S16" i="13"/>
  <c r="S17" i="13" s="1"/>
  <c r="F66" i="47"/>
  <c r="E66" i="47"/>
  <c r="E65" i="47"/>
  <c r="G65" i="47" s="1"/>
  <c r="S34" i="13" l="1"/>
  <c r="S35" i="13" s="1"/>
  <c r="R35" i="13"/>
  <c r="G66" i="47"/>
  <c r="AC119" i="46"/>
  <c r="N29" i="39"/>
  <c r="H65" i="47"/>
  <c r="O113" i="54" s="1"/>
  <c r="BL29" i="39"/>
  <c r="L29" i="39"/>
  <c r="AC118" i="46"/>
  <c r="X118" i="46"/>
  <c r="C113" i="54" l="1"/>
  <c r="K113" i="54"/>
  <c r="P113" i="54"/>
  <c r="V113" i="54"/>
  <c r="T113" i="54"/>
  <c r="U113" i="54"/>
  <c r="BL28" i="39"/>
  <c r="O113" i="46"/>
  <c r="AB118" i="46"/>
  <c r="AC113" i="54" l="1"/>
  <c r="Q113" i="46"/>
  <c r="U113" i="46" s="1"/>
  <c r="N113" i="46"/>
  <c r="V113" i="46" s="1"/>
  <c r="AR116" i="46"/>
  <c r="BC116" i="46" s="1"/>
  <c r="AM116" i="46"/>
  <c r="AR115" i="46"/>
  <c r="BC115" i="46" s="1"/>
  <c r="AM115" i="46"/>
  <c r="AR114" i="46"/>
  <c r="BC114" i="46" s="1"/>
  <c r="AM114" i="46"/>
  <c r="AR113" i="46"/>
  <c r="BC113" i="46" s="1"/>
  <c r="AM113" i="46"/>
  <c r="F14" i="14"/>
  <c r="F23" i="14"/>
  <c r="I38" i="14"/>
  <c r="I65" i="47" s="1"/>
  <c r="P7" i="14"/>
  <c r="S7" i="14" s="1"/>
  <c r="P8" i="14"/>
  <c r="S8" i="14" s="1"/>
  <c r="P6" i="14"/>
  <c r="S6" i="14" s="1"/>
  <c r="R8" i="14"/>
  <c r="R7" i="14"/>
  <c r="Q16" i="14"/>
  <c r="Q17" i="14" s="1"/>
  <c r="J4" i="14"/>
  <c r="AD116" i="46" l="1"/>
  <c r="AD114" i="46"/>
  <c r="AD113" i="46"/>
  <c r="AD115" i="46"/>
  <c r="C113" i="46"/>
  <c r="N28" i="39" s="1"/>
  <c r="T113" i="46"/>
  <c r="P113" i="46"/>
  <c r="H113" i="46"/>
  <c r="AC114" i="46"/>
  <c r="S16" i="14"/>
  <c r="S17" i="14" s="1"/>
  <c r="R6" i="14"/>
  <c r="R16" i="14" s="1"/>
  <c r="R17" i="14" s="1"/>
  <c r="E63" i="47"/>
  <c r="G63" i="47" s="1"/>
  <c r="H63" i="47" s="1"/>
  <c r="O109" i="54" s="1"/>
  <c r="F62" i="47"/>
  <c r="E62" i="47"/>
  <c r="G62" i="47" s="1"/>
  <c r="H62" i="47" s="1"/>
  <c r="O108" i="54" s="1"/>
  <c r="C108" i="54" l="1"/>
  <c r="K108" i="54"/>
  <c r="C109" i="54"/>
  <c r="K109" i="54"/>
  <c r="AC109" i="54" s="1"/>
  <c r="U108" i="54"/>
  <c r="P108" i="54"/>
  <c r="T108" i="54"/>
  <c r="V108" i="54"/>
  <c r="P109" i="54"/>
  <c r="U109" i="54"/>
  <c r="T109" i="54"/>
  <c r="V109" i="54"/>
  <c r="O109" i="46"/>
  <c r="O108" i="46"/>
  <c r="K113" i="46"/>
  <c r="J113" i="46"/>
  <c r="AC108" i="54" l="1"/>
  <c r="AC113" i="46"/>
  <c r="L28" i="39"/>
  <c r="BL27" i="39"/>
  <c r="S28" i="2"/>
  <c r="K17" i="15"/>
  <c r="W108" i="54" s="1"/>
  <c r="C26" i="15"/>
  <c r="K16" i="15" s="1"/>
  <c r="W109" i="54" s="1"/>
  <c r="AA108" i="54" l="1"/>
  <c r="AB108" i="54" s="1"/>
  <c r="X108" i="54"/>
  <c r="W109" i="46"/>
  <c r="W108" i="46"/>
  <c r="Q109" i="46"/>
  <c r="C109" i="46" s="1"/>
  <c r="N109" i="46"/>
  <c r="C108" i="46"/>
  <c r="N108" i="46"/>
  <c r="H108" i="46" s="1"/>
  <c r="G108" i="46"/>
  <c r="AR111" i="46"/>
  <c r="BC111" i="46" s="1"/>
  <c r="AM111" i="46"/>
  <c r="AR110" i="46"/>
  <c r="BC110" i="46" s="1"/>
  <c r="AM110" i="46"/>
  <c r="AR109" i="46"/>
  <c r="BC109" i="46" s="1"/>
  <c r="AM109" i="46"/>
  <c r="AD109" i="46" s="1"/>
  <c r="AR108" i="46"/>
  <c r="BC108" i="46" s="1"/>
  <c r="AM108" i="46"/>
  <c r="F23" i="15"/>
  <c r="F14" i="15"/>
  <c r="I38" i="15"/>
  <c r="I62" i="47" s="1"/>
  <c r="Q46" i="15"/>
  <c r="Z20" i="15"/>
  <c r="X20" i="15"/>
  <c r="AA20" i="15" s="1"/>
  <c r="Y19" i="15"/>
  <c r="Z19" i="15" s="1"/>
  <c r="X19" i="15"/>
  <c r="Z8" i="15"/>
  <c r="AA8" i="15"/>
  <c r="Z9" i="15"/>
  <c r="AA9" i="15"/>
  <c r="Z10" i="15"/>
  <c r="AA10" i="15"/>
  <c r="Z11" i="15"/>
  <c r="AA11" i="15"/>
  <c r="X7" i="15"/>
  <c r="Y6" i="15"/>
  <c r="Z6" i="15" s="1"/>
  <c r="X6" i="15"/>
  <c r="AA6" i="15" s="1"/>
  <c r="Q31" i="15"/>
  <c r="R31" i="15" s="1"/>
  <c r="Q30" i="15"/>
  <c r="R30" i="15" s="1"/>
  <c r="P32" i="15"/>
  <c r="P31" i="15"/>
  <c r="P30" i="15"/>
  <c r="Q20" i="15"/>
  <c r="R20" i="15"/>
  <c r="Q19" i="15"/>
  <c r="P19" i="15"/>
  <c r="P20" i="15"/>
  <c r="R18" i="15"/>
  <c r="P18" i="15"/>
  <c r="S18" i="15" s="1"/>
  <c r="Q6" i="15"/>
  <c r="R6" i="15" s="1"/>
  <c r="P7" i="15"/>
  <c r="P6" i="15"/>
  <c r="S6" i="15" s="1"/>
  <c r="J4" i="15"/>
  <c r="Y7" i="15" l="1"/>
  <c r="AA7" i="15" s="1"/>
  <c r="AA19" i="15"/>
  <c r="AA28" i="15" s="1"/>
  <c r="N27" i="39"/>
  <c r="Q7" i="15"/>
  <c r="U109" i="46"/>
  <c r="S20" i="15"/>
  <c r="T109" i="46"/>
  <c r="AD108" i="46"/>
  <c r="S30" i="15"/>
  <c r="P109" i="46"/>
  <c r="AD111" i="46"/>
  <c r="V109" i="46"/>
  <c r="V108" i="46"/>
  <c r="H109" i="46"/>
  <c r="K109" i="46" s="1"/>
  <c r="AD110" i="46"/>
  <c r="J108" i="46"/>
  <c r="K108" i="46"/>
  <c r="P108" i="46"/>
  <c r="T108" i="46"/>
  <c r="U108" i="46"/>
  <c r="Z28" i="15"/>
  <c r="Y28" i="15"/>
  <c r="Y29" i="15" s="1"/>
  <c r="AA16" i="15"/>
  <c r="Y16" i="15"/>
  <c r="Y17" i="15" s="1"/>
  <c r="S31" i="15"/>
  <c r="S32" i="15"/>
  <c r="R32" i="15"/>
  <c r="R40" i="15" s="1"/>
  <c r="Q40" i="15"/>
  <c r="Q41" i="15" s="1"/>
  <c r="S19" i="15"/>
  <c r="Q28" i="15"/>
  <c r="Q29" i="15" s="1"/>
  <c r="R19" i="15"/>
  <c r="R28" i="15" s="1"/>
  <c r="K20" i="16"/>
  <c r="W104" i="54" s="1"/>
  <c r="K17" i="16"/>
  <c r="W105" i="54" s="1"/>
  <c r="K18" i="16"/>
  <c r="W103" i="54" s="1"/>
  <c r="K19" i="17"/>
  <c r="W98" i="54" s="1"/>
  <c r="K18" i="17"/>
  <c r="W99" i="54" s="1"/>
  <c r="K16" i="17"/>
  <c r="W97" i="54" s="1"/>
  <c r="G105" i="46"/>
  <c r="F60" i="47"/>
  <c r="E60" i="47"/>
  <c r="G60" i="47" s="1"/>
  <c r="H60" i="47" s="1"/>
  <c r="O105" i="54" s="1"/>
  <c r="E59" i="47"/>
  <c r="G59" i="47" s="1"/>
  <c r="H59" i="47" s="1"/>
  <c r="O104" i="54" s="1"/>
  <c r="F58" i="47"/>
  <c r="E58" i="47"/>
  <c r="G58" i="47" s="1"/>
  <c r="H58" i="47" s="1"/>
  <c r="O103" i="54" s="1"/>
  <c r="E56" i="47"/>
  <c r="G56" i="47" s="1"/>
  <c r="H56" i="47" s="1"/>
  <c r="O99" i="54" s="1"/>
  <c r="E55" i="47"/>
  <c r="G55" i="47" s="1"/>
  <c r="H55" i="47" s="1"/>
  <c r="O98" i="54" s="1"/>
  <c r="E53" i="47"/>
  <c r="E54" i="47"/>
  <c r="G54" i="47" s="1"/>
  <c r="C105" i="54" l="1"/>
  <c r="K105" i="54"/>
  <c r="K98" i="54"/>
  <c r="C98" i="54"/>
  <c r="C99" i="54"/>
  <c r="K99" i="54"/>
  <c r="C103" i="54"/>
  <c r="K103" i="54"/>
  <c r="C104" i="54"/>
  <c r="K104" i="54"/>
  <c r="U105" i="54"/>
  <c r="V105" i="54"/>
  <c r="P105" i="54"/>
  <c r="T105" i="54"/>
  <c r="U99" i="54"/>
  <c r="T99" i="54"/>
  <c r="P99" i="54"/>
  <c r="V99" i="54"/>
  <c r="U103" i="54"/>
  <c r="T103" i="54"/>
  <c r="V103" i="54"/>
  <c r="P103" i="54"/>
  <c r="V98" i="54"/>
  <c r="T98" i="54"/>
  <c r="P98" i="54"/>
  <c r="U98" i="54"/>
  <c r="P104" i="54"/>
  <c r="U104" i="54"/>
  <c r="T104" i="54"/>
  <c r="V104" i="54"/>
  <c r="Z7" i="15"/>
  <c r="Z16" i="15" s="1"/>
  <c r="Z17" i="15" s="1"/>
  <c r="H53" i="47"/>
  <c r="O97" i="54" s="1"/>
  <c r="AC109" i="46"/>
  <c r="W103" i="46"/>
  <c r="W105" i="16"/>
  <c r="G53" i="47"/>
  <c r="W104" i="46"/>
  <c r="W99" i="46"/>
  <c r="J109" i="46"/>
  <c r="O99" i="46"/>
  <c r="O98" i="46"/>
  <c r="O104" i="46"/>
  <c r="O105" i="46"/>
  <c r="O103" i="46"/>
  <c r="W97" i="46"/>
  <c r="W98" i="46"/>
  <c r="R7" i="15"/>
  <c r="R16" i="15" s="1"/>
  <c r="Q16" i="15"/>
  <c r="Q17" i="15" s="1"/>
  <c r="W105" i="46"/>
  <c r="S7" i="15"/>
  <c r="S16" i="15" s="1"/>
  <c r="S28" i="15"/>
  <c r="S29" i="15" s="1"/>
  <c r="AC108" i="46"/>
  <c r="L27" i="39"/>
  <c r="X108" i="46"/>
  <c r="Z29" i="15"/>
  <c r="AA29" i="15"/>
  <c r="AA17" i="15"/>
  <c r="S40" i="15"/>
  <c r="S41" i="15" s="1"/>
  <c r="R41" i="15"/>
  <c r="R29" i="15"/>
  <c r="S27" i="2"/>
  <c r="AA103" i="54" l="1"/>
  <c r="AC104" i="54"/>
  <c r="AC105" i="54"/>
  <c r="AC98" i="54"/>
  <c r="C97" i="54"/>
  <c r="K97" i="54"/>
  <c r="AC103" i="54"/>
  <c r="AB103" i="54" s="1"/>
  <c r="X103" i="54"/>
  <c r="V97" i="54"/>
  <c r="P97" i="54"/>
  <c r="T97" i="54"/>
  <c r="U97" i="54"/>
  <c r="AA97" i="54" s="1"/>
  <c r="O97" i="46"/>
  <c r="S17" i="15"/>
  <c r="R17" i="15"/>
  <c r="AM101" i="46"/>
  <c r="AR101" i="46"/>
  <c r="BC101" i="46" s="1"/>
  <c r="Q98" i="46"/>
  <c r="G97" i="46"/>
  <c r="N104" i="46"/>
  <c r="U104" i="46"/>
  <c r="N105" i="46"/>
  <c r="H105" i="46" s="1"/>
  <c r="C105" i="46"/>
  <c r="N98" i="46"/>
  <c r="H98" i="46" s="1"/>
  <c r="N99" i="46"/>
  <c r="H99" i="46" s="1"/>
  <c r="J99" i="46" s="1"/>
  <c r="U99" i="46"/>
  <c r="AR106" i="46"/>
  <c r="BC106" i="46" s="1"/>
  <c r="AM106" i="46"/>
  <c r="AR105" i="46"/>
  <c r="BC105" i="46" s="1"/>
  <c r="AM105" i="46"/>
  <c r="AR104" i="46"/>
  <c r="BC104" i="46" s="1"/>
  <c r="AM104" i="46"/>
  <c r="AR103" i="46"/>
  <c r="BC103" i="46" s="1"/>
  <c r="AM103" i="46"/>
  <c r="U103" i="46"/>
  <c r="N103" i="46"/>
  <c r="H103" i="46" s="1"/>
  <c r="AR100" i="46"/>
  <c r="BC100" i="46" s="1"/>
  <c r="AM100" i="46"/>
  <c r="AR99" i="46"/>
  <c r="BC99" i="46" s="1"/>
  <c r="AM99" i="46"/>
  <c r="AR98" i="46"/>
  <c r="BC98" i="46" s="1"/>
  <c r="AM98" i="46"/>
  <c r="AR97" i="46"/>
  <c r="BC97" i="46" s="1"/>
  <c r="AM97" i="46"/>
  <c r="U97" i="46"/>
  <c r="N97" i="46"/>
  <c r="F14" i="16"/>
  <c r="F23" i="16"/>
  <c r="I38" i="16"/>
  <c r="I58" i="47" s="1"/>
  <c r="Q44" i="16"/>
  <c r="Q45" i="16" s="1"/>
  <c r="Y31" i="16"/>
  <c r="Z31" i="16"/>
  <c r="X40" i="16"/>
  <c r="X41" i="16" s="1"/>
  <c r="Y30" i="16"/>
  <c r="Z30" i="16"/>
  <c r="G42" i="16"/>
  <c r="I37" i="16" s="1"/>
  <c r="F42" i="16"/>
  <c r="P30" i="16"/>
  <c r="S30" i="16" s="1"/>
  <c r="Q18" i="16"/>
  <c r="Q19" i="16" s="1"/>
  <c r="P19" i="16"/>
  <c r="P18" i="16"/>
  <c r="P7" i="16"/>
  <c r="Q6" i="16"/>
  <c r="R6" i="16" s="1"/>
  <c r="P6" i="16"/>
  <c r="J4" i="16"/>
  <c r="F23" i="17"/>
  <c r="I38" i="17"/>
  <c r="I53" i="47" s="1"/>
  <c r="Y19" i="17"/>
  <c r="Z19" i="17"/>
  <c r="N51" i="17"/>
  <c r="Q46" i="17"/>
  <c r="Y31" i="17"/>
  <c r="Z31" i="17"/>
  <c r="Y32" i="17"/>
  <c r="Z32" i="17"/>
  <c r="X40" i="17"/>
  <c r="X41" i="17" s="1"/>
  <c r="Z30" i="17"/>
  <c r="Y30" i="17"/>
  <c r="X28" i="17"/>
  <c r="X29" i="17" s="1"/>
  <c r="Z18" i="17"/>
  <c r="Z16" i="17"/>
  <c r="Y16" i="17"/>
  <c r="X16" i="17"/>
  <c r="X17" i="17" s="1"/>
  <c r="P30" i="17"/>
  <c r="S30" i="17" s="1"/>
  <c r="S40" i="17" s="1"/>
  <c r="Q40" i="17"/>
  <c r="Q41" i="17" s="1"/>
  <c r="R30" i="17"/>
  <c r="R40" i="17" s="1"/>
  <c r="Q20" i="17"/>
  <c r="Q19" i="17"/>
  <c r="Q18" i="17"/>
  <c r="P20" i="17"/>
  <c r="P19" i="17"/>
  <c r="P18" i="17"/>
  <c r="P8" i="17"/>
  <c r="Q8" i="17"/>
  <c r="R8" i="17" s="1"/>
  <c r="Q7" i="17"/>
  <c r="R7" i="17" s="1"/>
  <c r="Q6" i="17"/>
  <c r="P7" i="17"/>
  <c r="P6" i="17"/>
  <c r="F11" i="17"/>
  <c r="F14" i="17" s="1"/>
  <c r="J4" i="17"/>
  <c r="AC97" i="54" l="1"/>
  <c r="X97" i="54"/>
  <c r="AB97" i="54"/>
  <c r="AD103" i="46"/>
  <c r="Q7" i="16"/>
  <c r="R7" i="16" s="1"/>
  <c r="R16" i="16" s="1"/>
  <c r="Y40" i="16"/>
  <c r="Y41" i="16" s="1"/>
  <c r="AD105" i="46"/>
  <c r="S19" i="17"/>
  <c r="S41" i="17"/>
  <c r="R41" i="17"/>
  <c r="Z40" i="16"/>
  <c r="Z41" i="16" s="1"/>
  <c r="S8" i="17"/>
  <c r="AD97" i="46"/>
  <c r="Q16" i="17"/>
  <c r="Q17" i="17" s="1"/>
  <c r="Z28" i="17"/>
  <c r="Z29" i="17" s="1"/>
  <c r="AD106" i="46"/>
  <c r="S7" i="17"/>
  <c r="S20" i="17"/>
  <c r="Z40" i="17"/>
  <c r="Z41" i="17" s="1"/>
  <c r="AD104" i="46"/>
  <c r="BL25" i="39"/>
  <c r="BL26" i="39"/>
  <c r="P99" i="46"/>
  <c r="P105" i="46"/>
  <c r="C97" i="46"/>
  <c r="V97" i="46"/>
  <c r="T104" i="46"/>
  <c r="T97" i="46"/>
  <c r="P98" i="46"/>
  <c r="P104" i="46"/>
  <c r="T99" i="46"/>
  <c r="AD101" i="46"/>
  <c r="K99" i="46"/>
  <c r="V104" i="46"/>
  <c r="K103" i="46"/>
  <c r="V99" i="46"/>
  <c r="C99" i="46"/>
  <c r="C104" i="46"/>
  <c r="AD100" i="46"/>
  <c r="AD99" i="46"/>
  <c r="AD98" i="46"/>
  <c r="C98" i="46"/>
  <c r="J103" i="46"/>
  <c r="V103" i="46"/>
  <c r="H104" i="46"/>
  <c r="J104" i="46" s="1"/>
  <c r="V98" i="46"/>
  <c r="H97" i="46"/>
  <c r="J97" i="46" s="1"/>
  <c r="J105" i="46"/>
  <c r="K105" i="46"/>
  <c r="V105" i="46"/>
  <c r="U105" i="46"/>
  <c r="T105" i="46"/>
  <c r="J98" i="46"/>
  <c r="K98" i="46"/>
  <c r="U98" i="46"/>
  <c r="AA97" i="46" s="1"/>
  <c r="T98" i="46"/>
  <c r="P103" i="46"/>
  <c r="C103" i="46"/>
  <c r="T103" i="46"/>
  <c r="P97" i="46"/>
  <c r="Q40" i="16"/>
  <c r="Q41" i="16" s="1"/>
  <c r="S40" i="16"/>
  <c r="R30" i="16"/>
  <c r="R40" i="16" s="1"/>
  <c r="S18" i="16"/>
  <c r="R19" i="16"/>
  <c r="S19" i="16"/>
  <c r="Q28" i="16"/>
  <c r="Q29" i="16" s="1"/>
  <c r="R18" i="16"/>
  <c r="Q16" i="16"/>
  <c r="Q17" i="16" s="1"/>
  <c r="S6" i="16"/>
  <c r="Y40" i="17"/>
  <c r="Y41" i="17" s="1"/>
  <c r="Y18" i="17"/>
  <c r="Y28" i="17" s="1"/>
  <c r="Y29" i="17" s="1"/>
  <c r="Y17" i="17"/>
  <c r="Z17" i="17"/>
  <c r="R20" i="17"/>
  <c r="Q28" i="17"/>
  <c r="Q29" i="17" s="1"/>
  <c r="R19" i="17"/>
  <c r="R18" i="17"/>
  <c r="S18" i="17"/>
  <c r="S6" i="17"/>
  <c r="R6" i="17"/>
  <c r="R16" i="17" s="1"/>
  <c r="S28" i="16" l="1"/>
  <c r="R17" i="17"/>
  <c r="AC105" i="46"/>
  <c r="S7" i="16"/>
  <c r="S16" i="16" s="1"/>
  <c r="S17" i="16" s="1"/>
  <c r="S16" i="17"/>
  <c r="S28" i="17"/>
  <c r="S29" i="17" s="1"/>
  <c r="R28" i="16"/>
  <c r="R29" i="16" s="1"/>
  <c r="S17" i="17"/>
  <c r="R41" i="16"/>
  <c r="S41" i="16"/>
  <c r="K97" i="46"/>
  <c r="X97" i="46" s="1"/>
  <c r="AC103" i="46"/>
  <c r="N25" i="39"/>
  <c r="N26" i="39"/>
  <c r="K104" i="46"/>
  <c r="AC104" i="46" s="1"/>
  <c r="AC98" i="46"/>
  <c r="S29" i="16"/>
  <c r="R17" i="16"/>
  <c r="R28" i="17"/>
  <c r="R29" i="17" s="1"/>
  <c r="E51" i="47"/>
  <c r="G51" i="47" s="1"/>
  <c r="H51" i="47" s="1"/>
  <c r="O92" i="54" s="1"/>
  <c r="F49" i="47"/>
  <c r="E49" i="47"/>
  <c r="E48" i="47"/>
  <c r="G48" i="47" s="1"/>
  <c r="C92" i="54" l="1"/>
  <c r="K92" i="54"/>
  <c r="P92" i="54"/>
  <c r="U92" i="54"/>
  <c r="T92" i="54"/>
  <c r="V92" i="54"/>
  <c r="O92" i="46"/>
  <c r="AC97" i="46"/>
  <c r="AB97" i="46" s="1"/>
  <c r="L25" i="39"/>
  <c r="H48" i="47"/>
  <c r="O87" i="54" s="1"/>
  <c r="G49" i="47"/>
  <c r="L26" i="39"/>
  <c r="X103" i="46"/>
  <c r="AC92" i="54" l="1"/>
  <c r="C87" i="54"/>
  <c r="K87" i="54"/>
  <c r="U87" i="54"/>
  <c r="V87" i="54"/>
  <c r="T87" i="54"/>
  <c r="P87" i="54"/>
  <c r="O87" i="46"/>
  <c r="AC87" i="54" l="1"/>
  <c r="BL24" i="39"/>
  <c r="BL23" i="39"/>
  <c r="O4" i="50"/>
  <c r="O3" i="50"/>
  <c r="N4" i="50"/>
  <c r="M4" i="50"/>
  <c r="L4" i="50"/>
  <c r="K4" i="50"/>
  <c r="N3" i="50"/>
  <c r="M3" i="50"/>
  <c r="L3" i="50"/>
  <c r="K3" i="50"/>
  <c r="J4" i="50"/>
  <c r="J3" i="50"/>
  <c r="P4" i="50"/>
  <c r="P3" i="50"/>
  <c r="Q4" i="50"/>
  <c r="Q3" i="50"/>
  <c r="C24" i="1" l="1"/>
  <c r="AR95" i="46" l="1"/>
  <c r="BC95" i="46" s="1"/>
  <c r="AM95" i="46"/>
  <c r="AR94" i="46"/>
  <c r="BC94" i="46" s="1"/>
  <c r="AM94" i="46"/>
  <c r="AR93" i="46"/>
  <c r="BC93" i="46" s="1"/>
  <c r="AM93" i="46"/>
  <c r="AC93" i="46"/>
  <c r="AR92" i="46"/>
  <c r="BC92" i="46" s="1"/>
  <c r="AM92" i="46"/>
  <c r="U92" i="46"/>
  <c r="N92" i="46"/>
  <c r="H92" i="46" s="1"/>
  <c r="G92" i="46"/>
  <c r="AR90" i="46"/>
  <c r="BC90" i="46" s="1"/>
  <c r="AM90" i="46"/>
  <c r="AR89" i="46"/>
  <c r="BC89" i="46" s="1"/>
  <c r="AM89" i="46"/>
  <c r="AR88" i="46"/>
  <c r="BC88" i="46" s="1"/>
  <c r="AM88" i="46"/>
  <c r="AC88" i="46"/>
  <c r="AR87" i="46"/>
  <c r="BC87" i="46" s="1"/>
  <c r="AM87" i="46"/>
  <c r="U87" i="46"/>
  <c r="N87" i="46"/>
  <c r="H87" i="46" s="1"/>
  <c r="G87" i="46"/>
  <c r="F14" i="18"/>
  <c r="F23" i="18"/>
  <c r="I38" i="18"/>
  <c r="I51" i="47" s="1"/>
  <c r="G42" i="18"/>
  <c r="I37" i="18" s="1"/>
  <c r="F42" i="18"/>
  <c r="Q16" i="18"/>
  <c r="Q17" i="18" s="1"/>
  <c r="R8" i="18"/>
  <c r="P8" i="18"/>
  <c r="S8" i="18" s="1"/>
  <c r="R7" i="18"/>
  <c r="P7" i="18"/>
  <c r="S7" i="18" s="1"/>
  <c r="R6" i="18"/>
  <c r="P6" i="18"/>
  <c r="S6" i="18" s="1"/>
  <c r="J4" i="18"/>
  <c r="F14" i="19"/>
  <c r="F23" i="19"/>
  <c r="I38" i="19"/>
  <c r="I48" i="47" s="1"/>
  <c r="G42" i="19"/>
  <c r="I37" i="19" s="1"/>
  <c r="F42" i="19"/>
  <c r="P8" i="19"/>
  <c r="S8" i="19" s="1"/>
  <c r="P7" i="19"/>
  <c r="S7" i="19" s="1"/>
  <c r="P6" i="19"/>
  <c r="S6" i="19" s="1"/>
  <c r="J4" i="19"/>
  <c r="Q16" i="19"/>
  <c r="Q17" i="19" s="1"/>
  <c r="R8" i="19"/>
  <c r="R7" i="19"/>
  <c r="R6" i="19"/>
  <c r="AD95" i="46" l="1"/>
  <c r="R16" i="18"/>
  <c r="R17" i="18" s="1"/>
  <c r="R16" i="19"/>
  <c r="R17" i="19" s="1"/>
  <c r="AD94" i="46"/>
  <c r="S16" i="18"/>
  <c r="S17" i="18" s="1"/>
  <c r="J92" i="46"/>
  <c r="V92" i="46"/>
  <c r="V87" i="46"/>
  <c r="AD93" i="46"/>
  <c r="AD92" i="46"/>
  <c r="K92" i="46"/>
  <c r="P92" i="46"/>
  <c r="C92" i="46"/>
  <c r="N24" i="39" s="1"/>
  <c r="T92" i="46"/>
  <c r="AD90" i="46"/>
  <c r="AD89" i="46"/>
  <c r="AD88" i="46"/>
  <c r="K87" i="46"/>
  <c r="AD87" i="46"/>
  <c r="J87" i="46"/>
  <c r="P87" i="46"/>
  <c r="C87" i="46"/>
  <c r="N23" i="39" s="1"/>
  <c r="T87" i="46"/>
  <c r="S16" i="19"/>
  <c r="S17" i="19" s="1"/>
  <c r="G82" i="46"/>
  <c r="G77" i="46"/>
  <c r="E46" i="47"/>
  <c r="G46" i="47" s="1"/>
  <c r="H46" i="47" s="1"/>
  <c r="O82" i="54" s="1"/>
  <c r="C82" i="54" l="1"/>
  <c r="K82" i="54"/>
  <c r="U82" i="54"/>
  <c r="T82" i="54"/>
  <c r="V82" i="54"/>
  <c r="P82" i="54"/>
  <c r="L23" i="39"/>
  <c r="AC92" i="46"/>
  <c r="L24" i="39"/>
  <c r="AC87" i="46"/>
  <c r="O82" i="46"/>
  <c r="AC82" i="54" l="1"/>
  <c r="BL22" i="39"/>
  <c r="AR85" i="46" l="1"/>
  <c r="BC85" i="46" s="1"/>
  <c r="AM85" i="46"/>
  <c r="AR84" i="46"/>
  <c r="BC84" i="46" s="1"/>
  <c r="AM84" i="46"/>
  <c r="AR83" i="46"/>
  <c r="BC83" i="46" s="1"/>
  <c r="AM83" i="46"/>
  <c r="AC83" i="46"/>
  <c r="AR82" i="46"/>
  <c r="BC82" i="46" s="1"/>
  <c r="AM82" i="46"/>
  <c r="U82" i="46"/>
  <c r="N82" i="46"/>
  <c r="F14" i="20"/>
  <c r="F23" i="20"/>
  <c r="I38" i="20"/>
  <c r="I46" i="47" s="1"/>
  <c r="R8" i="20"/>
  <c r="P8" i="20"/>
  <c r="S8" i="20" s="1"/>
  <c r="Q16" i="20"/>
  <c r="Q17" i="20" s="1"/>
  <c r="R7" i="20"/>
  <c r="P7" i="20"/>
  <c r="S7" i="20" s="1"/>
  <c r="R6" i="20"/>
  <c r="P6" i="20"/>
  <c r="S6" i="20" s="1"/>
  <c r="J4" i="20"/>
  <c r="AD85" i="46" l="1"/>
  <c r="V82" i="46"/>
  <c r="H82" i="46"/>
  <c r="K82" i="46" s="1"/>
  <c r="L22" i="39" s="1"/>
  <c r="AD84" i="46"/>
  <c r="R16" i="20"/>
  <c r="R17" i="20" s="1"/>
  <c r="AD83" i="46"/>
  <c r="AD82" i="46"/>
  <c r="P82" i="46"/>
  <c r="T82" i="46"/>
  <c r="C82" i="46"/>
  <c r="N22" i="39" s="1"/>
  <c r="S16" i="20"/>
  <c r="S17" i="20" s="1"/>
  <c r="AC82" i="46" l="1"/>
  <c r="J82" i="46"/>
  <c r="F44" i="47" l="1"/>
  <c r="E44" i="47"/>
  <c r="F43" i="47"/>
  <c r="E43" i="47"/>
  <c r="K17" i="22"/>
  <c r="W76" i="54" s="1"/>
  <c r="K16" i="22"/>
  <c r="W77" i="54" s="1"/>
  <c r="G43" i="47" l="1"/>
  <c r="H43" i="47" s="1"/>
  <c r="O76" i="54" s="1"/>
  <c r="G44" i="47"/>
  <c r="H44" i="47" s="1"/>
  <c r="O77" i="54" s="1"/>
  <c r="W77" i="46"/>
  <c r="W76" i="46"/>
  <c r="C77" i="54" l="1"/>
  <c r="K77" i="54"/>
  <c r="C76" i="54"/>
  <c r="K76" i="54"/>
  <c r="P77" i="54"/>
  <c r="V77" i="54"/>
  <c r="T77" i="54"/>
  <c r="U77" i="54"/>
  <c r="U76" i="54"/>
  <c r="T76" i="54"/>
  <c r="V76" i="54"/>
  <c r="P76" i="54"/>
  <c r="O77" i="46"/>
  <c r="U77" i="46" s="1"/>
  <c r="O76" i="46"/>
  <c r="AM80" i="46"/>
  <c r="AR80" i="46"/>
  <c r="BC80" i="46" s="1"/>
  <c r="Q76" i="46"/>
  <c r="N77" i="46"/>
  <c r="N76" i="46"/>
  <c r="H76" i="46" s="1"/>
  <c r="AR79" i="46"/>
  <c r="BC79" i="46" s="1"/>
  <c r="AM79" i="46"/>
  <c r="AR78" i="46"/>
  <c r="BC78" i="46" s="1"/>
  <c r="AM78" i="46"/>
  <c r="AR77" i="46"/>
  <c r="BC77" i="46" s="1"/>
  <c r="AM77" i="46"/>
  <c r="AR76" i="46"/>
  <c r="BC76" i="46" s="1"/>
  <c r="AM76" i="46"/>
  <c r="F23" i="22"/>
  <c r="F9" i="22"/>
  <c r="F14" i="22" s="1"/>
  <c r="I38" i="22"/>
  <c r="I43" i="47" s="1"/>
  <c r="S47" i="22"/>
  <c r="G42" i="22"/>
  <c r="I37" i="22" s="1"/>
  <c r="F42" i="22"/>
  <c r="N47" i="22"/>
  <c r="Y41" i="22"/>
  <c r="Y42" i="22" s="1"/>
  <c r="AA32" i="22"/>
  <c r="Z32" i="22"/>
  <c r="Z31" i="22"/>
  <c r="AA31" i="22"/>
  <c r="Z8" i="22"/>
  <c r="Y8" i="22"/>
  <c r="X7" i="22"/>
  <c r="Y7" i="22" s="1"/>
  <c r="W7" i="22"/>
  <c r="X6" i="22"/>
  <c r="Y6" i="22" s="1"/>
  <c r="W6" i="22"/>
  <c r="Q41" i="22"/>
  <c r="Q42" i="22" s="1"/>
  <c r="R32" i="22"/>
  <c r="P32" i="22"/>
  <c r="S32" i="22" s="1"/>
  <c r="R31" i="22"/>
  <c r="P31" i="22"/>
  <c r="S31" i="22" s="1"/>
  <c r="Q19" i="22"/>
  <c r="P19" i="22"/>
  <c r="Q18" i="22"/>
  <c r="R18" i="22"/>
  <c r="P18" i="22"/>
  <c r="S18" i="22" s="1"/>
  <c r="P17" i="22"/>
  <c r="Q7" i="22"/>
  <c r="R7" i="22" s="1"/>
  <c r="P7" i="22"/>
  <c r="S7" i="22" s="1"/>
  <c r="AC76" i="54" l="1"/>
  <c r="X76" i="54"/>
  <c r="AC77" i="54"/>
  <c r="AA76" i="54"/>
  <c r="AB76" i="54" s="1"/>
  <c r="R41" i="22"/>
  <c r="R42" i="22" s="1"/>
  <c r="S19" i="22"/>
  <c r="S28" i="22" s="1"/>
  <c r="Z6" i="22"/>
  <c r="Q28" i="22"/>
  <c r="Q29" i="22" s="1"/>
  <c r="AD79" i="46"/>
  <c r="T76" i="46"/>
  <c r="V77" i="46"/>
  <c r="H77" i="46"/>
  <c r="AD76" i="46"/>
  <c r="Z7" i="22"/>
  <c r="X16" i="22"/>
  <c r="C76" i="46"/>
  <c r="AA41" i="22"/>
  <c r="AA42" i="22" s="1"/>
  <c r="K76" i="46"/>
  <c r="U76" i="46"/>
  <c r="AA76" i="46" s="1"/>
  <c r="AD80" i="46"/>
  <c r="AD78" i="46"/>
  <c r="V76" i="46"/>
  <c r="P77" i="46"/>
  <c r="T77" i="46"/>
  <c r="C77" i="46"/>
  <c r="J76" i="46"/>
  <c r="P76" i="46"/>
  <c r="AD77" i="46"/>
  <c r="Z41" i="22"/>
  <c r="Z42" i="22" s="1"/>
  <c r="Y16" i="22"/>
  <c r="S41" i="22"/>
  <c r="S42" i="22" s="1"/>
  <c r="R19" i="22"/>
  <c r="R28" i="22" s="1"/>
  <c r="R29" i="22" s="1"/>
  <c r="Q6" i="22"/>
  <c r="R6" i="22" s="1"/>
  <c r="R16" i="22" s="1"/>
  <c r="P6" i="22"/>
  <c r="J4" i="22"/>
  <c r="Y17" i="22" l="1"/>
  <c r="Z16" i="22"/>
  <c r="S29" i="22"/>
  <c r="Z17" i="22"/>
  <c r="N21" i="39"/>
  <c r="BL21" i="39"/>
  <c r="J77" i="46"/>
  <c r="K77" i="46"/>
  <c r="Q16" i="22"/>
  <c r="Q17" i="22" s="1"/>
  <c r="S6" i="22"/>
  <c r="S16" i="22" s="1"/>
  <c r="K17" i="21"/>
  <c r="W72" i="54" s="1"/>
  <c r="C7" i="21"/>
  <c r="K16" i="21" s="1"/>
  <c r="W71" i="54" s="1"/>
  <c r="F41" i="47"/>
  <c r="E41" i="47"/>
  <c r="E40" i="47"/>
  <c r="G40" i="47" s="1"/>
  <c r="H40" i="47" s="1"/>
  <c r="O71" i="54" s="1"/>
  <c r="K71" i="54" l="1"/>
  <c r="C71" i="54"/>
  <c r="P71" i="54"/>
  <c r="T71" i="54"/>
  <c r="V71" i="54"/>
  <c r="U71" i="54"/>
  <c r="W72" i="46"/>
  <c r="G41" i="47"/>
  <c r="H41" i="47" s="1"/>
  <c r="O72" i="54" s="1"/>
  <c r="O71" i="46"/>
  <c r="W71" i="46"/>
  <c r="AC77" i="46"/>
  <c r="L21" i="39"/>
  <c r="AC76" i="46"/>
  <c r="X76" i="46"/>
  <c r="R17" i="22"/>
  <c r="S17" i="22"/>
  <c r="C72" i="54" l="1"/>
  <c r="K72" i="54"/>
  <c r="AC71" i="54"/>
  <c r="T72" i="54"/>
  <c r="P72" i="54"/>
  <c r="U72" i="54"/>
  <c r="AA71" i="54" s="1"/>
  <c r="V72" i="54"/>
  <c r="O72" i="46"/>
  <c r="AB76" i="46"/>
  <c r="AC72" i="54" l="1"/>
  <c r="AB71" i="54" s="1"/>
  <c r="X71" i="54"/>
  <c r="BL20" i="39"/>
  <c r="N72" i="46"/>
  <c r="H72" i="46" s="1"/>
  <c r="C72" i="46"/>
  <c r="T72" i="46"/>
  <c r="AR74" i="46"/>
  <c r="BC74" i="46" s="1"/>
  <c r="AM74" i="46"/>
  <c r="AR73" i="46"/>
  <c r="BC73" i="46" s="1"/>
  <c r="AM73" i="46"/>
  <c r="AR72" i="46"/>
  <c r="BC72" i="46" s="1"/>
  <c r="AM72" i="46"/>
  <c r="AD72" i="46" s="1"/>
  <c r="AR71" i="46"/>
  <c r="BC71" i="46" s="1"/>
  <c r="AM71" i="46"/>
  <c r="P71" i="46"/>
  <c r="U71" i="46"/>
  <c r="N71" i="46"/>
  <c r="H71" i="46" s="1"/>
  <c r="F14" i="21"/>
  <c r="F23" i="21"/>
  <c r="I38" i="21"/>
  <c r="I40" i="47" s="1"/>
  <c r="G42" i="21"/>
  <c r="I37" i="21" s="1"/>
  <c r="F42" i="21"/>
  <c r="Q34" i="21"/>
  <c r="Z20" i="21"/>
  <c r="Y20" i="21"/>
  <c r="X28" i="21"/>
  <c r="X29" i="21" s="1"/>
  <c r="Y19" i="21"/>
  <c r="W19" i="21"/>
  <c r="Z19" i="21" s="1"/>
  <c r="Y18" i="21"/>
  <c r="W18" i="21"/>
  <c r="Z18" i="21" s="1"/>
  <c r="P19" i="21"/>
  <c r="S19" i="21" s="1"/>
  <c r="P18" i="21"/>
  <c r="S18" i="21" s="1"/>
  <c r="Q28" i="21"/>
  <c r="Q29" i="21" s="1"/>
  <c r="R18" i="21"/>
  <c r="Q7" i="21"/>
  <c r="R7" i="21" s="1"/>
  <c r="P7" i="21"/>
  <c r="Q6" i="21"/>
  <c r="P6" i="21"/>
  <c r="J4" i="21"/>
  <c r="Q16" i="21" l="1"/>
  <c r="Q17" i="21" s="1"/>
  <c r="S7" i="21"/>
  <c r="R6" i="21"/>
  <c r="R16" i="21" s="1"/>
  <c r="R17" i="21" s="1"/>
  <c r="S6" i="21"/>
  <c r="AD71" i="46"/>
  <c r="AD73" i="46"/>
  <c r="V71" i="46"/>
  <c r="C71" i="46"/>
  <c r="N20" i="39" s="1"/>
  <c r="T71" i="46"/>
  <c r="K71" i="46"/>
  <c r="J72" i="46"/>
  <c r="K72" i="46"/>
  <c r="AC72" i="46" s="1"/>
  <c r="P72" i="46"/>
  <c r="V72" i="46"/>
  <c r="U72" i="46"/>
  <c r="AA71" i="46" s="1"/>
  <c r="AD74" i="46"/>
  <c r="J71" i="46"/>
  <c r="Z28" i="21"/>
  <c r="Z29" i="21" s="1"/>
  <c r="Y28" i="21"/>
  <c r="Y29" i="21" s="1"/>
  <c r="S28" i="21"/>
  <c r="S29" i="21" s="1"/>
  <c r="R19" i="21"/>
  <c r="R28" i="21" s="1"/>
  <c r="R29" i="21" s="1"/>
  <c r="S16" i="21"/>
  <c r="S17" i="21" s="1"/>
  <c r="J4" i="24"/>
  <c r="AC71" i="46" l="1"/>
  <c r="AB71" i="46" s="1"/>
  <c r="L20" i="39"/>
  <c r="X71" i="46"/>
  <c r="AM64" i="46"/>
  <c r="AR64" i="46"/>
  <c r="BC64" i="46" s="1"/>
  <c r="AM56" i="46"/>
  <c r="AR56" i="46"/>
  <c r="BC56" i="46" s="1"/>
  <c r="F38" i="47"/>
  <c r="E38" i="47"/>
  <c r="E36" i="47"/>
  <c r="F35" i="47"/>
  <c r="E35" i="47"/>
  <c r="K7" i="24"/>
  <c r="W58" i="54" s="1"/>
  <c r="J15" i="24"/>
  <c r="C26" i="24"/>
  <c r="K16" i="24" s="1"/>
  <c r="W59" i="54" s="1"/>
  <c r="G38" i="47" l="1"/>
  <c r="H38" i="47" s="1"/>
  <c r="O66" i="54" s="1"/>
  <c r="G35" i="47"/>
  <c r="H35" i="47" s="1"/>
  <c r="O58" i="54" s="1"/>
  <c r="G36" i="47"/>
  <c r="H36" i="47" s="1"/>
  <c r="O59" i="54" s="1"/>
  <c r="AD56" i="46"/>
  <c r="W59" i="46"/>
  <c r="W58" i="46"/>
  <c r="AD64" i="46"/>
  <c r="C58" i="54" l="1"/>
  <c r="K58" i="54"/>
  <c r="C59" i="54"/>
  <c r="K59" i="54"/>
  <c r="C66" i="54"/>
  <c r="K66" i="54"/>
  <c r="AC66" i="54" s="1"/>
  <c r="O58" i="46"/>
  <c r="T58" i="54"/>
  <c r="V58" i="54"/>
  <c r="P58" i="54"/>
  <c r="U58" i="54"/>
  <c r="T59" i="54"/>
  <c r="U59" i="54"/>
  <c r="P59" i="54"/>
  <c r="V59" i="54"/>
  <c r="P66" i="54"/>
  <c r="U66" i="54"/>
  <c r="T66" i="54"/>
  <c r="V66" i="54"/>
  <c r="O59" i="46"/>
  <c r="O66" i="46"/>
  <c r="AA58" i="54" l="1"/>
  <c r="AC58" i="54"/>
  <c r="X58" i="54"/>
  <c r="AC59" i="54"/>
  <c r="BL18" i="39"/>
  <c r="AB58" i="54" l="1"/>
  <c r="BL19" i="39"/>
  <c r="V23" i="24"/>
  <c r="V21" i="24"/>
  <c r="V22" i="24" s="1"/>
  <c r="U66" i="46" l="1"/>
  <c r="N66" i="46"/>
  <c r="V66" i="46" s="1"/>
  <c r="AR69" i="46"/>
  <c r="BC69" i="46" s="1"/>
  <c r="AM69" i="46"/>
  <c r="AR68" i="46"/>
  <c r="BC68" i="46" s="1"/>
  <c r="AM68" i="46"/>
  <c r="AR67" i="46"/>
  <c r="BC67" i="46" s="1"/>
  <c r="AM67" i="46"/>
  <c r="AC67" i="46"/>
  <c r="AR66" i="46"/>
  <c r="BC66" i="46" s="1"/>
  <c r="AM66" i="46"/>
  <c r="AM62" i="46"/>
  <c r="AR62" i="46"/>
  <c r="BC62" i="46" s="1"/>
  <c r="AM63" i="46"/>
  <c r="AR63" i="46"/>
  <c r="BC63" i="46" s="1"/>
  <c r="Q58" i="46"/>
  <c r="T58" i="46" s="1"/>
  <c r="R58" i="46"/>
  <c r="N59" i="46"/>
  <c r="H59" i="46" s="1"/>
  <c r="C59" i="46"/>
  <c r="N58" i="46"/>
  <c r="H58" i="46" s="1"/>
  <c r="J58" i="46" s="1"/>
  <c r="AR61" i="46"/>
  <c r="BC61" i="46" s="1"/>
  <c r="AM61" i="46"/>
  <c r="AR60" i="46"/>
  <c r="BC60" i="46" s="1"/>
  <c r="AM60" i="46"/>
  <c r="AR59" i="46"/>
  <c r="BC59" i="46" s="1"/>
  <c r="AM59" i="46"/>
  <c r="AR58" i="46"/>
  <c r="BC58" i="46" s="1"/>
  <c r="AM58" i="46"/>
  <c r="BA190" i="54"/>
  <c r="AZ190" i="54"/>
  <c r="BA197" i="46"/>
  <c r="AZ197" i="46"/>
  <c r="F14" i="23"/>
  <c r="F23" i="23"/>
  <c r="I38" i="23"/>
  <c r="I38" i="47" s="1"/>
  <c r="G42" i="23"/>
  <c r="I37" i="23" s="1"/>
  <c r="F42" i="23"/>
  <c r="Q42" i="23"/>
  <c r="Q43" i="23" s="1"/>
  <c r="R32" i="23"/>
  <c r="R42" i="23" s="1"/>
  <c r="P32" i="23"/>
  <c r="S32" i="23" s="1"/>
  <c r="S42" i="23" s="1"/>
  <c r="Q28" i="23"/>
  <c r="Q29" i="23" s="1"/>
  <c r="R18" i="23"/>
  <c r="R28" i="23" s="1"/>
  <c r="R29" i="23" s="1"/>
  <c r="P18" i="23"/>
  <c r="S18" i="23" s="1"/>
  <c r="S28" i="23" s="1"/>
  <c r="S29" i="23" s="1"/>
  <c r="P6" i="23"/>
  <c r="Q16" i="23"/>
  <c r="Q17" i="23" s="1"/>
  <c r="S6" i="23"/>
  <c r="S16" i="23" s="1"/>
  <c r="R6" i="23"/>
  <c r="J4" i="23"/>
  <c r="F14" i="24"/>
  <c r="F23" i="24"/>
  <c r="I38" i="24"/>
  <c r="I35" i="47" s="1"/>
  <c r="S47" i="24"/>
  <c r="Y9" i="24"/>
  <c r="Z9" i="24"/>
  <c r="Y10" i="24"/>
  <c r="Z10" i="24"/>
  <c r="Y8" i="24"/>
  <c r="Z8" i="24"/>
  <c r="Z7" i="24"/>
  <c r="Y7" i="24"/>
  <c r="X6" i="24"/>
  <c r="Y6" i="24" s="1"/>
  <c r="W6" i="24"/>
  <c r="G42" i="24"/>
  <c r="I37" i="24" s="1"/>
  <c r="F42" i="24"/>
  <c r="N47" i="24"/>
  <c r="Q33" i="24"/>
  <c r="R33" i="24" s="1"/>
  <c r="P33" i="24"/>
  <c r="Q32" i="24"/>
  <c r="R32" i="24" s="1"/>
  <c r="Q31" i="24"/>
  <c r="R31" i="24" s="1"/>
  <c r="P32" i="24"/>
  <c r="P31" i="24"/>
  <c r="P19" i="24"/>
  <c r="S19" i="24" s="1"/>
  <c r="P18" i="24"/>
  <c r="Q28" i="24"/>
  <c r="Q29" i="24" s="1"/>
  <c r="R19" i="24"/>
  <c r="R18" i="24"/>
  <c r="Q6" i="24"/>
  <c r="Q16" i="24" s="1"/>
  <c r="Q17" i="24" s="1"/>
  <c r="P6" i="24"/>
  <c r="P7" i="24"/>
  <c r="S32" i="24" l="1"/>
  <c r="R6" i="24"/>
  <c r="S33" i="24"/>
  <c r="S6" i="24"/>
  <c r="AD66" i="46"/>
  <c r="U58" i="46"/>
  <c r="AD69" i="46"/>
  <c r="R28" i="24"/>
  <c r="R29" i="24" s="1"/>
  <c r="X16" i="24"/>
  <c r="X17" i="24" s="1"/>
  <c r="AD67" i="46"/>
  <c r="Z6" i="24"/>
  <c r="Z16" i="24" s="1"/>
  <c r="S43" i="23"/>
  <c r="R43" i="23"/>
  <c r="AD68" i="46"/>
  <c r="H66" i="46"/>
  <c r="J66" i="46" s="1"/>
  <c r="P66" i="46"/>
  <c r="T66" i="46"/>
  <c r="C66" i="46"/>
  <c r="N19" i="39" s="1"/>
  <c r="AD63" i="46"/>
  <c r="AD62" i="46"/>
  <c r="AD61" i="46"/>
  <c r="AD60" i="46"/>
  <c r="AD59" i="46"/>
  <c r="AD58" i="46"/>
  <c r="V58" i="46"/>
  <c r="J59" i="46"/>
  <c r="K59" i="46"/>
  <c r="P59" i="46"/>
  <c r="V59" i="46"/>
  <c r="U59" i="46"/>
  <c r="T59" i="46"/>
  <c r="K58" i="46"/>
  <c r="P58" i="46"/>
  <c r="C58" i="46"/>
  <c r="N18" i="39" s="1"/>
  <c r="S17" i="23"/>
  <c r="R16" i="23"/>
  <c r="R17" i="23" s="1"/>
  <c r="Y16" i="24"/>
  <c r="Q41" i="24"/>
  <c r="Q42" i="24" s="1"/>
  <c r="S31" i="24"/>
  <c r="R41" i="24"/>
  <c r="S18" i="24"/>
  <c r="S28" i="24" s="1"/>
  <c r="S29" i="24" s="1"/>
  <c r="S7" i="24"/>
  <c r="R7" i="24"/>
  <c r="R16" i="24" s="1"/>
  <c r="R17" i="24" s="1"/>
  <c r="J4" i="25"/>
  <c r="S41" i="24" l="1"/>
  <c r="K66" i="46"/>
  <c r="AC66" i="46" s="1"/>
  <c r="S16" i="24"/>
  <c r="S17" i="24" s="1"/>
  <c r="Y17" i="24"/>
  <c r="Z17" i="24"/>
  <c r="AC59" i="46"/>
  <c r="L19" i="39"/>
  <c r="L18" i="39"/>
  <c r="S42" i="24"/>
  <c r="R42" i="24"/>
  <c r="K7" i="25"/>
  <c r="W54" i="54" s="1"/>
  <c r="K15" i="25"/>
  <c r="W53" i="54" s="1"/>
  <c r="C26" i="25"/>
  <c r="C16" i="25"/>
  <c r="K14" i="25" s="1"/>
  <c r="W52" i="54" s="1"/>
  <c r="F33" i="47"/>
  <c r="F32" i="47"/>
  <c r="F31" i="47"/>
  <c r="F30" i="47"/>
  <c r="E33" i="47"/>
  <c r="E32" i="47"/>
  <c r="E31" i="47"/>
  <c r="E30" i="47"/>
  <c r="G31" i="47" l="1"/>
  <c r="G33" i="47"/>
  <c r="H33" i="47" s="1"/>
  <c r="O53" i="54" s="1"/>
  <c r="G30" i="47"/>
  <c r="G32" i="47"/>
  <c r="H32" i="47" s="1"/>
  <c r="AC58" i="46"/>
  <c r="X58" i="46"/>
  <c r="W52" i="46"/>
  <c r="H30" i="47"/>
  <c r="O54" i="54" s="1"/>
  <c r="W53" i="46"/>
  <c r="W54" i="46"/>
  <c r="C53" i="54" l="1"/>
  <c r="K53" i="54"/>
  <c r="AC53" i="54" s="1"/>
  <c r="C54" i="54"/>
  <c r="K54" i="54"/>
  <c r="P54" i="54"/>
  <c r="U54" i="54"/>
  <c r="V54" i="54"/>
  <c r="T54" i="54"/>
  <c r="T53" i="54"/>
  <c r="U53" i="54"/>
  <c r="P53" i="54"/>
  <c r="V53" i="54"/>
  <c r="S18" i="2"/>
  <c r="AC54" i="54" l="1"/>
  <c r="F14" i="25"/>
  <c r="F23" i="25"/>
  <c r="N52" i="46"/>
  <c r="AR55" i="46"/>
  <c r="BC55" i="46" s="1"/>
  <c r="AM55" i="46"/>
  <c r="AR54" i="46"/>
  <c r="BC54" i="46" s="1"/>
  <c r="AM54" i="46"/>
  <c r="O54" i="46"/>
  <c r="T54" i="46" s="1"/>
  <c r="N54" i="46"/>
  <c r="H54" i="46" s="1"/>
  <c r="AR53" i="46"/>
  <c r="BC53" i="46" s="1"/>
  <c r="AM53" i="46"/>
  <c r="O53" i="46"/>
  <c r="T53" i="46" s="1"/>
  <c r="N53" i="46"/>
  <c r="H53" i="46" s="1"/>
  <c r="J53" i="46" s="1"/>
  <c r="AR52" i="46"/>
  <c r="BC52" i="46" s="1"/>
  <c r="AM52" i="46"/>
  <c r="I38" i="25"/>
  <c r="I30" i="47" s="1"/>
  <c r="Q47" i="25"/>
  <c r="X46" i="25"/>
  <c r="X47" i="25" s="1"/>
  <c r="Y33" i="25"/>
  <c r="Z33" i="25"/>
  <c r="Y34" i="25"/>
  <c r="Z34" i="25"/>
  <c r="Y35" i="25"/>
  <c r="Z35" i="25"/>
  <c r="Y36" i="25"/>
  <c r="Z36" i="25"/>
  <c r="Y37" i="25"/>
  <c r="Z37" i="25"/>
  <c r="Y38" i="25"/>
  <c r="Z38" i="25"/>
  <c r="Y39" i="25"/>
  <c r="Z39" i="25"/>
  <c r="Y40" i="25"/>
  <c r="Z40" i="25"/>
  <c r="Y41" i="25"/>
  <c r="Z41" i="25"/>
  <c r="Y32" i="25"/>
  <c r="Z32" i="25"/>
  <c r="X29" i="25"/>
  <c r="X30" i="25" s="1"/>
  <c r="Y19" i="25"/>
  <c r="Z19" i="25"/>
  <c r="Z29" i="25" s="1"/>
  <c r="X16" i="25"/>
  <c r="X17" i="25" s="1"/>
  <c r="Z7" i="25"/>
  <c r="Y7" i="25"/>
  <c r="Y6" i="25"/>
  <c r="W6" i="25"/>
  <c r="Z6" i="25" s="1"/>
  <c r="Q40" i="25"/>
  <c r="R40" i="25" s="1"/>
  <c r="Q39" i="25"/>
  <c r="R39" i="25" s="1"/>
  <c r="Q38" i="25"/>
  <c r="R38" i="25" s="1"/>
  <c r="Q37" i="25"/>
  <c r="R37" i="25" s="1"/>
  <c r="Q36" i="25"/>
  <c r="R36" i="25" s="1"/>
  <c r="Q35" i="25"/>
  <c r="R35" i="25" s="1"/>
  <c r="Q34" i="25"/>
  <c r="R34" i="25" s="1"/>
  <c r="Q33" i="25"/>
  <c r="R33" i="25" s="1"/>
  <c r="Q32" i="25"/>
  <c r="R32" i="25" s="1"/>
  <c r="P40" i="25"/>
  <c r="P39" i="25"/>
  <c r="S39" i="25" s="1"/>
  <c r="P38" i="25"/>
  <c r="P37" i="25"/>
  <c r="S37" i="25" s="1"/>
  <c r="P36" i="25"/>
  <c r="P35" i="25"/>
  <c r="P34" i="25"/>
  <c r="P33" i="25"/>
  <c r="P32" i="25"/>
  <c r="Q21" i="25"/>
  <c r="R21" i="25" s="1"/>
  <c r="Q20" i="25"/>
  <c r="R20" i="25" s="1"/>
  <c r="Q19" i="25"/>
  <c r="R19" i="25" s="1"/>
  <c r="P21" i="25"/>
  <c r="P20" i="25"/>
  <c r="P19" i="25"/>
  <c r="P6" i="25"/>
  <c r="S6" i="25" s="1"/>
  <c r="Q7" i="25"/>
  <c r="R7" i="25" s="1"/>
  <c r="P7" i="25"/>
  <c r="R6" i="25"/>
  <c r="S32" i="25" l="1"/>
  <c r="AD52" i="46"/>
  <c r="Y46" i="25"/>
  <c r="S7" i="25"/>
  <c r="Y16" i="25"/>
  <c r="Y17" i="25" s="1"/>
  <c r="Q29" i="25"/>
  <c r="Q30" i="25" s="1"/>
  <c r="S21" i="25"/>
  <c r="S35" i="25"/>
  <c r="S36" i="25"/>
  <c r="Z16" i="25"/>
  <c r="Z17" i="25" s="1"/>
  <c r="Z46" i="25"/>
  <c r="Z47" i="25" s="1"/>
  <c r="AD54" i="46"/>
  <c r="AD55" i="46"/>
  <c r="Q16" i="25"/>
  <c r="Q17" i="25" s="1"/>
  <c r="S19" i="25"/>
  <c r="S34" i="25"/>
  <c r="S20" i="25"/>
  <c r="H52" i="46"/>
  <c r="J52" i="46" s="1"/>
  <c r="C54" i="46"/>
  <c r="K54" i="46"/>
  <c r="AC54" i="46" s="1"/>
  <c r="V54" i="46"/>
  <c r="P53" i="46"/>
  <c r="U53" i="46"/>
  <c r="V53" i="46"/>
  <c r="C53" i="46"/>
  <c r="AD53" i="46"/>
  <c r="U54" i="46"/>
  <c r="J54" i="46"/>
  <c r="K53" i="46"/>
  <c r="P54" i="46"/>
  <c r="Y47" i="25"/>
  <c r="Z30" i="25"/>
  <c r="Y29" i="25"/>
  <c r="Y30" i="25" s="1"/>
  <c r="S40" i="25"/>
  <c r="S38" i="25"/>
  <c r="Q42" i="25"/>
  <c r="Q43" i="25" s="1"/>
  <c r="S33" i="25"/>
  <c r="R42" i="25"/>
  <c r="R29" i="25"/>
  <c r="R30" i="25" s="1"/>
  <c r="S16" i="25"/>
  <c r="S17" i="25" s="1"/>
  <c r="R16" i="25"/>
  <c r="I3" i="50"/>
  <c r="I4" i="50"/>
  <c r="H4" i="50"/>
  <c r="H3" i="50"/>
  <c r="G4" i="50"/>
  <c r="G3" i="50"/>
  <c r="F3" i="50"/>
  <c r="E4" i="50"/>
  <c r="E3" i="50"/>
  <c r="D4" i="50"/>
  <c r="D3" i="50"/>
  <c r="C4" i="50"/>
  <c r="C3" i="50"/>
  <c r="B4" i="50"/>
  <c r="B3" i="50"/>
  <c r="R17" i="25" l="1"/>
  <c r="S29" i="25"/>
  <c r="S30" i="25" s="1"/>
  <c r="S42" i="25"/>
  <c r="S43" i="25" s="1"/>
  <c r="AC53" i="46"/>
  <c r="R43" i="25"/>
  <c r="F26" i="47"/>
  <c r="F25" i="47"/>
  <c r="G25" i="47" s="1"/>
  <c r="H25" i="47" s="1"/>
  <c r="O49" i="54" s="1"/>
  <c r="F24" i="47"/>
  <c r="E27" i="47"/>
  <c r="G27" i="47" s="1"/>
  <c r="E26" i="47"/>
  <c r="E25" i="47"/>
  <c r="E24" i="47"/>
  <c r="E28" i="47"/>
  <c r="G28" i="47" s="1"/>
  <c r="H28" i="47" s="1"/>
  <c r="Z50" i="46"/>
  <c r="Z47" i="46"/>
  <c r="C49" i="54" l="1"/>
  <c r="K49" i="54"/>
  <c r="O52" i="54"/>
  <c r="O48" i="54"/>
  <c r="T49" i="54"/>
  <c r="P49" i="54"/>
  <c r="U49" i="54"/>
  <c r="V49" i="54"/>
  <c r="H26" i="47"/>
  <c r="O50" i="54" s="1"/>
  <c r="O48" i="46"/>
  <c r="O52" i="46"/>
  <c r="G24" i="47"/>
  <c r="H24" i="47" s="1"/>
  <c r="O47" i="54" s="1"/>
  <c r="G26" i="47"/>
  <c r="O49" i="46"/>
  <c r="K14" i="26"/>
  <c r="W50" i="54" s="1"/>
  <c r="K13" i="26"/>
  <c r="W49" i="54" s="1"/>
  <c r="K12" i="26"/>
  <c r="W48" i="54" s="1"/>
  <c r="K11" i="26"/>
  <c r="W47" i="54" s="1"/>
  <c r="J10" i="26"/>
  <c r="C52" i="54" l="1"/>
  <c r="K52" i="54"/>
  <c r="K47" i="54"/>
  <c r="C47" i="54"/>
  <c r="AC49" i="54"/>
  <c r="C48" i="54"/>
  <c r="K48" i="54"/>
  <c r="AC48" i="54" s="1"/>
  <c r="C50" i="54"/>
  <c r="K50" i="54"/>
  <c r="T47" i="54"/>
  <c r="U47" i="54"/>
  <c r="P47" i="54"/>
  <c r="V47" i="54"/>
  <c r="T52" i="54"/>
  <c r="U52" i="54"/>
  <c r="AA52" i="54" s="1"/>
  <c r="V52" i="54"/>
  <c r="P52" i="54"/>
  <c r="T50" i="54"/>
  <c r="P50" i="54"/>
  <c r="V50" i="54"/>
  <c r="U50" i="54"/>
  <c r="T48" i="54"/>
  <c r="P48" i="54"/>
  <c r="V48" i="54"/>
  <c r="U48" i="54"/>
  <c r="O50" i="46"/>
  <c r="U52" i="46"/>
  <c r="P52" i="46"/>
  <c r="T52" i="46"/>
  <c r="C52" i="46"/>
  <c r="N17" i="39" s="1"/>
  <c r="V52" i="46"/>
  <c r="K52" i="46"/>
  <c r="W49" i="46"/>
  <c r="W48" i="46"/>
  <c r="W50" i="46"/>
  <c r="O47" i="46"/>
  <c r="W47" i="46"/>
  <c r="AA47" i="54" l="1"/>
  <c r="AC47" i="54"/>
  <c r="AC52" i="54"/>
  <c r="AB52" i="54" s="1"/>
  <c r="X52" i="54"/>
  <c r="X47" i="54"/>
  <c r="BL16" i="39"/>
  <c r="BL17" i="39"/>
  <c r="L17" i="39"/>
  <c r="X52" i="46"/>
  <c r="AC52" i="46"/>
  <c r="AD204" i="46" s="1"/>
  <c r="AB47" i="54" l="1"/>
  <c r="S17" i="2"/>
  <c r="S47" i="46" l="1"/>
  <c r="F14" i="26"/>
  <c r="F23" i="26"/>
  <c r="I38" i="26"/>
  <c r="I24" i="47" s="1"/>
  <c r="X43" i="26"/>
  <c r="X44" i="26" s="1"/>
  <c r="Z34" i="26"/>
  <c r="Y34" i="26"/>
  <c r="Y33" i="26"/>
  <c r="Y43" i="26" s="1"/>
  <c r="Y44" i="26" s="1"/>
  <c r="Z33" i="26"/>
  <c r="P33" i="26"/>
  <c r="P20" i="26"/>
  <c r="P19" i="26"/>
  <c r="P8" i="26"/>
  <c r="P7" i="26"/>
  <c r="P6" i="26"/>
  <c r="Z43" i="26" l="1"/>
  <c r="Z44" i="26" s="1"/>
  <c r="AR50" i="46"/>
  <c r="BC50" i="46" s="1"/>
  <c r="AM50" i="46"/>
  <c r="P50" i="46"/>
  <c r="N50" i="46"/>
  <c r="H50" i="46" s="1"/>
  <c r="K50" i="46" s="1"/>
  <c r="AR49" i="46"/>
  <c r="BC49" i="46" s="1"/>
  <c r="AM49" i="46"/>
  <c r="T49" i="46"/>
  <c r="N49" i="46"/>
  <c r="H49" i="46" s="1"/>
  <c r="K49" i="46" s="1"/>
  <c r="AR48" i="46"/>
  <c r="BC48" i="46" s="1"/>
  <c r="AM48" i="46"/>
  <c r="T48" i="46"/>
  <c r="N48" i="46"/>
  <c r="H48" i="46" s="1"/>
  <c r="K48" i="46" s="1"/>
  <c r="AC48" i="46" s="1"/>
  <c r="AR47" i="46"/>
  <c r="BC47" i="46" s="1"/>
  <c r="AM47" i="46"/>
  <c r="T47" i="46"/>
  <c r="N47" i="46"/>
  <c r="Q50" i="26"/>
  <c r="Q51" i="26" s="1"/>
  <c r="P34" i="26"/>
  <c r="Q34" i="26"/>
  <c r="S33" i="26"/>
  <c r="Q19" i="26"/>
  <c r="R19" i="26" s="1"/>
  <c r="Q20" i="26"/>
  <c r="Q29" i="26" s="1"/>
  <c r="Q30" i="26" s="1"/>
  <c r="Q8" i="26"/>
  <c r="R8" i="26" s="1"/>
  <c r="Q7" i="26"/>
  <c r="S7" i="26" s="1"/>
  <c r="Q6" i="26"/>
  <c r="R6" i="26" s="1"/>
  <c r="S6" i="26" l="1"/>
  <c r="AD50" i="46"/>
  <c r="AC49" i="46"/>
  <c r="S19" i="26"/>
  <c r="R7" i="26"/>
  <c r="R16" i="26" s="1"/>
  <c r="C50" i="46"/>
  <c r="U48" i="46"/>
  <c r="V49" i="46"/>
  <c r="T50" i="46"/>
  <c r="V47" i="46"/>
  <c r="U50" i="46"/>
  <c r="U49" i="46"/>
  <c r="C49" i="46"/>
  <c r="AD49" i="46"/>
  <c r="V48" i="46"/>
  <c r="J49" i="46"/>
  <c r="V50" i="46"/>
  <c r="AD48" i="46"/>
  <c r="AD47" i="46"/>
  <c r="P47" i="46"/>
  <c r="J48" i="46"/>
  <c r="C47" i="46"/>
  <c r="U47" i="46"/>
  <c r="J50" i="46"/>
  <c r="H47" i="46"/>
  <c r="P48" i="46"/>
  <c r="P49" i="46"/>
  <c r="C48" i="46"/>
  <c r="Q43" i="26"/>
  <c r="Q44" i="26" s="1"/>
  <c r="R34" i="26"/>
  <c r="S34" i="26"/>
  <c r="S43" i="26" s="1"/>
  <c r="S44" i="26" s="1"/>
  <c r="R33" i="26"/>
  <c r="R43" i="26" s="1"/>
  <c r="R44" i="26" s="1"/>
  <c r="S20" i="26"/>
  <c r="R20" i="26"/>
  <c r="R29" i="26" s="1"/>
  <c r="R30" i="26" s="1"/>
  <c r="S8" i="26"/>
  <c r="S16" i="26" s="1"/>
  <c r="Q16" i="26"/>
  <c r="Q17" i="26" s="1"/>
  <c r="J4" i="28"/>
  <c r="J4" i="27"/>
  <c r="S29" i="26" l="1"/>
  <c r="S30" i="26" s="1"/>
  <c r="N16" i="39"/>
  <c r="AA47" i="46"/>
  <c r="K47" i="46"/>
  <c r="L16" i="39" s="1"/>
  <c r="J47" i="46"/>
  <c r="R17" i="26"/>
  <c r="S17" i="26"/>
  <c r="Z44" i="46"/>
  <c r="K10" i="28"/>
  <c r="W44" i="54" s="1"/>
  <c r="K9" i="28"/>
  <c r="W42" i="54" s="1"/>
  <c r="F20" i="47"/>
  <c r="F19" i="47"/>
  <c r="E22" i="47"/>
  <c r="G22" i="47" s="1"/>
  <c r="H22" i="47" s="1"/>
  <c r="O43" i="54" s="1"/>
  <c r="C43" i="54" l="1"/>
  <c r="K43" i="54"/>
  <c r="T43" i="54"/>
  <c r="U43" i="54"/>
  <c r="V43" i="54"/>
  <c r="P43" i="54"/>
  <c r="W44" i="46"/>
  <c r="W42" i="46"/>
  <c r="AC47" i="46"/>
  <c r="AB47" i="46" s="1"/>
  <c r="X47" i="46"/>
  <c r="O43" i="46"/>
  <c r="E21" i="47"/>
  <c r="G21" i="47" s="1"/>
  <c r="H21" i="47" s="1"/>
  <c r="O45" i="54" s="1"/>
  <c r="E20" i="47"/>
  <c r="G20" i="47" s="1"/>
  <c r="H20" i="47" s="1"/>
  <c r="O44" i="54" s="1"/>
  <c r="E19" i="47"/>
  <c r="G19" i="47" s="1"/>
  <c r="H19" i="47" s="1"/>
  <c r="O42" i="54" s="1"/>
  <c r="C42" i="54" l="1"/>
  <c r="K42" i="54"/>
  <c r="C44" i="54"/>
  <c r="K44" i="54"/>
  <c r="AC44" i="54" s="1"/>
  <c r="C45" i="54"/>
  <c r="K45" i="54"/>
  <c r="AC43" i="54"/>
  <c r="U44" i="54"/>
  <c r="P44" i="54"/>
  <c r="V44" i="54"/>
  <c r="T44" i="54"/>
  <c r="P42" i="54"/>
  <c r="V42" i="54"/>
  <c r="U42" i="54"/>
  <c r="T42" i="54"/>
  <c r="T45" i="54"/>
  <c r="U45" i="54"/>
  <c r="V45" i="54"/>
  <c r="P45" i="54"/>
  <c r="O45" i="46"/>
  <c r="O42" i="46"/>
  <c r="O44" i="46"/>
  <c r="S43" i="46"/>
  <c r="F14" i="28"/>
  <c r="F23" i="28"/>
  <c r="I38" i="28"/>
  <c r="I19" i="47" s="1"/>
  <c r="AC42" i="54" l="1"/>
  <c r="X42" i="54"/>
  <c r="AA42" i="54"/>
  <c r="AB42" i="54" s="1"/>
  <c r="P31" i="28"/>
  <c r="P18" i="28"/>
  <c r="S18" i="28" s="1"/>
  <c r="N45" i="46"/>
  <c r="H45" i="46" s="1"/>
  <c r="J45" i="46" s="1"/>
  <c r="W45" i="46"/>
  <c r="C42" i="46"/>
  <c r="N42" i="46"/>
  <c r="H42" i="46" s="1"/>
  <c r="AR45" i="46"/>
  <c r="BC45" i="46" s="1"/>
  <c r="AM45" i="46"/>
  <c r="AR44" i="46"/>
  <c r="BC44" i="46" s="1"/>
  <c r="AM44" i="46"/>
  <c r="T44" i="46"/>
  <c r="N44" i="46"/>
  <c r="V44" i="46" s="1"/>
  <c r="C44" i="46"/>
  <c r="AR43" i="46"/>
  <c r="BC43" i="46" s="1"/>
  <c r="AM43" i="46"/>
  <c r="W43" i="46"/>
  <c r="T43" i="46"/>
  <c r="N43" i="46"/>
  <c r="V43" i="46" s="1"/>
  <c r="AR42" i="46"/>
  <c r="BC42" i="46" s="1"/>
  <c r="AM42" i="46"/>
  <c r="Q49" i="28"/>
  <c r="X54" i="28"/>
  <c r="X55" i="28" s="1"/>
  <c r="Z45" i="28"/>
  <c r="Y45" i="28"/>
  <c r="Z44" i="28"/>
  <c r="Y44" i="28"/>
  <c r="Y34" i="28"/>
  <c r="Z34" i="28"/>
  <c r="X42" i="28"/>
  <c r="X43" i="28" s="1"/>
  <c r="Z33" i="28"/>
  <c r="Y33" i="28"/>
  <c r="Z32" i="28"/>
  <c r="Y32" i="28"/>
  <c r="X29" i="28"/>
  <c r="X30" i="28" s="1"/>
  <c r="Z20" i="28"/>
  <c r="Y20" i="28"/>
  <c r="Z19" i="28"/>
  <c r="Y19" i="28"/>
  <c r="Z7" i="28"/>
  <c r="Y7" i="28"/>
  <c r="X16" i="28"/>
  <c r="X17" i="28" s="1"/>
  <c r="Z6" i="28"/>
  <c r="Q31" i="28"/>
  <c r="R33" i="28"/>
  <c r="P33" i="28"/>
  <c r="S33" i="28" s="1"/>
  <c r="P32" i="28"/>
  <c r="S32" i="28" s="1"/>
  <c r="Q28" i="28"/>
  <c r="Q29" i="28" s="1"/>
  <c r="Q10" i="28"/>
  <c r="R10" i="28" s="1"/>
  <c r="Q9" i="28"/>
  <c r="R9" i="28" s="1"/>
  <c r="P8" i="28"/>
  <c r="S8" i="28" s="1"/>
  <c r="R8" i="28"/>
  <c r="Q6" i="28"/>
  <c r="R6" i="28" s="1"/>
  <c r="P7" i="28"/>
  <c r="S7" i="28" s="1"/>
  <c r="R7" i="28"/>
  <c r="P9" i="28"/>
  <c r="P10" i="28"/>
  <c r="S10" i="28" s="1"/>
  <c r="P6" i="28"/>
  <c r="S31" i="28" l="1"/>
  <c r="AD45" i="46"/>
  <c r="Q16" i="28"/>
  <c r="Q17" i="28" s="1"/>
  <c r="S9" i="28"/>
  <c r="S6" i="28"/>
  <c r="S16" i="28" s="1"/>
  <c r="Z16" i="28"/>
  <c r="Z17" i="28" s="1"/>
  <c r="Z54" i="28"/>
  <c r="Z55" i="28" s="1"/>
  <c r="AD42" i="46"/>
  <c r="BL15" i="39"/>
  <c r="U44" i="46"/>
  <c r="U43" i="46"/>
  <c r="P43" i="46"/>
  <c r="AD44" i="46"/>
  <c r="AD43" i="46"/>
  <c r="V45" i="46"/>
  <c r="U45" i="46"/>
  <c r="C45" i="46"/>
  <c r="T45" i="46"/>
  <c r="P45" i="46"/>
  <c r="K45" i="46"/>
  <c r="K42" i="46"/>
  <c r="J42" i="46"/>
  <c r="P42" i="46"/>
  <c r="T42" i="46"/>
  <c r="U42" i="46"/>
  <c r="V42" i="46"/>
  <c r="C43" i="46"/>
  <c r="P44" i="46"/>
  <c r="H43" i="46"/>
  <c r="H44" i="46"/>
  <c r="Y54" i="28"/>
  <c r="Y55" i="28" s="1"/>
  <c r="Y42" i="28"/>
  <c r="Y43" i="28" s="1"/>
  <c r="Z42" i="28"/>
  <c r="Z43" i="28" s="1"/>
  <c r="Y29" i="28"/>
  <c r="Y30" i="28" s="1"/>
  <c r="Z29" i="28"/>
  <c r="Z30" i="28" s="1"/>
  <c r="Y6" i="28"/>
  <c r="Y16" i="28" s="1"/>
  <c r="Y17" i="28" s="1"/>
  <c r="R32" i="28"/>
  <c r="Q41" i="28"/>
  <c r="Q42" i="28" s="1"/>
  <c r="R31" i="28"/>
  <c r="S41" i="28"/>
  <c r="S28" i="28"/>
  <c r="S29" i="28" s="1"/>
  <c r="R18" i="28"/>
  <c r="R28" i="28" s="1"/>
  <c r="R29" i="28" s="1"/>
  <c r="R16" i="28"/>
  <c r="R17" i="28" s="1"/>
  <c r="E17" i="47"/>
  <c r="G17" i="47" s="1"/>
  <c r="H17" i="47" s="1"/>
  <c r="O36" i="54" s="1"/>
  <c r="K8" i="27"/>
  <c r="W35" i="54" s="1"/>
  <c r="K9" i="27"/>
  <c r="W37" i="54" s="1"/>
  <c r="E16" i="47"/>
  <c r="G16" i="47" s="1"/>
  <c r="H16" i="47" s="1"/>
  <c r="O37" i="54" s="1"/>
  <c r="E15" i="47"/>
  <c r="G15" i="47" s="1"/>
  <c r="H15" i="47" s="1"/>
  <c r="O35" i="54" s="1"/>
  <c r="C37" i="54" l="1"/>
  <c r="K37" i="54"/>
  <c r="C35" i="54"/>
  <c r="K35" i="54"/>
  <c r="K36" i="54"/>
  <c r="AC36" i="54" s="1"/>
  <c r="C36" i="54"/>
  <c r="U37" i="54"/>
  <c r="P37" i="54"/>
  <c r="T37" i="54"/>
  <c r="V37" i="54"/>
  <c r="T36" i="54"/>
  <c r="V36" i="54"/>
  <c r="U36" i="54"/>
  <c r="P36" i="54"/>
  <c r="T35" i="54"/>
  <c r="P35" i="54"/>
  <c r="U35" i="54"/>
  <c r="V35" i="54"/>
  <c r="S17" i="28"/>
  <c r="O36" i="46"/>
  <c r="W37" i="46"/>
  <c r="S42" i="28"/>
  <c r="W35" i="46"/>
  <c r="O37" i="46"/>
  <c r="C37" i="46" s="1"/>
  <c r="O35" i="46"/>
  <c r="P35" i="46" s="1"/>
  <c r="N15" i="39"/>
  <c r="AC42" i="46"/>
  <c r="K44" i="46"/>
  <c r="AC44" i="46" s="1"/>
  <c r="J44" i="46"/>
  <c r="K43" i="46"/>
  <c r="J43" i="46"/>
  <c r="R41" i="28"/>
  <c r="R42" i="28" s="1"/>
  <c r="AM40" i="46"/>
  <c r="AR40" i="46"/>
  <c r="BC40" i="46" s="1"/>
  <c r="AM39" i="46"/>
  <c r="AR39" i="46"/>
  <c r="BC39" i="46" s="1"/>
  <c r="Q36" i="46"/>
  <c r="R36" i="46"/>
  <c r="N36" i="46"/>
  <c r="H36" i="46" s="1"/>
  <c r="W36" i="46"/>
  <c r="N37" i="46"/>
  <c r="AR38" i="46"/>
  <c r="BC38" i="46" s="1"/>
  <c r="AM38" i="46"/>
  <c r="AR37" i="46"/>
  <c r="BC37" i="46" s="1"/>
  <c r="AM37" i="46"/>
  <c r="AR36" i="46"/>
  <c r="BC36" i="46" s="1"/>
  <c r="AM36" i="46"/>
  <c r="AR35" i="46"/>
  <c r="BC35" i="46" s="1"/>
  <c r="AM35" i="46"/>
  <c r="N35" i="46"/>
  <c r="H35" i="46" s="1"/>
  <c r="I38" i="27"/>
  <c r="I15" i="47" s="1"/>
  <c r="S48" i="27"/>
  <c r="X41" i="27"/>
  <c r="X42" i="27" s="1"/>
  <c r="Z32" i="27"/>
  <c r="Y32" i="27"/>
  <c r="Y31" i="27"/>
  <c r="Z31" i="27"/>
  <c r="X19" i="27"/>
  <c r="Y19" i="27" s="1"/>
  <c r="W19" i="27"/>
  <c r="X18" i="27"/>
  <c r="Y18" i="27" s="1"/>
  <c r="W18" i="27"/>
  <c r="X16" i="27"/>
  <c r="X17" i="27" s="1"/>
  <c r="Y6" i="27"/>
  <c r="Y16" i="27" s="1"/>
  <c r="W6" i="27"/>
  <c r="Z6" i="27" s="1"/>
  <c r="Z16" i="27" s="1"/>
  <c r="G42" i="27"/>
  <c r="I37" i="27" s="1"/>
  <c r="F42" i="27"/>
  <c r="N48" i="27"/>
  <c r="Q42" i="27"/>
  <c r="Q43" i="27" s="1"/>
  <c r="R32" i="27"/>
  <c r="R42" i="27" s="1"/>
  <c r="P32" i="27"/>
  <c r="S32" i="27" s="1"/>
  <c r="S42" i="27" s="1"/>
  <c r="F20" i="27"/>
  <c r="Q20" i="27"/>
  <c r="R20" i="27" s="1"/>
  <c r="Q19" i="27"/>
  <c r="R19" i="27" s="1"/>
  <c r="P19" i="27"/>
  <c r="Q18" i="27"/>
  <c r="P20" i="27"/>
  <c r="P18" i="27"/>
  <c r="F11" i="27"/>
  <c r="Q16" i="27"/>
  <c r="Q17" i="27" s="1"/>
  <c r="R6" i="27"/>
  <c r="R16" i="27" s="1"/>
  <c r="P6" i="27"/>
  <c r="S6" i="27" s="1"/>
  <c r="S16" i="27" s="1"/>
  <c r="AC35" i="54" l="1"/>
  <c r="AA35" i="54"/>
  <c r="X35" i="54"/>
  <c r="AC37" i="54"/>
  <c r="AB35" i="54" s="1"/>
  <c r="Y17" i="27"/>
  <c r="S20" i="27"/>
  <c r="Z17" i="27"/>
  <c r="Y41" i="27"/>
  <c r="Y42" i="27" s="1"/>
  <c r="Z18" i="27"/>
  <c r="Z19" i="27"/>
  <c r="S43" i="27"/>
  <c r="R43" i="27"/>
  <c r="X28" i="27"/>
  <c r="X29" i="27" s="1"/>
  <c r="U36" i="46"/>
  <c r="Z41" i="27"/>
  <c r="Z42" i="27" s="1"/>
  <c r="Q28" i="27"/>
  <c r="Q29" i="27" s="1"/>
  <c r="S19" i="27"/>
  <c r="R17" i="27"/>
  <c r="V35" i="46"/>
  <c r="L15" i="39"/>
  <c r="AC43" i="46"/>
  <c r="X42" i="46"/>
  <c r="K35" i="46"/>
  <c r="T35" i="46"/>
  <c r="U35" i="46"/>
  <c r="V36" i="46"/>
  <c r="C35" i="46"/>
  <c r="V37" i="46"/>
  <c r="P36" i="46"/>
  <c r="P37" i="46"/>
  <c r="AD40" i="46"/>
  <c r="AD39" i="46"/>
  <c r="AD38" i="46"/>
  <c r="AD37" i="46"/>
  <c r="AD36" i="46"/>
  <c r="AD35" i="46"/>
  <c r="K36" i="46"/>
  <c r="J36" i="46"/>
  <c r="H37" i="46"/>
  <c r="J37" i="46" s="1"/>
  <c r="T36" i="46"/>
  <c r="C36" i="46"/>
  <c r="U37" i="46"/>
  <c r="T37" i="46"/>
  <c r="J35" i="46"/>
  <c r="Y28" i="27"/>
  <c r="S18" i="27"/>
  <c r="R18" i="27"/>
  <c r="R28" i="27" s="1"/>
  <c r="S17" i="27"/>
  <c r="Y29" i="27" l="1"/>
  <c r="K37" i="46"/>
  <c r="AC37" i="46" s="1"/>
  <c r="R29" i="27"/>
  <c r="Z28" i="27"/>
  <c r="Z29" i="27" s="1"/>
  <c r="S28" i="27"/>
  <c r="S29" i="27" s="1"/>
  <c r="AC35" i="46"/>
  <c r="BL14" i="39"/>
  <c r="AA35" i="46"/>
  <c r="AC36" i="46"/>
  <c r="N14" i="39"/>
  <c r="S29" i="46"/>
  <c r="AR33" i="46"/>
  <c r="BC33" i="46" s="1"/>
  <c r="AM33" i="46"/>
  <c r="U47" i="29"/>
  <c r="R45" i="29"/>
  <c r="U45" i="29" s="1"/>
  <c r="X35" i="46" l="1"/>
  <c r="L14" i="39"/>
  <c r="AB35" i="46"/>
  <c r="AD33" i="46"/>
  <c r="E13" i="47" l="1"/>
  <c r="G13" i="47" s="1"/>
  <c r="H13" i="47" s="1"/>
  <c r="O29" i="54" s="1"/>
  <c r="C29" i="54" l="1"/>
  <c r="K29" i="54"/>
  <c r="U29" i="54"/>
  <c r="T29" i="54"/>
  <c r="P29" i="54"/>
  <c r="V29" i="54"/>
  <c r="BL13" i="39"/>
  <c r="O29" i="46"/>
  <c r="AC29" i="54" l="1"/>
  <c r="T29" i="46"/>
  <c r="P29" i="46"/>
  <c r="N29" i="46"/>
  <c r="H29" i="46" s="1"/>
  <c r="K29" i="46" s="1"/>
  <c r="AC29" i="46" s="1"/>
  <c r="C29" i="46"/>
  <c r="N13" i="39" s="1"/>
  <c r="AR32" i="46"/>
  <c r="BC32" i="46" s="1"/>
  <c r="AM32" i="46"/>
  <c r="AR31" i="46"/>
  <c r="BC31" i="46" s="1"/>
  <c r="AM31" i="46"/>
  <c r="AR30" i="46"/>
  <c r="BC30" i="46" s="1"/>
  <c r="AM30" i="46"/>
  <c r="AR29" i="46"/>
  <c r="BC29" i="46" s="1"/>
  <c r="AM29" i="46"/>
  <c r="I38" i="29"/>
  <c r="I13" i="47" s="1"/>
  <c r="O30" i="29"/>
  <c r="R30" i="29" s="1"/>
  <c r="R40" i="29" s="1"/>
  <c r="G42" i="29"/>
  <c r="I37" i="29" s="1"/>
  <c r="F42" i="29"/>
  <c r="Q40" i="29"/>
  <c r="Q41" i="29" s="1"/>
  <c r="Q28" i="29"/>
  <c r="Q29" i="29" s="1"/>
  <c r="R18" i="29"/>
  <c r="R28" i="29" s="1"/>
  <c r="R29" i="29" s="1"/>
  <c r="P18" i="29"/>
  <c r="S18" i="29" s="1"/>
  <c r="S28" i="29" s="1"/>
  <c r="S29" i="29" s="1"/>
  <c r="P6" i="29"/>
  <c r="S6" i="29" s="1"/>
  <c r="J4" i="29"/>
  <c r="R41" i="29" l="1"/>
  <c r="AD32" i="46"/>
  <c r="AD29" i="46"/>
  <c r="AD31" i="46"/>
  <c r="P30" i="29"/>
  <c r="S30" i="29" s="1"/>
  <c r="S40" i="29" s="1"/>
  <c r="S41" i="29" s="1"/>
  <c r="L13" i="39"/>
  <c r="AD30" i="46"/>
  <c r="U29" i="46"/>
  <c r="V29" i="46"/>
  <c r="J29" i="46"/>
  <c r="S16" i="29"/>
  <c r="Q16" i="29"/>
  <c r="Q17" i="29" s="1"/>
  <c r="R6" i="29"/>
  <c r="R16" i="29" s="1"/>
  <c r="S17" i="29" l="1"/>
  <c r="R17" i="29"/>
  <c r="Z17" i="46" l="1"/>
  <c r="F10" i="47"/>
  <c r="E11" i="47"/>
  <c r="G11" i="47" s="1"/>
  <c r="H11" i="47" s="1"/>
  <c r="O24" i="54" s="1"/>
  <c r="E10" i="47"/>
  <c r="E8" i="47"/>
  <c r="G8" i="47" s="1"/>
  <c r="H8" i="47" s="1"/>
  <c r="O17" i="54" s="1"/>
  <c r="J4" i="30"/>
  <c r="K8" i="30"/>
  <c r="W24" i="54" s="1"/>
  <c r="K7" i="30"/>
  <c r="W23" i="54" s="1"/>
  <c r="J4" i="31"/>
  <c r="C24" i="54" l="1"/>
  <c r="K24" i="54"/>
  <c r="C17" i="54"/>
  <c r="K17" i="54"/>
  <c r="P17" i="54"/>
  <c r="U17" i="54"/>
  <c r="V17" i="54"/>
  <c r="T17" i="54"/>
  <c r="P24" i="54"/>
  <c r="T24" i="54"/>
  <c r="U24" i="54"/>
  <c r="V24" i="54"/>
  <c r="O17" i="46"/>
  <c r="U17" i="46" s="1"/>
  <c r="W23" i="46"/>
  <c r="O24" i="46"/>
  <c r="C24" i="46" s="1"/>
  <c r="W24" i="46"/>
  <c r="G10" i="47"/>
  <c r="H10" i="47" s="1"/>
  <c r="O23" i="54" s="1"/>
  <c r="AR27" i="46"/>
  <c r="BC27" i="46" s="1"/>
  <c r="AM27" i="46"/>
  <c r="AM21" i="46"/>
  <c r="AR21" i="46"/>
  <c r="BC21" i="46" s="1"/>
  <c r="Q23" i="46"/>
  <c r="N24" i="46"/>
  <c r="H24" i="46" s="1"/>
  <c r="J24" i="46" s="1"/>
  <c r="AR26" i="46"/>
  <c r="BC26" i="46" s="1"/>
  <c r="AM26" i="46"/>
  <c r="AR25" i="46"/>
  <c r="BC25" i="46" s="1"/>
  <c r="AM25" i="46"/>
  <c r="AR24" i="46"/>
  <c r="BC24" i="46" s="1"/>
  <c r="AM24" i="46"/>
  <c r="AR23" i="46"/>
  <c r="BC23" i="46" s="1"/>
  <c r="AM23" i="46"/>
  <c r="N23" i="46"/>
  <c r="H23" i="46" s="1"/>
  <c r="AR20" i="46"/>
  <c r="BC20" i="46" s="1"/>
  <c r="AM20" i="46"/>
  <c r="AR19" i="46"/>
  <c r="BC19" i="46" s="1"/>
  <c r="AM19" i="46"/>
  <c r="AR18" i="46"/>
  <c r="BC18" i="46" s="1"/>
  <c r="AM18" i="46"/>
  <c r="AR17" i="46"/>
  <c r="BC17" i="46" s="1"/>
  <c r="AM17" i="46"/>
  <c r="N17" i="46"/>
  <c r="F9" i="30"/>
  <c r="I38" i="30"/>
  <c r="I10" i="47" s="1"/>
  <c r="S46" i="30"/>
  <c r="Y14" i="30"/>
  <c r="Z14" i="30" s="1"/>
  <c r="X14" i="30"/>
  <c r="Y13" i="30"/>
  <c r="Z13" i="30" s="1"/>
  <c r="X13" i="30"/>
  <c r="Y12" i="30"/>
  <c r="Z12" i="30" s="1"/>
  <c r="X12" i="30"/>
  <c r="Y11" i="30"/>
  <c r="Z11" i="30" s="1"/>
  <c r="X11" i="30"/>
  <c r="AA11" i="30" s="1"/>
  <c r="Y10" i="30"/>
  <c r="Z10" i="30" s="1"/>
  <c r="X10" i="30"/>
  <c r="Y9" i="30"/>
  <c r="Z9" i="30" s="1"/>
  <c r="X9" i="30"/>
  <c r="Y8" i="30"/>
  <c r="X8" i="30"/>
  <c r="Y7" i="30"/>
  <c r="Z7" i="30" s="1"/>
  <c r="X7" i="30"/>
  <c r="Z6" i="30"/>
  <c r="X6" i="30"/>
  <c r="AA6" i="30" s="1"/>
  <c r="G42" i="30"/>
  <c r="I37" i="30" s="1"/>
  <c r="F42" i="30"/>
  <c r="N43" i="30"/>
  <c r="N46" i="30" s="1"/>
  <c r="Q30" i="30"/>
  <c r="P31" i="30"/>
  <c r="P30" i="30"/>
  <c r="R18" i="30"/>
  <c r="P18" i="30"/>
  <c r="S18" i="30" s="1"/>
  <c r="F11" i="30"/>
  <c r="Q8" i="30"/>
  <c r="Q7" i="30"/>
  <c r="Q14" i="30"/>
  <c r="R14" i="30" s="1"/>
  <c r="Q13" i="30"/>
  <c r="R13" i="30" s="1"/>
  <c r="Q12" i="30"/>
  <c r="R12" i="30" s="1"/>
  <c r="Q11" i="30"/>
  <c r="R11" i="30" s="1"/>
  <c r="Q10" i="30"/>
  <c r="R10" i="30" s="1"/>
  <c r="Q9" i="30"/>
  <c r="R9" i="30" s="1"/>
  <c r="P7" i="30"/>
  <c r="P8" i="30"/>
  <c r="P9" i="30"/>
  <c r="P10" i="30"/>
  <c r="P11" i="30"/>
  <c r="P12" i="30"/>
  <c r="P13" i="30"/>
  <c r="P14" i="30"/>
  <c r="R6" i="30"/>
  <c r="P6" i="30"/>
  <c r="S6" i="30" s="1"/>
  <c r="I38" i="31"/>
  <c r="I8" i="47" s="1"/>
  <c r="G42" i="31"/>
  <c r="I37" i="31" s="1"/>
  <c r="F42" i="31"/>
  <c r="N39" i="31"/>
  <c r="N41" i="31" s="1"/>
  <c r="R35" i="31"/>
  <c r="R36" i="31" s="1"/>
  <c r="S27" i="31"/>
  <c r="Q27" i="31"/>
  <c r="T27" i="31" s="1"/>
  <c r="R17" i="31"/>
  <c r="R24" i="31" s="1"/>
  <c r="R25" i="31" s="1"/>
  <c r="Q17" i="31"/>
  <c r="S16" i="31"/>
  <c r="Q16" i="31"/>
  <c r="T16" i="31" s="1"/>
  <c r="R14" i="31"/>
  <c r="R15" i="31" s="1"/>
  <c r="S6" i="31"/>
  <c r="S14" i="31" s="1"/>
  <c r="Q6" i="31"/>
  <c r="T6" i="31" s="1"/>
  <c r="T14" i="31" s="1"/>
  <c r="F19" i="31"/>
  <c r="AC17" i="54" l="1"/>
  <c r="C23" i="54"/>
  <c r="K23" i="54"/>
  <c r="AC24" i="54"/>
  <c r="U23" i="54"/>
  <c r="AA23" i="54" s="1"/>
  <c r="T23" i="54"/>
  <c r="V23" i="54"/>
  <c r="P23" i="54"/>
  <c r="V17" i="46"/>
  <c r="P17" i="46"/>
  <c r="C17" i="46"/>
  <c r="N11" i="39" s="1"/>
  <c r="S15" i="31"/>
  <c r="AA10" i="30"/>
  <c r="T15" i="31"/>
  <c r="S17" i="31"/>
  <c r="S24" i="31" s="1"/>
  <c r="S25" i="31" s="1"/>
  <c r="AA12" i="30"/>
  <c r="AD24" i="46"/>
  <c r="T24" i="46"/>
  <c r="S10" i="30"/>
  <c r="S9" i="30"/>
  <c r="S11" i="30"/>
  <c r="AA9" i="30"/>
  <c r="S12" i="30"/>
  <c r="Q16" i="30"/>
  <c r="Q17" i="30" s="1"/>
  <c r="AA8" i="30"/>
  <c r="R7" i="30"/>
  <c r="H17" i="46"/>
  <c r="J17" i="46" s="1"/>
  <c r="S14" i="30"/>
  <c r="AA14" i="30"/>
  <c r="AD23" i="46"/>
  <c r="AD17" i="46"/>
  <c r="Z8" i="30"/>
  <c r="Z21" i="30" s="1"/>
  <c r="S7" i="30"/>
  <c r="AD18" i="46"/>
  <c r="AD20" i="46"/>
  <c r="T17" i="31"/>
  <c r="T24" i="31" s="1"/>
  <c r="T25" i="31" s="1"/>
  <c r="Q31" i="30"/>
  <c r="R31" i="30" s="1"/>
  <c r="AA7" i="30"/>
  <c r="AD19" i="46"/>
  <c r="AD26" i="46"/>
  <c r="Y21" i="30"/>
  <c r="Y22" i="30" s="1"/>
  <c r="AA13" i="30"/>
  <c r="O23" i="46"/>
  <c r="T17" i="46"/>
  <c r="AD25" i="46"/>
  <c r="AD27" i="46"/>
  <c r="AD21" i="46"/>
  <c r="J23" i="46"/>
  <c r="P24" i="46"/>
  <c r="K24" i="46"/>
  <c r="V24" i="46"/>
  <c r="U24" i="46"/>
  <c r="R30" i="30"/>
  <c r="S30" i="30"/>
  <c r="S28" i="30"/>
  <c r="R28" i="30"/>
  <c r="Q28" i="30"/>
  <c r="Q29" i="30" s="1"/>
  <c r="S13" i="30"/>
  <c r="R8" i="30"/>
  <c r="S8" i="30"/>
  <c r="T35" i="31"/>
  <c r="T36" i="31" s="1"/>
  <c r="S35" i="31"/>
  <c r="S36" i="31" s="1"/>
  <c r="V9" i="45"/>
  <c r="V10" i="45"/>
  <c r="V11" i="45"/>
  <c r="V12" i="45"/>
  <c r="V13" i="45"/>
  <c r="V14" i="45"/>
  <c r="V15" i="45"/>
  <c r="V16" i="45"/>
  <c r="V17" i="45"/>
  <c r="V18" i="45"/>
  <c r="V19" i="45"/>
  <c r="V20" i="45"/>
  <c r="V21" i="45"/>
  <c r="V22" i="45"/>
  <c r="V23" i="45"/>
  <c r="V24" i="45"/>
  <c r="V25" i="45"/>
  <c r="V26" i="45"/>
  <c r="V27" i="45"/>
  <c r="V28" i="45"/>
  <c r="V29" i="45"/>
  <c r="V30" i="45"/>
  <c r="V31" i="45"/>
  <c r="V32" i="45"/>
  <c r="V33" i="45"/>
  <c r="V34" i="45"/>
  <c r="V35" i="45"/>
  <c r="V36" i="45"/>
  <c r="V37" i="45"/>
  <c r="V8" i="45"/>
  <c r="S9" i="45"/>
  <c r="S10" i="45"/>
  <c r="S11" i="45"/>
  <c r="S12" i="45"/>
  <c r="S13" i="45"/>
  <c r="S14" i="45"/>
  <c r="S15" i="45"/>
  <c r="S16" i="45"/>
  <c r="S17" i="45"/>
  <c r="S18" i="45"/>
  <c r="S19" i="45"/>
  <c r="S20" i="45"/>
  <c r="S21" i="45"/>
  <c r="S22" i="45"/>
  <c r="S23" i="45"/>
  <c r="S24" i="45"/>
  <c r="S25" i="45"/>
  <c r="S26" i="45"/>
  <c r="S27" i="45"/>
  <c r="S28" i="45"/>
  <c r="S29" i="45"/>
  <c r="S30" i="45"/>
  <c r="S31" i="45"/>
  <c r="S32" i="45"/>
  <c r="S33" i="45"/>
  <c r="S34" i="45"/>
  <c r="S35" i="45"/>
  <c r="S36" i="45"/>
  <c r="S37" i="45"/>
  <c r="S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8" i="45"/>
  <c r="E8" i="45"/>
  <c r="AC23" i="54" l="1"/>
  <c r="AB23" i="54" s="1"/>
  <c r="X23" i="54"/>
  <c r="BL11" i="39"/>
  <c r="R16" i="30"/>
  <c r="R17" i="30" s="1"/>
  <c r="AC24" i="46"/>
  <c r="AA21" i="30"/>
  <c r="AA22" i="30" s="1"/>
  <c r="S16" i="30"/>
  <c r="S17" i="30" s="1"/>
  <c r="K17" i="46"/>
  <c r="L11" i="39" s="1"/>
  <c r="R40" i="30"/>
  <c r="U23" i="46"/>
  <c r="T23" i="46"/>
  <c r="C23" i="46"/>
  <c r="N12" i="39" s="1"/>
  <c r="Q40" i="30"/>
  <c r="Q41" i="30" s="1"/>
  <c r="P23" i="46"/>
  <c r="K23" i="46"/>
  <c r="L12" i="39" s="1"/>
  <c r="S31" i="30"/>
  <c r="S40" i="30" s="1"/>
  <c r="V23" i="46"/>
  <c r="Z22" i="30"/>
  <c r="S29" i="30"/>
  <c r="R29" i="30"/>
  <c r="E6" i="47"/>
  <c r="G6" i="47" s="1"/>
  <c r="H6" i="47" s="1"/>
  <c r="O12" i="54" s="1"/>
  <c r="C12" i="54" l="1"/>
  <c r="K12" i="54"/>
  <c r="U12" i="54"/>
  <c r="T12" i="54"/>
  <c r="V12" i="54"/>
  <c r="P12" i="54"/>
  <c r="AC17" i="46"/>
  <c r="X23" i="46"/>
  <c r="AC23" i="46"/>
  <c r="R41" i="30"/>
  <c r="O12" i="46"/>
  <c r="S41" i="30"/>
  <c r="BL12" i="39"/>
  <c r="AC12" i="54" l="1"/>
  <c r="AR15" i="46"/>
  <c r="BC15" i="46" s="1"/>
  <c r="AM15" i="46"/>
  <c r="AR14" i="46"/>
  <c r="BC14" i="46" s="1"/>
  <c r="AM14" i="46"/>
  <c r="AR13" i="46"/>
  <c r="BC13" i="46" s="1"/>
  <c r="AM13" i="46"/>
  <c r="AR12" i="46"/>
  <c r="BC12" i="46" s="1"/>
  <c r="AM12" i="46"/>
  <c r="N12" i="46"/>
  <c r="H12" i="46" s="1"/>
  <c r="F14" i="32"/>
  <c r="F23" i="32"/>
  <c r="I38" i="32"/>
  <c r="I6" i="47" s="1"/>
  <c r="G42" i="32"/>
  <c r="I37" i="32" s="1"/>
  <c r="F42" i="32"/>
  <c r="P8" i="32"/>
  <c r="S8" i="32" s="1"/>
  <c r="P7" i="32"/>
  <c r="S7" i="32" s="1"/>
  <c r="Q14" i="32"/>
  <c r="Q15" i="32" s="1"/>
  <c r="R8" i="32"/>
  <c r="R7" i="32"/>
  <c r="R6" i="32"/>
  <c r="P6" i="32"/>
  <c r="S6" i="32" s="1"/>
  <c r="J4" i="32"/>
  <c r="BL10" i="39" l="1"/>
  <c r="K12" i="46"/>
  <c r="L10" i="39" s="1"/>
  <c r="J12" i="46"/>
  <c r="R14" i="32"/>
  <c r="R15" i="32" s="1"/>
  <c r="AD15" i="46"/>
  <c r="AD14" i="46"/>
  <c r="AD13" i="46"/>
  <c r="AD12" i="46"/>
  <c r="V12" i="46"/>
  <c r="C12" i="46"/>
  <c r="N10" i="39" s="1"/>
  <c r="U12" i="46"/>
  <c r="P12" i="46"/>
  <c r="T12" i="46"/>
  <c r="S14" i="32"/>
  <c r="S15" i="32" s="1"/>
  <c r="BF10" i="39"/>
  <c r="BF11" i="39"/>
  <c r="BF12" i="39"/>
  <c r="BF13" i="39"/>
  <c r="BF14" i="39"/>
  <c r="BF15" i="39"/>
  <c r="BF16" i="39"/>
  <c r="BF17" i="39"/>
  <c r="BF18" i="39"/>
  <c r="BF19" i="39"/>
  <c r="BF20" i="39"/>
  <c r="BF21" i="39"/>
  <c r="BF22" i="39"/>
  <c r="BF23" i="39"/>
  <c r="BF24" i="39"/>
  <c r="BF25" i="39"/>
  <c r="BF26" i="39"/>
  <c r="BF27" i="39"/>
  <c r="BF28" i="39"/>
  <c r="BF29" i="39"/>
  <c r="BF30" i="39"/>
  <c r="BF31" i="39"/>
  <c r="BF32" i="39"/>
  <c r="BF33" i="39"/>
  <c r="BF34" i="39"/>
  <c r="BF35" i="39"/>
  <c r="BF36" i="39"/>
  <c r="BF37" i="39"/>
  <c r="BF38" i="39"/>
  <c r="BF39" i="39"/>
  <c r="AC12" i="46" l="1"/>
  <c r="BF9" i="39"/>
  <c r="W37" i="45"/>
  <c r="W36" i="45"/>
  <c r="W35" i="45"/>
  <c r="W34" i="45"/>
  <c r="W33" i="45"/>
  <c r="W32" i="45"/>
  <c r="W31" i="45"/>
  <c r="W30" i="45"/>
  <c r="W29" i="45"/>
  <c r="W28" i="45"/>
  <c r="W27" i="45"/>
  <c r="W26" i="45"/>
  <c r="W25" i="45"/>
  <c r="W24" i="45"/>
  <c r="W23" i="45"/>
  <c r="W22" i="45"/>
  <c r="W21" i="45"/>
  <c r="W20" i="45"/>
  <c r="W19" i="45"/>
  <c r="W18" i="45"/>
  <c r="W17" i="45"/>
  <c r="W16" i="45"/>
  <c r="W15" i="45"/>
  <c r="W14" i="45"/>
  <c r="W13" i="45"/>
  <c r="W12" i="45"/>
  <c r="W11" i="45"/>
  <c r="W10" i="45"/>
  <c r="W9" i="45"/>
  <c r="BF41" i="39" l="1"/>
  <c r="BG9" i="39"/>
  <c r="BG10" i="39" s="1"/>
  <c r="BG11" i="39" s="1"/>
  <c r="BG12" i="39" s="1"/>
  <c r="BG13" i="39" s="1"/>
  <c r="BG14" i="39" s="1"/>
  <c r="BG15" i="39" s="1"/>
  <c r="BG16" i="39" s="1"/>
  <c r="BG17" i="39" s="1"/>
  <c r="BG18" i="39" s="1"/>
  <c r="BG19" i="39" s="1"/>
  <c r="BG20" i="39" s="1"/>
  <c r="BG21" i="39" s="1"/>
  <c r="BG22" i="39" s="1"/>
  <c r="BG23" i="39" s="1"/>
  <c r="BG24" i="39" s="1"/>
  <c r="BG25" i="39" s="1"/>
  <c r="BG26" i="39" s="1"/>
  <c r="BG27" i="39" s="1"/>
  <c r="BG28" i="39" s="1"/>
  <c r="BG29" i="39" s="1"/>
  <c r="BG30" i="39" s="1"/>
  <c r="BG31" i="39" s="1"/>
  <c r="BG32" i="39" s="1"/>
  <c r="BG33" i="39" s="1"/>
  <c r="BG34" i="39" s="1"/>
  <c r="BG35" i="39" s="1"/>
  <c r="BG36" i="39" s="1"/>
  <c r="BG37" i="39" s="1"/>
  <c r="BG38" i="39" s="1"/>
  <c r="BG39" i="39" s="1"/>
  <c r="W8" i="45"/>
  <c r="V40" i="45"/>
  <c r="E4" i="47" l="1"/>
  <c r="I38" i="33" l="1"/>
  <c r="I4" i="47" s="1"/>
  <c r="G42" i="33"/>
  <c r="I37" i="33" s="1"/>
  <c r="F42" i="33"/>
  <c r="N41" i="33"/>
  <c r="Q35" i="33"/>
  <c r="Q36" i="33" s="1"/>
  <c r="R29" i="33"/>
  <c r="P29" i="33"/>
  <c r="S29" i="33" s="1"/>
  <c r="R28" i="33"/>
  <c r="P28" i="33"/>
  <c r="S28" i="33" s="1"/>
  <c r="R27" i="33"/>
  <c r="P27" i="33"/>
  <c r="S27" i="33" s="1"/>
  <c r="P17" i="33"/>
  <c r="S17" i="33" s="1"/>
  <c r="R19" i="33"/>
  <c r="P19" i="33"/>
  <c r="S19" i="33" s="1"/>
  <c r="R18" i="33"/>
  <c r="P18" i="33"/>
  <c r="S18" i="33" s="1"/>
  <c r="Q25" i="33"/>
  <c r="Q26" i="33" s="1"/>
  <c r="Q6" i="33"/>
  <c r="Q14" i="33" s="1"/>
  <c r="Q15" i="33" s="1"/>
  <c r="P6" i="33"/>
  <c r="R8" i="33"/>
  <c r="P8" i="33"/>
  <c r="S8" i="33" s="1"/>
  <c r="R7" i="33"/>
  <c r="P7" i="33"/>
  <c r="S7" i="33" s="1"/>
  <c r="R6" i="33"/>
  <c r="J4" i="33"/>
  <c r="S25" i="33" l="1"/>
  <c r="S26" i="33" s="1"/>
  <c r="S35" i="33"/>
  <c r="S36" i="33" s="1"/>
  <c r="R35" i="33"/>
  <c r="R36" i="33" s="1"/>
  <c r="R17" i="33"/>
  <c r="R25" i="33" s="1"/>
  <c r="R26" i="33" s="1"/>
  <c r="S6" i="33"/>
  <c r="S14" i="33" s="1"/>
  <c r="S15" i="33" s="1"/>
  <c r="R14" i="33"/>
  <c r="R15" i="33" s="1"/>
  <c r="A9" i="1" l="1"/>
  <c r="AZ10" i="39" l="1"/>
  <c r="AZ11" i="39"/>
  <c r="AZ12" i="39"/>
  <c r="AZ13" i="39"/>
  <c r="AZ14" i="39"/>
  <c r="AZ15" i="39"/>
  <c r="AZ16" i="39"/>
  <c r="AZ17" i="39"/>
  <c r="AZ18" i="39"/>
  <c r="AZ19" i="39"/>
  <c r="AZ20" i="39"/>
  <c r="AZ21" i="39"/>
  <c r="AZ22" i="39"/>
  <c r="AZ23" i="39"/>
  <c r="AZ24" i="39"/>
  <c r="AZ25" i="39"/>
  <c r="AZ26" i="39"/>
  <c r="AZ27" i="39"/>
  <c r="AZ28" i="39"/>
  <c r="AZ29" i="39"/>
  <c r="AZ30" i="39"/>
  <c r="AZ31" i="39"/>
  <c r="AZ32" i="39"/>
  <c r="AZ33" i="39"/>
  <c r="AZ34" i="39"/>
  <c r="AZ35" i="39"/>
  <c r="AZ36" i="39"/>
  <c r="AZ37" i="39"/>
  <c r="AZ38" i="39"/>
  <c r="AZ39" i="39"/>
  <c r="AZ9" i="39"/>
  <c r="BH197" i="46" l="1"/>
  <c r="BG197" i="46"/>
  <c r="BF197" i="46"/>
  <c r="BE197" i="46"/>
  <c r="BD197" i="46"/>
  <c r="BH190" i="54"/>
  <c r="BG190" i="54"/>
  <c r="BF190" i="54"/>
  <c r="A6" i="46" l="1"/>
  <c r="B1" i="47"/>
  <c r="A4" i="47" s="1"/>
  <c r="F32" i="27" l="1"/>
  <c r="E32" i="27"/>
  <c r="D32" i="27"/>
  <c r="C32" i="27"/>
  <c r="C33" i="27" s="1"/>
  <c r="F23" i="27"/>
  <c r="E23" i="27"/>
  <c r="D23" i="27"/>
  <c r="C23" i="27"/>
  <c r="F14" i="27"/>
  <c r="E14" i="27"/>
  <c r="D14" i="27"/>
  <c r="C14" i="27"/>
  <c r="F32" i="29"/>
  <c r="E32" i="29"/>
  <c r="D32" i="29"/>
  <c r="C32" i="29"/>
  <c r="E33" i="29" s="1"/>
  <c r="F23" i="29"/>
  <c r="E23" i="29"/>
  <c r="D23" i="29"/>
  <c r="C23" i="29"/>
  <c r="F14" i="29"/>
  <c r="E14" i="29"/>
  <c r="D14" i="29"/>
  <c r="C14" i="29"/>
  <c r="F32" i="30"/>
  <c r="E32" i="30"/>
  <c r="D32" i="30"/>
  <c r="C32" i="30"/>
  <c r="C33" i="30" s="1"/>
  <c r="F23" i="30"/>
  <c r="E23" i="30"/>
  <c r="D23" i="30"/>
  <c r="C23" i="30"/>
  <c r="F14" i="30"/>
  <c r="E14" i="30"/>
  <c r="D14" i="30"/>
  <c r="C14" i="30"/>
  <c r="F32" i="31"/>
  <c r="E32" i="31"/>
  <c r="D32" i="31"/>
  <c r="C32" i="31"/>
  <c r="F23" i="31"/>
  <c r="E23" i="31"/>
  <c r="D23" i="31"/>
  <c r="C23" i="31"/>
  <c r="F14" i="31"/>
  <c r="E14" i="31"/>
  <c r="D14" i="31"/>
  <c r="C14" i="31"/>
  <c r="AA42" i="46" l="1"/>
  <c r="AB42" i="46" s="1"/>
  <c r="C34" i="27"/>
  <c r="D33" i="27"/>
  <c r="D24" i="27"/>
  <c r="E33" i="27"/>
  <c r="C34" i="29"/>
  <c r="K8" i="29" s="1"/>
  <c r="W29" i="54" s="1"/>
  <c r="C15" i="29"/>
  <c r="E33" i="30"/>
  <c r="D33" i="30"/>
  <c r="D33" i="31"/>
  <c r="D24" i="31"/>
  <c r="C34" i="31"/>
  <c r="E34" i="31"/>
  <c r="C34" i="30"/>
  <c r="C33" i="29"/>
  <c r="D34" i="31"/>
  <c r="D33" i="29"/>
  <c r="F34" i="30"/>
  <c r="C24" i="30"/>
  <c r="F34" i="31"/>
  <c r="C24" i="31"/>
  <c r="D15" i="29"/>
  <c r="D15" i="27"/>
  <c r="E33" i="31"/>
  <c r="D34" i="30"/>
  <c r="E34" i="29"/>
  <c r="E34" i="27"/>
  <c r="E24" i="31"/>
  <c r="E34" i="30"/>
  <c r="F34" i="29"/>
  <c r="F34" i="27"/>
  <c r="C33" i="31"/>
  <c r="C24" i="27"/>
  <c r="E24" i="27"/>
  <c r="E15" i="27"/>
  <c r="D34" i="27"/>
  <c r="C15" i="27"/>
  <c r="C24" i="29"/>
  <c r="E24" i="29"/>
  <c r="E15" i="29"/>
  <c r="D34" i="29"/>
  <c r="D24" i="29"/>
  <c r="C15" i="30"/>
  <c r="D15" i="30"/>
  <c r="E15" i="30"/>
  <c r="D24" i="30"/>
  <c r="E24" i="30"/>
  <c r="C15" i="31"/>
  <c r="D15" i="31"/>
  <c r="E15" i="31"/>
  <c r="AA29" i="54" l="1"/>
  <c r="AB29" i="54" s="1"/>
  <c r="X29" i="54"/>
  <c r="W29" i="46"/>
  <c r="X29" i="46" l="1"/>
  <c r="AA29" i="46"/>
  <c r="AB29" i="46" s="1"/>
  <c r="P13" i="45"/>
  <c r="P12" i="45" l="1"/>
  <c r="I46" i="29"/>
  <c r="P11" i="45" l="1"/>
  <c r="P10" i="45"/>
  <c r="I46" i="31"/>
  <c r="I46" i="30" l="1"/>
  <c r="P9" i="45" l="1"/>
  <c r="I46" i="32" l="1"/>
  <c r="AR10" i="46" l="1"/>
  <c r="BC10" i="46" s="1"/>
  <c r="AM10" i="46"/>
  <c r="F14" i="33"/>
  <c r="F23" i="33"/>
  <c r="AD10" i="46" l="1"/>
  <c r="M41" i="52" l="1"/>
  <c r="D41" i="52"/>
  <c r="M40" i="52"/>
  <c r="D40" i="52"/>
  <c r="M39" i="52"/>
  <c r="D39" i="52"/>
  <c r="M38" i="52"/>
  <c r="D38" i="52"/>
  <c r="M37" i="52"/>
  <c r="D37" i="52"/>
  <c r="M36" i="52"/>
  <c r="D36" i="52"/>
  <c r="M35" i="52"/>
  <c r="D35" i="52"/>
  <c r="M33" i="52"/>
  <c r="D33" i="52"/>
  <c r="M32" i="52"/>
  <c r="D32" i="52"/>
  <c r="M31" i="52"/>
  <c r="D31" i="52"/>
  <c r="M30" i="52"/>
  <c r="D30" i="52"/>
  <c r="M28" i="52"/>
  <c r="D28" i="52"/>
  <c r="M27" i="52"/>
  <c r="D27" i="52"/>
  <c r="M26" i="52"/>
  <c r="D26" i="52"/>
  <c r="M25" i="52"/>
  <c r="D25" i="52"/>
  <c r="M24" i="52"/>
  <c r="D24" i="52"/>
  <c r="M23" i="52"/>
  <c r="D23" i="52"/>
  <c r="M22" i="52"/>
  <c r="D22" i="52"/>
  <c r="M21" i="52"/>
  <c r="D21" i="52"/>
  <c r="M20" i="52"/>
  <c r="D20" i="52"/>
  <c r="M19" i="52"/>
  <c r="D19" i="52"/>
  <c r="M18" i="52"/>
  <c r="D18" i="52"/>
  <c r="M10" i="52"/>
  <c r="D10" i="52"/>
  <c r="M9" i="52"/>
  <c r="D9" i="52"/>
  <c r="M8" i="52"/>
  <c r="D8" i="52"/>
  <c r="M7" i="52"/>
  <c r="D7" i="52"/>
  <c r="M6" i="52"/>
  <c r="D6" i="52"/>
  <c r="M5" i="52"/>
  <c r="D5" i="52"/>
  <c r="M4" i="52"/>
  <c r="D4" i="52"/>
  <c r="E3" i="52"/>
  <c r="F3" i="52" s="1"/>
  <c r="G3" i="52" s="1"/>
  <c r="H3" i="52" s="1"/>
  <c r="M3" i="52" s="1"/>
  <c r="N3" i="52" s="1"/>
  <c r="O3" i="52" s="1"/>
  <c r="P3" i="52" s="1"/>
  <c r="Q3" i="52" s="1"/>
  <c r="D42" i="52" l="1"/>
  <c r="M42" i="52"/>
  <c r="I46" i="43" l="1"/>
  <c r="P37" i="45"/>
  <c r="P36" i="45"/>
  <c r="I46" i="37" s="1"/>
  <c r="P34" i="45"/>
  <c r="I46" i="7" s="1"/>
  <c r="P33" i="45"/>
  <c r="I46" i="8" s="1"/>
  <c r="P32" i="45"/>
  <c r="P31" i="45"/>
  <c r="I46" i="10" s="1"/>
  <c r="P30" i="45"/>
  <c r="I46" i="11" s="1"/>
  <c r="P29" i="45"/>
  <c r="P28" i="45"/>
  <c r="I46" i="13" s="1"/>
  <c r="P26" i="45"/>
  <c r="I46" i="15" s="1"/>
  <c r="P25" i="45"/>
  <c r="I46" i="16" s="1"/>
  <c r="P23" i="45"/>
  <c r="I46" i="18" s="1"/>
  <c r="P22" i="45"/>
  <c r="I46" i="19" s="1"/>
  <c r="P21" i="45"/>
  <c r="P20" i="45"/>
  <c r="I46" i="22" s="1"/>
  <c r="P17" i="45"/>
  <c r="I46" i="24" s="1"/>
  <c r="P15" i="45"/>
  <c r="I46" i="26" s="1"/>
  <c r="P14" i="45"/>
  <c r="I46" i="28" s="1"/>
  <c r="S40" i="45"/>
  <c r="L8" i="45"/>
  <c r="E40" i="45"/>
  <c r="W40" i="45" s="1"/>
  <c r="D8" i="45"/>
  <c r="AR9" i="46"/>
  <c r="BC9" i="46" s="1"/>
  <c r="AM9" i="46"/>
  <c r="AR8" i="46"/>
  <c r="BC8" i="46" s="1"/>
  <c r="AM8" i="46"/>
  <c r="AR7" i="46"/>
  <c r="BC7" i="46" s="1"/>
  <c r="AM7" i="46"/>
  <c r="AR6" i="46"/>
  <c r="BC6" i="46" s="1"/>
  <c r="AM6" i="46"/>
  <c r="N6" i="46"/>
  <c r="H6" i="46" s="1"/>
  <c r="J6" i="46" s="1"/>
  <c r="I46" i="4" l="1"/>
  <c r="I46" i="20"/>
  <c r="I46" i="12"/>
  <c r="I46" i="9"/>
  <c r="I46" i="27"/>
  <c r="L9" i="45"/>
  <c r="D9" i="45"/>
  <c r="AD8" i="46"/>
  <c r="AD6" i="46"/>
  <c r="AD9" i="46"/>
  <c r="P19" i="45"/>
  <c r="I46" i="21" s="1"/>
  <c r="P27" i="45"/>
  <c r="I46" i="14" s="1"/>
  <c r="P35" i="45"/>
  <c r="I46" i="6" s="1"/>
  <c r="H8" i="45"/>
  <c r="P8" i="45"/>
  <c r="I46" i="33" s="1"/>
  <c r="P16" i="45"/>
  <c r="I46" i="25" s="1"/>
  <c r="P24" i="45"/>
  <c r="I46" i="17" s="1"/>
  <c r="I40" i="45"/>
  <c r="P18" i="45"/>
  <c r="I46" i="23" s="1"/>
  <c r="M40" i="45"/>
  <c r="AD7" i="46"/>
  <c r="F32" i="37"/>
  <c r="F34" i="37" s="1"/>
  <c r="E32" i="37"/>
  <c r="D32" i="37"/>
  <c r="C32" i="37"/>
  <c r="E23" i="37"/>
  <c r="D23" i="37"/>
  <c r="C23" i="37"/>
  <c r="E14" i="37"/>
  <c r="D14" i="37"/>
  <c r="C14" i="37"/>
  <c r="F32" i="6"/>
  <c r="F34" i="6" s="1"/>
  <c r="E32" i="6"/>
  <c r="D32" i="6"/>
  <c r="C32" i="6"/>
  <c r="E23" i="6"/>
  <c r="D23" i="6"/>
  <c r="C23" i="6"/>
  <c r="E14" i="6"/>
  <c r="D14" i="6"/>
  <c r="C14" i="6"/>
  <c r="F32" i="7"/>
  <c r="F34" i="7" s="1"/>
  <c r="E32" i="7"/>
  <c r="D32" i="7"/>
  <c r="C32" i="7"/>
  <c r="E23" i="7"/>
  <c r="D23" i="7"/>
  <c r="C23" i="7"/>
  <c r="E14" i="7"/>
  <c r="D14" i="7"/>
  <c r="C14" i="7"/>
  <c r="F32" i="8"/>
  <c r="F34" i="8" s="1"/>
  <c r="E32" i="8"/>
  <c r="D32" i="8"/>
  <c r="C32" i="8"/>
  <c r="E23" i="8"/>
  <c r="D23" i="8"/>
  <c r="C23" i="8"/>
  <c r="E14" i="8"/>
  <c r="D14" i="8"/>
  <c r="C14" i="8"/>
  <c r="F32" i="9"/>
  <c r="F34" i="9" s="1"/>
  <c r="E32" i="9"/>
  <c r="D32" i="9"/>
  <c r="C32" i="9"/>
  <c r="E23" i="9"/>
  <c r="D23" i="9"/>
  <c r="C23" i="9"/>
  <c r="E14" i="9"/>
  <c r="D14" i="9"/>
  <c r="C14" i="9"/>
  <c r="F32" i="10"/>
  <c r="F34" i="10" s="1"/>
  <c r="E32" i="10"/>
  <c r="D32" i="10"/>
  <c r="C32" i="10"/>
  <c r="E23" i="10"/>
  <c r="D23" i="10"/>
  <c r="C23" i="10"/>
  <c r="E14" i="10"/>
  <c r="D14" i="10"/>
  <c r="C14" i="10"/>
  <c r="F32" i="11"/>
  <c r="F34" i="11" s="1"/>
  <c r="E32" i="11"/>
  <c r="D32" i="11"/>
  <c r="C32" i="11"/>
  <c r="E23" i="11"/>
  <c r="D23" i="11"/>
  <c r="C23" i="11"/>
  <c r="E14" i="11"/>
  <c r="D14" i="11"/>
  <c r="C14" i="11"/>
  <c r="F32" i="12"/>
  <c r="F34" i="12" s="1"/>
  <c r="E32" i="12"/>
  <c r="D32" i="12"/>
  <c r="C32" i="12"/>
  <c r="E23" i="12"/>
  <c r="D23" i="12"/>
  <c r="C23" i="12"/>
  <c r="E14" i="12"/>
  <c r="D14" i="12"/>
  <c r="C14" i="12"/>
  <c r="F32" i="13"/>
  <c r="E32" i="13"/>
  <c r="D32" i="13"/>
  <c r="C32" i="13"/>
  <c r="E23" i="13"/>
  <c r="D23" i="13"/>
  <c r="C23" i="13"/>
  <c r="E14" i="13"/>
  <c r="D14" i="13"/>
  <c r="C14" i="13"/>
  <c r="F32" i="14"/>
  <c r="F34" i="14" s="1"/>
  <c r="E32" i="14"/>
  <c r="D32" i="14"/>
  <c r="C32" i="14"/>
  <c r="E23" i="14"/>
  <c r="D23" i="14"/>
  <c r="C23" i="14"/>
  <c r="E14" i="14"/>
  <c r="D14" i="14"/>
  <c r="C14" i="14"/>
  <c r="F32" i="15"/>
  <c r="F34" i="15" s="1"/>
  <c r="E32" i="15"/>
  <c r="D32" i="15"/>
  <c r="C32" i="15"/>
  <c r="E23" i="15"/>
  <c r="D23" i="15"/>
  <c r="C23" i="15"/>
  <c r="E14" i="15"/>
  <c r="D14" i="15"/>
  <c r="C14" i="15"/>
  <c r="F32" i="16"/>
  <c r="F34" i="16" s="1"/>
  <c r="E32" i="16"/>
  <c r="D32" i="16"/>
  <c r="C32" i="16"/>
  <c r="E23" i="16"/>
  <c r="D23" i="16"/>
  <c r="C23" i="16"/>
  <c r="E14" i="16"/>
  <c r="D14" i="16"/>
  <c r="C14" i="16"/>
  <c r="F32" i="17"/>
  <c r="E32" i="17"/>
  <c r="D32" i="17"/>
  <c r="C32" i="17"/>
  <c r="E23" i="17"/>
  <c r="D23" i="17"/>
  <c r="C23" i="17"/>
  <c r="E14" i="17"/>
  <c r="D14" i="17"/>
  <c r="C14" i="17"/>
  <c r="F32" i="18"/>
  <c r="F34" i="18" s="1"/>
  <c r="E32" i="18"/>
  <c r="D32" i="18"/>
  <c r="C32" i="18"/>
  <c r="E23" i="18"/>
  <c r="D23" i="18"/>
  <c r="C23" i="18"/>
  <c r="E14" i="18"/>
  <c r="D14" i="18"/>
  <c r="C14" i="18"/>
  <c r="F32" i="19"/>
  <c r="F34" i="19" s="1"/>
  <c r="E32" i="19"/>
  <c r="D32" i="19"/>
  <c r="C32" i="19"/>
  <c r="E23" i="19"/>
  <c r="D23" i="19"/>
  <c r="C23" i="19"/>
  <c r="E14" i="19"/>
  <c r="D14" i="19"/>
  <c r="C14" i="19"/>
  <c r="F32" i="20"/>
  <c r="F34" i="20" s="1"/>
  <c r="E32" i="20"/>
  <c r="D32" i="20"/>
  <c r="C32" i="20"/>
  <c r="E23" i="20"/>
  <c r="D23" i="20"/>
  <c r="C23" i="20"/>
  <c r="E14" i="20"/>
  <c r="D14" i="20"/>
  <c r="C14" i="20"/>
  <c r="F32" i="22"/>
  <c r="F34" i="22" s="1"/>
  <c r="E32" i="22"/>
  <c r="D32" i="22"/>
  <c r="C32" i="22"/>
  <c r="E23" i="22"/>
  <c r="D23" i="22"/>
  <c r="C23" i="22"/>
  <c r="E14" i="22"/>
  <c r="D14" i="22"/>
  <c r="C14" i="22"/>
  <c r="F32" i="21"/>
  <c r="F34" i="21" s="1"/>
  <c r="E32" i="21"/>
  <c r="D32" i="21"/>
  <c r="C32" i="21"/>
  <c r="E23" i="21"/>
  <c r="D23" i="21"/>
  <c r="C23" i="21"/>
  <c r="E14" i="21"/>
  <c r="D14" i="21"/>
  <c r="C14" i="21"/>
  <c r="F32" i="23"/>
  <c r="F34" i="23" s="1"/>
  <c r="E32" i="23"/>
  <c r="D32" i="23"/>
  <c r="C32" i="23"/>
  <c r="E23" i="23"/>
  <c r="D23" i="23"/>
  <c r="C23" i="23"/>
  <c r="E14" i="23"/>
  <c r="D14" i="23"/>
  <c r="C14" i="23"/>
  <c r="F32" i="24"/>
  <c r="E32" i="24"/>
  <c r="D32" i="24"/>
  <c r="C32" i="24"/>
  <c r="E23" i="24"/>
  <c r="D23" i="24"/>
  <c r="C23" i="24"/>
  <c r="E14" i="24"/>
  <c r="D14" i="24"/>
  <c r="C14" i="24"/>
  <c r="F32" i="25"/>
  <c r="F34" i="25" s="1"/>
  <c r="E32" i="25"/>
  <c r="D32" i="25"/>
  <c r="C32" i="25"/>
  <c r="E23" i="25"/>
  <c r="D23" i="25"/>
  <c r="C23" i="25"/>
  <c r="E14" i="25"/>
  <c r="D14" i="25"/>
  <c r="C14" i="25"/>
  <c r="F32" i="26"/>
  <c r="E32" i="26"/>
  <c r="D32" i="26"/>
  <c r="C32" i="26"/>
  <c r="E23" i="26"/>
  <c r="D23" i="26"/>
  <c r="C23" i="26"/>
  <c r="E14" i="26"/>
  <c r="D14" i="26"/>
  <c r="C14" i="26"/>
  <c r="F32" i="28"/>
  <c r="F34" i="28" s="1"/>
  <c r="E32" i="28"/>
  <c r="D32" i="28"/>
  <c r="C32" i="28"/>
  <c r="E23" i="28"/>
  <c r="D23" i="28"/>
  <c r="C23" i="28"/>
  <c r="E14" i="28"/>
  <c r="D14" i="28"/>
  <c r="C14" i="28"/>
  <c r="F32" i="32"/>
  <c r="E32" i="32"/>
  <c r="D32" i="32"/>
  <c r="C32" i="32"/>
  <c r="E23" i="32"/>
  <c r="D23" i="32"/>
  <c r="C23" i="32"/>
  <c r="E14" i="32"/>
  <c r="D14" i="32"/>
  <c r="C14" i="32"/>
  <c r="D24" i="26" l="1"/>
  <c r="C33" i="23"/>
  <c r="D33" i="19"/>
  <c r="E33" i="21"/>
  <c r="D33" i="23"/>
  <c r="C33" i="25"/>
  <c r="C34" i="21"/>
  <c r="C33" i="22"/>
  <c r="D34" i="21"/>
  <c r="D24" i="17"/>
  <c r="C24" i="9"/>
  <c r="E33" i="25"/>
  <c r="C33" i="18"/>
  <c r="E15" i="16"/>
  <c r="C33" i="14"/>
  <c r="D33" i="26"/>
  <c r="C33" i="12"/>
  <c r="D10" i="45"/>
  <c r="D11" i="45" s="1"/>
  <c r="L10" i="45"/>
  <c r="L11" i="45" s="1"/>
  <c r="D33" i="25"/>
  <c r="E33" i="19"/>
  <c r="E34" i="25"/>
  <c r="D33" i="24"/>
  <c r="D34" i="19"/>
  <c r="Z87" i="54" s="1"/>
  <c r="D33" i="18"/>
  <c r="D24" i="12"/>
  <c r="E33" i="10"/>
  <c r="E34" i="19"/>
  <c r="E24" i="28"/>
  <c r="D24" i="8"/>
  <c r="E34" i="7"/>
  <c r="C33" i="37"/>
  <c r="C34" i="23"/>
  <c r="K16" i="23" s="1"/>
  <c r="W66" i="54" s="1"/>
  <c r="E33" i="23"/>
  <c r="C24" i="21"/>
  <c r="C15" i="13"/>
  <c r="D34" i="10"/>
  <c r="C34" i="7"/>
  <c r="K17" i="7" s="1"/>
  <c r="W157" i="54" s="1"/>
  <c r="E24" i="10"/>
  <c r="C24" i="24"/>
  <c r="C33" i="21"/>
  <c r="H9" i="45"/>
  <c r="C15" i="32"/>
  <c r="E33" i="18"/>
  <c r="D15" i="32"/>
  <c r="D24" i="21"/>
  <c r="E24" i="20"/>
  <c r="D24" i="19"/>
  <c r="D33" i="15"/>
  <c r="E24" i="11"/>
  <c r="C34" i="37"/>
  <c r="K17" i="37" s="1"/>
  <c r="E15" i="32"/>
  <c r="C33" i="26"/>
  <c r="C33" i="24"/>
  <c r="C15" i="21"/>
  <c r="E24" i="21"/>
  <c r="E34" i="18"/>
  <c r="D33" i="17"/>
  <c r="C24" i="16"/>
  <c r="D34" i="12"/>
  <c r="E33" i="11"/>
  <c r="D34" i="37"/>
  <c r="E33" i="26"/>
  <c r="E34" i="21"/>
  <c r="D33" i="21"/>
  <c r="C34" i="20"/>
  <c r="K16" i="20" s="1"/>
  <c r="W82" i="54" s="1"/>
  <c r="E33" i="20"/>
  <c r="E33" i="17"/>
  <c r="E24" i="32"/>
  <c r="D15" i="22"/>
  <c r="D34" i="20"/>
  <c r="C33" i="16"/>
  <c r="D24" i="15"/>
  <c r="C33" i="13"/>
  <c r="D34" i="11"/>
  <c r="E33" i="7"/>
  <c r="E15" i="26"/>
  <c r="D15" i="24"/>
  <c r="D33" i="13"/>
  <c r="D34" i="7"/>
  <c r="D33" i="6"/>
  <c r="D34" i="14"/>
  <c r="D33" i="22"/>
  <c r="D34" i="15"/>
  <c r="C24" i="13"/>
  <c r="E24" i="13"/>
  <c r="D24" i="23"/>
  <c r="C24" i="23"/>
  <c r="E24" i="23"/>
  <c r="E24" i="14"/>
  <c r="D24" i="24"/>
  <c r="D24" i="28"/>
  <c r="C33" i="15"/>
  <c r="E34" i="37"/>
  <c r="E15" i="37"/>
  <c r="C24" i="37"/>
  <c r="C34" i="12"/>
  <c r="E34" i="20"/>
  <c r="D33" i="11"/>
  <c r="E33" i="8"/>
  <c r="E24" i="25"/>
  <c r="E24" i="24"/>
  <c r="D34" i="22"/>
  <c r="D15" i="20"/>
  <c r="E24" i="18"/>
  <c r="E34" i="16"/>
  <c r="C34" i="14"/>
  <c r="K16" i="14" s="1"/>
  <c r="W113" i="54" s="1"/>
  <c r="D33" i="14"/>
  <c r="D15" i="13"/>
  <c r="D34" i="8"/>
  <c r="E34" i="6"/>
  <c r="D33" i="37"/>
  <c r="E15" i="17"/>
  <c r="E33" i="15"/>
  <c r="E15" i="7"/>
  <c r="C34" i="28"/>
  <c r="E33" i="28"/>
  <c r="E34" i="22"/>
  <c r="E24" i="19"/>
  <c r="E33" i="14"/>
  <c r="E15" i="13"/>
  <c r="E33" i="13"/>
  <c r="D15" i="12"/>
  <c r="E34" i="8"/>
  <c r="D24" i="7"/>
  <c r="C33" i="6"/>
  <c r="E33" i="37"/>
  <c r="C34" i="22"/>
  <c r="D24" i="16"/>
  <c r="C34" i="10"/>
  <c r="K7" i="10" s="1"/>
  <c r="W134" i="54" s="1"/>
  <c r="D34" i="28"/>
  <c r="C15" i="24"/>
  <c r="D34" i="23"/>
  <c r="C15" i="17"/>
  <c r="C34" i="16"/>
  <c r="D15" i="11"/>
  <c r="D15" i="10"/>
  <c r="C34" i="9"/>
  <c r="E33" i="9"/>
  <c r="C34" i="8"/>
  <c r="K17" i="8" s="1"/>
  <c r="W149" i="54" s="1"/>
  <c r="D24" i="9"/>
  <c r="E33" i="22"/>
  <c r="C24" i="18"/>
  <c r="E33" i="12"/>
  <c r="D33" i="10"/>
  <c r="E34" i="28"/>
  <c r="C34" i="25"/>
  <c r="E34" i="23"/>
  <c r="D33" i="20"/>
  <c r="C34" i="18"/>
  <c r="K16" i="18" s="1"/>
  <c r="W92" i="54" s="1"/>
  <c r="D34" i="16"/>
  <c r="D33" i="16"/>
  <c r="D15" i="14"/>
  <c r="D24" i="11"/>
  <c r="D24" i="10"/>
  <c r="D34" i="9"/>
  <c r="C33" i="7"/>
  <c r="C34" i="6"/>
  <c r="K17" i="6" s="1"/>
  <c r="W163" i="54" s="1"/>
  <c r="E33" i="6"/>
  <c r="D24" i="37"/>
  <c r="D33" i="12"/>
  <c r="D24" i="25"/>
  <c r="C34" i="15"/>
  <c r="C34" i="11"/>
  <c r="E24" i="9"/>
  <c r="C24" i="6"/>
  <c r="C24" i="28"/>
  <c r="D34" i="25"/>
  <c r="E15" i="24"/>
  <c r="E33" i="24"/>
  <c r="E24" i="22"/>
  <c r="C34" i="19"/>
  <c r="K16" i="19" s="1"/>
  <c r="W87" i="54" s="1"/>
  <c r="D34" i="18"/>
  <c r="Z92" i="54" s="1"/>
  <c r="C33" i="17"/>
  <c r="E33" i="16"/>
  <c r="E24" i="15"/>
  <c r="D24" i="14"/>
  <c r="D24" i="13"/>
  <c r="E24" i="12"/>
  <c r="E34" i="9"/>
  <c r="D33" i="7"/>
  <c r="P40" i="45"/>
  <c r="C15" i="37"/>
  <c r="E24" i="37"/>
  <c r="D15" i="37"/>
  <c r="D24" i="6"/>
  <c r="C15" i="6"/>
  <c r="E24" i="6"/>
  <c r="D15" i="6"/>
  <c r="E15" i="6"/>
  <c r="D34" i="6"/>
  <c r="C24" i="7"/>
  <c r="C15" i="7"/>
  <c r="E24" i="7"/>
  <c r="D15" i="7"/>
  <c r="C33" i="8"/>
  <c r="C24" i="8"/>
  <c r="D33" i="8"/>
  <c r="C15" i="8"/>
  <c r="E24" i="8"/>
  <c r="D15" i="8"/>
  <c r="E15" i="8"/>
  <c r="C33" i="9"/>
  <c r="D33" i="9"/>
  <c r="C15" i="9"/>
  <c r="D15" i="9"/>
  <c r="E15" i="9"/>
  <c r="E15" i="10"/>
  <c r="E34" i="10"/>
  <c r="C33" i="10"/>
  <c r="C24" i="10"/>
  <c r="C15" i="10"/>
  <c r="E15" i="11"/>
  <c r="E34" i="11"/>
  <c r="C33" i="11"/>
  <c r="C24" i="11"/>
  <c r="C15" i="11"/>
  <c r="E15" i="12"/>
  <c r="E34" i="12"/>
  <c r="C24" i="12"/>
  <c r="C15" i="12"/>
  <c r="E15" i="14"/>
  <c r="E34" i="14"/>
  <c r="C24" i="14"/>
  <c r="C15" i="14"/>
  <c r="D15" i="15"/>
  <c r="E15" i="15"/>
  <c r="E34" i="15"/>
  <c r="C24" i="15"/>
  <c r="C15" i="15"/>
  <c r="C15" i="16"/>
  <c r="E24" i="16"/>
  <c r="D15" i="16"/>
  <c r="C24" i="17"/>
  <c r="E24" i="17"/>
  <c r="D15" i="17"/>
  <c r="D24" i="18"/>
  <c r="C15" i="18"/>
  <c r="D15" i="18"/>
  <c r="E15" i="18"/>
  <c r="C33" i="19"/>
  <c r="C24" i="19"/>
  <c r="C15" i="19"/>
  <c r="D15" i="19"/>
  <c r="E15" i="19"/>
  <c r="C33" i="20"/>
  <c r="C24" i="20"/>
  <c r="D24" i="20"/>
  <c r="C15" i="20"/>
  <c r="E15" i="20"/>
  <c r="C24" i="22"/>
  <c r="C15" i="22"/>
  <c r="D24" i="22"/>
  <c r="E15" i="22"/>
  <c r="D15" i="21"/>
  <c r="E15" i="21"/>
  <c r="C15" i="23"/>
  <c r="D15" i="23"/>
  <c r="E15" i="23"/>
  <c r="C24" i="25"/>
  <c r="C15" i="25"/>
  <c r="D15" i="25"/>
  <c r="E15" i="25"/>
  <c r="C15" i="26"/>
  <c r="E24" i="26"/>
  <c r="D15" i="26"/>
  <c r="C24" i="26"/>
  <c r="C33" i="28"/>
  <c r="D33" i="28"/>
  <c r="C15" i="28"/>
  <c r="D15" i="28"/>
  <c r="E15" i="28"/>
  <c r="C24" i="32"/>
  <c r="D24" i="32"/>
  <c r="C33" i="32"/>
  <c r="E33" i="32"/>
  <c r="D33" i="32"/>
  <c r="AA92" i="54" l="1"/>
  <c r="AB92" i="54" s="1"/>
  <c r="X92" i="54"/>
  <c r="AB157" i="54"/>
  <c r="X157" i="54"/>
  <c r="AA87" i="54"/>
  <c r="AB87" i="54" s="1"/>
  <c r="X87" i="54"/>
  <c r="X149" i="54"/>
  <c r="AB149" i="54"/>
  <c r="AA113" i="54"/>
  <c r="AB113" i="54" s="1"/>
  <c r="X113" i="54"/>
  <c r="W169" i="54"/>
  <c r="W169" i="46"/>
  <c r="X163" i="54"/>
  <c r="AB163" i="54"/>
  <c r="AB134" i="54"/>
  <c r="X134" i="54"/>
  <c r="X82" i="54"/>
  <c r="AA82" i="54"/>
  <c r="AB82" i="54" s="1"/>
  <c r="AA66" i="54"/>
  <c r="AB66" i="54" s="1"/>
  <c r="X66" i="54"/>
  <c r="W163" i="46"/>
  <c r="W157" i="46"/>
  <c r="W149" i="46"/>
  <c r="W134" i="46"/>
  <c r="Z92" i="46"/>
  <c r="Z87" i="46"/>
  <c r="W92" i="46"/>
  <c r="W87" i="46"/>
  <c r="W113" i="46"/>
  <c r="W82" i="46"/>
  <c r="W66" i="46"/>
  <c r="E35" i="6"/>
  <c r="L12" i="45"/>
  <c r="D12" i="45"/>
  <c r="H10" i="45"/>
  <c r="H11" i="45" s="1"/>
  <c r="D35" i="6"/>
  <c r="C35" i="6"/>
  <c r="P9" i="39"/>
  <c r="AO9" i="39"/>
  <c r="X169" i="46" l="1"/>
  <c r="AB169" i="46"/>
  <c r="AB169" i="54"/>
  <c r="X169" i="54"/>
  <c r="X157" i="46"/>
  <c r="AB157" i="46"/>
  <c r="X163" i="46"/>
  <c r="AB163" i="46"/>
  <c r="X149" i="46"/>
  <c r="AB149" i="46"/>
  <c r="X134" i="46"/>
  <c r="AB134" i="46"/>
  <c r="AA87" i="46"/>
  <c r="AB87" i="46" s="1"/>
  <c r="X87" i="46"/>
  <c r="AA92" i="46"/>
  <c r="AB92" i="46" s="1"/>
  <c r="X92" i="46"/>
  <c r="AA113" i="46"/>
  <c r="AB113" i="46" s="1"/>
  <c r="X113" i="46"/>
  <c r="AA82" i="46"/>
  <c r="AB82" i="46" s="1"/>
  <c r="X82" i="46"/>
  <c r="AA66" i="46"/>
  <c r="AB66" i="46" s="1"/>
  <c r="X66" i="46"/>
  <c r="B8" i="45"/>
  <c r="D13" i="45"/>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3" i="45"/>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H12" i="45"/>
  <c r="AJ9" i="39"/>
  <c r="Q9" i="39"/>
  <c r="AP9" i="39"/>
  <c r="AI9" i="39"/>
  <c r="N8" i="45" l="1"/>
  <c r="T8" i="45"/>
  <c r="F8" i="45"/>
  <c r="X8" i="45" s="1"/>
  <c r="J8" i="45"/>
  <c r="Q8" i="45"/>
  <c r="H13" i="45"/>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AK9" i="39"/>
  <c r="AQ9" i="39"/>
  <c r="DM10" i="2" l="1"/>
  <c r="DM11" i="2" l="1"/>
  <c r="DM12" i="2" l="1"/>
  <c r="DM13" i="2" l="1"/>
  <c r="GL35" i="1"/>
  <c r="GO35" i="1"/>
  <c r="GR35" i="1"/>
  <c r="GU35" i="1"/>
  <c r="GX35" i="1"/>
  <c r="GL36" i="1"/>
  <c r="GO36" i="1"/>
  <c r="GR36" i="1"/>
  <c r="GU36" i="1"/>
  <c r="GX36" i="1"/>
  <c r="GL37" i="1"/>
  <c r="GO37" i="1"/>
  <c r="GR37" i="1"/>
  <c r="GU37" i="1"/>
  <c r="GX37" i="1"/>
  <c r="GL38" i="1"/>
  <c r="GO38" i="1"/>
  <c r="GR38" i="1"/>
  <c r="GU38" i="1"/>
  <c r="GX38" i="1"/>
  <c r="GL39" i="1"/>
  <c r="GO39" i="1"/>
  <c r="GR39" i="1"/>
  <c r="GU39" i="1"/>
  <c r="GX39" i="1"/>
  <c r="DM14" i="2" l="1"/>
  <c r="EM40" i="2"/>
  <c r="DW40" i="2"/>
  <c r="CO40" i="2"/>
  <c r="CI40" i="2"/>
  <c r="BW40" i="2"/>
  <c r="DM15" i="2" l="1"/>
  <c r="EU40" i="2"/>
  <c r="DL40" i="2" s="1"/>
  <c r="L40" i="2" l="1"/>
  <c r="DT40" i="2"/>
  <c r="EB40" i="2"/>
  <c r="BH40" i="2"/>
  <c r="AJ40" i="2"/>
  <c r="AV40" i="2"/>
  <c r="X40" i="2"/>
  <c r="AR40" i="2"/>
  <c r="CB40" i="2"/>
  <c r="AF40" i="2"/>
  <c r="CZ40" i="2"/>
  <c r="ER40" i="2"/>
  <c r="DD40" i="2"/>
  <c r="AN40" i="2"/>
  <c r="BD40" i="2"/>
  <c r="H40" i="2"/>
  <c r="BX40" i="2"/>
  <c r="CV40" i="2"/>
  <c r="EJ40" i="2"/>
  <c r="EF40" i="2"/>
  <c r="CJ40" i="2"/>
  <c r="EN40" i="2"/>
  <c r="DX40" i="2"/>
  <c r="CR40" i="2"/>
  <c r="AZ40" i="2"/>
  <c r="AB40" i="2"/>
  <c r="CN40" i="2"/>
  <c r="P40" i="2"/>
  <c r="T40" i="2"/>
  <c r="DM16" i="2"/>
  <c r="CF40" i="2"/>
  <c r="DP40" i="2"/>
  <c r="DH40" i="2"/>
  <c r="DM17" i="2" l="1"/>
  <c r="F42" i="7"/>
  <c r="G42" i="7"/>
  <c r="I37" i="7" s="1"/>
  <c r="DM18" i="2" l="1"/>
  <c r="DM19" i="2" l="1"/>
  <c r="DM20" i="2" l="1"/>
  <c r="GL33" i="1"/>
  <c r="GO33" i="1"/>
  <c r="GR33" i="1"/>
  <c r="GU33" i="1"/>
  <c r="GX33" i="1"/>
  <c r="GL34" i="1"/>
  <c r="GO34" i="1"/>
  <c r="GR34" i="1"/>
  <c r="GU34" i="1"/>
  <c r="GX34" i="1"/>
  <c r="DM21" i="2" l="1"/>
  <c r="DM22" i="2" l="1"/>
  <c r="DM23" i="2" l="1"/>
  <c r="DM24" i="2" l="1"/>
  <c r="DM25" i="2" l="1"/>
  <c r="DM26" i="2" l="1"/>
  <c r="DM27" i="2" l="1"/>
  <c r="DM28" i="2" l="1"/>
  <c r="DM29" i="2" l="1"/>
  <c r="DM30" i="2" l="1"/>
  <c r="DM31" i="2" l="1"/>
  <c r="DM32" i="2" l="1"/>
  <c r="DM33" i="2" l="1"/>
  <c r="DM34" i="2" l="1"/>
  <c r="GL30" i="1"/>
  <c r="GO30" i="1"/>
  <c r="GR30" i="1"/>
  <c r="GU30" i="1"/>
  <c r="GX30" i="1"/>
  <c r="HA30" i="1"/>
  <c r="GL31" i="1"/>
  <c r="GO31" i="1"/>
  <c r="GR31" i="1"/>
  <c r="GU31" i="1"/>
  <c r="GX31" i="1"/>
  <c r="HA31" i="1"/>
  <c r="GL32" i="1"/>
  <c r="GO32" i="1"/>
  <c r="GR32" i="1"/>
  <c r="GU32" i="1"/>
  <c r="GX32" i="1"/>
  <c r="HA32" i="1"/>
  <c r="DM35" i="2" l="1"/>
  <c r="DM36" i="2" l="1"/>
  <c r="DM37" i="2" l="1"/>
  <c r="DM38" i="2" s="1"/>
  <c r="DM39" i="2" s="1"/>
  <c r="DM40" i="2" l="1"/>
  <c r="GO29" i="1" l="1"/>
  <c r="GR29" i="1"/>
  <c r="GU29" i="1"/>
  <c r="GX29" i="1"/>
  <c r="HA29" i="1"/>
  <c r="HD29" i="1"/>
  <c r="HG29" i="1"/>
  <c r="HJ29" i="1"/>
  <c r="HD30" i="1"/>
  <c r="HG30" i="1"/>
  <c r="HJ30" i="1"/>
  <c r="HD31" i="1"/>
  <c r="HG31" i="1"/>
  <c r="HJ31" i="1"/>
  <c r="HD32" i="1"/>
  <c r="HG32" i="1"/>
  <c r="HJ32" i="1"/>
  <c r="GU28" i="1" l="1"/>
  <c r="GR28" i="1"/>
  <c r="GO28" i="1"/>
  <c r="GL28" i="1"/>
  <c r="GU27" i="1"/>
  <c r="GR27" i="1"/>
  <c r="GO27" i="1"/>
  <c r="GL27" i="1"/>
  <c r="GU26" i="1"/>
  <c r="GR26" i="1"/>
  <c r="GO26" i="1"/>
  <c r="GL26" i="1"/>
  <c r="F42" i="15" l="1"/>
  <c r="G42" i="15" l="1"/>
  <c r="I37" i="15" s="1"/>
  <c r="F42" i="17"/>
  <c r="G42" i="17"/>
  <c r="I37" i="17" s="1"/>
  <c r="G42" i="20" l="1"/>
  <c r="I37" i="20" s="1"/>
  <c r="F42" i="20"/>
  <c r="P20" i="39" l="1"/>
  <c r="B19" i="45" l="1"/>
  <c r="BH20" i="39"/>
  <c r="T19" i="45"/>
  <c r="F19" i="45"/>
  <c r="X19" i="45" s="1"/>
  <c r="N19" i="45"/>
  <c r="J19" i="45"/>
  <c r="Q19" i="45"/>
  <c r="C41" i="24" l="1"/>
  <c r="F42" i="25" l="1"/>
  <c r="F42" i="26"/>
  <c r="G42" i="25" l="1"/>
  <c r="I37" i="25" s="1"/>
  <c r="G42" i="26"/>
  <c r="I37" i="26" s="1"/>
  <c r="CI39" i="2" l="1"/>
  <c r="CI38" i="2"/>
  <c r="CI37" i="2"/>
  <c r="CI36" i="2"/>
  <c r="CI35" i="2"/>
  <c r="CI34" i="2"/>
  <c r="CI33" i="2"/>
  <c r="CI32" i="2"/>
  <c r="CI31" i="2"/>
  <c r="CI30" i="2"/>
  <c r="CI29" i="2"/>
  <c r="CI28" i="2"/>
  <c r="CI27" i="2"/>
  <c r="CI26" i="2"/>
  <c r="CI25" i="2"/>
  <c r="CI24" i="2"/>
  <c r="CI23" i="2"/>
  <c r="CI22" i="2"/>
  <c r="CI21" i="2"/>
  <c r="CI20" i="2"/>
  <c r="CI19" i="2"/>
  <c r="CI18" i="2"/>
  <c r="CI17" i="2"/>
  <c r="CI16" i="2"/>
  <c r="CI14" i="2"/>
  <c r="CI13" i="2"/>
  <c r="CI12" i="2"/>
  <c r="CI11" i="2"/>
  <c r="CA42" i="2"/>
  <c r="CE42" i="2"/>
  <c r="CI10" i="2"/>
  <c r="CK10" i="2" s="1"/>
  <c r="CC10" i="2"/>
  <c r="CC11" i="2" s="1"/>
  <c r="CC12" i="2" s="1"/>
  <c r="CC13" i="2" s="1"/>
  <c r="CC14" i="2" s="1"/>
  <c r="CC15" i="2" l="1"/>
  <c r="CC16" i="2" s="1"/>
  <c r="CC17" i="2" s="1"/>
  <c r="CC18" i="2" s="1"/>
  <c r="CC19" i="2" s="1"/>
  <c r="CC20" i="2" s="1"/>
  <c r="CC21" i="2" s="1"/>
  <c r="CC22" i="2" s="1"/>
  <c r="CC23" i="2" s="1"/>
  <c r="CC24" i="2" s="1"/>
  <c r="CC25" i="2" s="1"/>
  <c r="CC26" i="2" s="1"/>
  <c r="CC27" i="2" s="1"/>
  <c r="CC28" i="2" s="1"/>
  <c r="CC29" i="2" s="1"/>
  <c r="CC30" i="2" s="1"/>
  <c r="CC31" i="2" s="1"/>
  <c r="CC32" i="2" s="1"/>
  <c r="CC33" i="2" s="1"/>
  <c r="CC34" i="2" s="1"/>
  <c r="CC35" i="2" s="1"/>
  <c r="CC36" i="2" s="1"/>
  <c r="CC37" i="2" s="1"/>
  <c r="CC38" i="2" s="1"/>
  <c r="CC39" i="2" s="1"/>
  <c r="CC40" i="2" s="1"/>
  <c r="CK11" i="2"/>
  <c r="CK12" i="2" s="1"/>
  <c r="CK13" i="2" s="1"/>
  <c r="CI15" i="2"/>
  <c r="CI42" i="2" s="1"/>
  <c r="CG10" i="2"/>
  <c r="CG11" i="2" s="1"/>
  <c r="CG12" i="2" s="1"/>
  <c r="CG13" i="2" s="1"/>
  <c r="CK14" i="2" l="1"/>
  <c r="CG14" i="2"/>
  <c r="CK15" i="2" l="1"/>
  <c r="CG15" i="2"/>
  <c r="CK16" i="2" l="1"/>
  <c r="CG16" i="2"/>
  <c r="CK17" i="2" l="1"/>
  <c r="CG17" i="2"/>
  <c r="CK18" i="2" l="1"/>
  <c r="CG18" i="2"/>
  <c r="CK19" i="2" l="1"/>
  <c r="CG19" i="2"/>
  <c r="CK20" i="2" l="1"/>
  <c r="CG20" i="2"/>
  <c r="CK21" i="2" l="1"/>
  <c r="CG21" i="2"/>
  <c r="CK22" i="2" l="1"/>
  <c r="CG22" i="2"/>
  <c r="CK23" i="2" l="1"/>
  <c r="CG23" i="2"/>
  <c r="CK24" i="2" l="1"/>
  <c r="CG24" i="2"/>
  <c r="CK25" i="2" l="1"/>
  <c r="CG25" i="2"/>
  <c r="CK26" i="2" l="1"/>
  <c r="CG26" i="2"/>
  <c r="CK27" i="2" l="1"/>
  <c r="CG27" i="2"/>
  <c r="CK28" i="2" l="1"/>
  <c r="CG28" i="2"/>
  <c r="CK29" i="2" l="1"/>
  <c r="CG29" i="2"/>
  <c r="CK30" i="2" l="1"/>
  <c r="CG30" i="2"/>
  <c r="CK31" i="2" l="1"/>
  <c r="CG31" i="2"/>
  <c r="CK32" i="2" l="1"/>
  <c r="CG32" i="2"/>
  <c r="CK33" i="2" l="1"/>
  <c r="CG33" i="2"/>
  <c r="CK34" i="2" l="1"/>
  <c r="CG34" i="2"/>
  <c r="CK35" i="2" l="1"/>
  <c r="CG35" i="2"/>
  <c r="CK36" i="2" l="1"/>
  <c r="CG36" i="2"/>
  <c r="CK37" i="2" l="1"/>
  <c r="CG37" i="2"/>
  <c r="CK38" i="2" l="1"/>
  <c r="CG38" i="2"/>
  <c r="CK39" i="2" l="1"/>
  <c r="CK40" i="2" s="1"/>
  <c r="CG39" i="2"/>
  <c r="CG40" i="2" s="1"/>
  <c r="J8" i="32" l="1"/>
  <c r="J8" i="31" s="1"/>
  <c r="BE190" i="54" l="1"/>
  <c r="BD190" i="54"/>
  <c r="BB190" i="54"/>
  <c r="AY190" i="54"/>
  <c r="AX190" i="54"/>
  <c r="AW190" i="54"/>
  <c r="AV190" i="54"/>
  <c r="AU190" i="54"/>
  <c r="AT190" i="54"/>
  <c r="AS190" i="54"/>
  <c r="AQ190" i="54"/>
  <c r="AP190" i="54"/>
  <c r="AO190" i="54"/>
  <c r="AN190" i="54"/>
  <c r="AL190" i="54"/>
  <c r="AK190" i="54"/>
  <c r="AJ190" i="54"/>
  <c r="AI190" i="54"/>
  <c r="AH190" i="54"/>
  <c r="AG190" i="54"/>
  <c r="AF190" i="54"/>
  <c r="Y190" i="54"/>
  <c r="Y192" i="54" s="1"/>
  <c r="S190" i="54"/>
  <c r="R190" i="54"/>
  <c r="Q190" i="54"/>
  <c r="Q191" i="54" s="1"/>
  <c r="AR189" i="54"/>
  <c r="AM189" i="54"/>
  <c r="AC189" i="54"/>
  <c r="AA189" i="54"/>
  <c r="BH192" i="54" l="1"/>
  <c r="BF192" i="54"/>
  <c r="BG192" i="54"/>
  <c r="BD192" i="54"/>
  <c r="BE192" i="54"/>
  <c r="S191" i="54"/>
  <c r="R191" i="54"/>
  <c r="AR190" i="54"/>
  <c r="BC190" i="54"/>
  <c r="AM190" i="54"/>
  <c r="S192" i="54" s="1"/>
  <c r="KQ41" i="1"/>
  <c r="KN41" i="1"/>
  <c r="KK41" i="1"/>
  <c r="KH41" i="1"/>
  <c r="KE41" i="1"/>
  <c r="KB41" i="1"/>
  <c r="JY41" i="1"/>
  <c r="JV41" i="1"/>
  <c r="JS41" i="1"/>
  <c r="JP41" i="1"/>
  <c r="JM41" i="1"/>
  <c r="JJ41" i="1"/>
  <c r="JG41" i="1"/>
  <c r="JD41" i="1"/>
  <c r="JA41" i="1"/>
  <c r="IX41" i="1"/>
  <c r="IU41" i="1"/>
  <c r="IR41" i="1"/>
  <c r="IO41" i="1"/>
  <c r="IL41" i="1"/>
  <c r="IF41" i="1"/>
  <c r="IC41" i="1"/>
  <c r="HZ41" i="1"/>
  <c r="HW41" i="1"/>
  <c r="HT41" i="1"/>
  <c r="HQ41" i="1"/>
  <c r="HN41" i="1"/>
  <c r="HK41" i="1"/>
  <c r="HH41" i="1"/>
  <c r="HE41" i="1"/>
  <c r="HB41" i="1"/>
  <c r="GY41" i="1"/>
  <c r="GS41" i="1"/>
  <c r="GP41" i="1"/>
  <c r="GM41" i="1"/>
  <c r="GJ41" i="1"/>
  <c r="GG41" i="1"/>
  <c r="GD41" i="1"/>
  <c r="GA41" i="1"/>
  <c r="FX41" i="1"/>
  <c r="FU41" i="1"/>
  <c r="FR41" i="1"/>
  <c r="FO41" i="1"/>
  <c r="FL41" i="1"/>
  <c r="FI41" i="1"/>
  <c r="FF41" i="1"/>
  <c r="FC41" i="1"/>
  <c r="EZ41" i="1"/>
  <c r="EW41" i="1"/>
  <c r="ET41" i="1"/>
  <c r="EQ41" i="1"/>
  <c r="EN41" i="1"/>
  <c r="EK41" i="1"/>
  <c r="EH41" i="1"/>
  <c r="EB41" i="1"/>
  <c r="DY41" i="1"/>
  <c r="DV41" i="1"/>
  <c r="DS41" i="1"/>
  <c r="DP41" i="1"/>
  <c r="DM41" i="1"/>
  <c r="DJ41" i="1"/>
  <c r="DG41" i="1"/>
  <c r="DD41" i="1"/>
  <c r="DA41" i="1"/>
  <c r="CX41" i="1"/>
  <c r="CU41" i="1"/>
  <c r="CR41" i="1"/>
  <c r="CO41" i="1"/>
  <c r="CL41" i="1"/>
  <c r="CI41" i="1"/>
  <c r="CC41" i="1"/>
  <c r="BZ41" i="1"/>
  <c r="BW41" i="1"/>
  <c r="BT41" i="1"/>
  <c r="BQ41" i="1"/>
  <c r="BN41" i="1"/>
  <c r="BK41" i="1"/>
  <c r="BH41" i="1"/>
  <c r="BE41" i="1"/>
  <c r="BB41" i="1"/>
  <c r="AY41" i="1"/>
  <c r="AS41" i="1"/>
  <c r="AP41" i="1"/>
  <c r="AM41" i="1"/>
  <c r="AJ41" i="1"/>
  <c r="AG41" i="1"/>
  <c r="AD41" i="1"/>
  <c r="AA41" i="1"/>
  <c r="X41" i="1"/>
  <c r="R41" i="1"/>
  <c r="O41" i="1"/>
  <c r="L41" i="1"/>
  <c r="I41" i="1"/>
  <c r="F41"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H27" i="1"/>
  <c r="IE27" i="1"/>
  <c r="IB27" i="1"/>
  <c r="HY27" i="1"/>
  <c r="HV27" i="1"/>
  <c r="HS27" i="1"/>
  <c r="HP27" i="1"/>
  <c r="HM27" i="1"/>
  <c r="HJ27" i="1"/>
  <c r="HG27" i="1"/>
  <c r="HD27" i="1"/>
  <c r="HA27" i="1"/>
  <c r="GX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H12" i="1"/>
  <c r="IE12" i="1"/>
  <c r="IB12" i="1"/>
  <c r="HY12" i="1"/>
  <c r="HV12" i="1"/>
  <c r="HS12" i="1"/>
  <c r="HP12" i="1"/>
  <c r="HM12" i="1"/>
  <c r="HJ12" i="1"/>
  <c r="HG12" i="1"/>
  <c r="HD12" i="1"/>
  <c r="HA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U10" i="1"/>
  <c r="AR10" i="1"/>
  <c r="AO10" i="1"/>
  <c r="AL10" i="1"/>
  <c r="AI10" i="1"/>
  <c r="AF10" i="1"/>
  <c r="AC10" i="1"/>
  <c r="Z10" i="1"/>
  <c r="W10" i="1"/>
  <c r="T10" i="1"/>
  <c r="Q10" i="1"/>
  <c r="N10" i="1"/>
  <c r="K10" i="1"/>
  <c r="H10" i="1"/>
  <c r="KR9" i="1"/>
  <c r="KO9" i="1"/>
  <c r="KL9" i="1"/>
  <c r="KI9" i="1"/>
  <c r="KF9" i="1"/>
  <c r="KC9" i="1"/>
  <c r="JZ9" i="1"/>
  <c r="JW9" i="1"/>
  <c r="JT9" i="1"/>
  <c r="JQ9" i="1"/>
  <c r="JN9" i="1"/>
  <c r="JK9" i="1"/>
  <c r="JI9" i="1"/>
  <c r="JF9" i="1"/>
  <c r="JC9" i="1"/>
  <c r="IZ9" i="1"/>
  <c r="IW9" i="1"/>
  <c r="IT9" i="1"/>
  <c r="IQ9" i="1"/>
  <c r="IN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BA9" i="1"/>
  <c r="AX9" i="1"/>
  <c r="AU9" i="1"/>
  <c r="AR9" i="1"/>
  <c r="AO9" i="1"/>
  <c r="AL9" i="1"/>
  <c r="AI9" i="1"/>
  <c r="AF9" i="1"/>
  <c r="AC9" i="1"/>
  <c r="Z9" i="1"/>
  <c r="W9" i="1"/>
  <c r="T9" i="1"/>
  <c r="Q9" i="1"/>
  <c r="N9" i="1"/>
  <c r="K9" i="1"/>
  <c r="H9" i="1"/>
  <c r="KS37" i="1"/>
  <c r="KP35" i="1"/>
  <c r="KM33" i="1"/>
  <c r="KJ39" i="1"/>
  <c r="KG37" i="1"/>
  <c r="KD35" i="1"/>
  <c r="KA33" i="1"/>
  <c r="JX39" i="1"/>
  <c r="JU37" i="1"/>
  <c r="JR35" i="1"/>
  <c r="JO33" i="1"/>
  <c r="JL39" i="1"/>
  <c r="BB197" i="46"/>
  <c r="AY197" i="46"/>
  <c r="AX197" i="46"/>
  <c r="AW197" i="46"/>
  <c r="AV197" i="46"/>
  <c r="AU197" i="46"/>
  <c r="AT197" i="46"/>
  <c r="AS197" i="46"/>
  <c r="AQ197" i="46"/>
  <c r="AP197" i="46"/>
  <c r="AO197" i="46"/>
  <c r="AN197" i="46"/>
  <c r="AL197" i="46"/>
  <c r="AK197" i="46"/>
  <c r="AJ197" i="46"/>
  <c r="AI197" i="46"/>
  <c r="AH197" i="46"/>
  <c r="AG197" i="46"/>
  <c r="AF197" i="46"/>
  <c r="Q195" i="54" l="1"/>
  <c r="JW41" i="1"/>
  <c r="Z41" i="1"/>
  <c r="K41" i="1"/>
  <c r="Q41" i="1"/>
  <c r="AO41" i="1"/>
  <c r="BM41" i="1"/>
  <c r="T41" i="1"/>
  <c r="KT38" i="1"/>
  <c r="BV41" i="1"/>
  <c r="CT41" i="1"/>
  <c r="DR41" i="1"/>
  <c r="EP41" i="1"/>
  <c r="FN41" i="1"/>
  <c r="GL41" i="1"/>
  <c r="HJ41" i="1"/>
  <c r="IH41" i="1"/>
  <c r="JF41" i="1"/>
  <c r="CK41" i="1"/>
  <c r="DI41" i="1"/>
  <c r="BR41" i="1"/>
  <c r="HF41" i="1"/>
  <c r="AM197" i="46"/>
  <c r="KT9" i="1"/>
  <c r="AR197" i="46"/>
  <c r="KT19" i="1"/>
  <c r="KT17" i="1"/>
  <c r="KT14" i="1"/>
  <c r="KT15" i="1"/>
  <c r="KT20" i="1"/>
  <c r="KT18" i="1"/>
  <c r="KT24" i="1"/>
  <c r="KT25" i="1"/>
  <c r="KT30" i="1"/>
  <c r="KT22" i="1"/>
  <c r="KT26" i="1"/>
  <c r="KT23" i="1"/>
  <c r="KT28" i="1"/>
  <c r="KT27" i="1"/>
  <c r="KT29" i="1"/>
  <c r="KT32" i="1"/>
  <c r="KT34" i="1"/>
  <c r="KT31" i="1"/>
  <c r="KT35" i="1"/>
  <c r="KT39" i="1"/>
  <c r="FE41" i="1"/>
  <c r="GC41" i="1"/>
  <c r="HA41" i="1"/>
  <c r="HY41" i="1"/>
  <c r="IW41" i="1"/>
  <c r="KT36" i="1"/>
  <c r="AR41" i="1"/>
  <c r="BP41" i="1"/>
  <c r="CN41" i="1"/>
  <c r="DL41" i="1"/>
  <c r="EJ41" i="1"/>
  <c r="FH41" i="1"/>
  <c r="GF41" i="1"/>
  <c r="HD41" i="1"/>
  <c r="IB41" i="1"/>
  <c r="IZ41" i="1"/>
  <c r="AB41" i="1"/>
  <c r="AZ41" i="1"/>
  <c r="BX41" i="1"/>
  <c r="CV41" i="1"/>
  <c r="DT41" i="1"/>
  <c r="ER41" i="1"/>
  <c r="FP41" i="1"/>
  <c r="GN41" i="1"/>
  <c r="HL41" i="1"/>
  <c r="JH41" i="1"/>
  <c r="KF41" i="1"/>
  <c r="G41" i="1"/>
  <c r="KT37" i="1"/>
  <c r="AH41" i="1"/>
  <c r="HS41" i="1"/>
  <c r="IQ41" i="1"/>
  <c r="AL41" i="1"/>
  <c r="BJ41" i="1"/>
  <c r="DF41" i="1"/>
  <c r="ED41" i="1"/>
  <c r="FB41" i="1"/>
  <c r="FZ41" i="1"/>
  <c r="HV41" i="1"/>
  <c r="IT41" i="1"/>
  <c r="AD190" i="54"/>
  <c r="T9" i="53" s="1"/>
  <c r="R192" i="54"/>
  <c r="KM10" i="1"/>
  <c r="JX41" i="1"/>
  <c r="JX9" i="1"/>
  <c r="KM11" i="1"/>
  <c r="KT12" i="1"/>
  <c r="KD41" i="1"/>
  <c r="JL9" i="1"/>
  <c r="KG9" i="1"/>
  <c r="KG10" i="1"/>
  <c r="JL11" i="1"/>
  <c r="JO41" i="1"/>
  <c r="KM41" i="1"/>
  <c r="JO10" i="1"/>
  <c r="JL12" i="1"/>
  <c r="JR41" i="1"/>
  <c r="KP41" i="1"/>
  <c r="KJ9" i="1"/>
  <c r="KT11" i="1"/>
  <c r="JO11" i="1"/>
  <c r="KJ11" i="1"/>
  <c r="KJ12" i="1"/>
  <c r="JU41" i="1"/>
  <c r="KS41" i="1"/>
  <c r="JX12" i="1"/>
  <c r="KM9" i="1"/>
  <c r="JL10" i="1"/>
  <c r="JX10" i="1"/>
  <c r="KJ10" i="1"/>
  <c r="JO12" i="1"/>
  <c r="KA1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M41" i="1"/>
  <c r="AC41" i="1"/>
  <c r="AK41" i="1"/>
  <c r="BA41" i="1"/>
  <c r="BI41" i="1"/>
  <c r="BY41" i="1"/>
  <c r="CW41" i="1"/>
  <c r="DE41" i="1"/>
  <c r="DU41" i="1"/>
  <c r="EC41" i="1"/>
  <c r="ES41" i="1"/>
  <c r="FA41" i="1"/>
  <c r="FQ41" i="1"/>
  <c r="FY41" i="1"/>
  <c r="GO41" i="1"/>
  <c r="HM41" i="1"/>
  <c r="HU41" i="1"/>
  <c r="IS41" i="1"/>
  <c r="JI41" i="1"/>
  <c r="JQ41" i="1"/>
  <c r="KG41" i="1"/>
  <c r="KO41" i="1"/>
  <c r="JR9" i="1"/>
  <c r="KD9" i="1"/>
  <c r="KP9" i="1"/>
  <c r="JU11" i="1"/>
  <c r="KG11" i="1"/>
  <c r="KS11"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N41" i="1"/>
  <c r="AT41" i="1"/>
  <c r="CP41" i="1"/>
  <c r="DN41" i="1"/>
  <c r="EL41" i="1"/>
  <c r="FJ41" i="1"/>
  <c r="GH41" i="1"/>
  <c r="ID41" i="1"/>
  <c r="JB41" i="1"/>
  <c r="JZ41" i="1"/>
  <c r="KA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O34" i="1"/>
  <c r="KA34" i="1"/>
  <c r="KM34" i="1"/>
  <c r="JR36" i="1"/>
  <c r="KD36" i="1"/>
  <c r="KP36" i="1"/>
  <c r="JU38" i="1"/>
  <c r="KG38" i="1"/>
  <c r="KS38" i="1"/>
  <c r="AE41" i="1"/>
  <c r="AU41" i="1"/>
  <c r="BC41" i="1"/>
  <c r="BS41" i="1"/>
  <c r="CA41" i="1"/>
  <c r="CQ41" i="1"/>
  <c r="CY41" i="1"/>
  <c r="DO41" i="1"/>
  <c r="DW41" i="1"/>
  <c r="EM41" i="1"/>
  <c r="EU41" i="1"/>
  <c r="FK41" i="1"/>
  <c r="FS41" i="1"/>
  <c r="GI41" i="1"/>
  <c r="GQ41" i="1"/>
  <c r="HG41" i="1"/>
  <c r="HO41" i="1"/>
  <c r="IE41" i="1"/>
  <c r="IM41" i="1"/>
  <c r="JC41" i="1"/>
  <c r="JK41" i="1"/>
  <c r="KA41" i="1"/>
  <c r="KI41" i="1"/>
  <c r="JU9" i="1"/>
  <c r="KS9" i="1"/>
  <c r="JX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H41" i="1"/>
  <c r="P41" i="1"/>
  <c r="AF41" i="1"/>
  <c r="AN41" i="1"/>
  <c r="BD41" i="1"/>
  <c r="BL41" i="1"/>
  <c r="CB41" i="1"/>
  <c r="CJ41" i="1"/>
  <c r="CZ41" i="1"/>
  <c r="DH41" i="1"/>
  <c r="DX41" i="1"/>
  <c r="EV41" i="1"/>
  <c r="FD41" i="1"/>
  <c r="FT41" i="1"/>
  <c r="GB41" i="1"/>
  <c r="GR41" i="1"/>
  <c r="GZ41" i="1"/>
  <c r="HP41" i="1"/>
  <c r="HX41" i="1"/>
  <c r="IN41" i="1"/>
  <c r="IV41" i="1"/>
  <c r="JL41" i="1"/>
  <c r="JT41" i="1"/>
  <c r="KJ41" i="1"/>
  <c r="KR41" i="1"/>
  <c r="JR10" i="1"/>
  <c r="KD10" i="1"/>
  <c r="KP10" i="1"/>
  <c r="JU12" i="1"/>
  <c r="KG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Y41" i="1"/>
  <c r="BU41" i="1"/>
  <c r="CS41" i="1"/>
  <c r="DQ41" i="1"/>
  <c r="EO41" i="1"/>
  <c r="FM41" i="1"/>
  <c r="GK41" i="1"/>
  <c r="HI41" i="1"/>
  <c r="IG41" i="1"/>
  <c r="JE41" i="1"/>
  <c r="KC4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J41" i="1"/>
  <c r="BF41" i="1"/>
  <c r="CD41" i="1"/>
  <c r="DB41" i="1"/>
  <c r="DZ41" i="1"/>
  <c r="EX41" i="1"/>
  <c r="FV41" i="1"/>
  <c r="GT41" i="1"/>
  <c r="HR41" i="1"/>
  <c r="IP41" i="1"/>
  <c r="JN41" i="1"/>
  <c r="KL41" i="1"/>
  <c r="KA11" i="1"/>
  <c r="JU10"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S41" i="1"/>
  <c r="AI41" i="1"/>
  <c r="AQ41" i="1"/>
  <c r="BG41" i="1"/>
  <c r="BO41" i="1"/>
  <c r="CE41" i="1"/>
  <c r="CM41" i="1"/>
  <c r="DC41" i="1"/>
  <c r="DK41" i="1"/>
  <c r="EA41" i="1"/>
  <c r="EI41" i="1"/>
  <c r="EY41" i="1"/>
  <c r="FG41" i="1"/>
  <c r="FW41" i="1"/>
  <c r="GE41" i="1"/>
  <c r="GU41" i="1"/>
  <c r="HC41" i="1"/>
  <c r="IA41" i="1"/>
  <c r="IY41" i="1"/>
  <c r="KS10" i="1"/>
  <c r="JO9" i="1"/>
  <c r="KA9"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X229" i="46"/>
  <c r="KU36" i="1" l="1"/>
  <c r="KU20" i="1"/>
  <c r="KU28" i="1"/>
  <c r="KU11" i="1"/>
  <c r="KU25" i="1"/>
  <c r="KU38" i="1"/>
  <c r="KU22" i="1"/>
  <c r="KU29" i="1"/>
  <c r="KU13" i="1"/>
  <c r="KU34" i="1"/>
  <c r="KU18" i="1"/>
  <c r="KU24" i="1"/>
  <c r="KU39" i="1"/>
  <c r="KU23" i="1"/>
  <c r="KU33" i="1"/>
  <c r="KU17" i="1"/>
  <c r="KU30" i="1"/>
  <c r="KU14" i="1"/>
  <c r="KU37" i="1"/>
  <c r="KU21" i="1"/>
  <c r="KU26" i="1"/>
  <c r="KU10" i="1"/>
  <c r="KU35" i="1"/>
  <c r="KU19" i="1"/>
  <c r="KU32" i="1"/>
  <c r="KU31" i="1"/>
  <c r="KU15" i="1"/>
  <c r="AD197" i="46"/>
  <c r="BC197" i="46"/>
  <c r="J7" i="32" l="1"/>
  <c r="G4" i="47" l="1"/>
  <c r="H4" i="47" s="1"/>
  <c r="O6" i="54" s="1"/>
  <c r="C6" i="54" l="1"/>
  <c r="K6" i="54"/>
  <c r="U6" i="54"/>
  <c r="V6" i="54"/>
  <c r="P6" i="54"/>
  <c r="T6" i="54"/>
  <c r="O6" i="46"/>
  <c r="BA9" i="39"/>
  <c r="AC6" i="54" l="1"/>
  <c r="P6" i="46"/>
  <c r="V6" i="46"/>
  <c r="U6" i="46"/>
  <c r="T6" i="46"/>
  <c r="C6" i="46"/>
  <c r="N9" i="39" s="1"/>
  <c r="K6" i="46"/>
  <c r="P190" i="54"/>
  <c r="O190" i="54" s="1"/>
  <c r="C190" i="54"/>
  <c r="V190" i="54"/>
  <c r="T10" i="53" s="1"/>
  <c r="N11" i="52" l="1"/>
  <c r="N12" i="52"/>
  <c r="L9" i="39"/>
  <c r="BH9" i="39" s="1"/>
  <c r="AC6" i="46"/>
  <c r="BL9" i="39"/>
  <c r="BM9" i="39" s="1"/>
  <c r="O9" i="39"/>
  <c r="G9" i="39"/>
  <c r="N8" i="52"/>
  <c r="N20" i="52"/>
  <c r="N22" i="52"/>
  <c r="N19" i="52"/>
  <c r="N38" i="52"/>
  <c r="N10" i="52"/>
  <c r="N7" i="52"/>
  <c r="N5" i="52"/>
  <c r="N21" i="52"/>
  <c r="N24" i="52"/>
  <c r="N41" i="52"/>
  <c r="N36" i="52"/>
  <c r="N31" i="52"/>
  <c r="N27" i="52"/>
  <c r="N23" i="52"/>
  <c r="N28" i="52"/>
  <c r="N25" i="52"/>
  <c r="N26" i="52"/>
  <c r="N37" i="52"/>
  <c r="N29" i="52"/>
  <c r="N39" i="52"/>
  <c r="N34" i="52"/>
  <c r="N35" i="52"/>
  <c r="N40" i="52"/>
  <c r="N9" i="52"/>
  <c r="N32" i="52"/>
  <c r="N13" i="52"/>
  <c r="N4" i="52"/>
  <c r="N6" i="52"/>
  <c r="N18" i="52"/>
  <c r="N30" i="52"/>
  <c r="N33" i="52"/>
  <c r="K190" i="54"/>
  <c r="AD198" i="54" s="1"/>
  <c r="X221" i="54" s="1"/>
  <c r="U190" i="54"/>
  <c r="T190" i="54"/>
  <c r="T8" i="53" l="1"/>
  <c r="T11" i="53" s="1"/>
  <c r="O12" i="52" s="1"/>
  <c r="P12" i="52" s="1"/>
  <c r="BL41" i="39"/>
  <c r="M9" i="39"/>
  <c r="H9" i="39"/>
  <c r="BB9" i="39"/>
  <c r="O19" i="52"/>
  <c r="O4" i="52"/>
  <c r="O33" i="52"/>
  <c r="O13" i="52"/>
  <c r="P13" i="52" s="1"/>
  <c r="O27" i="52"/>
  <c r="O39" i="52"/>
  <c r="O29" i="52"/>
  <c r="O32" i="52"/>
  <c r="O31" i="52"/>
  <c r="O21" i="52"/>
  <c r="O5" i="52"/>
  <c r="P5" i="52" s="1"/>
  <c r="O40" i="52"/>
  <c r="O25" i="52"/>
  <c r="O6" i="52"/>
  <c r="P6" i="52" s="1"/>
  <c r="O28" i="52"/>
  <c r="O23" i="52"/>
  <c r="O30" i="52"/>
  <c r="O7" i="52"/>
  <c r="P7" i="52" s="1"/>
  <c r="O22" i="52"/>
  <c r="O36" i="52"/>
  <c r="O8" i="52"/>
  <c r="P8" i="52" s="1"/>
  <c r="O35" i="52"/>
  <c r="O41" i="52"/>
  <c r="O26" i="52"/>
  <c r="O37" i="52"/>
  <c r="O9" i="52"/>
  <c r="P9" i="52" s="1"/>
  <c r="O20" i="52"/>
  <c r="P20" i="52" s="1"/>
  <c r="O24" i="52"/>
  <c r="O10" i="52"/>
  <c r="P10" i="52" s="1"/>
  <c r="O38" i="52"/>
  <c r="P38" i="52" s="1"/>
  <c r="O18" i="52"/>
  <c r="AC190" i="54"/>
  <c r="AC191" i="54" s="1"/>
  <c r="X200" i="54" s="1"/>
  <c r="V191" i="54"/>
  <c r="AK191" i="54" s="1"/>
  <c r="X208" i="54" s="1"/>
  <c r="Y191" i="54"/>
  <c r="X198" i="54" s="1"/>
  <c r="BM10" i="39"/>
  <c r="BM11" i="39" s="1"/>
  <c r="BM12" i="39" s="1"/>
  <c r="BM13" i="39" s="1"/>
  <c r="BM14" i="39" s="1"/>
  <c r="BM15" i="39" s="1"/>
  <c r="BM16" i="39" s="1"/>
  <c r="BM17" i="39" s="1"/>
  <c r="BM18" i="39" s="1"/>
  <c r="BM19" i="39" s="1"/>
  <c r="BM20" i="39" s="1"/>
  <c r="BM21" i="39" s="1"/>
  <c r="BM22" i="39" s="1"/>
  <c r="BM23" i="39" s="1"/>
  <c r="BM24" i="39" s="1"/>
  <c r="BM25" i="39" s="1"/>
  <c r="BM26" i="39" s="1"/>
  <c r="BM27" i="39" s="1"/>
  <c r="BM28" i="39" s="1"/>
  <c r="BM29" i="39" s="1"/>
  <c r="BM30" i="39" s="1"/>
  <c r="BM31" i="39" s="1"/>
  <c r="BM32" i="39" s="1"/>
  <c r="BM33" i="39" s="1"/>
  <c r="BM34" i="39" s="1"/>
  <c r="BM35" i="39" s="1"/>
  <c r="BM36" i="39" s="1"/>
  <c r="BM37" i="39" s="1"/>
  <c r="BM38" i="39" s="1"/>
  <c r="BM39" i="39" s="1"/>
  <c r="Y197" i="46"/>
  <c r="Y199" i="46" s="1"/>
  <c r="S197" i="46"/>
  <c r="S199" i="46" s="1"/>
  <c r="R197" i="46"/>
  <c r="AC196" i="46"/>
  <c r="AA196" i="46"/>
  <c r="AC195" i="46"/>
  <c r="AA195" i="46"/>
  <c r="O34" i="52" l="1"/>
  <c r="O11" i="52"/>
  <c r="P11" i="52" s="1"/>
  <c r="AO191" i="54"/>
  <c r="X211" i="54" s="1"/>
  <c r="AZ191" i="54"/>
  <c r="BA191" i="54"/>
  <c r="BC9" i="39"/>
  <c r="BI9" i="39"/>
  <c r="P18" i="52"/>
  <c r="BC191" i="54"/>
  <c r="AR191" i="54"/>
  <c r="AV191" i="54"/>
  <c r="X218" i="54" s="1"/>
  <c r="AP191" i="54"/>
  <c r="X212" i="54" s="1"/>
  <c r="AI191" i="54"/>
  <c r="X206" i="54" s="1"/>
  <c r="AH191" i="54"/>
  <c r="X205" i="54" s="1"/>
  <c r="AU191" i="54"/>
  <c r="X216" i="54" s="1"/>
  <c r="AY191" i="54"/>
  <c r="AM191" i="54"/>
  <c r="AJ191" i="54"/>
  <c r="X207" i="54" s="1"/>
  <c r="AX191" i="54"/>
  <c r="BB191" i="54"/>
  <c r="P35" i="52"/>
  <c r="AW191" i="54"/>
  <c r="X217" i="54" s="1"/>
  <c r="AT191" i="54"/>
  <c r="X215" i="54" s="1"/>
  <c r="AG191" i="54"/>
  <c r="X204" i="54" s="1"/>
  <c r="AQ191" i="54"/>
  <c r="X213" i="54" s="1"/>
  <c r="P40" i="52"/>
  <c r="Q40" i="52" s="1"/>
  <c r="P21" i="52"/>
  <c r="P33" i="52"/>
  <c r="P4" i="52"/>
  <c r="AL191" i="54"/>
  <c r="X209" i="54" s="1"/>
  <c r="AS191" i="54"/>
  <c r="X214" i="54" s="1"/>
  <c r="P26" i="52"/>
  <c r="AF191" i="54"/>
  <c r="X203" i="54" s="1"/>
  <c r="AN191" i="54"/>
  <c r="X210" i="54" s="1"/>
  <c r="T5" i="53"/>
  <c r="N17" i="52" s="1"/>
  <c r="V197" i="46"/>
  <c r="I10" i="53" s="1"/>
  <c r="I9" i="53"/>
  <c r="R199" i="46"/>
  <c r="X220" i="54" l="1"/>
  <c r="X219" i="54"/>
  <c r="E12" i="52"/>
  <c r="E11" i="52"/>
  <c r="U5" i="53"/>
  <c r="O17" i="52" s="1"/>
  <c r="P17" i="52" s="1"/>
  <c r="Q26" i="52"/>
  <c r="E37" i="52"/>
  <c r="E27" i="52"/>
  <c r="E39" i="52"/>
  <c r="E21" i="52"/>
  <c r="E5" i="52"/>
  <c r="E13" i="52"/>
  <c r="E7" i="52"/>
  <c r="E38" i="52"/>
  <c r="E19" i="52"/>
  <c r="E18" i="52"/>
  <c r="E25" i="52"/>
  <c r="E9" i="52"/>
  <c r="E8" i="52"/>
  <c r="E10" i="52"/>
  <c r="E6" i="52"/>
  <c r="E20" i="52"/>
  <c r="E26" i="52"/>
  <c r="E23" i="52"/>
  <c r="E28" i="52"/>
  <c r="E32" i="52"/>
  <c r="E33" i="52"/>
  <c r="E35" i="52"/>
  <c r="E31" i="52"/>
  <c r="E30" i="52"/>
  <c r="E4" i="52"/>
  <c r="E24" i="52"/>
  <c r="E22" i="52"/>
  <c r="E41" i="52"/>
  <c r="E40" i="52"/>
  <c r="E29" i="52"/>
  <c r="E36" i="52"/>
  <c r="E34" i="52"/>
  <c r="Q4" i="52"/>
  <c r="EA42" i="2"/>
  <c r="DS42" i="2"/>
  <c r="DO42" i="2"/>
  <c r="DK42" i="2"/>
  <c r="DG42" i="2"/>
  <c r="DC42" i="2"/>
  <c r="CU42" i="2"/>
  <c r="CQ42" i="2"/>
  <c r="CM42" i="2"/>
  <c r="BS42" i="2"/>
  <c r="BK42" i="2"/>
  <c r="BG42" i="2"/>
  <c r="BC42" i="2"/>
  <c r="AY42" i="2"/>
  <c r="AU42" i="2"/>
  <c r="AQ42" i="2"/>
  <c r="AM42" i="2"/>
  <c r="AI42" i="2"/>
  <c r="AE42" i="2"/>
  <c r="AA42" i="2"/>
  <c r="EM39" i="2"/>
  <c r="DW39" i="2"/>
  <c r="CO39" i="2"/>
  <c r="BW39" i="2"/>
  <c r="EM38" i="2"/>
  <c r="DW38" i="2"/>
  <c r="CO38" i="2"/>
  <c r="EM37" i="2"/>
  <c r="DW37" i="2"/>
  <c r="CO37" i="2"/>
  <c r="BW37" i="2"/>
  <c r="EM36" i="2"/>
  <c r="DW36" i="2"/>
  <c r="CO36" i="2"/>
  <c r="BW36" i="2"/>
  <c r="EM35" i="2"/>
  <c r="DW35" i="2"/>
  <c r="CO35" i="2"/>
  <c r="BW35" i="2"/>
  <c r="EM34" i="2"/>
  <c r="DW34" i="2"/>
  <c r="CO34" i="2"/>
  <c r="BW34" i="2"/>
  <c r="EM33" i="2"/>
  <c r="DW33" i="2"/>
  <c r="CO33" i="2"/>
  <c r="BW33" i="2"/>
  <c r="EM32" i="2"/>
  <c r="DW32" i="2"/>
  <c r="CO32" i="2"/>
  <c r="BW32" i="2"/>
  <c r="EQ42" i="2"/>
  <c r="EM31" i="2"/>
  <c r="DW31" i="2"/>
  <c r="CO31" i="2"/>
  <c r="BW31" i="2"/>
  <c r="EM30" i="2"/>
  <c r="DW30" i="2"/>
  <c r="CO30" i="2"/>
  <c r="EM29" i="2"/>
  <c r="DW29" i="2"/>
  <c r="CO29" i="2"/>
  <c r="K42" i="2"/>
  <c r="K48" i="2" s="1"/>
  <c r="EM28" i="2"/>
  <c r="DW28" i="2"/>
  <c r="CO28" i="2"/>
  <c r="BW28" i="2"/>
  <c r="EM27" i="2"/>
  <c r="DW27" i="2"/>
  <c r="CO27" i="2"/>
  <c r="BW27" i="2"/>
  <c r="EM26" i="2"/>
  <c r="DW26" i="2"/>
  <c r="CO26" i="2"/>
  <c r="BW26" i="2"/>
  <c r="EM25" i="2"/>
  <c r="DW25" i="2"/>
  <c r="CO25" i="2"/>
  <c r="BW25" i="2"/>
  <c r="EM24" i="2"/>
  <c r="DW24" i="2"/>
  <c r="CO24" i="2"/>
  <c r="BW24" i="2"/>
  <c r="EM23" i="2"/>
  <c r="DW23" i="2"/>
  <c r="CO23" i="2"/>
  <c r="EM22" i="2"/>
  <c r="DW22" i="2"/>
  <c r="CO22" i="2"/>
  <c r="BW22" i="2"/>
  <c r="EM21" i="2"/>
  <c r="DW21" i="2"/>
  <c r="CO21" i="2"/>
  <c r="BW21" i="2"/>
  <c r="EM20" i="2"/>
  <c r="DW20" i="2"/>
  <c r="CO20" i="2"/>
  <c r="BW20" i="2"/>
  <c r="EM19" i="2"/>
  <c r="DW19" i="2"/>
  <c r="CO19" i="2"/>
  <c r="BW19" i="2"/>
  <c r="EM18" i="2"/>
  <c r="DW18" i="2"/>
  <c r="CO18" i="2"/>
  <c r="BW18" i="2"/>
  <c r="EM17" i="2"/>
  <c r="DW17" i="2"/>
  <c r="CO17" i="2"/>
  <c r="BW17" i="2"/>
  <c r="EM16" i="2"/>
  <c r="DW16" i="2"/>
  <c r="CO16" i="2"/>
  <c r="EM15" i="2"/>
  <c r="DW15" i="2"/>
  <c r="CO15" i="2"/>
  <c r="BW15" i="2"/>
  <c r="EM14" i="2"/>
  <c r="DW14" i="2"/>
  <c r="CO14" i="2"/>
  <c r="BW14" i="2"/>
  <c r="EM13" i="2"/>
  <c r="DW13" i="2"/>
  <c r="CO13" i="2"/>
  <c r="BW13" i="2"/>
  <c r="EM12" i="2"/>
  <c r="DW12" i="2"/>
  <c r="CO12" i="2"/>
  <c r="BW12" i="2"/>
  <c r="EM11" i="2"/>
  <c r="DW11" i="2"/>
  <c r="CO11" i="2"/>
  <c r="BW11" i="2"/>
  <c r="ES10" i="2"/>
  <c r="ES11" i="2" s="1"/>
  <c r="ES12" i="2" s="1"/>
  <c r="ES13" i="2" s="1"/>
  <c r="EI10" i="2"/>
  <c r="EK10" i="2" s="1"/>
  <c r="EE10" i="2"/>
  <c r="EC10" i="2"/>
  <c r="EC11" i="2" s="1"/>
  <c r="DW10" i="2"/>
  <c r="DU10" i="2"/>
  <c r="DQ10" i="2"/>
  <c r="DQ11" i="2" s="1"/>
  <c r="DQ12" i="2" s="1"/>
  <c r="DI10" i="2"/>
  <c r="DE10" i="2"/>
  <c r="DE11" i="2" s="1"/>
  <c r="DE12" i="2" s="1"/>
  <c r="DE13" i="2" s="1"/>
  <c r="DA10" i="2"/>
  <c r="CW10" i="2"/>
  <c r="CW11" i="2" s="1"/>
  <c r="CW12" i="2" s="1"/>
  <c r="CS10" i="2"/>
  <c r="CS11" i="2" s="1"/>
  <c r="CS12" i="2" s="1"/>
  <c r="CO10" i="2"/>
  <c r="BW10" i="2"/>
  <c r="BU10" i="2"/>
  <c r="BQ10" i="2"/>
  <c r="BM10" i="2"/>
  <c r="BI10" i="2"/>
  <c r="BI11" i="2" s="1"/>
  <c r="BE10" i="2"/>
  <c r="BE11" i="2" s="1"/>
  <c r="BE12" i="2" s="1"/>
  <c r="BE13" i="2" s="1"/>
  <c r="BE14" i="2" s="1"/>
  <c r="BA10" i="2"/>
  <c r="AW10" i="2"/>
  <c r="AW11" i="2" s="1"/>
  <c r="AW12" i="2" s="1"/>
  <c r="AW13" i="2" s="1"/>
  <c r="AS10" i="2"/>
  <c r="AS11" i="2" s="1"/>
  <c r="AO10" i="2"/>
  <c r="AO11" i="2" s="1"/>
  <c r="AO12" i="2" s="1"/>
  <c r="AK10" i="2"/>
  <c r="AK11" i="2" s="1"/>
  <c r="AK12" i="2" s="1"/>
  <c r="AG10" i="2"/>
  <c r="AC10" i="2"/>
  <c r="AC11" i="2" s="1"/>
  <c r="AC12" i="2" s="1"/>
  <c r="Y10" i="2"/>
  <c r="Y11" i="2" s="1"/>
  <c r="Y12" i="2" s="1"/>
  <c r="Y13" i="2" s="1"/>
  <c r="Y14" i="2" s="1"/>
  <c r="U10" i="2"/>
  <c r="Q10" i="2"/>
  <c r="M10" i="2"/>
  <c r="I10" i="2"/>
  <c r="I11" i="2" s="1"/>
  <c r="I12" i="2" s="1"/>
  <c r="EU27" i="2" l="1"/>
  <c r="DL27" i="2" s="1"/>
  <c r="EU33" i="2"/>
  <c r="CF33" i="2" s="1"/>
  <c r="EU35" i="2"/>
  <c r="EU37" i="2"/>
  <c r="EU25" i="2"/>
  <c r="H25" i="2" s="1"/>
  <c r="EU31" i="2"/>
  <c r="EU39" i="2"/>
  <c r="EU15" i="2"/>
  <c r="DL15" i="2" s="1"/>
  <c r="EU24" i="2"/>
  <c r="EU17" i="2"/>
  <c r="EU19" i="2"/>
  <c r="DL19" i="2" s="1"/>
  <c r="EU21" i="2"/>
  <c r="DL21" i="2" s="1"/>
  <c r="EU11" i="2"/>
  <c r="EU13" i="2"/>
  <c r="EU26" i="2"/>
  <c r="DL26" i="2" s="1"/>
  <c r="EU28" i="2"/>
  <c r="DL28" i="2" s="1"/>
  <c r="EU32" i="2"/>
  <c r="EU34" i="2"/>
  <c r="EU36" i="2"/>
  <c r="EU18" i="2"/>
  <c r="EU20" i="2"/>
  <c r="EU22" i="2"/>
  <c r="DL22" i="2" s="1"/>
  <c r="EU12" i="2"/>
  <c r="DL12" i="2" s="1"/>
  <c r="EU14" i="2"/>
  <c r="EM10" i="2"/>
  <c r="EU10" i="2" s="1"/>
  <c r="DY10" i="2"/>
  <c r="DY11" i="2" s="1"/>
  <c r="DY12" i="2" s="1"/>
  <c r="AK13" i="2"/>
  <c r="AW14" i="2"/>
  <c r="Y15" i="2"/>
  <c r="CW13" i="2"/>
  <c r="ES14" i="2"/>
  <c r="BE15" i="2"/>
  <c r="AS12" i="2"/>
  <c r="AC13" i="2"/>
  <c r="BI12" i="2"/>
  <c r="EK11" i="2"/>
  <c r="DE14" i="2"/>
  <c r="I13" i="2"/>
  <c r="AO13" i="2"/>
  <c r="DQ13" i="2"/>
  <c r="Q11" i="2"/>
  <c r="DU11" i="2"/>
  <c r="EC12" i="2"/>
  <c r="AG11" i="2"/>
  <c r="DI11" i="2"/>
  <c r="G42" i="2"/>
  <c r="BW16" i="2"/>
  <c r="EU16" i="2" s="1"/>
  <c r="DL16" i="2" s="1"/>
  <c r="EE42" i="2"/>
  <c r="U11" i="2"/>
  <c r="EG10" i="2"/>
  <c r="BA11" i="2"/>
  <c r="CS13" i="2"/>
  <c r="BY10" i="2"/>
  <c r="BY11" i="2" s="1"/>
  <c r="BY12" i="2" s="1"/>
  <c r="BY13" i="2" s="1"/>
  <c r="DA11" i="2"/>
  <c r="EI42" i="2"/>
  <c r="M11" i="2"/>
  <c r="DW42" i="2"/>
  <c r="BW23" i="2"/>
  <c r="EU23" i="2" s="1"/>
  <c r="DL23" i="2" s="1"/>
  <c r="BW30" i="2"/>
  <c r="EU30" i="2" s="1"/>
  <c r="DL30" i="2" s="1"/>
  <c r="BH33" i="2"/>
  <c r="AB33" i="2"/>
  <c r="BW29" i="2"/>
  <c r="EU29" i="2" s="1"/>
  <c r="DL29" i="2" s="1"/>
  <c r="BW38" i="2"/>
  <c r="EU38" i="2" s="1"/>
  <c r="DL38" i="2" s="1"/>
  <c r="CN42" i="2"/>
  <c r="CY42" i="2"/>
  <c r="AJ33" i="2" l="1"/>
  <c r="EN27" i="2"/>
  <c r="CJ27" i="2"/>
  <c r="P25" i="2"/>
  <c r="CF27" i="2"/>
  <c r="CB27" i="2"/>
  <c r="CR25" i="2"/>
  <c r="DP25" i="2"/>
  <c r="CZ25" i="2"/>
  <c r="DT25" i="2"/>
  <c r="EN25" i="2"/>
  <c r="CB39" i="2"/>
  <c r="DL39" i="2"/>
  <c r="AJ25" i="2"/>
  <c r="EJ25" i="2"/>
  <c r="DX25" i="2"/>
  <c r="DX34" i="2"/>
  <c r="DL34" i="2"/>
  <c r="AR17" i="2"/>
  <c r="DL17" i="2"/>
  <c r="CB31" i="2"/>
  <c r="DL31" i="2"/>
  <c r="AF25" i="2"/>
  <c r="AV25" i="2"/>
  <c r="BX25" i="2"/>
  <c r="T14" i="2"/>
  <c r="DL14" i="2"/>
  <c r="DD25" i="2"/>
  <c r="CN25" i="2"/>
  <c r="DH25" i="2"/>
  <c r="CJ35" i="2"/>
  <c r="DL35" i="2"/>
  <c r="CV25" i="2"/>
  <c r="AV13" i="2"/>
  <c r="DL13" i="2"/>
  <c r="CJ33" i="2"/>
  <c r="DL33" i="2"/>
  <c r="EN36" i="2"/>
  <c r="DL36" i="2"/>
  <c r="BX32" i="2"/>
  <c r="DL32" i="2"/>
  <c r="L25" i="2"/>
  <c r="AB25" i="2"/>
  <c r="DX20" i="2"/>
  <c r="DL20" i="2"/>
  <c r="X11" i="2"/>
  <c r="DL11" i="2"/>
  <c r="CF24" i="2"/>
  <c r="DL24" i="2"/>
  <c r="CR10" i="2"/>
  <c r="DL10" i="2"/>
  <c r="CF25" i="2"/>
  <c r="DL25" i="2"/>
  <c r="ER25" i="2"/>
  <c r="AR25" i="2"/>
  <c r="BH25" i="2"/>
  <c r="EF25" i="2"/>
  <c r="EN18" i="2"/>
  <c r="DL18" i="2"/>
  <c r="CF37" i="2"/>
  <c r="DL37" i="2"/>
  <c r="BD25" i="2"/>
  <c r="EM42" i="2"/>
  <c r="EB25" i="2"/>
  <c r="AZ25" i="2"/>
  <c r="X25" i="2"/>
  <c r="AN25" i="2"/>
  <c r="CB35" i="2"/>
  <c r="CF35" i="2"/>
  <c r="T25" i="2"/>
  <c r="AZ35" i="2"/>
  <c r="CB25" i="2"/>
  <c r="CJ25" i="2"/>
  <c r="DX39" i="2"/>
  <c r="CB33" i="2"/>
  <c r="EN31" i="2"/>
  <c r="CJ31" i="2"/>
  <c r="CJ37" i="2"/>
  <c r="CF31" i="2"/>
  <c r="H13" i="2"/>
  <c r="CB37" i="2"/>
  <c r="CF39" i="2"/>
  <c r="EO10" i="2"/>
  <c r="EO11" i="2" s="1"/>
  <c r="CB24" i="2"/>
  <c r="BX24" i="2"/>
  <c r="CJ24" i="2"/>
  <c r="CJ39" i="2"/>
  <c r="L17" i="2"/>
  <c r="EN17" i="2"/>
  <c r="EF17" i="2"/>
  <c r="CN17" i="2"/>
  <c r="AV17" i="2"/>
  <c r="ER17" i="2"/>
  <c r="AN17" i="2"/>
  <c r="BH17" i="2"/>
  <c r="DD17" i="2"/>
  <c r="P17" i="2"/>
  <c r="AB17" i="2"/>
  <c r="EJ17" i="2"/>
  <c r="AF17" i="2"/>
  <c r="CZ17" i="2"/>
  <c r="DP17" i="2"/>
  <c r="AJ17" i="2"/>
  <c r="BX17" i="2"/>
  <c r="DX17" i="2"/>
  <c r="DT17" i="2"/>
  <c r="CF30" i="2"/>
  <c r="CJ30" i="2"/>
  <c r="CB30" i="2"/>
  <c r="CJ14" i="2"/>
  <c r="CF14" i="2"/>
  <c r="CB14" i="2"/>
  <c r="CF28" i="2"/>
  <c r="CB28" i="2"/>
  <c r="CJ28" i="2"/>
  <c r="CF21" i="2"/>
  <c r="CB21" i="2"/>
  <c r="CJ21" i="2"/>
  <c r="CF26" i="2"/>
  <c r="CB26" i="2"/>
  <c r="CJ26" i="2"/>
  <c r="CF22" i="2"/>
  <c r="CJ22" i="2"/>
  <c r="CB22" i="2"/>
  <c r="CF17" i="2"/>
  <c r="CB17" i="2"/>
  <c r="CJ17" i="2"/>
  <c r="CF29" i="2"/>
  <c r="CJ29" i="2"/>
  <c r="CB29" i="2"/>
  <c r="CF19" i="2"/>
  <c r="CB19" i="2"/>
  <c r="CJ19" i="2"/>
  <c r="BX26" i="2"/>
  <c r="EB17" i="2"/>
  <c r="CF20" i="2"/>
  <c r="CB20" i="2"/>
  <c r="CJ20" i="2"/>
  <c r="CB16" i="2"/>
  <c r="CF16" i="2"/>
  <c r="CJ16" i="2"/>
  <c r="DH17" i="2"/>
  <c r="T17" i="2"/>
  <c r="CF18" i="2"/>
  <c r="CJ18" i="2"/>
  <c r="CB18" i="2"/>
  <c r="CF12" i="2"/>
  <c r="CB12" i="2"/>
  <c r="CJ12" i="2"/>
  <c r="CF23" i="2"/>
  <c r="CB23" i="2"/>
  <c r="CJ23" i="2"/>
  <c r="AR12" i="2"/>
  <c r="AZ17" i="2"/>
  <c r="CB36" i="2"/>
  <c r="CF36" i="2"/>
  <c r="CJ36" i="2"/>
  <c r="CB10" i="2"/>
  <c r="CF10" i="2"/>
  <c r="CJ10" i="2"/>
  <c r="CF38" i="2"/>
  <c r="CJ38" i="2"/>
  <c r="CB38" i="2"/>
  <c r="H17" i="2"/>
  <c r="CF34" i="2"/>
  <c r="CB34" i="2"/>
  <c r="CJ34" i="2"/>
  <c r="CF13" i="2"/>
  <c r="CB13" i="2"/>
  <c r="CJ13" i="2"/>
  <c r="CB32" i="2"/>
  <c r="CF32" i="2"/>
  <c r="CJ32" i="2"/>
  <c r="CJ11" i="2"/>
  <c r="CB11" i="2"/>
  <c r="CF11" i="2"/>
  <c r="CV15" i="2"/>
  <c r="CB15" i="2"/>
  <c r="CJ15" i="2"/>
  <c r="CF15" i="2"/>
  <c r="DD13" i="2"/>
  <c r="EF13" i="2"/>
  <c r="CN13" i="2"/>
  <c r="ER13" i="2"/>
  <c r="DH13" i="2"/>
  <c r="EB13" i="2"/>
  <c r="CR13" i="2"/>
  <c r="AR13" i="2"/>
  <c r="CZ13" i="2"/>
  <c r="CV17" i="2"/>
  <c r="BD17" i="2"/>
  <c r="CV14" i="2"/>
  <c r="CR17" i="2"/>
  <c r="EJ10" i="2"/>
  <c r="EN10" i="2"/>
  <c r="H14" i="2"/>
  <c r="BD14" i="2"/>
  <c r="L14" i="2"/>
  <c r="DT14" i="2"/>
  <c r="X14" i="2"/>
  <c r="EF14" i="2"/>
  <c r="DD14" i="2"/>
  <c r="CR14" i="2"/>
  <c r="AB14" i="2"/>
  <c r="EN14" i="2"/>
  <c r="AZ14" i="2"/>
  <c r="AR14" i="2"/>
  <c r="BH14" i="2"/>
  <c r="AN14" i="2"/>
  <c r="X17" i="2"/>
  <c r="EF10" i="2"/>
  <c r="BX10" i="2"/>
  <c r="T11" i="2"/>
  <c r="ER11" i="2"/>
  <c r="DH11" i="2"/>
  <c r="AV11" i="2"/>
  <c r="BH15" i="2"/>
  <c r="DX33" i="2"/>
  <c r="EN33" i="2"/>
  <c r="EF33" i="2"/>
  <c r="P33" i="2"/>
  <c r="T33" i="2"/>
  <c r="AF33" i="2"/>
  <c r="EB33" i="2"/>
  <c r="AR35" i="2"/>
  <c r="AN33" i="2"/>
  <c r="AR33" i="2"/>
  <c r="DD33" i="2"/>
  <c r="CR33" i="2"/>
  <c r="AZ33" i="2"/>
  <c r="BD33" i="2"/>
  <c r="ER33" i="2"/>
  <c r="BX33" i="2"/>
  <c r="DH33" i="2"/>
  <c r="CZ33" i="2"/>
  <c r="AV33" i="2"/>
  <c r="EJ33" i="2"/>
  <c r="L33" i="2"/>
  <c r="CN33" i="2"/>
  <c r="CV33" i="2"/>
  <c r="DP33" i="2"/>
  <c r="DT33" i="2"/>
  <c r="H33" i="2"/>
  <c r="X33" i="2"/>
  <c r="DT35" i="2"/>
  <c r="DH35" i="2"/>
  <c r="BX35" i="2"/>
  <c r="AN35" i="2"/>
  <c r="AF35" i="2"/>
  <c r="CR15" i="2"/>
  <c r="AB35" i="2"/>
  <c r="BD15" i="2"/>
  <c r="H35" i="2"/>
  <c r="DX15" i="2"/>
  <c r="ER15" i="2"/>
  <c r="AV15" i="2"/>
  <c r="DP35" i="2"/>
  <c r="CV35" i="2"/>
  <c r="DX35" i="2"/>
  <c r="L15" i="2"/>
  <c r="DP14" i="2"/>
  <c r="AV14" i="2"/>
  <c r="AF14" i="2"/>
  <c r="P14" i="2"/>
  <c r="EB14" i="2"/>
  <c r="BX14" i="2"/>
  <c r="AN15" i="2"/>
  <c r="AJ15" i="2"/>
  <c r="DX14" i="2"/>
  <c r="EJ14" i="2"/>
  <c r="EJ13" i="2"/>
  <c r="P13" i="2"/>
  <c r="CN14" i="2"/>
  <c r="BD13" i="2"/>
  <c r="AN13" i="2"/>
  <c r="AJ14" i="2"/>
  <c r="AR15" i="2"/>
  <c r="DT12" i="2"/>
  <c r="CZ14" i="2"/>
  <c r="EB15" i="2"/>
  <c r="DD15" i="2"/>
  <c r="ER14" i="2"/>
  <c r="AF13" i="2"/>
  <c r="EF11" i="2"/>
  <c r="CN15" i="2"/>
  <c r="EF15" i="2"/>
  <c r="DH14" i="2"/>
  <c r="AF10" i="2"/>
  <c r="ER10" i="2"/>
  <c r="DP10" i="2"/>
  <c r="EN12" i="2"/>
  <c r="CN11" i="2"/>
  <c r="AZ11" i="2"/>
  <c r="DX11" i="2"/>
  <c r="P11" i="2"/>
  <c r="EB12" i="2"/>
  <c r="AR10" i="2"/>
  <c r="L10" i="2"/>
  <c r="AJ10" i="2"/>
  <c r="EN11" i="2"/>
  <c r="X35" i="2"/>
  <c r="BH35" i="2"/>
  <c r="DX13" i="2"/>
  <c r="DD11" i="2"/>
  <c r="CV13" i="2"/>
  <c r="BD11" i="2"/>
  <c r="AN11" i="2"/>
  <c r="CZ11" i="2"/>
  <c r="CR11" i="2"/>
  <c r="CV11" i="2"/>
  <c r="BX11" i="2"/>
  <c r="AB13" i="2"/>
  <c r="X13" i="2"/>
  <c r="EJ12" i="2"/>
  <c r="BH10" i="2"/>
  <c r="BL10" i="2"/>
  <c r="BP10" i="2"/>
  <c r="AB11" i="2"/>
  <c r="EN13" i="2"/>
  <c r="BD35" i="2"/>
  <c r="BX13" i="2"/>
  <c r="AJ13" i="2"/>
  <c r="L11" i="2"/>
  <c r="AJ11" i="2"/>
  <c r="H11" i="2"/>
  <c r="EJ11" i="2"/>
  <c r="DP13" i="2"/>
  <c r="AN10" i="2"/>
  <c r="H10" i="2"/>
  <c r="DH10" i="2"/>
  <c r="CZ10" i="2"/>
  <c r="DT10" i="2"/>
  <c r="CN10" i="2"/>
  <c r="EB10" i="2"/>
  <c r="DT11" i="2"/>
  <c r="EB11" i="2"/>
  <c r="AB10" i="2"/>
  <c r="X10" i="2"/>
  <c r="P10" i="2"/>
  <c r="T10" i="2"/>
  <c r="DD35" i="2"/>
  <c r="EB35" i="2"/>
  <c r="EF35" i="2"/>
  <c r="T35" i="2"/>
  <c r="AR11" i="2"/>
  <c r="T13" i="2"/>
  <c r="L13" i="2"/>
  <c r="AF11" i="2"/>
  <c r="DD10" i="2"/>
  <c r="AV10" i="2"/>
  <c r="DX10" i="2"/>
  <c r="AZ10" i="2"/>
  <c r="EN35" i="2"/>
  <c r="L35" i="2"/>
  <c r="AV35" i="2"/>
  <c r="BH11" i="2"/>
  <c r="AZ13" i="2"/>
  <c r="DP11" i="2"/>
  <c r="BH13" i="2"/>
  <c r="DT13" i="2"/>
  <c r="EV10" i="2"/>
  <c r="DN10" i="2" s="1"/>
  <c r="CV10" i="2"/>
  <c r="BD10" i="2"/>
  <c r="BX36" i="2"/>
  <c r="DH12" i="2"/>
  <c r="EF12" i="2"/>
  <c r="EJ35" i="2"/>
  <c r="CN35" i="2"/>
  <c r="AF15" i="2"/>
  <c r="EJ15" i="2"/>
  <c r="AZ15" i="2"/>
  <c r="DT15" i="2"/>
  <c r="AZ12" i="2"/>
  <c r="BX27" i="2"/>
  <c r="EN34" i="2"/>
  <c r="EN15" i="2"/>
  <c r="BX15" i="2"/>
  <c r="AB15" i="2"/>
  <c r="DP15" i="2"/>
  <c r="CZ15" i="2"/>
  <c r="P35" i="2"/>
  <c r="H36" i="2"/>
  <c r="ER35" i="2"/>
  <c r="AJ35" i="2"/>
  <c r="CZ35" i="2"/>
  <c r="H15" i="2"/>
  <c r="P15" i="2"/>
  <c r="DH15" i="2"/>
  <c r="CR35" i="2"/>
  <c r="X15" i="2"/>
  <c r="T15" i="2"/>
  <c r="DX36" i="2"/>
  <c r="T12" i="2"/>
  <c r="BX12" i="2"/>
  <c r="DD12" i="2"/>
  <c r="AV12" i="2"/>
  <c r="BD12" i="2"/>
  <c r="DP12" i="2"/>
  <c r="EN20" i="2"/>
  <c r="ER12" i="2"/>
  <c r="H12" i="2"/>
  <c r="AB12" i="2"/>
  <c r="BX20" i="2"/>
  <c r="DX12" i="2"/>
  <c r="AF12" i="2"/>
  <c r="CV12" i="2"/>
  <c r="BH12" i="2"/>
  <c r="BX39" i="2"/>
  <c r="BW42" i="2"/>
  <c r="CR12" i="2"/>
  <c r="X12" i="2"/>
  <c r="CZ12" i="2"/>
  <c r="CN12" i="2"/>
  <c r="L12" i="2"/>
  <c r="EJ32" i="2"/>
  <c r="DX27" i="2"/>
  <c r="P12" i="2"/>
  <c r="AJ12" i="2"/>
  <c r="AN12" i="2"/>
  <c r="BY14" i="2"/>
  <c r="CR37" i="2"/>
  <c r="AZ37" i="2"/>
  <c r="T37" i="2"/>
  <c r="EF37" i="2"/>
  <c r="AN37" i="2"/>
  <c r="EN37" i="2"/>
  <c r="CZ37" i="2"/>
  <c r="BH37" i="2"/>
  <c r="AB37" i="2"/>
  <c r="H37" i="2"/>
  <c r="DT37" i="2"/>
  <c r="CN37" i="2"/>
  <c r="AV37" i="2"/>
  <c r="P37" i="2"/>
  <c r="EB37" i="2"/>
  <c r="DH37" i="2"/>
  <c r="AJ37" i="2"/>
  <c r="CV37" i="2"/>
  <c r="BD37" i="2"/>
  <c r="X37" i="2"/>
  <c r="EJ37" i="2"/>
  <c r="DP37" i="2"/>
  <c r="AR37" i="2"/>
  <c r="AF37" i="2"/>
  <c r="DD37" i="2"/>
  <c r="ER37" i="2"/>
  <c r="DX37" i="2"/>
  <c r="EN32" i="2"/>
  <c r="CV31" i="2"/>
  <c r="BD31" i="2"/>
  <c r="X31" i="2"/>
  <c r="ER31" i="2"/>
  <c r="EJ31" i="2"/>
  <c r="DP31" i="2"/>
  <c r="BX31" i="2"/>
  <c r="AR31" i="2"/>
  <c r="L31" i="2"/>
  <c r="DD31" i="2"/>
  <c r="AF31" i="2"/>
  <c r="CR31" i="2"/>
  <c r="AZ31" i="2"/>
  <c r="T31" i="2"/>
  <c r="EF31" i="2"/>
  <c r="AN31" i="2"/>
  <c r="H31" i="2"/>
  <c r="CZ31" i="2"/>
  <c r="BH31" i="2"/>
  <c r="AB31" i="2"/>
  <c r="DT31" i="2"/>
  <c r="CN31" i="2"/>
  <c r="AV31" i="2"/>
  <c r="P31" i="2"/>
  <c r="EB31" i="2"/>
  <c r="DH31" i="2"/>
  <c r="AJ31" i="2"/>
  <c r="DX31" i="2"/>
  <c r="DY13" i="2"/>
  <c r="L37" i="2"/>
  <c r="ER32" i="2"/>
  <c r="BX29" i="2"/>
  <c r="AK14" i="2"/>
  <c r="EJ28" i="2"/>
  <c r="DP28" i="2"/>
  <c r="AR28" i="2"/>
  <c r="L28" i="2"/>
  <c r="ER28" i="2"/>
  <c r="DX28" i="2"/>
  <c r="DD28" i="2"/>
  <c r="CR28" i="2"/>
  <c r="AZ28" i="2"/>
  <c r="EF28" i="2"/>
  <c r="CZ28" i="2"/>
  <c r="BH28" i="2"/>
  <c r="AB28" i="2"/>
  <c r="DT28" i="2"/>
  <c r="CN28" i="2"/>
  <c r="AV28" i="2"/>
  <c r="EB28" i="2"/>
  <c r="DH28" i="2"/>
  <c r="H28" i="2"/>
  <c r="AN28" i="2"/>
  <c r="T28" i="2"/>
  <c r="AF28" i="2"/>
  <c r="CV28" i="2"/>
  <c r="X28" i="2"/>
  <c r="P28" i="2"/>
  <c r="BD28" i="2"/>
  <c r="AJ28" i="2"/>
  <c r="CR19" i="2"/>
  <c r="AZ19" i="2"/>
  <c r="T19" i="2"/>
  <c r="EB19" i="2"/>
  <c r="DH19" i="2"/>
  <c r="AJ19" i="2"/>
  <c r="CV19" i="2"/>
  <c r="BD19" i="2"/>
  <c r="X19" i="2"/>
  <c r="ER19" i="2"/>
  <c r="BH19" i="2"/>
  <c r="H19" i="2"/>
  <c r="EN19" i="2"/>
  <c r="DX19" i="2"/>
  <c r="AN19" i="2"/>
  <c r="EJ19" i="2"/>
  <c r="DD19" i="2"/>
  <c r="CN19" i="2"/>
  <c r="EF19" i="2"/>
  <c r="DT19" i="2"/>
  <c r="BX19" i="2"/>
  <c r="AF19" i="2"/>
  <c r="P19" i="2"/>
  <c r="DP19" i="2"/>
  <c r="CZ19" i="2"/>
  <c r="AV19" i="2"/>
  <c r="L19" i="2"/>
  <c r="AR19" i="2"/>
  <c r="AB19" i="2"/>
  <c r="EB22" i="2"/>
  <c r="DH22" i="2"/>
  <c r="CR22" i="2"/>
  <c r="AZ22" i="2"/>
  <c r="EF22" i="2"/>
  <c r="ER22" i="2"/>
  <c r="CV22" i="2"/>
  <c r="AV22" i="2"/>
  <c r="L22" i="2"/>
  <c r="BH22" i="2"/>
  <c r="EJ22" i="2"/>
  <c r="CN22" i="2"/>
  <c r="AN22" i="2"/>
  <c r="AB22" i="2"/>
  <c r="DT22" i="2"/>
  <c r="DD22" i="2"/>
  <c r="P22" i="2"/>
  <c r="AF22" i="2"/>
  <c r="BD22" i="2"/>
  <c r="H22" i="2"/>
  <c r="CZ22" i="2"/>
  <c r="X22" i="2"/>
  <c r="DX22" i="2"/>
  <c r="AR22" i="2"/>
  <c r="T22" i="2"/>
  <c r="BX22" i="2"/>
  <c r="DP22" i="2"/>
  <c r="AJ22" i="2"/>
  <c r="EC13" i="2"/>
  <c r="AO14" i="2"/>
  <c r="BE16" i="2"/>
  <c r="Y16" i="2"/>
  <c r="ER39" i="2"/>
  <c r="DD39" i="2"/>
  <c r="AF39" i="2"/>
  <c r="CR39" i="2"/>
  <c r="AZ39" i="2"/>
  <c r="T39" i="2"/>
  <c r="EF39" i="2"/>
  <c r="AN39" i="2"/>
  <c r="EN39" i="2"/>
  <c r="CZ39" i="2"/>
  <c r="BH39" i="2"/>
  <c r="AB39" i="2"/>
  <c r="H39" i="2"/>
  <c r="DT39" i="2"/>
  <c r="CN39" i="2"/>
  <c r="AV39" i="2"/>
  <c r="P39" i="2"/>
  <c r="EB39" i="2"/>
  <c r="DH39" i="2"/>
  <c r="AJ39" i="2"/>
  <c r="CV39" i="2"/>
  <c r="BD39" i="2"/>
  <c r="X39" i="2"/>
  <c r="EJ39" i="2"/>
  <c r="AR39" i="2"/>
  <c r="DP39" i="2"/>
  <c r="L39" i="2"/>
  <c r="CR32" i="2"/>
  <c r="AZ32" i="2"/>
  <c r="T32" i="2"/>
  <c r="EF32" i="2"/>
  <c r="AN32" i="2"/>
  <c r="H32" i="2"/>
  <c r="CZ32" i="2"/>
  <c r="BH32" i="2"/>
  <c r="AB32" i="2"/>
  <c r="DT32" i="2"/>
  <c r="CN32" i="2"/>
  <c r="AV32" i="2"/>
  <c r="P32" i="2"/>
  <c r="EB32" i="2"/>
  <c r="DH32" i="2"/>
  <c r="AJ32" i="2"/>
  <c r="CV32" i="2"/>
  <c r="BD32" i="2"/>
  <c r="X32" i="2"/>
  <c r="DP32" i="2"/>
  <c r="AR32" i="2"/>
  <c r="L32" i="2"/>
  <c r="AF32" i="2"/>
  <c r="DD32" i="2"/>
  <c r="DX32" i="2"/>
  <c r="M12" i="2"/>
  <c r="U12" i="2"/>
  <c r="BX16" i="2"/>
  <c r="BI13" i="2"/>
  <c r="BX37" i="2"/>
  <c r="I14" i="2"/>
  <c r="ES15" i="2"/>
  <c r="AW15" i="2"/>
  <c r="CR24" i="2"/>
  <c r="AZ24" i="2"/>
  <c r="T24" i="2"/>
  <c r="EF24" i="2"/>
  <c r="AN24" i="2"/>
  <c r="H24" i="2"/>
  <c r="EB24" i="2"/>
  <c r="DH24" i="2"/>
  <c r="AJ24" i="2"/>
  <c r="CV24" i="2"/>
  <c r="BD24" i="2"/>
  <c r="X24" i="2"/>
  <c r="CZ24" i="2"/>
  <c r="BH24" i="2"/>
  <c r="EJ24" i="2"/>
  <c r="DT24" i="2"/>
  <c r="P24" i="2"/>
  <c r="AB24" i="2"/>
  <c r="CN24" i="2"/>
  <c r="AV24" i="2"/>
  <c r="DX24" i="2"/>
  <c r="AF24" i="2"/>
  <c r="DP24" i="2"/>
  <c r="ER24" i="2"/>
  <c r="L24" i="2"/>
  <c r="EN24" i="2"/>
  <c r="DD24" i="2"/>
  <c r="AR24" i="2"/>
  <c r="BX28" i="2"/>
  <c r="EN28" i="2"/>
  <c r="EB26" i="2"/>
  <c r="DH26" i="2"/>
  <c r="AJ26" i="2"/>
  <c r="CV26" i="2"/>
  <c r="BD26" i="2"/>
  <c r="X26" i="2"/>
  <c r="CR26" i="2"/>
  <c r="AZ26" i="2"/>
  <c r="T26" i="2"/>
  <c r="EF26" i="2"/>
  <c r="AN26" i="2"/>
  <c r="H26" i="2"/>
  <c r="AB26" i="2"/>
  <c r="CN26" i="2"/>
  <c r="AV26" i="2"/>
  <c r="CZ26" i="2"/>
  <c r="BH26" i="2"/>
  <c r="EJ26" i="2"/>
  <c r="DT26" i="2"/>
  <c r="P26" i="2"/>
  <c r="DP26" i="2"/>
  <c r="ER26" i="2"/>
  <c r="L26" i="2"/>
  <c r="EN26" i="2"/>
  <c r="DD26" i="2"/>
  <c r="AR26" i="2"/>
  <c r="DX26" i="2"/>
  <c r="AF26" i="2"/>
  <c r="EB21" i="2"/>
  <c r="DH21" i="2"/>
  <c r="AJ21" i="2"/>
  <c r="CV21" i="2"/>
  <c r="BD21" i="2"/>
  <c r="X21" i="2"/>
  <c r="CR21" i="2"/>
  <c r="AZ21" i="2"/>
  <c r="T21" i="2"/>
  <c r="EF21" i="2"/>
  <c r="AN21" i="2"/>
  <c r="H21" i="2"/>
  <c r="DP21" i="2"/>
  <c r="L21" i="2"/>
  <c r="AF21" i="2"/>
  <c r="AB21" i="2"/>
  <c r="CN21" i="2"/>
  <c r="AV21" i="2"/>
  <c r="ER21" i="2"/>
  <c r="DX21" i="2"/>
  <c r="AR21" i="2"/>
  <c r="EN21" i="2"/>
  <c r="DD21" i="2"/>
  <c r="CZ21" i="2"/>
  <c r="BH21" i="2"/>
  <c r="EJ21" i="2"/>
  <c r="DT21" i="2"/>
  <c r="P21" i="2"/>
  <c r="EG11" i="2"/>
  <c r="DI12" i="2"/>
  <c r="DU12" i="2"/>
  <c r="ER34" i="2"/>
  <c r="CV34" i="2"/>
  <c r="AJ34" i="2"/>
  <c r="DD34" i="2"/>
  <c r="BD34" i="2"/>
  <c r="X34" i="2"/>
  <c r="AF34" i="2"/>
  <c r="DT34" i="2"/>
  <c r="CZ34" i="2"/>
  <c r="CR34" i="2"/>
  <c r="AZ34" i="2"/>
  <c r="T34" i="2"/>
  <c r="EB34" i="2"/>
  <c r="AN34" i="2"/>
  <c r="H34" i="2"/>
  <c r="DH34" i="2"/>
  <c r="BH34" i="2"/>
  <c r="AB34" i="2"/>
  <c r="CN34" i="2"/>
  <c r="BX34" i="2"/>
  <c r="EJ34" i="2"/>
  <c r="EF34" i="2"/>
  <c r="P34" i="2"/>
  <c r="L34" i="2"/>
  <c r="AV34" i="2"/>
  <c r="DP34" i="2"/>
  <c r="AR34" i="2"/>
  <c r="EB36" i="2"/>
  <c r="DH36" i="2"/>
  <c r="AJ36" i="2"/>
  <c r="CV36" i="2"/>
  <c r="BD36" i="2"/>
  <c r="X36" i="2"/>
  <c r="EJ36" i="2"/>
  <c r="DP36" i="2"/>
  <c r="AR36" i="2"/>
  <c r="L36" i="2"/>
  <c r="ER36" i="2"/>
  <c r="DD36" i="2"/>
  <c r="AF36" i="2"/>
  <c r="CR36" i="2"/>
  <c r="AZ36" i="2"/>
  <c r="T36" i="2"/>
  <c r="EF36" i="2"/>
  <c r="AN36" i="2"/>
  <c r="CZ36" i="2"/>
  <c r="BH36" i="2"/>
  <c r="AB36" i="2"/>
  <c r="CN36" i="2"/>
  <c r="AV36" i="2"/>
  <c r="DT36" i="2"/>
  <c r="P36" i="2"/>
  <c r="EB27" i="2"/>
  <c r="DH27" i="2"/>
  <c r="EF27" i="2"/>
  <c r="CV27" i="2"/>
  <c r="AR27" i="2"/>
  <c r="L27" i="2"/>
  <c r="DT27" i="2"/>
  <c r="AF27" i="2"/>
  <c r="BH27" i="2"/>
  <c r="AB27" i="2"/>
  <c r="EJ27" i="2"/>
  <c r="AV27" i="2"/>
  <c r="P27" i="2"/>
  <c r="DD27" i="2"/>
  <c r="X27" i="2"/>
  <c r="AJ27" i="2"/>
  <c r="DP27" i="2"/>
  <c r="CR27" i="2"/>
  <c r="BD27" i="2"/>
  <c r="ER27" i="2"/>
  <c r="CZ27" i="2"/>
  <c r="H27" i="2"/>
  <c r="AN27" i="2"/>
  <c r="CN27" i="2"/>
  <c r="T27" i="2"/>
  <c r="AZ27" i="2"/>
  <c r="BX30" i="2"/>
  <c r="EN22" i="2"/>
  <c r="CZ20" i="2"/>
  <c r="BH20" i="2"/>
  <c r="AB20" i="2"/>
  <c r="DT20" i="2"/>
  <c r="CN20" i="2"/>
  <c r="AV20" i="2"/>
  <c r="P20" i="2"/>
  <c r="EJ20" i="2"/>
  <c r="DP20" i="2"/>
  <c r="AR20" i="2"/>
  <c r="L20" i="2"/>
  <c r="ER20" i="2"/>
  <c r="DD20" i="2"/>
  <c r="AF20" i="2"/>
  <c r="T20" i="2"/>
  <c r="CV20" i="2"/>
  <c r="AN20" i="2"/>
  <c r="CR20" i="2"/>
  <c r="AJ20" i="2"/>
  <c r="EF20" i="2"/>
  <c r="BD20" i="2"/>
  <c r="EB20" i="2"/>
  <c r="DH20" i="2"/>
  <c r="AZ20" i="2"/>
  <c r="H20" i="2"/>
  <c r="X20" i="2"/>
  <c r="BX21" i="2"/>
  <c r="DA12" i="2"/>
  <c r="CS14" i="2"/>
  <c r="BA12" i="2"/>
  <c r="BX23" i="2"/>
  <c r="EF18" i="2"/>
  <c r="CZ18" i="2"/>
  <c r="BH18" i="2"/>
  <c r="AB18" i="2"/>
  <c r="DT18" i="2"/>
  <c r="CN18" i="2"/>
  <c r="AV18" i="2"/>
  <c r="P18" i="2"/>
  <c r="EB18" i="2"/>
  <c r="DH18" i="2"/>
  <c r="AJ18" i="2"/>
  <c r="CV18" i="2"/>
  <c r="BD18" i="2"/>
  <c r="X18" i="2"/>
  <c r="DP18" i="2"/>
  <c r="AR18" i="2"/>
  <c r="L18" i="2"/>
  <c r="EJ18" i="2"/>
  <c r="DX18" i="2"/>
  <c r="DD18" i="2"/>
  <c r="AF18" i="2"/>
  <c r="CR18" i="2"/>
  <c r="AZ18" i="2"/>
  <c r="T18" i="2"/>
  <c r="ER18" i="2"/>
  <c r="AN18" i="2"/>
  <c r="H18" i="2"/>
  <c r="G48" i="2"/>
  <c r="G44" i="2"/>
  <c r="AG12" i="2"/>
  <c r="DQ14" i="2"/>
  <c r="DE15" i="2"/>
  <c r="AC14" i="2"/>
  <c r="BX18" i="2"/>
  <c r="Q12" i="2"/>
  <c r="AS13" i="2"/>
  <c r="CW14" i="2"/>
  <c r="EK12" i="2"/>
  <c r="EU42" i="2" l="1"/>
  <c r="J10" i="2"/>
  <c r="CH10" i="2"/>
  <c r="CD10" i="2"/>
  <c r="CL10" i="2"/>
  <c r="AP10" i="2"/>
  <c r="BB10" i="2"/>
  <c r="EH10" i="2"/>
  <c r="ED10" i="2"/>
  <c r="Z10" i="2"/>
  <c r="CX10" i="2"/>
  <c r="BF10" i="2"/>
  <c r="EP10" i="2"/>
  <c r="DB10" i="2"/>
  <c r="BZ10" i="2"/>
  <c r="N10" i="2"/>
  <c r="BN10" i="2"/>
  <c r="AX10" i="2"/>
  <c r="AD10" i="2"/>
  <c r="EL10" i="2"/>
  <c r="V10" i="2"/>
  <c r="BV10" i="2"/>
  <c r="AL10" i="2"/>
  <c r="DR10" i="2"/>
  <c r="R10" i="2"/>
  <c r="BR10" i="2"/>
  <c r="BJ10" i="2"/>
  <c r="DV10" i="2"/>
  <c r="EV11" i="2"/>
  <c r="DN11" i="2" s="1"/>
  <c r="ET10" i="2"/>
  <c r="DZ10" i="2"/>
  <c r="CP10" i="2"/>
  <c r="AH10" i="2"/>
  <c r="DF10" i="2"/>
  <c r="AT10" i="2"/>
  <c r="DJ10" i="2"/>
  <c r="CT10" i="2"/>
  <c r="DE16" i="2"/>
  <c r="Q13" i="2"/>
  <c r="ER23" i="2"/>
  <c r="DD23" i="2"/>
  <c r="AF23" i="2"/>
  <c r="CR23" i="2"/>
  <c r="AZ23" i="2"/>
  <c r="T23" i="2"/>
  <c r="DT23" i="2"/>
  <c r="CN23" i="2"/>
  <c r="AV23" i="2"/>
  <c r="P23" i="2"/>
  <c r="EB23" i="2"/>
  <c r="DH23" i="2"/>
  <c r="AJ23" i="2"/>
  <c r="AN23" i="2"/>
  <c r="CZ23" i="2"/>
  <c r="BH23" i="2"/>
  <c r="AB23" i="2"/>
  <c r="EJ23" i="2"/>
  <c r="CV23" i="2"/>
  <c r="AR23" i="2"/>
  <c r="EF23" i="2"/>
  <c r="X23" i="2"/>
  <c r="DP23" i="2"/>
  <c r="BD23" i="2"/>
  <c r="EN23" i="2"/>
  <c r="L23" i="2"/>
  <c r="H23" i="2"/>
  <c r="DX23" i="2"/>
  <c r="DA13" i="2"/>
  <c r="AW16" i="2"/>
  <c r="EC14" i="2"/>
  <c r="AK15" i="2"/>
  <c r="EK13" i="2"/>
  <c r="DQ15" i="2"/>
  <c r="DI13" i="2"/>
  <c r="EB38" i="2"/>
  <c r="DH38" i="2"/>
  <c r="AJ38" i="2"/>
  <c r="CV38" i="2"/>
  <c r="BD38" i="2"/>
  <c r="X38" i="2"/>
  <c r="EJ38" i="2"/>
  <c r="DP38" i="2"/>
  <c r="AR38" i="2"/>
  <c r="L38" i="2"/>
  <c r="ER38" i="2"/>
  <c r="DX38" i="2"/>
  <c r="DD38" i="2"/>
  <c r="AF38" i="2"/>
  <c r="CR38" i="2"/>
  <c r="AZ38" i="2"/>
  <c r="T38" i="2"/>
  <c r="EF38" i="2"/>
  <c r="AN38" i="2"/>
  <c r="CZ38" i="2"/>
  <c r="BH38" i="2"/>
  <c r="AB38" i="2"/>
  <c r="DT38" i="2"/>
  <c r="P38" i="2"/>
  <c r="CN38" i="2"/>
  <c r="AV38" i="2"/>
  <c r="H38" i="2"/>
  <c r="EN38" i="2"/>
  <c r="EO12" i="2"/>
  <c r="ES16" i="2"/>
  <c r="CR16" i="2"/>
  <c r="AZ16" i="2"/>
  <c r="T16" i="2"/>
  <c r="EF16" i="2"/>
  <c r="AN16" i="2"/>
  <c r="EB16" i="2"/>
  <c r="DH16" i="2"/>
  <c r="AJ16" i="2"/>
  <c r="CV16" i="2"/>
  <c r="BD16" i="2"/>
  <c r="X16" i="2"/>
  <c r="CZ16" i="2"/>
  <c r="BH16" i="2"/>
  <c r="AF16" i="2"/>
  <c r="AB16" i="2"/>
  <c r="L16" i="2"/>
  <c r="DD16" i="2"/>
  <c r="DX16" i="2"/>
  <c r="CN16" i="2"/>
  <c r="DT16" i="2"/>
  <c r="ER16" i="2"/>
  <c r="DP16" i="2"/>
  <c r="P16" i="2"/>
  <c r="EJ16" i="2"/>
  <c r="AV16" i="2"/>
  <c r="AR16" i="2"/>
  <c r="EN16" i="2"/>
  <c r="H16" i="2"/>
  <c r="DX42" i="2"/>
  <c r="CW15" i="2"/>
  <c r="Y17" i="2"/>
  <c r="AG13" i="2"/>
  <c r="BA13" i="2"/>
  <c r="EG12" i="2"/>
  <c r="I15" i="2"/>
  <c r="U13" i="2"/>
  <c r="AS14" i="2"/>
  <c r="AC15" i="2"/>
  <c r="BE17" i="2"/>
  <c r="DY14" i="2"/>
  <c r="DT30" i="2"/>
  <c r="CN30" i="2"/>
  <c r="AV30" i="2"/>
  <c r="P30" i="2"/>
  <c r="EB30" i="2"/>
  <c r="DH30" i="2"/>
  <c r="AJ30" i="2"/>
  <c r="CV30" i="2"/>
  <c r="BD30" i="2"/>
  <c r="X30" i="2"/>
  <c r="EJ30" i="2"/>
  <c r="DP30" i="2"/>
  <c r="AR30" i="2"/>
  <c r="L30" i="2"/>
  <c r="ER30" i="2"/>
  <c r="DD30" i="2"/>
  <c r="AF30" i="2"/>
  <c r="CR30" i="2"/>
  <c r="AZ30" i="2"/>
  <c r="T30" i="2"/>
  <c r="EF30" i="2"/>
  <c r="AN30" i="2"/>
  <c r="AB30" i="2"/>
  <c r="EN30" i="2"/>
  <c r="BH30" i="2"/>
  <c r="CZ30" i="2"/>
  <c r="H30" i="2"/>
  <c r="DX30" i="2"/>
  <c r="M13" i="2"/>
  <c r="EF29" i="2"/>
  <c r="AN29" i="2"/>
  <c r="EN29" i="2"/>
  <c r="CZ29" i="2"/>
  <c r="BH29" i="2"/>
  <c r="AB29" i="2"/>
  <c r="H29" i="2"/>
  <c r="DT29" i="2"/>
  <c r="CN29" i="2"/>
  <c r="AV29" i="2"/>
  <c r="P29" i="2"/>
  <c r="EB29" i="2"/>
  <c r="DH29" i="2"/>
  <c r="AJ29" i="2"/>
  <c r="CV29" i="2"/>
  <c r="BD29" i="2"/>
  <c r="X29" i="2"/>
  <c r="EJ29" i="2"/>
  <c r="DP29" i="2"/>
  <c r="AR29" i="2"/>
  <c r="ER29" i="2"/>
  <c r="DD29" i="2"/>
  <c r="AF29" i="2"/>
  <c r="T29" i="2"/>
  <c r="AZ29" i="2"/>
  <c r="CR29" i="2"/>
  <c r="DX29" i="2"/>
  <c r="L29" i="2"/>
  <c r="BY15" i="2"/>
  <c r="BX38" i="2"/>
  <c r="CS15" i="2"/>
  <c r="DU13" i="2"/>
  <c r="BI14" i="2"/>
  <c r="AO15" i="2"/>
  <c r="BZ11" i="2" l="1"/>
  <c r="CH11" i="2"/>
  <c r="CD11" i="2"/>
  <c r="CL11" i="2"/>
  <c r="CF42" i="2"/>
  <c r="CJ42" i="2"/>
  <c r="CB42" i="2"/>
  <c r="EL11" i="2"/>
  <c r="DF11" i="2"/>
  <c r="AL11" i="2"/>
  <c r="CP11" i="2"/>
  <c r="CX11" i="2"/>
  <c r="EH11" i="2"/>
  <c r="AH11" i="2"/>
  <c r="DJ11" i="2"/>
  <c r="EV12" i="2"/>
  <c r="DN12" i="2" s="1"/>
  <c r="BF11" i="2"/>
  <c r="AT11" i="2"/>
  <c r="R11" i="2"/>
  <c r="BB11" i="2"/>
  <c r="ED11" i="2"/>
  <c r="AX11" i="2"/>
  <c r="ET11" i="2"/>
  <c r="DZ11" i="2"/>
  <c r="DB11" i="2"/>
  <c r="DR11" i="2"/>
  <c r="J11" i="2"/>
  <c r="V11" i="2"/>
  <c r="CT11" i="2"/>
  <c r="Z11" i="2"/>
  <c r="N11" i="2"/>
  <c r="DV11" i="2"/>
  <c r="AD11" i="2"/>
  <c r="BJ11" i="2"/>
  <c r="AP11" i="2"/>
  <c r="EP11" i="2"/>
  <c r="DU14" i="2"/>
  <c r="EC15" i="2"/>
  <c r="DE17" i="2"/>
  <c r="CS16" i="2"/>
  <c r="BE18" i="2"/>
  <c r="I16" i="2"/>
  <c r="CW16" i="2"/>
  <c r="G45" i="2"/>
  <c r="G46" i="2" s="1"/>
  <c r="EV42" i="2"/>
  <c r="BD42" i="2"/>
  <c r="CV42" i="2"/>
  <c r="BT42" i="2"/>
  <c r="EB42" i="2"/>
  <c r="BL42" i="2"/>
  <c r="ER42" i="2"/>
  <c r="DP42" i="2"/>
  <c r="AB42" i="2"/>
  <c r="AZ42" i="2"/>
  <c r="BH42" i="2"/>
  <c r="AR42" i="2"/>
  <c r="DD42" i="2"/>
  <c r="DL42" i="2"/>
  <c r="AN42" i="2"/>
  <c r="CR42" i="2"/>
  <c r="AV42" i="2"/>
  <c r="DH42" i="2"/>
  <c r="H42" i="2"/>
  <c r="EN42" i="2"/>
  <c r="EF42" i="2"/>
  <c r="BX42" i="2"/>
  <c r="CZ42" i="2"/>
  <c r="EJ42" i="2"/>
  <c r="ES17" i="2"/>
  <c r="DQ16" i="2"/>
  <c r="AW17" i="2"/>
  <c r="AO16" i="2"/>
  <c r="AC16" i="2"/>
  <c r="EG13" i="2"/>
  <c r="EK14" i="2"/>
  <c r="AS15" i="2"/>
  <c r="BA14" i="2"/>
  <c r="EO13" i="2"/>
  <c r="BI15" i="2"/>
  <c r="BY16" i="2"/>
  <c r="Y18" i="2"/>
  <c r="AK16" i="2"/>
  <c r="DA14" i="2"/>
  <c r="DY15" i="2"/>
  <c r="U14" i="2"/>
  <c r="Q14" i="2"/>
  <c r="M14" i="2"/>
  <c r="AG14" i="2"/>
  <c r="DI14" i="2"/>
  <c r="AH12" i="2" l="1"/>
  <c r="CD12" i="2"/>
  <c r="CH12" i="2"/>
  <c r="CL12" i="2"/>
  <c r="J12" i="2"/>
  <c r="AD12" i="2"/>
  <c r="V12" i="2"/>
  <c r="AP12" i="2"/>
  <c r="DF12" i="2"/>
  <c r="AX12" i="2"/>
  <c r="ED12" i="2"/>
  <c r="CT12" i="2"/>
  <c r="BZ12" i="2"/>
  <c r="DZ12" i="2"/>
  <c r="EP12" i="2"/>
  <c r="Z12" i="2"/>
  <c r="R12" i="2"/>
  <c r="BB12" i="2"/>
  <c r="AT12" i="2"/>
  <c r="BJ12" i="2"/>
  <c r="EV13" i="2"/>
  <c r="DN13" i="2" s="1"/>
  <c r="BF12" i="2"/>
  <c r="AL12" i="2"/>
  <c r="DR12" i="2"/>
  <c r="CX12" i="2"/>
  <c r="CP12" i="2"/>
  <c r="ET12" i="2"/>
  <c r="EH12" i="2"/>
  <c r="N12" i="2"/>
  <c r="DJ12" i="2"/>
  <c r="DV12" i="2"/>
  <c r="EL12" i="2"/>
  <c r="DB12" i="2"/>
  <c r="DY16" i="2"/>
  <c r="Y19" i="2"/>
  <c r="AO17" i="2"/>
  <c r="AG15" i="2"/>
  <c r="BI16" i="2"/>
  <c r="EK15" i="2"/>
  <c r="M15" i="2"/>
  <c r="AW18" i="2"/>
  <c r="BE19" i="2"/>
  <c r="DU15" i="2"/>
  <c r="DA15" i="2"/>
  <c r="EO14" i="2"/>
  <c r="EG14" i="2"/>
  <c r="DQ17" i="2"/>
  <c r="CW17" i="2"/>
  <c r="CS17" i="2"/>
  <c r="Q15" i="2"/>
  <c r="AK17" i="2"/>
  <c r="DI15" i="2"/>
  <c r="U15" i="2"/>
  <c r="BA15" i="2"/>
  <c r="AC17" i="2"/>
  <c r="ES18" i="2"/>
  <c r="DE18" i="2"/>
  <c r="BY17" i="2"/>
  <c r="AS16" i="2"/>
  <c r="I17" i="2"/>
  <c r="EC16" i="2"/>
  <c r="Z13" i="2" l="1"/>
  <c r="R13" i="2"/>
  <c r="CD13" i="2"/>
  <c r="CL13" i="2"/>
  <c r="CH13" i="2"/>
  <c r="EH13" i="2"/>
  <c r="V13" i="2"/>
  <c r="EV14" i="2"/>
  <c r="DF13" i="2"/>
  <c r="CT13" i="2"/>
  <c r="CP13" i="2"/>
  <c r="DB13" i="2"/>
  <c r="DJ13" i="2"/>
  <c r="BB13" i="2"/>
  <c r="AT13" i="2"/>
  <c r="BJ13" i="2"/>
  <c r="ED13" i="2"/>
  <c r="DR13" i="2"/>
  <c r="EL13" i="2"/>
  <c r="J13" i="2"/>
  <c r="AD13" i="2"/>
  <c r="DZ13" i="2"/>
  <c r="AP13" i="2"/>
  <c r="BF13" i="2"/>
  <c r="AH13" i="2"/>
  <c r="AL13" i="2"/>
  <c r="EP13" i="2"/>
  <c r="DV13" i="2"/>
  <c r="CX13" i="2"/>
  <c r="BZ13" i="2"/>
  <c r="N13" i="2"/>
  <c r="ET13" i="2"/>
  <c r="AX13" i="2"/>
  <c r="ES19" i="2"/>
  <c r="DI16" i="2"/>
  <c r="DA16" i="2"/>
  <c r="EK16" i="2"/>
  <c r="AG16" i="2"/>
  <c r="BY18" i="2"/>
  <c r="CS18" i="2"/>
  <c r="EC17" i="2"/>
  <c r="CW18" i="2"/>
  <c r="AC18" i="2"/>
  <c r="DQ18" i="2"/>
  <c r="AW19" i="2"/>
  <c r="BI17" i="2"/>
  <c r="BA16" i="2"/>
  <c r="AO18" i="2"/>
  <c r="I18" i="2"/>
  <c r="DE19" i="2"/>
  <c r="Q16" i="2"/>
  <c r="DU16" i="2"/>
  <c r="AK18" i="2"/>
  <c r="U16" i="2"/>
  <c r="EG15" i="2"/>
  <c r="M16" i="2"/>
  <c r="Y20" i="2"/>
  <c r="AS17" i="2"/>
  <c r="EO15" i="2"/>
  <c r="BE20" i="2"/>
  <c r="DY17" i="2"/>
  <c r="DV14" i="2" l="1"/>
  <c r="DN14" i="2"/>
  <c r="Z14" i="2"/>
  <c r="AT14" i="2"/>
  <c r="DR14" i="2"/>
  <c r="AP14" i="2"/>
  <c r="CT14" i="2"/>
  <c r="AH14" i="2"/>
  <c r="CD14" i="2"/>
  <c r="CL14" i="2"/>
  <c r="CH14" i="2"/>
  <c r="N14" i="2"/>
  <c r="AX14" i="2"/>
  <c r="BF14" i="2"/>
  <c r="V14" i="2"/>
  <c r="ED14" i="2"/>
  <c r="DZ14" i="2"/>
  <c r="EV15" i="2"/>
  <c r="DN15" i="2" s="1"/>
  <c r="DB14" i="2"/>
  <c r="DJ14" i="2"/>
  <c r="BJ14" i="2"/>
  <c r="CP14" i="2"/>
  <c r="J14" i="2"/>
  <c r="R14" i="2"/>
  <c r="EL14" i="2"/>
  <c r="DF14" i="2"/>
  <c r="AD14" i="2"/>
  <c r="BZ14" i="2"/>
  <c r="BB14" i="2"/>
  <c r="AL14" i="2"/>
  <c r="EH14" i="2"/>
  <c r="EP14" i="2"/>
  <c r="CX14" i="2"/>
  <c r="ET14" i="2"/>
  <c r="BE21" i="2"/>
  <c r="U17" i="2"/>
  <c r="DE20" i="2"/>
  <c r="BI18" i="2"/>
  <c r="CW19" i="2"/>
  <c r="AG17" i="2"/>
  <c r="EK17" i="2"/>
  <c r="Y21" i="2"/>
  <c r="DA17" i="2"/>
  <c r="AK19" i="2"/>
  <c r="I19" i="2"/>
  <c r="AW20" i="2"/>
  <c r="EC18" i="2"/>
  <c r="DI17" i="2"/>
  <c r="M17" i="2"/>
  <c r="DU17" i="2"/>
  <c r="AO19" i="2"/>
  <c r="DQ19" i="2"/>
  <c r="CS19" i="2"/>
  <c r="ES20" i="2"/>
  <c r="AS18" i="2"/>
  <c r="EO16" i="2"/>
  <c r="AC19" i="2"/>
  <c r="BY19" i="2"/>
  <c r="DY18" i="2"/>
  <c r="EG16" i="2"/>
  <c r="Q17" i="2"/>
  <c r="BA17" i="2"/>
  <c r="DB15" i="2" l="1"/>
  <c r="CD15" i="2"/>
  <c r="CL15" i="2"/>
  <c r="CH15" i="2"/>
  <c r="EL15" i="2"/>
  <c r="BF15" i="2"/>
  <c r="ET15" i="2"/>
  <c r="Z15" i="2"/>
  <c r="N15" i="2"/>
  <c r="ED15" i="2"/>
  <c r="BJ15" i="2"/>
  <c r="CX15" i="2"/>
  <c r="AD15" i="2"/>
  <c r="DV15" i="2"/>
  <c r="AT15" i="2"/>
  <c r="AL15" i="2"/>
  <c r="CP15" i="2"/>
  <c r="BB15" i="2"/>
  <c r="BZ15" i="2"/>
  <c r="AP15" i="2"/>
  <c r="AH15" i="2"/>
  <c r="R15" i="2"/>
  <c r="J15" i="2"/>
  <c r="EV16" i="2"/>
  <c r="DN16" i="2" s="1"/>
  <c r="V15" i="2"/>
  <c r="EH15" i="2"/>
  <c r="DJ15" i="2"/>
  <c r="DR15" i="2"/>
  <c r="AX15" i="2"/>
  <c r="EP15" i="2"/>
  <c r="DZ15" i="2"/>
  <c r="CT15" i="2"/>
  <c r="DF15" i="2"/>
  <c r="DY19" i="2"/>
  <c r="EC19" i="2"/>
  <c r="CW20" i="2"/>
  <c r="BE22" i="2"/>
  <c r="BY20" i="2"/>
  <c r="DQ20" i="2"/>
  <c r="BI19" i="2"/>
  <c r="BA18" i="2"/>
  <c r="EO17" i="2"/>
  <c r="DA18" i="2"/>
  <c r="Q18" i="2"/>
  <c r="AW21" i="2"/>
  <c r="Y22" i="2"/>
  <c r="AS19" i="2"/>
  <c r="AO20" i="2"/>
  <c r="EK18" i="2"/>
  <c r="EG17" i="2"/>
  <c r="ES21" i="2"/>
  <c r="DU18" i="2"/>
  <c r="AK20" i="2"/>
  <c r="AC20" i="2"/>
  <c r="I20" i="2"/>
  <c r="DE21" i="2"/>
  <c r="DI18" i="2"/>
  <c r="AG18" i="2"/>
  <c r="U18" i="2"/>
  <c r="CS20" i="2"/>
  <c r="M18" i="2"/>
  <c r="R16" i="2" l="1"/>
  <c r="CD16" i="2"/>
  <c r="CL16" i="2"/>
  <c r="CH16" i="2"/>
  <c r="V16" i="2"/>
  <c r="CT16" i="2"/>
  <c r="BZ16" i="2"/>
  <c r="CX16" i="2"/>
  <c r="ET16" i="2"/>
  <c r="N16" i="2"/>
  <c r="AL16" i="2"/>
  <c r="DB16" i="2"/>
  <c r="AT16" i="2"/>
  <c r="BF16" i="2"/>
  <c r="BJ16" i="2"/>
  <c r="DV16" i="2"/>
  <c r="AH16" i="2"/>
  <c r="AX16" i="2"/>
  <c r="AD16" i="2"/>
  <c r="EH16" i="2"/>
  <c r="DJ16" i="2"/>
  <c r="DF16" i="2"/>
  <c r="EP16" i="2"/>
  <c r="AP16" i="2"/>
  <c r="J16" i="2"/>
  <c r="Z16" i="2"/>
  <c r="EL16" i="2"/>
  <c r="ED16" i="2"/>
  <c r="DR16" i="2"/>
  <c r="CP16" i="2"/>
  <c r="BB16" i="2"/>
  <c r="DZ16" i="2"/>
  <c r="EV17" i="2"/>
  <c r="DN17" i="2" s="1"/>
  <c r="EG18" i="2"/>
  <c r="Y23" i="2"/>
  <c r="DY20" i="2"/>
  <c r="U19" i="2"/>
  <c r="EO18" i="2"/>
  <c r="DE22" i="2"/>
  <c r="EK19" i="2"/>
  <c r="AW22" i="2"/>
  <c r="BA19" i="2"/>
  <c r="BE23" i="2"/>
  <c r="AG19" i="2"/>
  <c r="BI20" i="2"/>
  <c r="AK21" i="2"/>
  <c r="AC21" i="2"/>
  <c r="DA19" i="2"/>
  <c r="DQ21" i="2"/>
  <c r="EC20" i="2"/>
  <c r="M19" i="2"/>
  <c r="I21" i="2"/>
  <c r="DU19" i="2"/>
  <c r="AO21" i="2"/>
  <c r="Q19" i="2"/>
  <c r="CW21" i="2"/>
  <c r="DI19" i="2"/>
  <c r="CS21" i="2"/>
  <c r="ES22" i="2"/>
  <c r="AS20" i="2"/>
  <c r="BY21" i="2"/>
  <c r="AH17" i="2" l="1"/>
  <c r="CD17" i="2"/>
  <c r="CL17" i="2"/>
  <c r="CH17" i="2"/>
  <c r="DJ17" i="2"/>
  <c r="R17" i="2"/>
  <c r="ED17" i="2"/>
  <c r="DZ17" i="2"/>
  <c r="AD17" i="2"/>
  <c r="EV18" i="2"/>
  <c r="DN18" i="2" s="1"/>
  <c r="CP17" i="2"/>
  <c r="BZ17" i="2"/>
  <c r="AL17" i="2"/>
  <c r="ET17" i="2"/>
  <c r="N17" i="2"/>
  <c r="J17" i="2"/>
  <c r="AX17" i="2"/>
  <c r="DR17" i="2"/>
  <c r="BF17" i="2"/>
  <c r="DV17" i="2"/>
  <c r="CX17" i="2"/>
  <c r="EP17" i="2"/>
  <c r="BB17" i="2"/>
  <c r="EL17" i="2"/>
  <c r="DF17" i="2"/>
  <c r="EH17" i="2"/>
  <c r="AT17" i="2"/>
  <c r="AP17" i="2"/>
  <c r="DB17" i="2"/>
  <c r="BJ17" i="2"/>
  <c r="CT17" i="2"/>
  <c r="Z17" i="2"/>
  <c r="V17" i="2"/>
  <c r="ES23" i="2"/>
  <c r="BA20" i="2"/>
  <c r="DA20" i="2"/>
  <c r="BY22" i="2"/>
  <c r="Q20" i="2"/>
  <c r="AC22" i="2"/>
  <c r="AW23" i="2"/>
  <c r="U20" i="2"/>
  <c r="M20" i="2"/>
  <c r="CS22" i="2"/>
  <c r="AK22" i="2"/>
  <c r="AG20" i="2"/>
  <c r="DY21" i="2"/>
  <c r="AO22" i="2"/>
  <c r="EK20" i="2"/>
  <c r="DU20" i="2"/>
  <c r="DQ22" i="2"/>
  <c r="DE23" i="2"/>
  <c r="Y24" i="2"/>
  <c r="CW22" i="2"/>
  <c r="EC21" i="2"/>
  <c r="DI20" i="2"/>
  <c r="AS21" i="2"/>
  <c r="BI21" i="2"/>
  <c r="BE24" i="2"/>
  <c r="I22" i="2"/>
  <c r="EO19" i="2"/>
  <c r="EG19" i="2"/>
  <c r="AH18" i="2" l="1"/>
  <c r="CD18" i="2"/>
  <c r="CL18" i="2"/>
  <c r="CH18" i="2"/>
  <c r="V18" i="2"/>
  <c r="CT18" i="2"/>
  <c r="CX18" i="2"/>
  <c r="EL18" i="2"/>
  <c r="AL18" i="2"/>
  <c r="EV19" i="2"/>
  <c r="DN19" i="2" s="1"/>
  <c r="BJ18" i="2"/>
  <c r="AT18" i="2"/>
  <c r="ED18" i="2"/>
  <c r="R18" i="2"/>
  <c r="DB18" i="2"/>
  <c r="DZ18" i="2"/>
  <c r="CP18" i="2"/>
  <c r="J18" i="2"/>
  <c r="DJ18" i="2"/>
  <c r="EH18" i="2"/>
  <c r="DR18" i="2"/>
  <c r="DF18" i="2"/>
  <c r="Z18" i="2"/>
  <c r="BB18" i="2"/>
  <c r="BZ18" i="2"/>
  <c r="AD18" i="2"/>
  <c r="BF18" i="2"/>
  <c r="DV18" i="2"/>
  <c r="EP18" i="2"/>
  <c r="AP18" i="2"/>
  <c r="AX18" i="2"/>
  <c r="ET18" i="2"/>
  <c r="N18" i="2"/>
  <c r="DY22" i="2"/>
  <c r="EO20" i="2"/>
  <c r="CW23" i="2"/>
  <c r="DE24" i="2"/>
  <c r="EK21" i="2"/>
  <c r="BY23" i="2"/>
  <c r="BI22" i="2"/>
  <c r="DU21" i="2"/>
  <c r="AG21" i="2"/>
  <c r="U21" i="2"/>
  <c r="Q21" i="2"/>
  <c r="AS22" i="2"/>
  <c r="Y25" i="2"/>
  <c r="DA21" i="2"/>
  <c r="EG20" i="2"/>
  <c r="AK23" i="2"/>
  <c r="DQ23" i="2"/>
  <c r="CS23" i="2"/>
  <c r="AC23" i="2"/>
  <c r="BE25" i="2"/>
  <c r="EC22" i="2"/>
  <c r="AO23" i="2"/>
  <c r="BA21" i="2"/>
  <c r="I23" i="2"/>
  <c r="AW24" i="2"/>
  <c r="DI21" i="2"/>
  <c r="M21" i="2"/>
  <c r="ES24" i="2"/>
  <c r="DJ19" i="2" l="1"/>
  <c r="AH19" i="2"/>
  <c r="CT19" i="2"/>
  <c r="AD19" i="2"/>
  <c r="DF19" i="2"/>
  <c r="BB19" i="2"/>
  <c r="CD19" i="2"/>
  <c r="CH19" i="2"/>
  <c r="CL19" i="2"/>
  <c r="AT19" i="2"/>
  <c r="R19" i="2"/>
  <c r="DV19" i="2"/>
  <c r="CX19" i="2"/>
  <c r="BF19" i="2"/>
  <c r="EP19" i="2"/>
  <c r="BJ19" i="2"/>
  <c r="AL19" i="2"/>
  <c r="EH19" i="2"/>
  <c r="ET19" i="2"/>
  <c r="ED19" i="2"/>
  <c r="Z19" i="2"/>
  <c r="AP19" i="2"/>
  <c r="EV20" i="2"/>
  <c r="DN20" i="2" s="1"/>
  <c r="N19" i="2"/>
  <c r="DZ19" i="2"/>
  <c r="DR19" i="2"/>
  <c r="CP19" i="2"/>
  <c r="V19" i="2"/>
  <c r="BZ19" i="2"/>
  <c r="DB19" i="2"/>
  <c r="J19" i="2"/>
  <c r="AX19" i="2"/>
  <c r="EL19" i="2"/>
  <c r="AC24" i="2"/>
  <c r="AS23" i="2"/>
  <c r="I24" i="2"/>
  <c r="EG21" i="2"/>
  <c r="DU22" i="2"/>
  <c r="DE25" i="2"/>
  <c r="M22" i="2"/>
  <c r="Q22" i="2"/>
  <c r="DI22" i="2"/>
  <c r="BA22" i="2"/>
  <c r="CS24" i="2"/>
  <c r="DA22" i="2"/>
  <c r="BI23" i="2"/>
  <c r="CW24" i="2"/>
  <c r="U22" i="2"/>
  <c r="EO21" i="2"/>
  <c r="AW25" i="2"/>
  <c r="AO24" i="2"/>
  <c r="EC23" i="2"/>
  <c r="DQ24" i="2"/>
  <c r="BY24" i="2"/>
  <c r="ES25" i="2"/>
  <c r="BE26" i="2"/>
  <c r="AK24" i="2"/>
  <c r="Y26" i="2"/>
  <c r="AG22" i="2"/>
  <c r="EK22" i="2"/>
  <c r="DY23" i="2"/>
  <c r="DV20" i="2" l="1"/>
  <c r="CD20" i="2"/>
  <c r="CL20" i="2"/>
  <c r="CH20" i="2"/>
  <c r="DR20" i="2"/>
  <c r="CX20" i="2"/>
  <c r="CP20" i="2"/>
  <c r="R20" i="2"/>
  <c r="J20" i="2"/>
  <c r="EL20" i="2"/>
  <c r="AH20" i="2"/>
  <c r="BJ20" i="2"/>
  <c r="ED20" i="2"/>
  <c r="DZ20" i="2"/>
  <c r="DB20" i="2"/>
  <c r="AD20" i="2"/>
  <c r="DF20" i="2"/>
  <c r="ET20" i="2"/>
  <c r="BB20" i="2"/>
  <c r="N20" i="2"/>
  <c r="V20" i="2"/>
  <c r="CT20" i="2"/>
  <c r="BF20" i="2"/>
  <c r="DJ20" i="2"/>
  <c r="BZ20" i="2"/>
  <c r="Z20" i="2"/>
  <c r="EP20" i="2"/>
  <c r="AT20" i="2"/>
  <c r="AL20" i="2"/>
  <c r="EV21" i="2"/>
  <c r="EH20" i="2"/>
  <c r="AP20" i="2"/>
  <c r="AX20" i="2"/>
  <c r="BY25" i="2"/>
  <c r="DE26" i="2"/>
  <c r="Y27" i="2"/>
  <c r="AO25" i="2"/>
  <c r="DA23" i="2"/>
  <c r="Q23" i="2"/>
  <c r="DY24" i="2"/>
  <c r="U23" i="2"/>
  <c r="DU23" i="2"/>
  <c r="EK23" i="2"/>
  <c r="AK25" i="2"/>
  <c r="DQ25" i="2"/>
  <c r="AW26" i="2"/>
  <c r="CS25" i="2"/>
  <c r="M23" i="2"/>
  <c r="I25" i="2"/>
  <c r="CW25" i="2"/>
  <c r="AS24" i="2"/>
  <c r="BE27" i="2"/>
  <c r="EG22" i="2"/>
  <c r="EO22" i="2"/>
  <c r="BA23" i="2"/>
  <c r="EC24" i="2"/>
  <c r="BI24" i="2"/>
  <c r="AG23" i="2"/>
  <c r="ES26" i="2"/>
  <c r="DI23" i="2"/>
  <c r="AC25" i="2"/>
  <c r="CX21" i="2" l="1"/>
  <c r="DN21" i="2"/>
  <c r="BZ21" i="2"/>
  <c r="N21" i="2"/>
  <c r="CD21" i="2"/>
  <c r="CL21" i="2"/>
  <c r="CH21" i="2"/>
  <c r="AD21" i="2"/>
  <c r="EP21" i="2"/>
  <c r="EH21" i="2"/>
  <c r="ET21" i="2"/>
  <c r="AH21" i="2"/>
  <c r="J21" i="2"/>
  <c r="DV21" i="2"/>
  <c r="DJ21" i="2"/>
  <c r="AT21" i="2"/>
  <c r="AL21" i="2"/>
  <c r="BF21" i="2"/>
  <c r="DB21" i="2"/>
  <c r="AP21" i="2"/>
  <c r="Z21" i="2"/>
  <c r="EL21" i="2"/>
  <c r="R21" i="2"/>
  <c r="DR21" i="2"/>
  <c r="BB21" i="2"/>
  <c r="AX21" i="2"/>
  <c r="DF21" i="2"/>
  <c r="BJ21" i="2"/>
  <c r="ED21" i="2"/>
  <c r="EV22" i="2"/>
  <c r="DN22" i="2" s="1"/>
  <c r="DZ21" i="2"/>
  <c r="CT21" i="2"/>
  <c r="CP21" i="2"/>
  <c r="V21" i="2"/>
  <c r="DQ26" i="2"/>
  <c r="EG23" i="2"/>
  <c r="I26" i="2"/>
  <c r="U24" i="2"/>
  <c r="AO26" i="2"/>
  <c r="ES27" i="2"/>
  <c r="BE28" i="2"/>
  <c r="M24" i="2"/>
  <c r="AK26" i="2"/>
  <c r="DY25" i="2"/>
  <c r="DY26" i="2" s="1"/>
  <c r="Y28" i="2"/>
  <c r="AG24" i="2"/>
  <c r="EK24" i="2"/>
  <c r="DE27" i="2"/>
  <c r="AS25" i="2"/>
  <c r="Q24" i="2"/>
  <c r="BA24" i="2"/>
  <c r="EO23" i="2"/>
  <c r="CW26" i="2"/>
  <c r="DU24" i="2"/>
  <c r="DA24" i="2"/>
  <c r="BY26" i="2"/>
  <c r="EC25" i="2"/>
  <c r="CS26" i="2"/>
  <c r="AC26" i="2"/>
  <c r="DI24" i="2"/>
  <c r="BI25" i="2"/>
  <c r="AW27" i="2"/>
  <c r="R22" i="2" l="1"/>
  <c r="CD22" i="2"/>
  <c r="CL22" i="2"/>
  <c r="CH22" i="2"/>
  <c r="BB22" i="2"/>
  <c r="N22" i="2"/>
  <c r="DZ22" i="2"/>
  <c r="AT22" i="2"/>
  <c r="BJ22" i="2"/>
  <c r="BZ22" i="2"/>
  <c r="AL22" i="2"/>
  <c r="DF22" i="2"/>
  <c r="EL22" i="2"/>
  <c r="AX22" i="2"/>
  <c r="Z22" i="2"/>
  <c r="AH22" i="2"/>
  <c r="EP22" i="2"/>
  <c r="CT22" i="2"/>
  <c r="BF22" i="2"/>
  <c r="EH22" i="2"/>
  <c r="EV23" i="2"/>
  <c r="DN23" i="2" s="1"/>
  <c r="CX22" i="2"/>
  <c r="DR22" i="2"/>
  <c r="DJ22" i="2"/>
  <c r="ED22" i="2"/>
  <c r="AP22" i="2"/>
  <c r="CP22" i="2"/>
  <c r="DV22" i="2"/>
  <c r="AD22" i="2"/>
  <c r="V22" i="2"/>
  <c r="DB22" i="2"/>
  <c r="J22" i="2"/>
  <c r="ET22" i="2"/>
  <c r="AS26" i="2"/>
  <c r="ES28" i="2"/>
  <c r="I27" i="2"/>
  <c r="EK25" i="2"/>
  <c r="AK27" i="2"/>
  <c r="EG24" i="2"/>
  <c r="EO24" i="2"/>
  <c r="CS27" i="2"/>
  <c r="AW28" i="2"/>
  <c r="DA25" i="2"/>
  <c r="AO27" i="2"/>
  <c r="DU25" i="2"/>
  <c r="AG25" i="2"/>
  <c r="M25" i="2"/>
  <c r="DQ27" i="2"/>
  <c r="BY27" i="2"/>
  <c r="BI26" i="2"/>
  <c r="DI25" i="2"/>
  <c r="Q25" i="2"/>
  <c r="Y29" i="2"/>
  <c r="U25" i="2"/>
  <c r="AC27" i="2"/>
  <c r="BA25" i="2"/>
  <c r="EC26" i="2"/>
  <c r="CW27" i="2"/>
  <c r="DE28" i="2"/>
  <c r="BE29" i="2"/>
  <c r="DJ23" i="2" l="1"/>
  <c r="CD23" i="2"/>
  <c r="CL23" i="2"/>
  <c r="CH23" i="2"/>
  <c r="EV24" i="2"/>
  <c r="ET24" i="2" s="1"/>
  <c r="ED23" i="2"/>
  <c r="AT23" i="2"/>
  <c r="DZ23" i="2"/>
  <c r="CT23" i="2"/>
  <c r="J23" i="2"/>
  <c r="CX23" i="2"/>
  <c r="R23" i="2"/>
  <c r="EP23" i="2"/>
  <c r="DV23" i="2"/>
  <c r="Z23" i="2"/>
  <c r="BF23" i="2"/>
  <c r="EH23" i="2"/>
  <c r="EL23" i="2"/>
  <c r="BJ23" i="2"/>
  <c r="AD23" i="2"/>
  <c r="CP23" i="2"/>
  <c r="DB23" i="2"/>
  <c r="AP23" i="2"/>
  <c r="BB23" i="2"/>
  <c r="BZ23" i="2"/>
  <c r="V23" i="2"/>
  <c r="N23" i="2"/>
  <c r="AL23" i="2"/>
  <c r="AX23" i="2"/>
  <c r="DF23" i="2"/>
  <c r="AH23" i="2"/>
  <c r="DR23" i="2"/>
  <c r="ET23" i="2"/>
  <c r="DI26" i="2"/>
  <c r="M26" i="2"/>
  <c r="EO25" i="2"/>
  <c r="I28" i="2"/>
  <c r="CW28" i="2"/>
  <c r="DA26" i="2"/>
  <c r="BI27" i="2"/>
  <c r="BY28" i="2"/>
  <c r="AG26" i="2"/>
  <c r="EG25" i="2"/>
  <c r="ES29" i="2"/>
  <c r="EC27" i="2"/>
  <c r="U26" i="2"/>
  <c r="Y30" i="2"/>
  <c r="AC28" i="2"/>
  <c r="DQ28" i="2"/>
  <c r="AW29" i="2"/>
  <c r="AK28" i="2"/>
  <c r="DY27" i="2"/>
  <c r="BA26" i="2"/>
  <c r="Q26" i="2"/>
  <c r="DU26" i="2"/>
  <c r="EK26" i="2"/>
  <c r="AO28" i="2"/>
  <c r="BE30" i="2"/>
  <c r="DE29" i="2"/>
  <c r="CS28" i="2"/>
  <c r="AS27" i="2"/>
  <c r="AX24" i="2" l="1"/>
  <c r="DN24" i="2"/>
  <c r="EV25" i="2"/>
  <c r="DN25" i="2" s="1"/>
  <c r="EL24" i="2"/>
  <c r="BB24" i="2"/>
  <c r="AD24" i="2"/>
  <c r="R24" i="2"/>
  <c r="DF24" i="2"/>
  <c r="J24" i="2"/>
  <c r="DJ24" i="2"/>
  <c r="EH24" i="2"/>
  <c r="V24" i="2"/>
  <c r="CP24" i="2"/>
  <c r="AP24" i="2"/>
  <c r="DR24" i="2"/>
  <c r="EP24" i="2"/>
  <c r="AH24" i="2"/>
  <c r="ED24" i="2"/>
  <c r="CX24" i="2"/>
  <c r="BZ24" i="2"/>
  <c r="BJ24" i="2"/>
  <c r="DB24" i="2"/>
  <c r="CD24" i="2"/>
  <c r="CL24" i="2"/>
  <c r="CH24" i="2"/>
  <c r="DZ24" i="2"/>
  <c r="AL24" i="2"/>
  <c r="BF24" i="2"/>
  <c r="AT24" i="2"/>
  <c r="CT24" i="2"/>
  <c r="Z24" i="2"/>
  <c r="N24" i="2"/>
  <c r="DV24" i="2"/>
  <c r="DY28" i="2"/>
  <c r="BI28" i="2"/>
  <c r="EO26" i="2"/>
  <c r="AC29" i="2"/>
  <c r="ES30" i="2"/>
  <c r="CS29" i="2"/>
  <c r="DE30" i="2"/>
  <c r="DU27" i="2"/>
  <c r="AK29" i="2"/>
  <c r="Y31" i="2"/>
  <c r="EG26" i="2"/>
  <c r="DA27" i="2"/>
  <c r="EK27" i="2"/>
  <c r="U27" i="2"/>
  <c r="AG27" i="2"/>
  <c r="BE31" i="2"/>
  <c r="Q27" i="2"/>
  <c r="AW30" i="2"/>
  <c r="CW29" i="2"/>
  <c r="M27" i="2"/>
  <c r="AS28" i="2"/>
  <c r="BA27" i="2"/>
  <c r="DQ29" i="2"/>
  <c r="BY29" i="2"/>
  <c r="I29" i="2"/>
  <c r="DI27" i="2"/>
  <c r="AO29" i="2"/>
  <c r="EC28" i="2"/>
  <c r="CD25" i="2" l="1"/>
  <c r="CL25" i="2"/>
  <c r="DB25" i="2"/>
  <c r="N25" i="2"/>
  <c r="Z25" i="2"/>
  <c r="EH25" i="2"/>
  <c r="R25" i="2"/>
  <c r="DV25" i="2"/>
  <c r="DZ25" i="2"/>
  <c r="AT25" i="2"/>
  <c r="AL25" i="2"/>
  <c r="BB25" i="2"/>
  <c r="BZ25" i="2"/>
  <c r="AH25" i="2"/>
  <c r="CT25" i="2"/>
  <c r="CX25" i="2"/>
  <c r="J25" i="2"/>
  <c r="DJ25" i="2"/>
  <c r="BJ25" i="2"/>
  <c r="ET25" i="2"/>
  <c r="DF25" i="2"/>
  <c r="AX25" i="2"/>
  <c r="V25" i="2"/>
  <c r="AP25" i="2"/>
  <c r="DR25" i="2"/>
  <c r="BF25" i="2"/>
  <c r="EP25" i="2"/>
  <c r="EV26" i="2"/>
  <c r="DN26" i="2" s="1"/>
  <c r="ED25" i="2"/>
  <c r="AD25" i="2"/>
  <c r="CP25" i="2"/>
  <c r="EL25" i="2"/>
  <c r="CH25" i="2"/>
  <c r="DQ30" i="2"/>
  <c r="CW30" i="2"/>
  <c r="EO27" i="2"/>
  <c r="U28" i="2"/>
  <c r="EG27" i="2"/>
  <c r="DE31" i="2"/>
  <c r="BA28" i="2"/>
  <c r="EK28" i="2"/>
  <c r="Y32" i="2"/>
  <c r="CS30" i="2"/>
  <c r="AS29" i="2"/>
  <c r="AW31" i="2"/>
  <c r="BI29" i="2"/>
  <c r="I30" i="2"/>
  <c r="DY29" i="2"/>
  <c r="EC29" i="2"/>
  <c r="BY30" i="2"/>
  <c r="M28" i="2"/>
  <c r="AK30" i="2"/>
  <c r="ES31" i="2"/>
  <c r="DI28" i="2"/>
  <c r="Q28" i="2"/>
  <c r="DA28" i="2"/>
  <c r="AO30" i="2"/>
  <c r="BE32" i="2"/>
  <c r="AG28" i="2"/>
  <c r="DU28" i="2"/>
  <c r="AC30" i="2"/>
  <c r="BZ26" i="2" l="1"/>
  <c r="CT26" i="2"/>
  <c r="BF26" i="2"/>
  <c r="DV26" i="2"/>
  <c r="CP26" i="2"/>
  <c r="AL26" i="2"/>
  <c r="DJ26" i="2"/>
  <c r="EV27" i="2"/>
  <c r="DN27" i="2" s="1"/>
  <c r="EL26" i="2"/>
  <c r="R26" i="2"/>
  <c r="BJ26" i="2"/>
  <c r="J26" i="2"/>
  <c r="Z26" i="2"/>
  <c r="EH26" i="2"/>
  <c r="BB26" i="2"/>
  <c r="V26" i="2"/>
  <c r="DR26" i="2"/>
  <c r="AD26" i="2"/>
  <c r="AH26" i="2"/>
  <c r="AT26" i="2"/>
  <c r="DF26" i="2"/>
  <c r="DZ26" i="2"/>
  <c r="ED26" i="2"/>
  <c r="DB26" i="2"/>
  <c r="N26" i="2"/>
  <c r="AP26" i="2"/>
  <c r="AX26" i="2"/>
  <c r="EP26" i="2"/>
  <c r="CH26" i="2"/>
  <c r="CX26" i="2"/>
  <c r="CL26" i="2"/>
  <c r="ET26" i="2"/>
  <c r="CD26" i="2"/>
  <c r="DA29" i="2"/>
  <c r="ES32" i="2"/>
  <c r="EK29" i="2"/>
  <c r="BI30" i="2"/>
  <c r="AW32" i="2"/>
  <c r="U29" i="2"/>
  <c r="DY30" i="2"/>
  <c r="BA29" i="2"/>
  <c r="EO28" i="2"/>
  <c r="Q29" i="2"/>
  <c r="AS30" i="2"/>
  <c r="BE33" i="2"/>
  <c r="AK31" i="2"/>
  <c r="CS31" i="2"/>
  <c r="DE32" i="2"/>
  <c r="CW31" i="2"/>
  <c r="EC30" i="2"/>
  <c r="AO31" i="2"/>
  <c r="M29" i="2"/>
  <c r="DI29" i="2"/>
  <c r="BY31" i="2"/>
  <c r="I31" i="2"/>
  <c r="AC31" i="2"/>
  <c r="DU29" i="2"/>
  <c r="AG29" i="2"/>
  <c r="Y33" i="2"/>
  <c r="EG28" i="2"/>
  <c r="DQ31" i="2"/>
  <c r="AL27" i="2" l="1"/>
  <c r="CT27" i="2"/>
  <c r="V27" i="2"/>
  <c r="DJ27" i="2"/>
  <c r="AX27" i="2"/>
  <c r="DF27" i="2"/>
  <c r="BF27" i="2"/>
  <c r="EH27" i="2"/>
  <c r="CH27" i="2"/>
  <c r="CL27" i="2"/>
  <c r="EP27" i="2"/>
  <c r="AP27" i="2"/>
  <c r="ED27" i="2"/>
  <c r="DV27" i="2"/>
  <c r="BZ27" i="2"/>
  <c r="CP27" i="2"/>
  <c r="EL27" i="2"/>
  <c r="CD27" i="2"/>
  <c r="AH27" i="2"/>
  <c r="DR27" i="2"/>
  <c r="DB27" i="2"/>
  <c r="DZ27" i="2"/>
  <c r="J27" i="2"/>
  <c r="N27" i="2"/>
  <c r="BB27" i="2"/>
  <c r="CX27" i="2"/>
  <c r="BJ27" i="2"/>
  <c r="Z27" i="2"/>
  <c r="EV28" i="2"/>
  <c r="DN28" i="2" s="1"/>
  <c r="AT27" i="2"/>
  <c r="AD27" i="2"/>
  <c r="ET27" i="2"/>
  <c r="R27" i="2"/>
  <c r="EC31" i="2"/>
  <c r="BA30" i="2"/>
  <c r="CW32" i="2"/>
  <c r="BE34" i="2"/>
  <c r="BI31" i="2"/>
  <c r="AS31" i="2"/>
  <c r="DY31" i="2"/>
  <c r="EK30" i="2"/>
  <c r="AC32" i="2"/>
  <c r="U30" i="2"/>
  <c r="ES33" i="2"/>
  <c r="EG29" i="2"/>
  <c r="DI30" i="2"/>
  <c r="AK32" i="2"/>
  <c r="Q30" i="2"/>
  <c r="DU30" i="2"/>
  <c r="DE33" i="2"/>
  <c r="AG30" i="2"/>
  <c r="I32" i="2"/>
  <c r="AO32" i="2"/>
  <c r="CS32" i="2"/>
  <c r="Y34" i="2"/>
  <c r="M30" i="2"/>
  <c r="DQ32" i="2"/>
  <c r="BY32" i="2"/>
  <c r="EO29" i="2"/>
  <c r="AW33" i="2"/>
  <c r="DA30" i="2"/>
  <c r="N28" i="2" l="1"/>
  <c r="CT28" i="2"/>
  <c r="AL28" i="2"/>
  <c r="V28" i="2"/>
  <c r="DF28" i="2"/>
  <c r="DB28" i="2"/>
  <c r="DJ28" i="2"/>
  <c r="BB28" i="2"/>
  <c r="R28" i="2"/>
  <c r="CL28" i="2"/>
  <c r="BZ28" i="2"/>
  <c r="EP28" i="2"/>
  <c r="EV29" i="2"/>
  <c r="DN29" i="2" s="1"/>
  <c r="CD28" i="2"/>
  <c r="AD28" i="2"/>
  <c r="DR28" i="2"/>
  <c r="AH28" i="2"/>
  <c r="DZ28" i="2"/>
  <c r="CX28" i="2"/>
  <c r="CH28" i="2"/>
  <c r="Z28" i="2"/>
  <c r="BJ28" i="2"/>
  <c r="DV28" i="2"/>
  <c r="AP28" i="2"/>
  <c r="BF28" i="2"/>
  <c r="ED28" i="2"/>
  <c r="AT28" i="2"/>
  <c r="CP28" i="2"/>
  <c r="EH28" i="2"/>
  <c r="EL28" i="2"/>
  <c r="ET28" i="2"/>
  <c r="J28" i="2"/>
  <c r="AX28" i="2"/>
  <c r="AG31" i="2"/>
  <c r="AC33" i="2"/>
  <c r="DQ33" i="2"/>
  <c r="BI32" i="2"/>
  <c r="DE34" i="2"/>
  <c r="AK33" i="2"/>
  <c r="ES34" i="2"/>
  <c r="EK31" i="2"/>
  <c r="CW33" i="2"/>
  <c r="CS33" i="2"/>
  <c r="AW34" i="2"/>
  <c r="EO30" i="2"/>
  <c r="AO33" i="2"/>
  <c r="DU31" i="2"/>
  <c r="DI31" i="2"/>
  <c r="U31" i="2"/>
  <c r="DY32" i="2"/>
  <c r="BE35" i="2"/>
  <c r="M31" i="2"/>
  <c r="EG30" i="2"/>
  <c r="BA31" i="2"/>
  <c r="BY33" i="2"/>
  <c r="I33" i="2"/>
  <c r="AS32" i="2"/>
  <c r="DA31" i="2"/>
  <c r="Y35" i="2"/>
  <c r="Q31" i="2"/>
  <c r="EC32" i="2"/>
  <c r="AT29" i="2" l="1"/>
  <c r="BJ29" i="2"/>
  <c r="AD29" i="2"/>
  <c r="ET29" i="2"/>
  <c r="BB29" i="2"/>
  <c r="V29" i="2"/>
  <c r="AX29" i="2"/>
  <c r="DB29" i="2"/>
  <c r="Z29" i="2"/>
  <c r="N29" i="2"/>
  <c r="AP29" i="2"/>
  <c r="AL29" i="2"/>
  <c r="CH29" i="2"/>
  <c r="BF29" i="2"/>
  <c r="CX29" i="2"/>
  <c r="CT29" i="2"/>
  <c r="DF29" i="2"/>
  <c r="DV29" i="2"/>
  <c r="AH29" i="2"/>
  <c r="CL29" i="2"/>
  <c r="DR29" i="2"/>
  <c r="DZ29" i="2"/>
  <c r="CP29" i="2"/>
  <c r="EH29" i="2"/>
  <c r="DJ29" i="2"/>
  <c r="CD29" i="2"/>
  <c r="EV30" i="2"/>
  <c r="DN30" i="2" s="1"/>
  <c r="BZ29" i="2"/>
  <c r="ED29" i="2"/>
  <c r="J29" i="2"/>
  <c r="EP29" i="2"/>
  <c r="R29" i="2"/>
  <c r="EL29" i="2"/>
  <c r="EC33" i="2"/>
  <c r="ES35" i="2"/>
  <c r="I34" i="2"/>
  <c r="M32" i="2"/>
  <c r="DI32" i="2"/>
  <c r="AW35" i="2"/>
  <c r="DQ34" i="2"/>
  <c r="AC34" i="2"/>
  <c r="Y36" i="2"/>
  <c r="BY34" i="2"/>
  <c r="BE36" i="2"/>
  <c r="DU32" i="2"/>
  <c r="CS34" i="2"/>
  <c r="AK34" i="2"/>
  <c r="DY33" i="2"/>
  <c r="DA32" i="2"/>
  <c r="BA32" i="2"/>
  <c r="AO34" i="2"/>
  <c r="CW34" i="2"/>
  <c r="DE35" i="2"/>
  <c r="EL30" i="2"/>
  <c r="AH30" i="2"/>
  <c r="Q32" i="2"/>
  <c r="AS33" i="2"/>
  <c r="EG31" i="2"/>
  <c r="U32" i="2"/>
  <c r="EO31" i="2"/>
  <c r="EK32" i="2"/>
  <c r="BI33" i="2"/>
  <c r="AG32" i="2"/>
  <c r="DZ30" i="2" l="1"/>
  <c r="DB30" i="2"/>
  <c r="DR30" i="2"/>
  <c r="R30" i="2"/>
  <c r="AX30" i="2"/>
  <c r="EP30" i="2"/>
  <c r="ET30" i="2"/>
  <c r="Z30" i="2"/>
  <c r="EV31" i="2"/>
  <c r="DN31" i="2" s="1"/>
  <c r="CP30" i="2"/>
  <c r="DJ30" i="2"/>
  <c r="V30" i="2"/>
  <c r="BB30" i="2"/>
  <c r="BJ30" i="2"/>
  <c r="N30" i="2"/>
  <c r="EH30" i="2"/>
  <c r="ED30" i="2"/>
  <c r="CX30" i="2"/>
  <c r="AD30" i="2"/>
  <c r="J30" i="2"/>
  <c r="AP30" i="2"/>
  <c r="CT30" i="2"/>
  <c r="AT30" i="2"/>
  <c r="BZ30" i="2"/>
  <c r="CH30" i="2"/>
  <c r="AL30" i="2"/>
  <c r="DF30" i="2"/>
  <c r="CL30" i="2"/>
  <c r="BF30" i="2"/>
  <c r="CD30" i="2"/>
  <c r="DV30" i="2"/>
  <c r="DY34" i="2"/>
  <c r="DU33" i="2"/>
  <c r="AW36" i="2"/>
  <c r="ES36" i="2"/>
  <c r="AO35" i="2"/>
  <c r="BE37" i="2"/>
  <c r="BI34" i="2"/>
  <c r="BA33" i="2"/>
  <c r="BY35" i="2"/>
  <c r="DI33" i="2"/>
  <c r="EG32" i="2"/>
  <c r="AS34" i="2"/>
  <c r="AK35" i="2"/>
  <c r="EO32" i="2"/>
  <c r="AC35" i="2"/>
  <c r="M33" i="2"/>
  <c r="EK33" i="2"/>
  <c r="Q33" i="2"/>
  <c r="DE36" i="2"/>
  <c r="DA33" i="2"/>
  <c r="CS35" i="2"/>
  <c r="Y37" i="2"/>
  <c r="AG33" i="2"/>
  <c r="U33" i="2"/>
  <c r="CW35" i="2"/>
  <c r="DQ35" i="2"/>
  <c r="I35" i="2"/>
  <c r="EC34" i="2"/>
  <c r="CH31" i="2" l="1"/>
  <c r="ET31" i="2"/>
  <c r="AX31" i="2"/>
  <c r="BF31" i="2"/>
  <c r="CL31" i="2"/>
  <c r="CX31" i="2"/>
  <c r="DF31" i="2"/>
  <c r="AT31" i="2"/>
  <c r="N31" i="2"/>
  <c r="DR31" i="2"/>
  <c r="DV31" i="2"/>
  <c r="BB31" i="2"/>
  <c r="AP31" i="2"/>
  <c r="DB31" i="2"/>
  <c r="ED31" i="2"/>
  <c r="DJ31" i="2"/>
  <c r="EL31" i="2"/>
  <c r="EH31" i="2"/>
  <c r="AD31" i="2"/>
  <c r="AH31" i="2"/>
  <c r="Z31" i="2"/>
  <c r="J31" i="2"/>
  <c r="R31" i="2"/>
  <c r="AL31" i="2"/>
  <c r="CD31" i="2"/>
  <c r="EV32" i="2"/>
  <c r="DN32" i="2" s="1"/>
  <c r="EP31" i="2"/>
  <c r="DZ31" i="2"/>
  <c r="CT31" i="2"/>
  <c r="BJ31" i="2"/>
  <c r="BZ31" i="2"/>
  <c r="CP31" i="2"/>
  <c r="V31" i="2"/>
  <c r="EO33" i="2"/>
  <c r="BE38" i="2"/>
  <c r="AS35" i="2"/>
  <c r="BA34" i="2"/>
  <c r="AO36" i="2"/>
  <c r="Z32" i="2"/>
  <c r="EC35" i="2"/>
  <c r="CS36" i="2"/>
  <c r="U34" i="2"/>
  <c r="M34" i="2"/>
  <c r="EG33" i="2"/>
  <c r="DA34" i="2"/>
  <c r="ES37" i="2"/>
  <c r="DU34" i="2"/>
  <c r="DE37" i="2"/>
  <c r="AC36" i="2"/>
  <c r="DI34" i="2"/>
  <c r="BI35" i="2"/>
  <c r="AW37" i="2"/>
  <c r="EK34" i="2"/>
  <c r="I36" i="2"/>
  <c r="Q34" i="2"/>
  <c r="AK36" i="2"/>
  <c r="BY36" i="2"/>
  <c r="DY35" i="2"/>
  <c r="CW36" i="2"/>
  <c r="AG34" i="2"/>
  <c r="DQ36" i="2"/>
  <c r="Y38" i="2"/>
  <c r="EP32" i="2" l="1"/>
  <c r="CT32" i="2"/>
  <c r="AL32" i="2"/>
  <c r="AD32" i="2"/>
  <c r="BF32" i="2"/>
  <c r="N32" i="2"/>
  <c r="EV33" i="2"/>
  <c r="DN33" i="2" s="1"/>
  <c r="CH32" i="2"/>
  <c r="CD32" i="2"/>
  <c r="BJ32" i="2"/>
  <c r="DV32" i="2"/>
  <c r="DJ32" i="2"/>
  <c r="ED32" i="2"/>
  <c r="AP32" i="2"/>
  <c r="EH32" i="2"/>
  <c r="AH32" i="2"/>
  <c r="BB32" i="2"/>
  <c r="CP32" i="2"/>
  <c r="CX32" i="2"/>
  <c r="J32" i="2"/>
  <c r="V32" i="2"/>
  <c r="DB32" i="2"/>
  <c r="AT32" i="2"/>
  <c r="DZ32" i="2"/>
  <c r="EL32" i="2"/>
  <c r="ET32" i="2"/>
  <c r="R32" i="2"/>
  <c r="DR32" i="2"/>
  <c r="AX32" i="2"/>
  <c r="BZ32" i="2"/>
  <c r="DF32" i="2"/>
  <c r="CL32" i="2"/>
  <c r="DQ37" i="2"/>
  <c r="EK35" i="2"/>
  <c r="U35" i="2"/>
  <c r="EC36" i="2"/>
  <c r="DA35" i="2"/>
  <c r="BA35" i="2"/>
  <c r="DE38" i="2"/>
  <c r="CS37" i="2"/>
  <c r="AS36" i="2"/>
  <c r="AW38" i="2"/>
  <c r="AK37" i="2"/>
  <c r="CW37" i="2"/>
  <c r="Q35" i="2"/>
  <c r="EG34" i="2"/>
  <c r="AG35" i="2"/>
  <c r="DY36" i="2"/>
  <c r="I37" i="2"/>
  <c r="BI36" i="2"/>
  <c r="DU35" i="2"/>
  <c r="BE39" i="2"/>
  <c r="BE40" i="2" s="1"/>
  <c r="Y39" i="2"/>
  <c r="Y40" i="2" s="1"/>
  <c r="ES38" i="2"/>
  <c r="M35" i="2"/>
  <c r="AC37" i="2"/>
  <c r="BY37" i="2"/>
  <c r="DI35" i="2"/>
  <c r="AO37" i="2"/>
  <c r="EO34" i="2"/>
  <c r="BB33" i="2" l="1"/>
  <c r="V33" i="2"/>
  <c r="EL33" i="2"/>
  <c r="ET33" i="2"/>
  <c r="CT33" i="2"/>
  <c r="BF33" i="2"/>
  <c r="CP33" i="2"/>
  <c r="CX33" i="2"/>
  <c r="AL33" i="2"/>
  <c r="EV34" i="2"/>
  <c r="DN34" i="2" s="1"/>
  <c r="DZ33" i="2"/>
  <c r="DJ33" i="2"/>
  <c r="EH33" i="2"/>
  <c r="BZ33" i="2"/>
  <c r="CD33" i="2"/>
  <c r="AT33" i="2"/>
  <c r="DR33" i="2"/>
  <c r="J33" i="2"/>
  <c r="R33" i="2"/>
  <c r="EP33" i="2"/>
  <c r="ED33" i="2"/>
  <c r="BJ33" i="2"/>
  <c r="AX33" i="2"/>
  <c r="CL33" i="2"/>
  <c r="DB33" i="2"/>
  <c r="AP33" i="2"/>
  <c r="DF33" i="2"/>
  <c r="CH33" i="2"/>
  <c r="N33" i="2"/>
  <c r="AH33" i="2"/>
  <c r="AD33" i="2"/>
  <c r="Z33" i="2"/>
  <c r="DV33" i="2"/>
  <c r="EG35" i="2"/>
  <c r="CS38" i="2"/>
  <c r="EC37" i="2"/>
  <c r="ET34" i="2"/>
  <c r="M36" i="2"/>
  <c r="DI36" i="2"/>
  <c r="DY37" i="2"/>
  <c r="Q36" i="2"/>
  <c r="AG36" i="2"/>
  <c r="DE39" i="2"/>
  <c r="DE40" i="2" s="1"/>
  <c r="U36" i="2"/>
  <c r="DU36" i="2"/>
  <c r="CW38" i="2"/>
  <c r="AW39" i="2"/>
  <c r="AW40" i="2" s="1"/>
  <c r="EO35" i="2"/>
  <c r="BA36" i="2"/>
  <c r="EK36" i="2"/>
  <c r="ES39" i="2"/>
  <c r="ES40" i="2" s="1"/>
  <c r="BY38" i="2"/>
  <c r="BI37" i="2"/>
  <c r="AK38" i="2"/>
  <c r="DQ38" i="2"/>
  <c r="AO38" i="2"/>
  <c r="AC38" i="2"/>
  <c r="I38" i="2"/>
  <c r="AS37" i="2"/>
  <c r="DA36" i="2"/>
  <c r="N34" i="2" l="1"/>
  <c r="CT34" i="2"/>
  <c r="DZ34" i="2"/>
  <c r="ED34" i="2"/>
  <c r="CX34" i="2"/>
  <c r="V34" i="2"/>
  <c r="BB34" i="2"/>
  <c r="CH34" i="2"/>
  <c r="BZ34" i="2"/>
  <c r="CL34" i="2"/>
  <c r="EV35" i="2"/>
  <c r="DN35" i="2" s="1"/>
  <c r="EL34" i="2"/>
  <c r="J34" i="2"/>
  <c r="AX34" i="2"/>
  <c r="CD34" i="2"/>
  <c r="DF34" i="2"/>
  <c r="AH34" i="2"/>
  <c r="AP34" i="2"/>
  <c r="EH34" i="2"/>
  <c r="Z34" i="2"/>
  <c r="DJ34" i="2"/>
  <c r="AT34" i="2"/>
  <c r="DR34" i="2"/>
  <c r="BF34" i="2"/>
  <c r="DV34" i="2"/>
  <c r="AD34" i="2"/>
  <c r="DB34" i="2"/>
  <c r="EP34" i="2"/>
  <c r="BJ34" i="2"/>
  <c r="AL34" i="2"/>
  <c r="CP34" i="2"/>
  <c r="R34" i="2"/>
  <c r="DI37" i="2"/>
  <c r="EO36" i="2"/>
  <c r="DQ39" i="2"/>
  <c r="DQ40" i="2" s="1"/>
  <c r="BY39" i="2"/>
  <c r="BY40" i="2" s="1"/>
  <c r="AG37" i="2"/>
  <c r="EC38" i="2"/>
  <c r="I39" i="2"/>
  <c r="I40" i="2" s="1"/>
  <c r="DU37" i="2"/>
  <c r="M37" i="2"/>
  <c r="AC39" i="2"/>
  <c r="AC40" i="2" s="1"/>
  <c r="AO39" i="2"/>
  <c r="AO40" i="2" s="1"/>
  <c r="Q37" i="2"/>
  <c r="CS39" i="2"/>
  <c r="CS40" i="2" s="1"/>
  <c r="BI38" i="2"/>
  <c r="DA37" i="2"/>
  <c r="AS38" i="2"/>
  <c r="EG36" i="2"/>
  <c r="BA37" i="2"/>
  <c r="CW39" i="2"/>
  <c r="CW40" i="2" s="1"/>
  <c r="AK39" i="2"/>
  <c r="AK40" i="2" s="1"/>
  <c r="EK37" i="2"/>
  <c r="U37" i="2"/>
  <c r="DY38" i="2"/>
  <c r="N35" i="2" l="1"/>
  <c r="EH35" i="2"/>
  <c r="AH35" i="2"/>
  <c r="V35" i="2"/>
  <c r="EL35" i="2"/>
  <c r="EP35" i="2"/>
  <c r="ED35" i="2"/>
  <c r="BJ35" i="2"/>
  <c r="R35" i="2"/>
  <c r="DV35" i="2"/>
  <c r="BZ35" i="2"/>
  <c r="CT35" i="2"/>
  <c r="J35" i="2"/>
  <c r="AP35" i="2"/>
  <c r="DR35" i="2"/>
  <c r="ET35" i="2"/>
  <c r="DZ35" i="2"/>
  <c r="AX35" i="2"/>
  <c r="AT35" i="2"/>
  <c r="Z35" i="2"/>
  <c r="AD35" i="2"/>
  <c r="EV36" i="2"/>
  <c r="DN36" i="2" s="1"/>
  <c r="AL35" i="2"/>
  <c r="CP35" i="2"/>
  <c r="BB35" i="2"/>
  <c r="DB35" i="2"/>
  <c r="DJ35" i="2"/>
  <c r="DF35" i="2"/>
  <c r="CH35" i="2"/>
  <c r="CX35" i="2"/>
  <c r="BF35" i="2"/>
  <c r="CL35" i="2"/>
  <c r="CD35" i="2"/>
  <c r="DU38" i="2"/>
  <c r="DI38" i="2"/>
  <c r="BI39" i="2"/>
  <c r="BI40" i="2" s="1"/>
  <c r="DY39" i="2"/>
  <c r="DY40" i="2" s="1"/>
  <c r="EC39" i="2"/>
  <c r="EC40" i="2" s="1"/>
  <c r="M38" i="2"/>
  <c r="EO37" i="2"/>
  <c r="DA38" i="2"/>
  <c r="U38" i="2"/>
  <c r="EG37" i="2"/>
  <c r="BA38" i="2"/>
  <c r="EK38" i="2"/>
  <c r="AS39" i="2"/>
  <c r="AS40" i="2" s="1"/>
  <c r="Q38" i="2"/>
  <c r="AG38" i="2"/>
  <c r="ED36" i="2" l="1"/>
  <c r="ET36" i="2"/>
  <c r="DF36" i="2"/>
  <c r="DZ36" i="2"/>
  <c r="BJ36" i="2"/>
  <c r="DV36" i="2"/>
  <c r="CT36" i="2"/>
  <c r="V36" i="2"/>
  <c r="DB36" i="2"/>
  <c r="J36" i="2"/>
  <c r="EP36" i="2"/>
  <c r="AP36" i="2"/>
  <c r="DR36" i="2"/>
  <c r="AX36" i="2"/>
  <c r="Z36" i="2"/>
  <c r="AH36" i="2"/>
  <c r="CL36" i="2"/>
  <c r="BB36" i="2"/>
  <c r="N36" i="2"/>
  <c r="CX36" i="2"/>
  <c r="DJ36" i="2"/>
  <c r="R36" i="2"/>
  <c r="AL36" i="2"/>
  <c r="BF36" i="2"/>
  <c r="EH36" i="2"/>
  <c r="BZ36" i="2"/>
  <c r="EV37" i="2"/>
  <c r="DN37" i="2" s="1"/>
  <c r="CD36" i="2"/>
  <c r="EL36" i="2"/>
  <c r="AT36" i="2"/>
  <c r="AD36" i="2"/>
  <c r="CP36" i="2"/>
  <c r="CH36" i="2"/>
  <c r="AG39" i="2"/>
  <c r="AG40" i="2" s="1"/>
  <c r="DA39" i="2"/>
  <c r="DA40" i="2" s="1"/>
  <c r="EO38" i="2"/>
  <c r="Q39" i="2"/>
  <c r="Q40" i="2" s="1"/>
  <c r="DI39" i="2"/>
  <c r="DI40" i="2" s="1"/>
  <c r="M39" i="2"/>
  <c r="M40" i="2" s="1"/>
  <c r="DU39" i="2"/>
  <c r="DU40" i="2" s="1"/>
  <c r="BA39" i="2"/>
  <c r="BA40" i="2" s="1"/>
  <c r="EG38" i="2"/>
  <c r="EK39" i="2"/>
  <c r="EK40" i="2" s="1"/>
  <c r="U39" i="2"/>
  <c r="U40" i="2" s="1"/>
  <c r="DR37" i="2" l="1"/>
  <c r="R37" i="2"/>
  <c r="CL37" i="2"/>
  <c r="AH37" i="2"/>
  <c r="CT37" i="2"/>
  <c r="V37" i="2"/>
  <c r="ET37" i="2"/>
  <c r="AX37" i="2"/>
  <c r="J37" i="2"/>
  <c r="CH37" i="2"/>
  <c r="CX37" i="2"/>
  <c r="DF37" i="2"/>
  <c r="EP37" i="2"/>
  <c r="EL37" i="2"/>
  <c r="N37" i="2"/>
  <c r="BF37" i="2"/>
  <c r="AD37" i="2"/>
  <c r="DJ37" i="2"/>
  <c r="CD37" i="2"/>
  <c r="EH37" i="2"/>
  <c r="Z37" i="2"/>
  <c r="BZ37" i="2"/>
  <c r="ED37" i="2"/>
  <c r="CP37" i="2"/>
  <c r="DZ37" i="2"/>
  <c r="DB37" i="2"/>
  <c r="BJ37" i="2"/>
  <c r="EV38" i="2"/>
  <c r="DN38" i="2" s="1"/>
  <c r="AP37" i="2"/>
  <c r="DV37" i="2"/>
  <c r="AT37" i="2"/>
  <c r="AL37" i="2"/>
  <c r="BB37" i="2"/>
  <c r="EO39" i="2"/>
  <c r="EO40" i="2" s="1"/>
  <c r="EG39" i="2"/>
  <c r="EG40" i="2" s="1"/>
  <c r="AD38" i="2" l="1"/>
  <c r="CT38" i="2"/>
  <c r="EV39" i="2"/>
  <c r="Z39" i="2" s="1"/>
  <c r="CP38" i="2"/>
  <c r="N38" i="2"/>
  <c r="DJ38" i="2"/>
  <c r="DV38" i="2"/>
  <c r="AT38" i="2"/>
  <c r="ED38" i="2"/>
  <c r="AH38" i="2"/>
  <c r="BZ38" i="2"/>
  <c r="DR38" i="2"/>
  <c r="R38" i="2"/>
  <c r="EP38" i="2"/>
  <c r="CL38" i="2"/>
  <c r="AL38" i="2"/>
  <c r="BJ38" i="2"/>
  <c r="BF38" i="2"/>
  <c r="DZ38" i="2"/>
  <c r="Z38" i="2"/>
  <c r="CH38" i="2"/>
  <c r="EH38" i="2"/>
  <c r="DF38" i="2"/>
  <c r="CD38" i="2"/>
  <c r="ET38" i="2"/>
  <c r="EL38" i="2"/>
  <c r="AP38" i="2"/>
  <c r="DB38" i="2"/>
  <c r="CX38" i="2"/>
  <c r="BB38" i="2"/>
  <c r="J38" i="2"/>
  <c r="AX38" i="2"/>
  <c r="V38" i="2"/>
  <c r="R39" i="2" l="1"/>
  <c r="BJ39" i="2"/>
  <c r="CX39" i="2"/>
  <c r="ET39" i="2"/>
  <c r="BF39" i="2"/>
  <c r="CP39" i="2"/>
  <c r="BB39" i="2"/>
  <c r="CL39" i="2"/>
  <c r="DV39" i="2"/>
  <c r="EL39" i="2"/>
  <c r="CH39" i="2"/>
  <c r="AT39" i="2"/>
  <c r="CD39" i="2"/>
  <c r="ED39" i="2"/>
  <c r="AH39" i="2"/>
  <c r="AD39" i="2"/>
  <c r="DJ39" i="2"/>
  <c r="J39" i="2"/>
  <c r="AP39" i="2"/>
  <c r="N39" i="2"/>
  <c r="DB39" i="2"/>
  <c r="AL39" i="2"/>
  <c r="EH39" i="2"/>
  <c r="BZ39" i="2"/>
  <c r="DF39" i="2"/>
  <c r="DN39" i="2"/>
  <c r="V39" i="2"/>
  <c r="DR39" i="2"/>
  <c r="AX39" i="2"/>
  <c r="EV40" i="2"/>
  <c r="CD40" i="2" s="1"/>
  <c r="EP39" i="2"/>
  <c r="DZ39" i="2"/>
  <c r="CT39" i="2"/>
  <c r="AT40" i="2" l="1"/>
  <c r="AH40" i="2"/>
  <c r="BB40" i="2"/>
  <c r="DR40" i="2"/>
  <c r="ED40" i="2"/>
  <c r="N40" i="2"/>
  <c r="AL40" i="2"/>
  <c r="CX40" i="2"/>
  <c r="AX40" i="2"/>
  <c r="BF40" i="2"/>
  <c r="AD40" i="2"/>
  <c r="DJ40" i="2"/>
  <c r="EH40" i="2"/>
  <c r="CH40" i="2"/>
  <c r="EL40" i="2"/>
  <c r="DN40" i="2"/>
  <c r="DB40" i="2"/>
  <c r="DZ40" i="2"/>
  <c r="AP40" i="2"/>
  <c r="DF40" i="2"/>
  <c r="EP40" i="2"/>
  <c r="ET40" i="2"/>
  <c r="CL40" i="2"/>
  <c r="V40" i="2"/>
  <c r="R40" i="2"/>
  <c r="CP40" i="2"/>
  <c r="Z40" i="2"/>
  <c r="DV40" i="2"/>
  <c r="J40" i="2"/>
  <c r="BZ40" i="2"/>
  <c r="BJ40" i="2"/>
  <c r="CT40" i="2"/>
  <c r="AF39" i="50"/>
  <c r="AE39" i="50"/>
  <c r="AD39" i="50"/>
  <c r="AC39" i="50"/>
  <c r="AB39" i="50"/>
  <c r="AA39" i="50"/>
  <c r="Z39" i="50"/>
  <c r="Y39" i="50"/>
  <c r="X39" i="50"/>
  <c r="W39" i="50"/>
  <c r="V39" i="50"/>
  <c r="U39" i="50"/>
  <c r="T39" i="50"/>
  <c r="S39" i="50"/>
  <c r="R39" i="50"/>
  <c r="Q39" i="50"/>
  <c r="P39" i="50"/>
  <c r="O39" i="50"/>
  <c r="N39" i="50"/>
  <c r="M39" i="50"/>
  <c r="L39" i="50"/>
  <c r="K39" i="50"/>
  <c r="J39" i="50"/>
  <c r="I39" i="50"/>
  <c r="H39" i="50"/>
  <c r="G39" i="50"/>
  <c r="F39" i="50"/>
  <c r="E39" i="50"/>
  <c r="D39" i="50"/>
  <c r="C39" i="50"/>
  <c r="B39" i="50"/>
  <c r="AG37" i="50"/>
  <c r="AG36" i="50"/>
  <c r="AG35" i="50"/>
  <c r="AG34" i="50"/>
  <c r="AG33" i="50"/>
  <c r="AG32" i="50"/>
  <c r="AG31" i="50"/>
  <c r="AG30" i="50"/>
  <c r="AG29" i="50"/>
  <c r="AG28" i="50"/>
  <c r="AG27" i="50"/>
  <c r="AG26" i="50"/>
  <c r="AG25" i="50"/>
  <c r="AG24" i="50"/>
  <c r="AG23" i="50"/>
  <c r="AG22" i="50"/>
  <c r="AG21" i="50"/>
  <c r="AG20" i="50"/>
  <c r="AG19" i="50"/>
  <c r="AG18" i="50"/>
  <c r="AG17" i="50"/>
  <c r="AG16" i="50"/>
  <c r="AG15" i="50"/>
  <c r="AG14" i="50"/>
  <c r="AG13" i="50"/>
  <c r="AG12" i="50"/>
  <c r="AG11" i="50"/>
  <c r="AG10" i="50"/>
  <c r="AG9" i="50"/>
  <c r="AG8" i="50"/>
  <c r="AG7" i="50"/>
  <c r="AG6" i="50"/>
  <c r="AG39" i="50" l="1"/>
  <c r="AH21" i="50" s="1"/>
  <c r="AH19" i="50" l="1"/>
  <c r="AH33" i="50"/>
  <c r="AH35" i="50"/>
  <c r="AH13" i="50"/>
  <c r="AH9" i="50"/>
  <c r="AH12" i="50"/>
  <c r="AH16" i="50"/>
  <c r="AH28" i="50"/>
  <c r="AH14" i="50"/>
  <c r="AH22" i="50"/>
  <c r="AH29" i="50"/>
  <c r="AH11" i="50"/>
  <c r="AH30" i="50"/>
  <c r="AH27" i="50"/>
  <c r="AH34" i="50"/>
  <c r="AH32" i="50"/>
  <c r="AH17" i="50"/>
  <c r="AH25" i="50"/>
  <c r="AH37" i="50"/>
  <c r="AH10" i="50"/>
  <c r="AH15" i="50"/>
  <c r="AH23" i="50"/>
  <c r="AH31" i="50"/>
  <c r="AH7" i="50"/>
  <c r="AH24" i="50"/>
  <c r="AH36" i="50"/>
  <c r="AH8" i="50"/>
  <c r="AH20" i="50"/>
  <c r="AH6" i="50"/>
  <c r="AH18" i="50"/>
  <c r="AH26" i="50"/>
  <c r="AH39" i="50" l="1"/>
  <c r="C43" i="9" l="1"/>
  <c r="G42" i="11" l="1"/>
  <c r="I37" i="11" s="1"/>
  <c r="F42" i="11"/>
  <c r="C43" i="11"/>
  <c r="C43" i="12" l="1"/>
  <c r="C43" i="15" l="1"/>
  <c r="C43" i="19" l="1"/>
  <c r="C43" i="20" l="1"/>
  <c r="C43" i="23" l="1"/>
  <c r="C43" i="26" l="1"/>
  <c r="C38" i="24"/>
  <c r="C43" i="25"/>
  <c r="C43" i="28" l="1"/>
  <c r="G42" i="28"/>
  <c r="I37" i="28" s="1"/>
  <c r="F42" i="28"/>
  <c r="C43" i="30" l="1"/>
  <c r="C43" i="33" l="1"/>
  <c r="D9" i="39"/>
  <c r="E9" i="39" l="1"/>
  <c r="F9" i="39" s="1"/>
  <c r="C43" i="31" l="1"/>
  <c r="K40" i="39" l="1"/>
  <c r="M8" i="33" l="1"/>
  <c r="G42" i="43"/>
  <c r="I37" i="43" s="1"/>
  <c r="F42" i="43"/>
  <c r="D39" i="39" s="1"/>
  <c r="K34" i="4"/>
  <c r="D38" i="39"/>
  <c r="F32" i="4"/>
  <c r="K34" i="37"/>
  <c r="D37" i="39"/>
  <c r="D36" i="39"/>
  <c r="D35" i="39"/>
  <c r="G42" i="9"/>
  <c r="I37" i="9" s="1"/>
  <c r="F42" i="9"/>
  <c r="D33" i="39" s="1"/>
  <c r="D32" i="39"/>
  <c r="G42" i="12"/>
  <c r="I37" i="12" s="1"/>
  <c r="F42" i="12"/>
  <c r="D30" i="39" s="1"/>
  <c r="G42" i="14"/>
  <c r="I37" i="14" s="1"/>
  <c r="F42" i="14"/>
  <c r="D28" i="39" s="1"/>
  <c r="J40" i="39"/>
  <c r="P28" i="39"/>
  <c r="BH28" i="39" s="1"/>
  <c r="P29" i="39"/>
  <c r="P30" i="39"/>
  <c r="BB30" i="39" s="1"/>
  <c r="P31" i="39"/>
  <c r="P32" i="39"/>
  <c r="P33" i="39"/>
  <c r="P34" i="39"/>
  <c r="P35" i="39"/>
  <c r="P36" i="39"/>
  <c r="P37" i="39"/>
  <c r="BB37" i="39" s="1"/>
  <c r="P38" i="39"/>
  <c r="BH38" i="39" s="1"/>
  <c r="P39" i="39"/>
  <c r="BB39" i="39"/>
  <c r="E27" i="39"/>
  <c r="D24" i="39"/>
  <c r="E35" i="39"/>
  <c r="E34" i="39"/>
  <c r="D34" i="39"/>
  <c r="E32" i="39"/>
  <c r="D31" i="39"/>
  <c r="E29" i="39"/>
  <c r="D29" i="39"/>
  <c r="D27" i="39"/>
  <c r="D26" i="39"/>
  <c r="E25" i="39"/>
  <c r="D25" i="39"/>
  <c r="E24" i="39"/>
  <c r="E14" i="39"/>
  <c r="D14" i="39"/>
  <c r="D23" i="39"/>
  <c r="E22" i="39"/>
  <c r="D22" i="39"/>
  <c r="AT22" i="39"/>
  <c r="E21" i="39"/>
  <c r="D21" i="39"/>
  <c r="E20" i="39"/>
  <c r="D20" i="39"/>
  <c r="E19" i="39"/>
  <c r="D19" i="39"/>
  <c r="E18" i="39"/>
  <c r="D18" i="39"/>
  <c r="D17" i="39"/>
  <c r="L34" i="26"/>
  <c r="K34" i="26"/>
  <c r="D16" i="39"/>
  <c r="E15" i="39"/>
  <c r="D15" i="39"/>
  <c r="E13" i="39"/>
  <c r="D13" i="39"/>
  <c r="D12" i="39"/>
  <c r="E11" i="39"/>
  <c r="D11" i="39"/>
  <c r="C10" i="1"/>
  <c r="C11" i="2" s="1"/>
  <c r="C11" i="1"/>
  <c r="C12" i="2" s="1"/>
  <c r="C12" i="1"/>
  <c r="C13" i="2" s="1"/>
  <c r="C13" i="1"/>
  <c r="C14" i="2" s="1"/>
  <c r="C14" i="1"/>
  <c r="C15" i="2" s="1"/>
  <c r="C15" i="1"/>
  <c r="C16" i="2" s="1"/>
  <c r="C16" i="1"/>
  <c r="C17" i="2" s="1"/>
  <c r="C17" i="1"/>
  <c r="C18" i="2" s="1"/>
  <c r="C18" i="1"/>
  <c r="C19" i="2" s="1"/>
  <c r="C19" i="1"/>
  <c r="C20" i="2" s="1"/>
  <c r="C20" i="1"/>
  <c r="C21" i="2" s="1"/>
  <c r="C21" i="1"/>
  <c r="C22" i="2" s="1"/>
  <c r="C22" i="1"/>
  <c r="C23" i="2" s="1"/>
  <c r="C23" i="1"/>
  <c r="C24" i="2" s="1"/>
  <c r="C25" i="2"/>
  <c r="C25" i="1"/>
  <c r="C26" i="2" s="1"/>
  <c r="C26" i="1"/>
  <c r="C27" i="2" s="1"/>
  <c r="C27" i="1"/>
  <c r="C28" i="2" s="1"/>
  <c r="C28" i="1"/>
  <c r="C29" i="2" s="1"/>
  <c r="C29" i="1"/>
  <c r="C30" i="2" s="1"/>
  <c r="C30" i="1"/>
  <c r="C31" i="2" s="1"/>
  <c r="C31" i="1"/>
  <c r="C32" i="2" s="1"/>
  <c r="C32" i="1"/>
  <c r="C33" i="2" s="1"/>
  <c r="C33" i="1"/>
  <c r="C34" i="2" s="1"/>
  <c r="C34" i="1"/>
  <c r="C35" i="2" s="1"/>
  <c r="C35" i="1"/>
  <c r="C36" i="2" s="1"/>
  <c r="C36" i="1"/>
  <c r="C37" i="2" s="1"/>
  <c r="C37" i="1"/>
  <c r="C38" i="2" s="1"/>
  <c r="C38" i="1"/>
  <c r="C39" i="2" s="1"/>
  <c r="C39" i="1"/>
  <c r="C40" i="2" s="1"/>
  <c r="C9" i="1"/>
  <c r="C10" i="2" s="1"/>
  <c r="B10" i="1"/>
  <c r="B11" i="2" s="1"/>
  <c r="B11" i="1"/>
  <c r="B12" i="1"/>
  <c r="B13" i="1"/>
  <c r="B14" i="2" s="1"/>
  <c r="B14" i="1"/>
  <c r="B15" i="2" s="1"/>
  <c r="B15" i="1"/>
  <c r="B16" i="2" s="1"/>
  <c r="B16" i="1"/>
  <c r="B17" i="1"/>
  <c r="B18" i="2" s="1"/>
  <c r="B18" i="1"/>
  <c r="B19" i="1"/>
  <c r="B20" i="2" s="1"/>
  <c r="B20" i="1"/>
  <c r="B21" i="1"/>
  <c r="B22" i="2" s="1"/>
  <c r="B22" i="1"/>
  <c r="B23" i="2" s="1"/>
  <c r="B23" i="1"/>
  <c r="B24" i="2" s="1"/>
  <c r="B24" i="1"/>
  <c r="B25" i="1"/>
  <c r="B26" i="2" s="1"/>
  <c r="B26" i="1"/>
  <c r="B27" i="2" s="1"/>
  <c r="B27" i="1"/>
  <c r="B28" i="2" s="1"/>
  <c r="B28" i="1"/>
  <c r="B29" i="1"/>
  <c r="B30" i="2" s="1"/>
  <c r="B30" i="1"/>
  <c r="B31" i="2" s="1"/>
  <c r="B31" i="1"/>
  <c r="B32" i="2" s="1"/>
  <c r="B32" i="1"/>
  <c r="B33" i="1"/>
  <c r="B34" i="2" s="1"/>
  <c r="B34" i="1"/>
  <c r="B35" i="2" s="1"/>
  <c r="B35" i="1"/>
  <c r="B36" i="2" s="1"/>
  <c r="B36" i="1"/>
  <c r="B37" i="1"/>
  <c r="B38" i="2" s="1"/>
  <c r="B38" i="1"/>
  <c r="B39" i="2" s="1"/>
  <c r="B39" i="1"/>
  <c r="B40" i="2" s="1"/>
  <c r="B9" i="1"/>
  <c r="E10" i="39"/>
  <c r="D10" i="39"/>
  <c r="L46" i="43"/>
  <c r="L47" i="43" s="1"/>
  <c r="L43" i="43"/>
  <c r="L44" i="43" s="1"/>
  <c r="L43" i="4"/>
  <c r="L44" i="4" s="1"/>
  <c r="L43" i="37"/>
  <c r="L44" i="37" s="1"/>
  <c r="L43" i="6"/>
  <c r="L44" i="6" s="1"/>
  <c r="L43" i="7"/>
  <c r="L44" i="7" s="1"/>
  <c r="L43" i="8"/>
  <c r="L44" i="8" s="1"/>
  <c r="L43" i="9"/>
  <c r="L44" i="9" s="1"/>
  <c r="L43" i="10"/>
  <c r="L44" i="10" s="1"/>
  <c r="L43" i="11"/>
  <c r="L43" i="12"/>
  <c r="L44" i="12" s="1"/>
  <c r="L43" i="13"/>
  <c r="L44" i="13" s="1"/>
  <c r="L43" i="14"/>
  <c r="L44" i="14" s="1"/>
  <c r="L43" i="15"/>
  <c r="L44" i="15" s="1"/>
  <c r="L43" i="16"/>
  <c r="L44" i="16" s="1"/>
  <c r="L43" i="17"/>
  <c r="L44" i="17" s="1"/>
  <c r="L43" i="18"/>
  <c r="L44" i="18" s="1"/>
  <c r="L43" i="19"/>
  <c r="L44" i="19" s="1"/>
  <c r="L43" i="20"/>
  <c r="L44" i="20" s="1"/>
  <c r="L43" i="22"/>
  <c r="L44" i="22" s="1"/>
  <c r="L43" i="21"/>
  <c r="L44" i="21" s="1"/>
  <c r="L43" i="23"/>
  <c r="L44" i="23" s="1"/>
  <c r="L43" i="24"/>
  <c r="L44" i="24" s="1"/>
  <c r="L43" i="25"/>
  <c r="L44" i="25" s="1"/>
  <c r="L43" i="26"/>
  <c r="L44" i="26" s="1"/>
  <c r="L43" i="28"/>
  <c r="L44" i="28" s="1"/>
  <c r="L43" i="27"/>
  <c r="L44" i="27" s="1"/>
  <c r="L43" i="29"/>
  <c r="L44" i="29" s="1"/>
  <c r="L43" i="30"/>
  <c r="L43" i="31"/>
  <c r="L44" i="31" s="1"/>
  <c r="L43" i="32"/>
  <c r="L44" i="32" s="1"/>
  <c r="L46" i="33"/>
  <c r="L48" i="33" s="1"/>
  <c r="L43" i="33"/>
  <c r="L44" i="33" s="1"/>
  <c r="BA10" i="39"/>
  <c r="BA11" i="39" s="1"/>
  <c r="BA12" i="39" s="1"/>
  <c r="BA13" i="39" s="1"/>
  <c r="BA14" i="39" s="1"/>
  <c r="BA15" i="39" s="1"/>
  <c r="BA16" i="39" s="1"/>
  <c r="BA17" i="39" s="1"/>
  <c r="BA18" i="39" s="1"/>
  <c r="BA19" i="39" s="1"/>
  <c r="BA20" i="39" s="1"/>
  <c r="BA21" i="39" s="1"/>
  <c r="BA22" i="39" s="1"/>
  <c r="BA23" i="39" s="1"/>
  <c r="BA24" i="39" s="1"/>
  <c r="BA25" i="39" s="1"/>
  <c r="BA26" i="39" s="1"/>
  <c r="BA27" i="39" s="1"/>
  <c r="BA28" i="39" s="1"/>
  <c r="BA29" i="39" s="1"/>
  <c r="BA30" i="39" s="1"/>
  <c r="BA31" i="39" s="1"/>
  <c r="BA32" i="39" s="1"/>
  <c r="BA33" i="39" s="1"/>
  <c r="BA34" i="39" s="1"/>
  <c r="BA35" i="39" s="1"/>
  <c r="BA36" i="39" s="1"/>
  <c r="BA37" i="39" s="1"/>
  <c r="BA38" i="39" s="1"/>
  <c r="BA39" i="39" s="1"/>
  <c r="L46" i="4"/>
  <c r="L48" i="4" s="1"/>
  <c r="L46" i="37"/>
  <c r="L48" i="37" s="1"/>
  <c r="L46" i="6"/>
  <c r="L48" i="6" s="1"/>
  <c r="L46" i="7"/>
  <c r="L48" i="7" s="1"/>
  <c r="L46" i="8"/>
  <c r="L48" i="8" s="1"/>
  <c r="L46" i="9"/>
  <c r="L48" i="9" s="1"/>
  <c r="L46" i="10"/>
  <c r="L48" i="10" s="1"/>
  <c r="L46" i="11"/>
  <c r="L48" i="11" s="1"/>
  <c r="L46" i="12"/>
  <c r="L48" i="12" s="1"/>
  <c r="L46" i="13"/>
  <c r="L48" i="13" s="1"/>
  <c r="L46" i="14"/>
  <c r="L48" i="14" s="1"/>
  <c r="L46" i="15"/>
  <c r="L48" i="15" s="1"/>
  <c r="L46" i="16"/>
  <c r="L48" i="16" s="1"/>
  <c r="L46" i="17"/>
  <c r="L48" i="17" s="1"/>
  <c r="L46" i="18"/>
  <c r="L48" i="18" s="1"/>
  <c r="L46" i="19"/>
  <c r="L48" i="19" s="1"/>
  <c r="L46" i="20"/>
  <c r="L48" i="20" s="1"/>
  <c r="L46" i="22"/>
  <c r="L46" i="21"/>
  <c r="L47" i="21" s="1"/>
  <c r="L46" i="23"/>
  <c r="L48" i="23" s="1"/>
  <c r="L46" i="24"/>
  <c r="L48" i="24" s="1"/>
  <c r="L46" i="25"/>
  <c r="L48" i="25" s="1"/>
  <c r="L46" i="26"/>
  <c r="L48" i="26" s="1"/>
  <c r="L46" i="28"/>
  <c r="L48" i="28" s="1"/>
  <c r="L46" i="27"/>
  <c r="L48" i="27" s="1"/>
  <c r="L46" i="29"/>
  <c r="L48" i="29" s="1"/>
  <c r="L46" i="30"/>
  <c r="L48" i="30" s="1"/>
  <c r="L46" i="31"/>
  <c r="L48" i="31" s="1"/>
  <c r="L46" i="32"/>
  <c r="L48" i="32" s="1"/>
  <c r="I47" i="32"/>
  <c r="I47" i="31"/>
  <c r="I47" i="27"/>
  <c r="AT15" i="39"/>
  <c r="AT17" i="39"/>
  <c r="I47" i="21"/>
  <c r="I47" i="22"/>
  <c r="AT24" i="39"/>
  <c r="I47" i="17"/>
  <c r="I47" i="16"/>
  <c r="I47" i="12"/>
  <c r="AT31" i="39"/>
  <c r="I47" i="9"/>
  <c r="AT34" i="39"/>
  <c r="AV34" i="39" s="1"/>
  <c r="I47" i="7"/>
  <c r="AT36" i="39"/>
  <c r="AV36" i="39" s="1"/>
  <c r="I47" i="37"/>
  <c r="AT38" i="39"/>
  <c r="I43" i="31"/>
  <c r="I44" i="31" s="1"/>
  <c r="I43" i="33"/>
  <c r="I44" i="33" s="1"/>
  <c r="H4" i="43"/>
  <c r="C14" i="43"/>
  <c r="D14" i="43"/>
  <c r="E14" i="43"/>
  <c r="F14" i="43"/>
  <c r="C23" i="43"/>
  <c r="D23" i="43"/>
  <c r="E23" i="43"/>
  <c r="F23" i="43"/>
  <c r="C32" i="43"/>
  <c r="D32" i="43"/>
  <c r="E32" i="43"/>
  <c r="F32" i="43"/>
  <c r="L34" i="43"/>
  <c r="C38" i="43"/>
  <c r="C39" i="43"/>
  <c r="C40" i="43"/>
  <c r="C41" i="43"/>
  <c r="C42" i="43"/>
  <c r="C43" i="43"/>
  <c r="I43" i="43"/>
  <c r="I44" i="43" s="1"/>
  <c r="C44" i="43"/>
  <c r="C45" i="43"/>
  <c r="C46" i="43"/>
  <c r="C48" i="43"/>
  <c r="C49" i="43"/>
  <c r="C50" i="43"/>
  <c r="C51" i="43"/>
  <c r="H4" i="4"/>
  <c r="C14" i="4"/>
  <c r="D14" i="4"/>
  <c r="E14" i="4"/>
  <c r="F14" i="4"/>
  <c r="C23" i="4"/>
  <c r="D23" i="4"/>
  <c r="E23" i="4"/>
  <c r="F23" i="4"/>
  <c r="C32" i="4"/>
  <c r="D32" i="4"/>
  <c r="E32" i="4"/>
  <c r="L34" i="4"/>
  <c r="C39" i="4"/>
  <c r="C40" i="4"/>
  <c r="C41" i="4"/>
  <c r="C42" i="4"/>
  <c r="C43" i="4"/>
  <c r="I43" i="4"/>
  <c r="I44" i="4" s="1"/>
  <c r="C44" i="4"/>
  <c r="C45" i="4"/>
  <c r="C46" i="4"/>
  <c r="C48" i="4"/>
  <c r="C49" i="4"/>
  <c r="C50" i="4"/>
  <c r="C51" i="4"/>
  <c r="H4" i="37"/>
  <c r="L34" i="37"/>
  <c r="C39" i="37"/>
  <c r="C40" i="37"/>
  <c r="C41" i="37"/>
  <c r="C42" i="37"/>
  <c r="C43" i="37"/>
  <c r="I43" i="37"/>
  <c r="I44" i="37" s="1"/>
  <c r="C44" i="37"/>
  <c r="C45" i="37"/>
  <c r="C46" i="37"/>
  <c r="C48" i="37"/>
  <c r="C49" i="37"/>
  <c r="C50" i="37"/>
  <c r="C51" i="37"/>
  <c r="H4" i="6"/>
  <c r="L34" i="6"/>
  <c r="C38" i="6"/>
  <c r="C39" i="6"/>
  <c r="C40" i="6"/>
  <c r="C41" i="6"/>
  <c r="C42" i="6"/>
  <c r="C43" i="6"/>
  <c r="I43" i="6"/>
  <c r="I44" i="6" s="1"/>
  <c r="C44" i="6"/>
  <c r="C45" i="6"/>
  <c r="C46" i="6"/>
  <c r="C48" i="6"/>
  <c r="C49" i="6"/>
  <c r="C50" i="6"/>
  <c r="C51" i="6"/>
  <c r="H4" i="7"/>
  <c r="L34" i="7"/>
  <c r="C38" i="7"/>
  <c r="C39" i="7"/>
  <c r="C40" i="7"/>
  <c r="C41" i="7"/>
  <c r="C42" i="7"/>
  <c r="C43" i="7"/>
  <c r="I43" i="7"/>
  <c r="I44" i="7" s="1"/>
  <c r="C44" i="7"/>
  <c r="C45" i="7"/>
  <c r="C46" i="7"/>
  <c r="C48" i="7"/>
  <c r="C49" i="7"/>
  <c r="C50" i="7"/>
  <c r="C51" i="7"/>
  <c r="H4" i="8"/>
  <c r="L34" i="8"/>
  <c r="C38" i="8"/>
  <c r="C39" i="8"/>
  <c r="C40" i="8"/>
  <c r="C41" i="8"/>
  <c r="C42" i="8"/>
  <c r="C43" i="8"/>
  <c r="I43" i="8"/>
  <c r="I44" i="8" s="1"/>
  <c r="C44" i="8"/>
  <c r="C45" i="8"/>
  <c r="C46" i="8"/>
  <c r="C48" i="8"/>
  <c r="C49" i="8"/>
  <c r="C50" i="8"/>
  <c r="C51" i="8"/>
  <c r="H4" i="9"/>
  <c r="K34" i="9"/>
  <c r="L34" i="9"/>
  <c r="C38" i="9"/>
  <c r="C39" i="9"/>
  <c r="C40" i="9"/>
  <c r="C41" i="9"/>
  <c r="C42" i="9"/>
  <c r="I43" i="9"/>
  <c r="I44" i="9" s="1"/>
  <c r="C44" i="9"/>
  <c r="C45" i="9"/>
  <c r="C46" i="9"/>
  <c r="C48" i="9"/>
  <c r="C49" i="9"/>
  <c r="C50" i="9"/>
  <c r="C51" i="9"/>
  <c r="H4" i="10"/>
  <c r="L34" i="10"/>
  <c r="C38" i="10"/>
  <c r="C39" i="10"/>
  <c r="C40" i="10"/>
  <c r="C41" i="10"/>
  <c r="C42" i="10"/>
  <c r="C43" i="10"/>
  <c r="I43" i="10"/>
  <c r="I44" i="10" s="1"/>
  <c r="C44" i="10"/>
  <c r="C45" i="10"/>
  <c r="C46" i="10"/>
  <c r="C48" i="10"/>
  <c r="C49" i="10"/>
  <c r="C50" i="10"/>
  <c r="C51" i="10"/>
  <c r="H4" i="11"/>
  <c r="L34" i="11"/>
  <c r="C38" i="11"/>
  <c r="C39" i="11"/>
  <c r="C40" i="11"/>
  <c r="C41" i="11"/>
  <c r="C42" i="11"/>
  <c r="I43" i="11"/>
  <c r="I44" i="11" s="1"/>
  <c r="C44" i="11"/>
  <c r="C45" i="11"/>
  <c r="C46" i="11"/>
  <c r="C48" i="11"/>
  <c r="C49" i="11"/>
  <c r="C50" i="11"/>
  <c r="C51" i="11"/>
  <c r="H4" i="12"/>
  <c r="K34" i="12"/>
  <c r="L34" i="12"/>
  <c r="C38" i="12"/>
  <c r="C39" i="12"/>
  <c r="C40" i="12"/>
  <c r="C41" i="12"/>
  <c r="C42" i="12"/>
  <c r="I43" i="12"/>
  <c r="I44" i="12" s="1"/>
  <c r="C44" i="12"/>
  <c r="C45" i="12"/>
  <c r="C46" i="12"/>
  <c r="C47" i="12"/>
  <c r="C48" i="12"/>
  <c r="C49" i="12"/>
  <c r="C50" i="12"/>
  <c r="C51" i="12"/>
  <c r="H4" i="13"/>
  <c r="K34" i="13"/>
  <c r="L34" i="13"/>
  <c r="C38" i="13"/>
  <c r="C39" i="13"/>
  <c r="C40" i="13"/>
  <c r="C41" i="13"/>
  <c r="C42" i="13"/>
  <c r="C43" i="13"/>
  <c r="I43" i="13"/>
  <c r="I44" i="13" s="1"/>
  <c r="C44" i="13"/>
  <c r="C45" i="13"/>
  <c r="C46" i="13"/>
  <c r="C47" i="13"/>
  <c r="C48" i="13"/>
  <c r="C49" i="13"/>
  <c r="C50" i="13"/>
  <c r="C51" i="13"/>
  <c r="H4" i="14"/>
  <c r="K34" i="14"/>
  <c r="L34" i="14"/>
  <c r="C38" i="14"/>
  <c r="C39" i="14"/>
  <c r="C40" i="14"/>
  <c r="C41" i="14"/>
  <c r="C42" i="14"/>
  <c r="C43" i="14"/>
  <c r="I43" i="14"/>
  <c r="I44" i="14" s="1"/>
  <c r="C44" i="14"/>
  <c r="C45" i="14"/>
  <c r="C46" i="14"/>
  <c r="C47" i="14"/>
  <c r="C48" i="14"/>
  <c r="C49" i="14"/>
  <c r="C50" i="14"/>
  <c r="C51" i="14"/>
  <c r="H4" i="15"/>
  <c r="K34" i="15"/>
  <c r="L34" i="15"/>
  <c r="C38" i="15"/>
  <c r="C39" i="15"/>
  <c r="C40" i="15"/>
  <c r="C41" i="15"/>
  <c r="C42" i="15"/>
  <c r="I43" i="15"/>
  <c r="I44" i="15" s="1"/>
  <c r="C44" i="15"/>
  <c r="C45" i="15"/>
  <c r="C46" i="15"/>
  <c r="C47" i="15"/>
  <c r="C48" i="15"/>
  <c r="C49" i="15"/>
  <c r="C50" i="15"/>
  <c r="C51" i="15"/>
  <c r="H4" i="16"/>
  <c r="L34" i="16"/>
  <c r="C38" i="16"/>
  <c r="C39" i="16"/>
  <c r="C40" i="16"/>
  <c r="C41" i="16"/>
  <c r="C42" i="16"/>
  <c r="C43" i="16"/>
  <c r="I43" i="16"/>
  <c r="I44" i="16" s="1"/>
  <c r="C44" i="16"/>
  <c r="C45" i="16"/>
  <c r="C46" i="16"/>
  <c r="C47" i="16"/>
  <c r="C48" i="16"/>
  <c r="C49" i="16"/>
  <c r="C50" i="16"/>
  <c r="C51" i="16"/>
  <c r="H4" i="17"/>
  <c r="K34" i="17"/>
  <c r="L34" i="17"/>
  <c r="C38" i="17"/>
  <c r="C39" i="17"/>
  <c r="C40" i="17"/>
  <c r="C41" i="17"/>
  <c r="C42" i="17"/>
  <c r="C43" i="17"/>
  <c r="I43" i="17"/>
  <c r="I44" i="17" s="1"/>
  <c r="C44" i="17"/>
  <c r="C45" i="17"/>
  <c r="C46" i="17"/>
  <c r="C47" i="17"/>
  <c r="C48" i="17"/>
  <c r="C49" i="17"/>
  <c r="C50" i="17"/>
  <c r="C51" i="17"/>
  <c r="H4" i="18"/>
  <c r="L34" i="18"/>
  <c r="C38" i="18"/>
  <c r="C39" i="18"/>
  <c r="C40" i="18"/>
  <c r="C41" i="18"/>
  <c r="C42" i="18"/>
  <c r="C43" i="18"/>
  <c r="I43" i="18"/>
  <c r="I44" i="18" s="1"/>
  <c r="C44" i="18"/>
  <c r="C45" i="18"/>
  <c r="C46" i="18"/>
  <c r="C47" i="18"/>
  <c r="C48" i="18"/>
  <c r="C49" i="18"/>
  <c r="C50" i="18"/>
  <c r="C51" i="18"/>
  <c r="H4" i="19"/>
  <c r="L34" i="19"/>
  <c r="C38" i="19"/>
  <c r="C39" i="19"/>
  <c r="C40" i="19"/>
  <c r="C41" i="19"/>
  <c r="C42" i="19"/>
  <c r="I43" i="19"/>
  <c r="C44" i="19"/>
  <c r="C45" i="19"/>
  <c r="C46" i="19"/>
  <c r="C47" i="19"/>
  <c r="C48" i="19"/>
  <c r="C49" i="19"/>
  <c r="C50" i="19"/>
  <c r="C51" i="19"/>
  <c r="H4" i="20"/>
  <c r="K34" i="20"/>
  <c r="L34" i="20"/>
  <c r="C38" i="20"/>
  <c r="C39" i="20"/>
  <c r="C40" i="20"/>
  <c r="C41" i="20"/>
  <c r="C42" i="20"/>
  <c r="I43" i="20"/>
  <c r="I44" i="20" s="1"/>
  <c r="C44" i="20"/>
  <c r="C45" i="20"/>
  <c r="C46" i="20"/>
  <c r="C47" i="20"/>
  <c r="C48" i="20"/>
  <c r="C49" i="20"/>
  <c r="C50" i="20"/>
  <c r="C51" i="20"/>
  <c r="H4" i="22"/>
  <c r="K34" i="22"/>
  <c r="L34" i="22"/>
  <c r="C38" i="22"/>
  <c r="C39" i="22"/>
  <c r="C40" i="22"/>
  <c r="C41" i="22"/>
  <c r="C42" i="22"/>
  <c r="C43" i="22"/>
  <c r="I43" i="22"/>
  <c r="I44" i="22" s="1"/>
  <c r="C44" i="22"/>
  <c r="C45" i="22"/>
  <c r="C46" i="22"/>
  <c r="C47" i="22"/>
  <c r="C48" i="22"/>
  <c r="C49" i="22"/>
  <c r="C50" i="22"/>
  <c r="C51" i="22"/>
  <c r="H4" i="21"/>
  <c r="J32" i="21"/>
  <c r="J32" i="22" s="1"/>
  <c r="J32" i="20" s="1"/>
  <c r="J32" i="19" s="1"/>
  <c r="J32" i="18" s="1"/>
  <c r="J32" i="17" s="1"/>
  <c r="J32" i="16" s="1"/>
  <c r="J32" i="15" s="1"/>
  <c r="J32" i="14" s="1"/>
  <c r="J32" i="13" s="1"/>
  <c r="J32" i="12" s="1"/>
  <c r="L34" i="21"/>
  <c r="C39" i="21"/>
  <c r="C40" i="21"/>
  <c r="C41" i="21"/>
  <c r="C42" i="21"/>
  <c r="C43" i="21"/>
  <c r="C44" i="21"/>
  <c r="C45" i="21"/>
  <c r="C46" i="21"/>
  <c r="C47" i="21"/>
  <c r="C48" i="21"/>
  <c r="C49" i="21"/>
  <c r="C50" i="21"/>
  <c r="C51" i="21"/>
  <c r="H4" i="23"/>
  <c r="L34" i="23"/>
  <c r="K34" i="23"/>
  <c r="C38" i="23"/>
  <c r="C39" i="23"/>
  <c r="C40" i="23"/>
  <c r="C41" i="23"/>
  <c r="C42" i="23"/>
  <c r="I43" i="23"/>
  <c r="I44" i="23" s="1"/>
  <c r="C44" i="23"/>
  <c r="C45" i="23"/>
  <c r="C46" i="23"/>
  <c r="C47" i="23"/>
  <c r="C48" i="23"/>
  <c r="C49" i="23"/>
  <c r="C50" i="23"/>
  <c r="C51" i="23"/>
  <c r="H4" i="24"/>
  <c r="L34" i="24"/>
  <c r="C39" i="24"/>
  <c r="C40" i="24"/>
  <c r="C42" i="24"/>
  <c r="C43" i="24"/>
  <c r="I43" i="24"/>
  <c r="I44" i="24" s="1"/>
  <c r="C44" i="24"/>
  <c r="C45" i="24"/>
  <c r="C46" i="24"/>
  <c r="C48" i="24"/>
  <c r="C49" i="24"/>
  <c r="C50" i="24"/>
  <c r="C51" i="24"/>
  <c r="H4" i="25"/>
  <c r="K34" i="25"/>
  <c r="L34" i="25"/>
  <c r="C38" i="25"/>
  <c r="C39" i="25"/>
  <c r="C40" i="25"/>
  <c r="C41" i="25"/>
  <c r="C42" i="25"/>
  <c r="I43" i="25"/>
  <c r="I44" i="25" s="1"/>
  <c r="C44" i="25"/>
  <c r="C45" i="25"/>
  <c r="C46" i="25"/>
  <c r="C48" i="25"/>
  <c r="C49" i="25"/>
  <c r="C50" i="25"/>
  <c r="C51" i="25"/>
  <c r="H4" i="26"/>
  <c r="C38" i="26"/>
  <c r="C39" i="26"/>
  <c r="C40" i="26"/>
  <c r="C41" i="26"/>
  <c r="C42" i="26"/>
  <c r="I43" i="26"/>
  <c r="I44" i="26" s="1"/>
  <c r="C44" i="26"/>
  <c r="C45" i="26"/>
  <c r="C46" i="26"/>
  <c r="C47" i="26"/>
  <c r="C48" i="26"/>
  <c r="C49" i="26"/>
  <c r="C50" i="26"/>
  <c r="C51" i="26"/>
  <c r="H4" i="28"/>
  <c r="K34" i="28"/>
  <c r="L34" i="28"/>
  <c r="C38" i="28"/>
  <c r="C39" i="28"/>
  <c r="C40" i="28"/>
  <c r="C41" i="28"/>
  <c r="C42" i="28"/>
  <c r="I43" i="28"/>
  <c r="C44" i="28"/>
  <c r="C45" i="28"/>
  <c r="C46" i="28"/>
  <c r="C47" i="28"/>
  <c r="C48" i="28"/>
  <c r="C49" i="28"/>
  <c r="C50" i="28"/>
  <c r="C51" i="28"/>
  <c r="H4" i="27"/>
  <c r="L34" i="27"/>
  <c r="C38" i="27"/>
  <c r="C39" i="27"/>
  <c r="C40" i="27"/>
  <c r="C41" i="27"/>
  <c r="C42" i="27"/>
  <c r="C43" i="27"/>
  <c r="I43" i="27"/>
  <c r="I44" i="27" s="1"/>
  <c r="C44" i="27"/>
  <c r="C45" i="27"/>
  <c r="C46" i="27"/>
  <c r="C47" i="27"/>
  <c r="C48" i="27"/>
  <c r="C49" i="27"/>
  <c r="C50" i="27"/>
  <c r="C51" i="27"/>
  <c r="H4" i="29"/>
  <c r="H4" i="30" s="1"/>
  <c r="L34" i="29"/>
  <c r="C38" i="29"/>
  <c r="C39" i="29"/>
  <c r="C40" i="29"/>
  <c r="C41" i="29"/>
  <c r="C42" i="29"/>
  <c r="C43" i="29"/>
  <c r="I43" i="29"/>
  <c r="I44" i="29" s="1"/>
  <c r="C44" i="29"/>
  <c r="C45" i="29"/>
  <c r="C46" i="29"/>
  <c r="C47" i="29"/>
  <c r="C48" i="29"/>
  <c r="C49" i="29"/>
  <c r="C50" i="29"/>
  <c r="C51" i="29"/>
  <c r="L34" i="30"/>
  <c r="C38" i="30"/>
  <c r="C39" i="30"/>
  <c r="C40" i="30"/>
  <c r="C41" i="30"/>
  <c r="C42" i="30"/>
  <c r="I43" i="30"/>
  <c r="I44" i="30" s="1"/>
  <c r="C44" i="30"/>
  <c r="C45" i="30"/>
  <c r="C46" i="30"/>
  <c r="C47" i="30"/>
  <c r="C48" i="30"/>
  <c r="C49" i="30"/>
  <c r="C50" i="30"/>
  <c r="C51" i="30"/>
  <c r="H4" i="31"/>
  <c r="L34" i="31"/>
  <c r="C38" i="31"/>
  <c r="C39" i="31"/>
  <c r="C40" i="31"/>
  <c r="C41" i="31"/>
  <c r="C42" i="31"/>
  <c r="C44" i="31"/>
  <c r="C45" i="31"/>
  <c r="C46" i="31"/>
  <c r="C47" i="31"/>
  <c r="C48" i="31"/>
  <c r="C49" i="31"/>
  <c r="C50" i="31"/>
  <c r="C51" i="31"/>
  <c r="H4" i="32"/>
  <c r="J7" i="31"/>
  <c r="J7" i="30"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8" i="29"/>
  <c r="J9" i="32"/>
  <c r="J10" i="32"/>
  <c r="J11" i="32"/>
  <c r="J12" i="32"/>
  <c r="J12" i="31" s="1"/>
  <c r="J12" i="30" s="1"/>
  <c r="J12" i="29" s="1"/>
  <c r="J13" i="32"/>
  <c r="J13" i="31" s="1"/>
  <c r="J13" i="30" s="1"/>
  <c r="J13" i="29" s="1"/>
  <c r="J14" i="32"/>
  <c r="J14" i="31" s="1"/>
  <c r="J14" i="30" s="1"/>
  <c r="J14" i="29" s="1"/>
  <c r="J15" i="32"/>
  <c r="J16" i="32"/>
  <c r="J17" i="32"/>
  <c r="J17" i="31" s="1"/>
  <c r="J18" i="32"/>
  <c r="J18" i="31" s="1"/>
  <c r="J18" i="30" s="1"/>
  <c r="J18" i="29" s="1"/>
  <c r="J19" i="32"/>
  <c r="J19" i="31" s="1"/>
  <c r="J19" i="30" s="1"/>
  <c r="J19" i="29" s="1"/>
  <c r="J20" i="32"/>
  <c r="J20" i="31" s="1"/>
  <c r="J20" i="30" s="1"/>
  <c r="J20" i="29" s="1"/>
  <c r="J21" i="32"/>
  <c r="J21" i="31" s="1"/>
  <c r="J21" i="30" s="1"/>
  <c r="J21" i="29" s="1"/>
  <c r="J22" i="32"/>
  <c r="J22" i="31" s="1"/>
  <c r="J22" i="30" s="1"/>
  <c r="J22" i="29" s="1"/>
  <c r="J23" i="32"/>
  <c r="J23" i="31" s="1"/>
  <c r="J23" i="30" s="1"/>
  <c r="J23" i="29" s="1"/>
  <c r="J24" i="32"/>
  <c r="J24" i="31" s="1"/>
  <c r="J24" i="30" s="1"/>
  <c r="J24" i="29" s="1"/>
  <c r="J25" i="32"/>
  <c r="J25" i="31" s="1"/>
  <c r="J25" i="30" s="1"/>
  <c r="J25" i="29" s="1"/>
  <c r="J26" i="32"/>
  <c r="J26" i="31" s="1"/>
  <c r="J26" i="30" s="1"/>
  <c r="J26" i="29" s="1"/>
  <c r="J27" i="32"/>
  <c r="J27" i="31" s="1"/>
  <c r="J27" i="30" s="1"/>
  <c r="J27" i="29" s="1"/>
  <c r="J28" i="32"/>
  <c r="J28" i="31" s="1"/>
  <c r="J28" i="30" s="1"/>
  <c r="J28" i="29" s="1"/>
  <c r="J29" i="32"/>
  <c r="J29" i="31" s="1"/>
  <c r="J29" i="30" s="1"/>
  <c r="J29" i="29" s="1"/>
  <c r="J30" i="32"/>
  <c r="J30" i="31" s="1"/>
  <c r="J30" i="30" s="1"/>
  <c r="J30" i="29" s="1"/>
  <c r="J31" i="32"/>
  <c r="J31" i="31" s="1"/>
  <c r="J31" i="30" s="1"/>
  <c r="J31" i="29" s="1"/>
  <c r="J32" i="32"/>
  <c r="J32" i="31" s="1"/>
  <c r="J32" i="30" s="1"/>
  <c r="J32" i="29" s="1"/>
  <c r="J32" i="27" s="1"/>
  <c r="J32" i="28" s="1"/>
  <c r="J32" i="26" s="1"/>
  <c r="J32" i="25" s="1"/>
  <c r="J32" i="24" s="1"/>
  <c r="J32" i="23" s="1"/>
  <c r="L34" i="32"/>
  <c r="C38" i="32"/>
  <c r="C39" i="32"/>
  <c r="C40" i="32"/>
  <c r="C41" i="32"/>
  <c r="C42" i="32"/>
  <c r="C43" i="32"/>
  <c r="I43" i="32"/>
  <c r="I44" i="32" s="1"/>
  <c r="C44" i="32"/>
  <c r="C45" i="32"/>
  <c r="C46" i="32"/>
  <c r="C47" i="32"/>
  <c r="C48" i="32"/>
  <c r="C49" i="32"/>
  <c r="C50" i="32"/>
  <c r="C51" i="32"/>
  <c r="M9" i="33"/>
  <c r="M10" i="33"/>
  <c r="M10" i="32" s="1"/>
  <c r="M10" i="31" s="1"/>
  <c r="M10" i="30"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3" i="33"/>
  <c r="M13" i="32" s="1"/>
  <c r="M13" i="31" s="1"/>
  <c r="M13" i="30"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C14" i="33"/>
  <c r="D14" i="33"/>
  <c r="E14" i="33"/>
  <c r="M14" i="33"/>
  <c r="M14" i="32" s="1"/>
  <c r="M14" i="31" s="1"/>
  <c r="M14" i="30" s="1"/>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7" i="33"/>
  <c r="M17" i="32" s="1"/>
  <c r="M17" i="31" s="1"/>
  <c r="M17" i="30" s="1"/>
  <c r="M17" i="29" s="1"/>
  <c r="M17" i="27" s="1"/>
  <c r="M17" i="28" s="1"/>
  <c r="M17" i="26" s="1"/>
  <c r="M17" i="25" s="1"/>
  <c r="M17" i="24" s="1"/>
  <c r="M17" i="23" s="1"/>
  <c r="M17" i="21" s="1"/>
  <c r="M17" i="22" s="1"/>
  <c r="M17" i="20" s="1"/>
  <c r="M17" i="19" s="1"/>
  <c r="M18" i="33"/>
  <c r="M18" i="32" s="1"/>
  <c r="M18" i="31" s="1"/>
  <c r="M18" i="30" s="1"/>
  <c r="M18" i="29" s="1"/>
  <c r="M18" i="27" s="1"/>
  <c r="M18" i="28" s="1"/>
  <c r="M18" i="26" s="1"/>
  <c r="M18" i="25" s="1"/>
  <c r="M18" i="24" s="1"/>
  <c r="M18" i="23" s="1"/>
  <c r="M18" i="21" s="1"/>
  <c r="M18" i="22" s="1"/>
  <c r="M18" i="20" s="1"/>
  <c r="M19" i="33"/>
  <c r="M19" i="32" s="1"/>
  <c r="M19" i="31" s="1"/>
  <c r="M19" i="30"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0" i="11" s="1"/>
  <c r="M20" i="10" s="1"/>
  <c r="M20" i="9" s="1"/>
  <c r="M20" i="8" s="1"/>
  <c r="M20" i="7" s="1"/>
  <c r="M20" i="6" s="1"/>
  <c r="M21" i="33"/>
  <c r="M21" i="32" s="1"/>
  <c r="M21" i="31" s="1"/>
  <c r="M21" i="30" s="1"/>
  <c r="M21" i="29" s="1"/>
  <c r="M21" i="27" s="1"/>
  <c r="M21" i="28" s="1"/>
  <c r="M21" i="26" s="1"/>
  <c r="M21" i="25" s="1"/>
  <c r="M21" i="24" s="1"/>
  <c r="M21" i="23" s="1"/>
  <c r="M21" i="21" s="1"/>
  <c r="M21" i="22" s="1"/>
  <c r="M21" i="20" s="1"/>
  <c r="M21" i="19" s="1"/>
  <c r="M21" i="18" s="1"/>
  <c r="M21" i="17" s="1"/>
  <c r="M21" i="16" s="1"/>
  <c r="M21" i="15" s="1"/>
  <c r="M22" i="33"/>
  <c r="M22" i="32" s="1"/>
  <c r="M22" i="31" s="1"/>
  <c r="M22" i="30" s="1"/>
  <c r="M22" i="29" s="1"/>
  <c r="M22" i="27" s="1"/>
  <c r="M22" i="28" s="1"/>
  <c r="M22" i="26" s="1"/>
  <c r="M22" i="25" s="1"/>
  <c r="M22" i="24" s="1"/>
  <c r="M22" i="23" s="1"/>
  <c r="M22" i="21" s="1"/>
  <c r="M22" i="22" s="1"/>
  <c r="M22" i="20" s="1"/>
  <c r="M22" i="19" s="1"/>
  <c r="M22" i="18" s="1"/>
  <c r="M22" i="17" s="1"/>
  <c r="M22" i="16" s="1"/>
  <c r="M22" i="15"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4" i="33"/>
  <c r="M24" i="32" s="1"/>
  <c r="M24" i="31" s="1"/>
  <c r="M24" i="30" s="1"/>
  <c r="M24" i="29" s="1"/>
  <c r="M24" i="27" s="1"/>
  <c r="M24" i="28" s="1"/>
  <c r="M24" i="26" s="1"/>
  <c r="M24" i="25" s="1"/>
  <c r="M24" i="24" s="1"/>
  <c r="M24" i="23" s="1"/>
  <c r="M24" i="21" s="1"/>
  <c r="M24" i="22" s="1"/>
  <c r="M24" i="20" s="1"/>
  <c r="M24" i="19" s="1"/>
  <c r="M24" i="18" s="1"/>
  <c r="M24" i="17" s="1"/>
  <c r="M24" i="16" s="1"/>
  <c r="M24" i="15" s="1"/>
  <c r="M25" i="33"/>
  <c r="M25" i="32" s="1"/>
  <c r="M25" i="31" s="1"/>
  <c r="M25" i="30" s="1"/>
  <c r="M25" i="29" s="1"/>
  <c r="M25" i="27" s="1"/>
  <c r="M25" i="28" s="1"/>
  <c r="M25" i="26" s="1"/>
  <c r="M25" i="25" s="1"/>
  <c r="M25" i="24" s="1"/>
  <c r="M25" i="23" s="1"/>
  <c r="M25" i="21" s="1"/>
  <c r="M25" i="22" s="1"/>
  <c r="M25" i="20" s="1"/>
  <c r="M25" i="19" s="1"/>
  <c r="M25" i="18" s="1"/>
  <c r="M25" i="17" s="1"/>
  <c r="M25" i="16" s="1"/>
  <c r="M25" i="15" s="1"/>
  <c r="M26" i="33"/>
  <c r="M26" i="32" s="1"/>
  <c r="M26" i="31" s="1"/>
  <c r="M26" i="30" s="1"/>
  <c r="M26" i="29" s="1"/>
  <c r="M26" i="27" s="1"/>
  <c r="M26" i="28" s="1"/>
  <c r="M26" i="26" s="1"/>
  <c r="M26" i="25" s="1"/>
  <c r="M26" i="24" s="1"/>
  <c r="M26" i="23" s="1"/>
  <c r="M26" i="21" s="1"/>
  <c r="M26" i="22" s="1"/>
  <c r="M26" i="20" s="1"/>
  <c r="M26" i="19" s="1"/>
  <c r="M26" i="18" s="1"/>
  <c r="M26" i="17" s="1"/>
  <c r="M26" i="16" s="1"/>
  <c r="M26" i="15" s="1"/>
  <c r="M27" i="33"/>
  <c r="M27" i="32" s="1"/>
  <c r="M27" i="31" s="1"/>
  <c r="M27" i="30" s="1"/>
  <c r="M27" i="29" s="1"/>
  <c r="M27" i="27" s="1"/>
  <c r="M27" i="28" s="1"/>
  <c r="M27" i="26" s="1"/>
  <c r="M27" i="25" s="1"/>
  <c r="M27" i="24" s="1"/>
  <c r="M27" i="23" s="1"/>
  <c r="M27" i="21" s="1"/>
  <c r="M27" i="22" s="1"/>
  <c r="M27" i="20" s="1"/>
  <c r="M27" i="19" s="1"/>
  <c r="M27" i="18" s="1"/>
  <c r="M27" i="17" s="1"/>
  <c r="M27" i="16" s="1"/>
  <c r="M27" i="15" s="1"/>
  <c r="M28" i="33"/>
  <c r="M28" i="32" s="1"/>
  <c r="M28" i="31" s="1"/>
  <c r="M28" i="30" s="1"/>
  <c r="M28" i="29" s="1"/>
  <c r="M28" i="27" s="1"/>
  <c r="M28" i="28" s="1"/>
  <c r="M28" i="26" s="1"/>
  <c r="M28" i="25" s="1"/>
  <c r="M28" i="24" s="1"/>
  <c r="M28" i="23" s="1"/>
  <c r="M28" i="21" s="1"/>
  <c r="M28" i="22" s="1"/>
  <c r="M28" i="20" s="1"/>
  <c r="M28" i="19" s="1"/>
  <c r="M28" i="18" s="1"/>
  <c r="M28" i="17" s="1"/>
  <c r="M28" i="16" s="1"/>
  <c r="M28" i="15" s="1"/>
  <c r="M29" i="33"/>
  <c r="M29" i="32" s="1"/>
  <c r="M29" i="31" s="1"/>
  <c r="M29" i="30" s="1"/>
  <c r="M29" i="29" s="1"/>
  <c r="M29" i="27" s="1"/>
  <c r="M29" i="28" s="1"/>
  <c r="M29" i="26" s="1"/>
  <c r="M29" i="25" s="1"/>
  <c r="M29" i="24" s="1"/>
  <c r="M29" i="23" s="1"/>
  <c r="M29" i="21" s="1"/>
  <c r="M29" i="22" s="1"/>
  <c r="M29" i="20" s="1"/>
  <c r="M29" i="19" s="1"/>
  <c r="M29" i="18" s="1"/>
  <c r="M29" i="17" s="1"/>
  <c r="M29" i="16" s="1"/>
  <c r="M29" i="15"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E39" i="33" s="1"/>
  <c r="C40" i="33"/>
  <c r="D40" i="33" s="1"/>
  <c r="C41" i="33"/>
  <c r="D41" i="33" s="1"/>
  <c r="E41" i="33" s="1"/>
  <c r="C42" i="33"/>
  <c r="D42" i="33" s="1"/>
  <c r="E42" i="33" s="1"/>
  <c r="D43" i="33"/>
  <c r="E43" i="33" s="1"/>
  <c r="C44" i="33"/>
  <c r="D44" i="33" s="1"/>
  <c r="C45" i="33"/>
  <c r="D45" i="33" s="1"/>
  <c r="E45" i="33" s="1"/>
  <c r="C46" i="33"/>
  <c r="D46" i="33" s="1"/>
  <c r="C47" i="33"/>
  <c r="D47" i="33" s="1"/>
  <c r="E47" i="33" s="1"/>
  <c r="C48" i="33"/>
  <c r="D48" i="33" s="1"/>
  <c r="E48" i="33" s="1"/>
  <c r="C49" i="33"/>
  <c r="D49" i="33" s="1"/>
  <c r="E49" i="33" s="1"/>
  <c r="J49" i="33"/>
  <c r="C50" i="33"/>
  <c r="D50" i="33" s="1"/>
  <c r="E50" i="33" s="1"/>
  <c r="C51" i="33"/>
  <c r="D51" i="33" s="1"/>
  <c r="E51" i="33" s="1"/>
  <c r="A10" i="2"/>
  <c r="A10" i="39"/>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I10" i="39"/>
  <c r="AI11" i="39" s="1"/>
  <c r="AI12" i="39" s="1"/>
  <c r="AI13" i="39" s="1"/>
  <c r="AI14" i="39" s="1"/>
  <c r="AI15" i="39" s="1"/>
  <c r="AI16" i="39" s="1"/>
  <c r="AI17" i="39" s="1"/>
  <c r="AI18" i="39" s="1"/>
  <c r="AI19" i="39" s="1"/>
  <c r="AI20" i="39" s="1"/>
  <c r="AI21" i="39" s="1"/>
  <c r="AI22" i="39" s="1"/>
  <c r="AI23" i="39" s="1"/>
  <c r="AI24" i="39" s="1"/>
  <c r="AI25" i="39" s="1"/>
  <c r="AI26" i="39" s="1"/>
  <c r="AI27" i="39" s="1"/>
  <c r="AI28" i="39" s="1"/>
  <c r="AI29" i="39" s="1"/>
  <c r="AI30" i="39" s="1"/>
  <c r="AI31" i="39" s="1"/>
  <c r="AI32" i="39" s="1"/>
  <c r="AI33" i="39" s="1"/>
  <c r="AI34" i="39" s="1"/>
  <c r="AI35" i="39" s="1"/>
  <c r="AI36" i="39" s="1"/>
  <c r="AI37" i="39" s="1"/>
  <c r="P10" i="39"/>
  <c r="P11" i="39"/>
  <c r="P12" i="39"/>
  <c r="P13" i="39"/>
  <c r="BH13" i="39" s="1"/>
  <c r="P14" i="39"/>
  <c r="BH14" i="39" s="1"/>
  <c r="P15" i="39"/>
  <c r="P16" i="39"/>
  <c r="BB16" i="39" s="1"/>
  <c r="P17" i="39"/>
  <c r="P18" i="39"/>
  <c r="BH18" i="39" s="1"/>
  <c r="P19" i="39"/>
  <c r="P21" i="39"/>
  <c r="P22" i="39"/>
  <c r="P23" i="39"/>
  <c r="P24" i="39"/>
  <c r="P25" i="39"/>
  <c r="BB25" i="39" s="1"/>
  <c r="P26" i="39"/>
  <c r="P27" i="39"/>
  <c r="Y41" i="39"/>
  <c r="AA41" i="39" s="1"/>
  <c r="AT39" i="39"/>
  <c r="AV39" i="39" s="1"/>
  <c r="L44" i="11"/>
  <c r="L44" i="30"/>
  <c r="AO10" i="39"/>
  <c r="AO11" i="39" s="1"/>
  <c r="AO12" i="39" s="1"/>
  <c r="AO13" i="39" s="1"/>
  <c r="AO14" i="39" s="1"/>
  <c r="AO15" i="39" s="1"/>
  <c r="AO16" i="39" s="1"/>
  <c r="AO17" i="39" s="1"/>
  <c r="AO18" i="39" s="1"/>
  <c r="AO19" i="39" s="1"/>
  <c r="AO20" i="39" s="1"/>
  <c r="AO21" i="39" s="1"/>
  <c r="AO22" i="39" s="1"/>
  <c r="AO23" i="39" s="1"/>
  <c r="AO24" i="39" s="1"/>
  <c r="AO25" i="39" s="1"/>
  <c r="AO26" i="39" s="1"/>
  <c r="AO27" i="39" s="1"/>
  <c r="AO28" i="39" s="1"/>
  <c r="AO29" i="39" s="1"/>
  <c r="AO30" i="39" s="1"/>
  <c r="AO31" i="39" s="1"/>
  <c r="AO32" i="39" s="1"/>
  <c r="AO33" i="39" s="1"/>
  <c r="AO34" i="39" s="1"/>
  <c r="AO35" i="39" s="1"/>
  <c r="AO36" i="39" s="1"/>
  <c r="AO37" i="39" s="1"/>
  <c r="AO38" i="39" s="1"/>
  <c r="AO39" i="39" s="1"/>
  <c r="AN41" i="39"/>
  <c r="AT12" i="39"/>
  <c r="I43" i="21"/>
  <c r="I44" i="21" s="1"/>
  <c r="K34" i="21"/>
  <c r="C38" i="21"/>
  <c r="AH41" i="39"/>
  <c r="AT23" i="39"/>
  <c r="E26" i="39"/>
  <c r="BB28" i="39"/>
  <c r="BB31" i="39"/>
  <c r="BB35" i="39"/>
  <c r="H35" i="39"/>
  <c r="G35" i="39"/>
  <c r="G28" i="39"/>
  <c r="G29" i="39"/>
  <c r="BB34" i="39"/>
  <c r="BB20" i="39"/>
  <c r="G34" i="39"/>
  <c r="E12" i="39"/>
  <c r="BB38" i="39"/>
  <c r="H36" i="39"/>
  <c r="BB36" i="39"/>
  <c r="E39" i="39"/>
  <c r="K34" i="43"/>
  <c r="I40" i="43" s="1"/>
  <c r="R39" i="39" s="1"/>
  <c r="C38" i="4"/>
  <c r="E37" i="39"/>
  <c r="F37" i="39" s="1"/>
  <c r="C38" i="37"/>
  <c r="H34" i="39"/>
  <c r="K34" i="16"/>
  <c r="E23" i="39"/>
  <c r="E16" i="39"/>
  <c r="I50" i="33"/>
  <c r="J37" i="33"/>
  <c r="J39" i="33" s="1"/>
  <c r="C38" i="33"/>
  <c r="D38" i="33" s="1"/>
  <c r="E38" i="33" s="1"/>
  <c r="AZ41" i="39"/>
  <c r="AT19" i="39"/>
  <c r="I47" i="15"/>
  <c r="I47" i="13"/>
  <c r="AT32" i="39"/>
  <c r="AT18" i="39"/>
  <c r="I47" i="26"/>
  <c r="I47" i="29"/>
  <c r="BJ39" i="39" l="1"/>
  <c r="C38" i="45"/>
  <c r="BH39" i="39"/>
  <c r="B38" i="45"/>
  <c r="B36" i="45"/>
  <c r="BH37" i="39"/>
  <c r="G36" i="39"/>
  <c r="BH36" i="39"/>
  <c r="B34" i="45"/>
  <c r="BH35" i="39"/>
  <c r="B33" i="45"/>
  <c r="BH34" i="39"/>
  <c r="I40" i="4"/>
  <c r="R38" i="39" s="1"/>
  <c r="BJ38" i="39" s="1"/>
  <c r="B31" i="45"/>
  <c r="Q31" i="45" s="1"/>
  <c r="BH32" i="39"/>
  <c r="H28" i="39"/>
  <c r="AV31" i="39"/>
  <c r="B32" i="45"/>
  <c r="N32" i="45" s="1"/>
  <c r="BH33" i="39"/>
  <c r="H31" i="39"/>
  <c r="BH31" i="39"/>
  <c r="B29" i="45"/>
  <c r="N29" i="45" s="1"/>
  <c r="BH30" i="39"/>
  <c r="B22" i="45"/>
  <c r="F22" i="45" s="1"/>
  <c r="X22" i="45" s="1"/>
  <c r="BH23" i="39"/>
  <c r="B23" i="45"/>
  <c r="T23" i="45" s="1"/>
  <c r="BH24" i="39"/>
  <c r="B28" i="45"/>
  <c r="N28" i="45" s="1"/>
  <c r="BH29" i="39"/>
  <c r="BB24" i="39"/>
  <c r="B26" i="45"/>
  <c r="N26" i="45" s="1"/>
  <c r="BH27" i="39"/>
  <c r="B25" i="45"/>
  <c r="J25" i="45" s="1"/>
  <c r="BH26" i="39"/>
  <c r="BB26" i="39"/>
  <c r="B24" i="45"/>
  <c r="N24" i="45" s="1"/>
  <c r="BH25" i="39"/>
  <c r="B21" i="45"/>
  <c r="Q21" i="45" s="1"/>
  <c r="BH22" i="39"/>
  <c r="B20" i="45"/>
  <c r="J20" i="45" s="1"/>
  <c r="BH21" i="39"/>
  <c r="F14" i="39"/>
  <c r="B18" i="45"/>
  <c r="J18" i="45" s="1"/>
  <c r="BH19" i="39"/>
  <c r="B16" i="45"/>
  <c r="N16" i="45" s="1"/>
  <c r="BH17" i="39"/>
  <c r="BB14" i="39"/>
  <c r="BB17" i="39"/>
  <c r="G30" i="39"/>
  <c r="F32" i="39"/>
  <c r="I44" i="28"/>
  <c r="B15" i="45"/>
  <c r="T15" i="45" s="1"/>
  <c r="BH16" i="39"/>
  <c r="H30" i="39"/>
  <c r="J31" i="27"/>
  <c r="J31" i="28" s="1"/>
  <c r="J23" i="27"/>
  <c r="J23" i="28" s="1"/>
  <c r="J30" i="27"/>
  <c r="J30" i="28" s="1"/>
  <c r="J22" i="27"/>
  <c r="J22" i="28" s="1"/>
  <c r="J14" i="27"/>
  <c r="J14" i="28" s="1"/>
  <c r="J14" i="25" s="1"/>
  <c r="J29" i="27"/>
  <c r="J29" i="28" s="1"/>
  <c r="J21" i="27"/>
  <c r="J21" i="28" s="1"/>
  <c r="J13" i="27"/>
  <c r="J13" i="28" s="1"/>
  <c r="J13" i="25" s="1"/>
  <c r="J28" i="27"/>
  <c r="J28" i="28" s="1"/>
  <c r="J20" i="27"/>
  <c r="J20" i="28" s="1"/>
  <c r="J12" i="27"/>
  <c r="J12" i="28" s="1"/>
  <c r="J12" i="25" s="1"/>
  <c r="B14" i="45"/>
  <c r="T14" i="45" s="1"/>
  <c r="BH15" i="39"/>
  <c r="J27" i="27"/>
  <c r="J27" i="28" s="1"/>
  <c r="J19" i="27"/>
  <c r="J19" i="28" s="1"/>
  <c r="J26" i="27"/>
  <c r="J26" i="28" s="1"/>
  <c r="J18" i="27"/>
  <c r="J18" i="28" s="1"/>
  <c r="J25" i="27"/>
  <c r="J25" i="28" s="1"/>
  <c r="J24" i="27"/>
  <c r="J24" i="28" s="1"/>
  <c r="J8" i="27"/>
  <c r="J8" i="28" s="1"/>
  <c r="I40" i="37"/>
  <c r="I45" i="37" s="1"/>
  <c r="B11" i="45"/>
  <c r="T11" i="45" s="1"/>
  <c r="BH12" i="39"/>
  <c r="B10" i="45"/>
  <c r="T10" i="45" s="1"/>
  <c r="BH11" i="39"/>
  <c r="B9" i="45"/>
  <c r="T9" i="45" s="1"/>
  <c r="BH10" i="39"/>
  <c r="F31" i="45"/>
  <c r="X31" i="45" s="1"/>
  <c r="H14" i="39"/>
  <c r="B13" i="45"/>
  <c r="H38" i="39"/>
  <c r="B37" i="45"/>
  <c r="AJ31" i="39"/>
  <c r="B30" i="45"/>
  <c r="H13" i="39"/>
  <c r="B12" i="45"/>
  <c r="F20" i="45"/>
  <c r="X20" i="45" s="1"/>
  <c r="N20" i="45"/>
  <c r="Q20" i="45"/>
  <c r="F29" i="45"/>
  <c r="X29" i="45" s="1"/>
  <c r="BN39" i="39"/>
  <c r="J36" i="45"/>
  <c r="N36" i="45"/>
  <c r="T36" i="45"/>
  <c r="Q36" i="45"/>
  <c r="F36" i="45"/>
  <c r="X36" i="45" s="1"/>
  <c r="AJ18" i="39"/>
  <c r="B17" i="45"/>
  <c r="J9" i="45"/>
  <c r="Q9" i="45"/>
  <c r="B35" i="45"/>
  <c r="B27" i="45"/>
  <c r="F26" i="45"/>
  <c r="X26" i="45" s="1"/>
  <c r="Q25" i="45"/>
  <c r="F25" i="45"/>
  <c r="X25" i="45" s="1"/>
  <c r="Q16" i="45"/>
  <c r="F34" i="45"/>
  <c r="X34" i="45" s="1"/>
  <c r="T34" i="45"/>
  <c r="N34" i="45"/>
  <c r="J34" i="45"/>
  <c r="Q34" i="45"/>
  <c r="N22" i="45"/>
  <c r="J22" i="45"/>
  <c r="Q22" i="45"/>
  <c r="T22" i="45"/>
  <c r="N33" i="45"/>
  <c r="T33" i="45"/>
  <c r="Q33" i="45"/>
  <c r="J33" i="45"/>
  <c r="F33" i="45"/>
  <c r="X33" i="45" s="1"/>
  <c r="Q23" i="45"/>
  <c r="Q14" i="45"/>
  <c r="F14" i="45"/>
  <c r="X14" i="45" s="1"/>
  <c r="N14" i="45"/>
  <c r="T32" i="45"/>
  <c r="E46" i="33"/>
  <c r="G38" i="39"/>
  <c r="M28" i="14"/>
  <c r="M28" i="13" s="1"/>
  <c r="M28" i="12" s="1"/>
  <c r="M28" i="11" s="1"/>
  <c r="M28" i="10" s="1"/>
  <c r="M28" i="9" s="1"/>
  <c r="M28" i="8" s="1"/>
  <c r="M28" i="7" s="1"/>
  <c r="M28" i="6" s="1"/>
  <c r="M15" i="37"/>
  <c r="M15" i="4" s="1"/>
  <c r="M15" i="43" s="1"/>
  <c r="J11" i="31"/>
  <c r="J11" i="30" s="1"/>
  <c r="J11" i="29" s="1"/>
  <c r="G31" i="39"/>
  <c r="M27" i="14"/>
  <c r="M27" i="13" s="1"/>
  <c r="M27" i="12" s="1"/>
  <c r="M27" i="11" s="1"/>
  <c r="M27" i="10" s="1"/>
  <c r="M27" i="9" s="1"/>
  <c r="M27" i="8" s="1"/>
  <c r="M27" i="7" s="1"/>
  <c r="M27" i="6" s="1"/>
  <c r="M22" i="14"/>
  <c r="M22" i="13" s="1"/>
  <c r="M22" i="12" s="1"/>
  <c r="M22" i="11" s="1"/>
  <c r="M22" i="10" s="1"/>
  <c r="M22" i="9" s="1"/>
  <c r="M22" i="8" s="1"/>
  <c r="M22" i="7" s="1"/>
  <c r="M22" i="6" s="1"/>
  <c r="M14" i="37"/>
  <c r="M14" i="4" s="1"/>
  <c r="M14" i="43" s="1"/>
  <c r="J10" i="31"/>
  <c r="J10" i="30" s="1"/>
  <c r="J10" i="29" s="1"/>
  <c r="M29" i="14"/>
  <c r="M29" i="13" s="1"/>
  <c r="M29" i="12" s="1"/>
  <c r="M29" i="11" s="1"/>
  <c r="M29" i="10" s="1"/>
  <c r="M29" i="9" s="1"/>
  <c r="M29" i="8" s="1"/>
  <c r="M29" i="7" s="1"/>
  <c r="M29" i="6" s="1"/>
  <c r="M26" i="14"/>
  <c r="M26" i="13" s="1"/>
  <c r="M26" i="12" s="1"/>
  <c r="M26" i="11" s="1"/>
  <c r="M26" i="10" s="1"/>
  <c r="M26" i="9" s="1"/>
  <c r="M26" i="8" s="1"/>
  <c r="M26" i="7" s="1"/>
  <c r="M26" i="6" s="1"/>
  <c r="M21" i="14"/>
  <c r="M21" i="13" s="1"/>
  <c r="M21" i="12" s="1"/>
  <c r="M21" i="11" s="1"/>
  <c r="M21" i="10" s="1"/>
  <c r="M21" i="9" s="1"/>
  <c r="M21" i="8" s="1"/>
  <c r="M21" i="7" s="1"/>
  <c r="M21" i="6" s="1"/>
  <c r="J17" i="30"/>
  <c r="J17" i="29" s="1"/>
  <c r="J9" i="31"/>
  <c r="J9" i="30" s="1"/>
  <c r="J9" i="29" s="1"/>
  <c r="J9" i="28" s="1"/>
  <c r="J9" i="26" s="1"/>
  <c r="M25" i="14"/>
  <c r="M25" i="13" s="1"/>
  <c r="M25" i="12" s="1"/>
  <c r="M25" i="11" s="1"/>
  <c r="M25" i="10" s="1"/>
  <c r="M25" i="9" s="1"/>
  <c r="M25" i="8" s="1"/>
  <c r="M25" i="7" s="1"/>
  <c r="M25" i="6" s="1"/>
  <c r="M20" i="37"/>
  <c r="M20" i="4" s="1"/>
  <c r="M20" i="43" s="1"/>
  <c r="J16" i="31"/>
  <c r="J16" i="30" s="1"/>
  <c r="J16" i="29" s="1"/>
  <c r="M16" i="37"/>
  <c r="M16" i="4" s="1"/>
  <c r="M16" i="43" s="1"/>
  <c r="M24" i="14"/>
  <c r="M24" i="13" s="1"/>
  <c r="M24" i="12" s="1"/>
  <c r="M24" i="11" s="1"/>
  <c r="M24" i="10" s="1"/>
  <c r="M24" i="9" s="1"/>
  <c r="M24" i="8" s="1"/>
  <c r="M24" i="7" s="1"/>
  <c r="M24" i="6" s="1"/>
  <c r="M19" i="37"/>
  <c r="M19" i="4" s="1"/>
  <c r="M19" i="43" s="1"/>
  <c r="J15" i="31"/>
  <c r="J15" i="30" s="1"/>
  <c r="J15" i="29" s="1"/>
  <c r="M23" i="14"/>
  <c r="M23" i="13" s="1"/>
  <c r="M23" i="12" s="1"/>
  <c r="I47" i="33"/>
  <c r="AT9" i="39"/>
  <c r="BB22" i="39"/>
  <c r="BB33" i="39"/>
  <c r="I40" i="9"/>
  <c r="I48" i="9" s="1"/>
  <c r="L47" i="10"/>
  <c r="H29" i="39"/>
  <c r="AV32" i="39"/>
  <c r="F39" i="39"/>
  <c r="AJ37" i="39"/>
  <c r="J32" i="11"/>
  <c r="J32" i="10" s="1"/>
  <c r="J32" i="9" s="1"/>
  <c r="BB32" i="39"/>
  <c r="BB19" i="39"/>
  <c r="BB27" i="39"/>
  <c r="K34" i="6"/>
  <c r="I40" i="13"/>
  <c r="L47" i="33"/>
  <c r="AV24" i="39"/>
  <c r="AV23" i="39"/>
  <c r="E36" i="39"/>
  <c r="F36" i="39" s="1"/>
  <c r="BB23" i="39"/>
  <c r="F34" i="39"/>
  <c r="K34" i="30"/>
  <c r="I40" i="30" s="1"/>
  <c r="M18" i="19"/>
  <c r="M18" i="18" s="1"/>
  <c r="M18" i="17" s="1"/>
  <c r="M18" i="16" s="1"/>
  <c r="M18" i="15" s="1"/>
  <c r="M18" i="14" s="1"/>
  <c r="M18" i="13" s="1"/>
  <c r="M18" i="12" s="1"/>
  <c r="M18" i="11" s="1"/>
  <c r="M18" i="10" s="1"/>
  <c r="M18" i="9" s="1"/>
  <c r="M18" i="8" s="1"/>
  <c r="M18" i="7" s="1"/>
  <c r="M18" i="6" s="1"/>
  <c r="K34" i="19"/>
  <c r="I40" i="19" s="1"/>
  <c r="L45" i="19" s="1"/>
  <c r="L47" i="6"/>
  <c r="F21" i="39"/>
  <c r="AV22" i="39"/>
  <c r="K34" i="8"/>
  <c r="I40" i="8" s="1"/>
  <c r="C34" i="4"/>
  <c r="F13" i="39"/>
  <c r="F34" i="17"/>
  <c r="J43" i="33"/>
  <c r="J43" i="32" s="1"/>
  <c r="J43" i="31" s="1"/>
  <c r="J43" i="30" s="1"/>
  <c r="J43" i="29" s="1"/>
  <c r="J43" i="27" s="1"/>
  <c r="J43" i="28" s="1"/>
  <c r="J43" i="26" s="1"/>
  <c r="J43" i="25" s="1"/>
  <c r="J43" i="24" s="1"/>
  <c r="J43" i="23" s="1"/>
  <c r="J43" i="21" s="1"/>
  <c r="J43" i="22" s="1"/>
  <c r="J43" i="20" s="1"/>
  <c r="J43" i="19" s="1"/>
  <c r="J43" i="18" s="1"/>
  <c r="J43" i="17" s="1"/>
  <c r="J43" i="16" s="1"/>
  <c r="J43" i="15" s="1"/>
  <c r="J43" i="14" s="1"/>
  <c r="J43" i="13" s="1"/>
  <c r="J43" i="12" s="1"/>
  <c r="J43" i="11" s="1"/>
  <c r="J43" i="10" s="1"/>
  <c r="J43" i="9" s="1"/>
  <c r="J43" i="8" s="1"/>
  <c r="J43" i="7" s="1"/>
  <c r="J43" i="6" s="1"/>
  <c r="J43" i="37" s="1"/>
  <c r="J43" i="4" s="1"/>
  <c r="J43" i="43" s="1"/>
  <c r="BB21" i="39"/>
  <c r="BB18" i="39"/>
  <c r="G13" i="39"/>
  <c r="BB13" i="39"/>
  <c r="H32" i="39"/>
  <c r="AJ13" i="39"/>
  <c r="I40" i="25"/>
  <c r="R17" i="39" s="1"/>
  <c r="AL17" i="39" s="1"/>
  <c r="C34" i="24"/>
  <c r="C33" i="43"/>
  <c r="C34" i="43"/>
  <c r="AV15" i="39"/>
  <c r="F19" i="39"/>
  <c r="BB11" i="39"/>
  <c r="AV18" i="39"/>
  <c r="E33" i="43"/>
  <c r="BB15" i="39"/>
  <c r="H26" i="39"/>
  <c r="G32" i="39"/>
  <c r="L47" i="4"/>
  <c r="L47" i="20"/>
  <c r="L47" i="12"/>
  <c r="G16" i="39"/>
  <c r="AV12" i="39"/>
  <c r="G12" i="39"/>
  <c r="BB12" i="39"/>
  <c r="H12" i="39"/>
  <c r="I40" i="28"/>
  <c r="I45" i="28" s="1"/>
  <c r="C34" i="32"/>
  <c r="K34" i="27"/>
  <c r="C33" i="4"/>
  <c r="G25" i="39"/>
  <c r="AJ25" i="39"/>
  <c r="H25" i="39"/>
  <c r="G17" i="39"/>
  <c r="I47" i="6"/>
  <c r="F34" i="43"/>
  <c r="F34" i="4"/>
  <c r="E33" i="33"/>
  <c r="D34" i="24"/>
  <c r="AT33" i="39"/>
  <c r="AV33" i="39" s="1"/>
  <c r="L47" i="37"/>
  <c r="L47" i="13"/>
  <c r="C34" i="17"/>
  <c r="E34" i="4"/>
  <c r="E15" i="43"/>
  <c r="G15" i="39"/>
  <c r="AJ15" i="39"/>
  <c r="L47" i="17"/>
  <c r="L47" i="9"/>
  <c r="I47" i="8"/>
  <c r="E34" i="13"/>
  <c r="F23" i="39"/>
  <c r="AT37" i="39"/>
  <c r="AV37" i="39" s="1"/>
  <c r="AT30" i="39"/>
  <c r="AV30" i="39" s="1"/>
  <c r="L47" i="28"/>
  <c r="AT35" i="39"/>
  <c r="AV35" i="39" s="1"/>
  <c r="L47" i="19"/>
  <c r="L47" i="11"/>
  <c r="G21" i="39"/>
  <c r="G27" i="39"/>
  <c r="AJ21" i="39"/>
  <c r="H20" i="39"/>
  <c r="C34" i="26"/>
  <c r="D15" i="43"/>
  <c r="F34" i="26"/>
  <c r="BN38" i="39"/>
  <c r="A10" i="1"/>
  <c r="A11" i="2" s="1"/>
  <c r="H21" i="39"/>
  <c r="L47" i="24"/>
  <c r="L47" i="8"/>
  <c r="L47" i="16"/>
  <c r="L47" i="26"/>
  <c r="I47" i="4"/>
  <c r="D34" i="17"/>
  <c r="I48" i="4"/>
  <c r="AR38" i="39"/>
  <c r="H11" i="39"/>
  <c r="H24" i="39"/>
  <c r="AJ27" i="39"/>
  <c r="I40" i="14"/>
  <c r="I48" i="14" s="1"/>
  <c r="T38" i="39"/>
  <c r="L45" i="4"/>
  <c r="C52" i="43"/>
  <c r="C53" i="43" s="1"/>
  <c r="AJ23" i="39"/>
  <c r="H27" i="39"/>
  <c r="G26" i="39"/>
  <c r="K34" i="10"/>
  <c r="I40" i="10" s="1"/>
  <c r="L45" i="10" s="1"/>
  <c r="AJ11" i="39"/>
  <c r="I38" i="39"/>
  <c r="G23" i="39"/>
  <c r="H15" i="39"/>
  <c r="H23" i="39"/>
  <c r="G19" i="39"/>
  <c r="D34" i="26"/>
  <c r="E34" i="43"/>
  <c r="AL38" i="39"/>
  <c r="V38" i="39"/>
  <c r="J38" i="39"/>
  <c r="C52" i="37"/>
  <c r="C53" i="37" s="1"/>
  <c r="G11" i="39"/>
  <c r="H17" i="39"/>
  <c r="K34" i="29"/>
  <c r="C52" i="14"/>
  <c r="C53" i="14" s="1"/>
  <c r="C52" i="13"/>
  <c r="C53" i="13" s="1"/>
  <c r="C52" i="9"/>
  <c r="C53" i="9" s="1"/>
  <c r="D34" i="32"/>
  <c r="Z12" i="54" s="1"/>
  <c r="E34" i="17"/>
  <c r="V39" i="39"/>
  <c r="AX39" i="39"/>
  <c r="AJ14" i="39"/>
  <c r="L47" i="23"/>
  <c r="E34" i="26"/>
  <c r="C24" i="43"/>
  <c r="G39" i="39"/>
  <c r="D38" i="1"/>
  <c r="D39" i="2" s="1"/>
  <c r="I47" i="43"/>
  <c r="C15" i="43"/>
  <c r="H22" i="39"/>
  <c r="L47" i="7"/>
  <c r="I40" i="12"/>
  <c r="C15" i="4"/>
  <c r="E24" i="43"/>
  <c r="D34" i="43"/>
  <c r="C34" i="13"/>
  <c r="AJ12" i="39"/>
  <c r="D24" i="43"/>
  <c r="G14" i="39"/>
  <c r="AJ22" i="39"/>
  <c r="D33" i="43"/>
  <c r="D36" i="1"/>
  <c r="D37" i="2" s="1"/>
  <c r="AP28" i="39"/>
  <c r="G22" i="39"/>
  <c r="E34" i="33"/>
  <c r="J57" i="33" s="1"/>
  <c r="E34" i="24"/>
  <c r="L47" i="15"/>
  <c r="F34" i="13"/>
  <c r="I47" i="10"/>
  <c r="D34" i="13"/>
  <c r="AV38" i="39"/>
  <c r="AX38" i="39"/>
  <c r="I47" i="11"/>
  <c r="L48" i="43"/>
  <c r="M43" i="33"/>
  <c r="M44" i="33" s="1"/>
  <c r="I45" i="4"/>
  <c r="AJ10" i="39"/>
  <c r="K34" i="24"/>
  <c r="I40" i="24" s="1"/>
  <c r="L45" i="43"/>
  <c r="AR39" i="39"/>
  <c r="AL39" i="39"/>
  <c r="I45" i="43"/>
  <c r="E38" i="1"/>
  <c r="D33" i="4"/>
  <c r="E33" i="4"/>
  <c r="D24" i="4"/>
  <c r="E15" i="4"/>
  <c r="D15" i="4"/>
  <c r="D34" i="4"/>
  <c r="AP37" i="39"/>
  <c r="H37" i="39"/>
  <c r="D37" i="1"/>
  <c r="D38" i="2" s="1"/>
  <c r="H33" i="39"/>
  <c r="G33" i="39"/>
  <c r="AJ29" i="39"/>
  <c r="E38" i="39"/>
  <c r="F38" i="39" s="1"/>
  <c r="E39" i="1"/>
  <c r="BD39" i="39"/>
  <c r="T39" i="39"/>
  <c r="J39" i="39"/>
  <c r="I39" i="39"/>
  <c r="I48" i="43"/>
  <c r="AJ24" i="39"/>
  <c r="G24" i="39"/>
  <c r="AJ20" i="39"/>
  <c r="G20" i="39"/>
  <c r="AJ16" i="39"/>
  <c r="H16" i="39"/>
  <c r="F29" i="39"/>
  <c r="L48" i="22"/>
  <c r="L47" i="22"/>
  <c r="B10" i="2"/>
  <c r="B37" i="2"/>
  <c r="B33" i="2"/>
  <c r="B29" i="2"/>
  <c r="B25" i="2"/>
  <c r="B21" i="2"/>
  <c r="B17" i="2"/>
  <c r="B13" i="2"/>
  <c r="C52" i="4"/>
  <c r="C53" i="4" s="1"/>
  <c r="H18" i="39"/>
  <c r="D15" i="33"/>
  <c r="E28" i="39"/>
  <c r="F28" i="39" s="1"/>
  <c r="E30" i="39"/>
  <c r="F30" i="39" s="1"/>
  <c r="B12" i="2"/>
  <c r="AJ28" i="39"/>
  <c r="B19" i="2"/>
  <c r="D39" i="1"/>
  <c r="D40" i="2" s="1"/>
  <c r="D28" i="1"/>
  <c r="D29" i="2" s="1"/>
  <c r="C33" i="33"/>
  <c r="D34" i="33"/>
  <c r="C52" i="6"/>
  <c r="C53" i="6" s="1"/>
  <c r="C24" i="4"/>
  <c r="F20" i="39"/>
  <c r="C24" i="33"/>
  <c r="F34" i="33"/>
  <c r="D24" i="33"/>
  <c r="M9" i="32"/>
  <c r="D12" i="1"/>
  <c r="D13" i="2" s="1"/>
  <c r="C52" i="27"/>
  <c r="C53" i="27" s="1"/>
  <c r="D16" i="1"/>
  <c r="D17" i="2" s="1"/>
  <c r="AJ17" i="39"/>
  <c r="E17" i="39"/>
  <c r="F17" i="39" s="1"/>
  <c r="F18" i="39"/>
  <c r="D19" i="1"/>
  <c r="D20" i="2" s="1"/>
  <c r="H19" i="39"/>
  <c r="AJ19" i="39"/>
  <c r="D20" i="1"/>
  <c r="D21" i="2" s="1"/>
  <c r="D22" i="1"/>
  <c r="D23" i="2" s="1"/>
  <c r="F22" i="39"/>
  <c r="D24" i="1"/>
  <c r="D25" i="2" s="1"/>
  <c r="F24" i="39"/>
  <c r="D26" i="1"/>
  <c r="D27" i="2" s="1"/>
  <c r="F27" i="39"/>
  <c r="D29" i="1"/>
  <c r="D30" i="2" s="1"/>
  <c r="D35" i="1"/>
  <c r="D36" i="2" s="1"/>
  <c r="K34" i="7"/>
  <c r="I40" i="7" s="1"/>
  <c r="C52" i="7"/>
  <c r="C53" i="7" s="1"/>
  <c r="M30" i="8"/>
  <c r="C52" i="8"/>
  <c r="C53" i="8" s="1"/>
  <c r="D34" i="1"/>
  <c r="D35" i="2" s="1"/>
  <c r="AT29" i="39"/>
  <c r="AV29" i="39" s="1"/>
  <c r="E33" i="39"/>
  <c r="D33" i="1"/>
  <c r="D34" i="2" s="1"/>
  <c r="D32" i="1"/>
  <c r="D33" i="2" s="1"/>
  <c r="AP31" i="39"/>
  <c r="D31" i="1"/>
  <c r="D32" i="2" s="1"/>
  <c r="E31" i="39"/>
  <c r="C52" i="10"/>
  <c r="C53" i="10" s="1"/>
  <c r="C52" i="11"/>
  <c r="C53" i="11" s="1"/>
  <c r="AP30" i="39"/>
  <c r="AJ30" i="39"/>
  <c r="D30" i="1"/>
  <c r="D31" i="2" s="1"/>
  <c r="BB29" i="39"/>
  <c r="C52" i="12"/>
  <c r="C53" i="12" s="1"/>
  <c r="L47" i="14"/>
  <c r="AP29" i="39"/>
  <c r="AT28" i="39"/>
  <c r="I47" i="14"/>
  <c r="AT27" i="39"/>
  <c r="AV27" i="39" s="1"/>
  <c r="AT21" i="39"/>
  <c r="AV21" i="39" s="1"/>
  <c r="AT25" i="39"/>
  <c r="AV25" i="39" s="1"/>
  <c r="I40" i="15"/>
  <c r="L45" i="15" s="1"/>
  <c r="AP27" i="39"/>
  <c r="D27" i="1"/>
  <c r="D28" i="2" s="1"/>
  <c r="C52" i="15"/>
  <c r="C53" i="15" s="1"/>
  <c r="L47" i="18"/>
  <c r="L48" i="21"/>
  <c r="L47" i="32"/>
  <c r="L47" i="30"/>
  <c r="L47" i="27"/>
  <c r="AT26" i="39"/>
  <c r="AV26" i="39" s="1"/>
  <c r="I47" i="18"/>
  <c r="I40" i="16"/>
  <c r="I45" i="16" s="1"/>
  <c r="C52" i="16"/>
  <c r="C53" i="16" s="1"/>
  <c r="AP26" i="39"/>
  <c r="K34" i="18"/>
  <c r="I40" i="18" s="1"/>
  <c r="L45" i="18" s="1"/>
  <c r="I40" i="17"/>
  <c r="F25" i="39"/>
  <c r="AP25" i="39"/>
  <c r="D25" i="1"/>
  <c r="D26" i="2" s="1"/>
  <c r="C52" i="17"/>
  <c r="C53" i="17" s="1"/>
  <c r="C52" i="18"/>
  <c r="C53" i="18" s="1"/>
  <c r="AP24" i="39"/>
  <c r="C52" i="19"/>
  <c r="C53" i="19" s="1"/>
  <c r="AP23" i="39"/>
  <c r="D23" i="1"/>
  <c r="D24" i="2" s="1"/>
  <c r="I47" i="20"/>
  <c r="I40" i="20"/>
  <c r="L45" i="20" s="1"/>
  <c r="C52" i="20"/>
  <c r="C53" i="20" s="1"/>
  <c r="AP22" i="39"/>
  <c r="I47" i="23"/>
  <c r="AT20" i="39"/>
  <c r="AV20" i="39" s="1"/>
  <c r="I40" i="22"/>
  <c r="L45" i="22" s="1"/>
  <c r="C52" i="22"/>
  <c r="C53" i="22" s="1"/>
  <c r="AP21" i="39"/>
  <c r="D21" i="1"/>
  <c r="D22" i="2" s="1"/>
  <c r="I40" i="21"/>
  <c r="C52" i="21"/>
  <c r="C53" i="21" s="1"/>
  <c r="AP20" i="39"/>
  <c r="M46" i="33"/>
  <c r="M46" i="32" s="1"/>
  <c r="M47" i="32" s="1"/>
  <c r="L47" i="25"/>
  <c r="I40" i="23"/>
  <c r="L45" i="23" s="1"/>
  <c r="C52" i="23"/>
  <c r="C53" i="23" s="1"/>
  <c r="AP19" i="39"/>
  <c r="AV17" i="39"/>
  <c r="AT14" i="39"/>
  <c r="AV14" i="39" s="1"/>
  <c r="I47" i="25"/>
  <c r="AT16" i="39"/>
  <c r="AV16" i="39" s="1"/>
  <c r="I47" i="24"/>
  <c r="I47" i="28"/>
  <c r="F34" i="24"/>
  <c r="C52" i="24"/>
  <c r="C53" i="24" s="1"/>
  <c r="AP18" i="39"/>
  <c r="D18" i="1"/>
  <c r="D19" i="2" s="1"/>
  <c r="G18" i="39"/>
  <c r="C52" i="25"/>
  <c r="C53" i="25" s="1"/>
  <c r="AP17" i="39"/>
  <c r="D17" i="1"/>
  <c r="D18" i="2" s="1"/>
  <c r="L47" i="29"/>
  <c r="I40" i="26"/>
  <c r="F16" i="39"/>
  <c r="C52" i="26"/>
  <c r="C53" i="26" s="1"/>
  <c r="AP16" i="39"/>
  <c r="AP15" i="39"/>
  <c r="D15" i="1"/>
  <c r="D16" i="2" s="1"/>
  <c r="C52" i="28"/>
  <c r="C53" i="28" s="1"/>
  <c r="AT11" i="39"/>
  <c r="AV11" i="39" s="1"/>
  <c r="AT13" i="39"/>
  <c r="AV13" i="39" s="1"/>
  <c r="J46" i="33"/>
  <c r="J47" i="33" s="1"/>
  <c r="AP14" i="39"/>
  <c r="D14" i="1"/>
  <c r="D15" i="2" s="1"/>
  <c r="AT10" i="39"/>
  <c r="AP13" i="39"/>
  <c r="D13" i="1"/>
  <c r="D14" i="2" s="1"/>
  <c r="C52" i="29"/>
  <c r="L47" i="31"/>
  <c r="D33" i="33"/>
  <c r="C15" i="33"/>
  <c r="C34" i="33"/>
  <c r="K7" i="33" s="1"/>
  <c r="W6" i="54" s="1"/>
  <c r="E24" i="33"/>
  <c r="E15" i="33"/>
  <c r="J38" i="31"/>
  <c r="E34" i="32"/>
  <c r="AP11" i="39"/>
  <c r="D11" i="1"/>
  <c r="D12" i="2" s="1"/>
  <c r="AP10" i="39"/>
  <c r="I47" i="30"/>
  <c r="F12" i="39"/>
  <c r="C52" i="30"/>
  <c r="C53" i="30" s="1"/>
  <c r="AP12" i="39"/>
  <c r="K7" i="31"/>
  <c r="W17" i="54" s="1"/>
  <c r="F10" i="39"/>
  <c r="P41" i="39"/>
  <c r="AJ41" i="39" s="1"/>
  <c r="D10" i="1"/>
  <c r="D11" i="2" s="1"/>
  <c r="J50" i="33"/>
  <c r="D9" i="1"/>
  <c r="D10" i="2" s="1"/>
  <c r="D40" i="32"/>
  <c r="D48" i="32"/>
  <c r="E48" i="32" s="1"/>
  <c r="C52" i="33"/>
  <c r="C53" i="33" s="1"/>
  <c r="E40" i="33"/>
  <c r="D42" i="32"/>
  <c r="E42" i="32" s="1"/>
  <c r="E44" i="33"/>
  <c r="D52" i="33"/>
  <c r="D51" i="32"/>
  <c r="E51" i="32" s="1"/>
  <c r="D46" i="32"/>
  <c r="D38" i="32"/>
  <c r="D38" i="31" s="1"/>
  <c r="D47" i="32"/>
  <c r="E47" i="32" s="1"/>
  <c r="D45" i="32"/>
  <c r="E45" i="32" s="1"/>
  <c r="D44" i="32"/>
  <c r="D43" i="32"/>
  <c r="E43" i="32" s="1"/>
  <c r="F34" i="32"/>
  <c r="C52" i="32"/>
  <c r="C53" i="32" s="1"/>
  <c r="D39" i="32"/>
  <c r="E39" i="32" s="1"/>
  <c r="F11" i="39"/>
  <c r="C52" i="31"/>
  <c r="C53" i="31" s="1"/>
  <c r="AI38" i="39"/>
  <c r="D50" i="32"/>
  <c r="D49" i="32"/>
  <c r="D41" i="32"/>
  <c r="E24" i="4"/>
  <c r="J37" i="32"/>
  <c r="F35" i="39"/>
  <c r="I44" i="19"/>
  <c r="F15" i="39"/>
  <c r="H39" i="39"/>
  <c r="M8" i="32"/>
  <c r="AV19" i="39"/>
  <c r="I47" i="19"/>
  <c r="F26" i="39"/>
  <c r="AJ26" i="39"/>
  <c r="AP38" i="39"/>
  <c r="AJ38" i="39"/>
  <c r="AP32" i="39"/>
  <c r="AJ32" i="39"/>
  <c r="AJ39" i="39"/>
  <c r="AP39" i="39"/>
  <c r="AP36" i="39"/>
  <c r="AJ36" i="39"/>
  <c r="AP35" i="39"/>
  <c r="AJ35" i="39"/>
  <c r="AP34" i="39"/>
  <c r="AJ34" i="39"/>
  <c r="AP33" i="39"/>
  <c r="AJ33" i="39"/>
  <c r="G37" i="39"/>
  <c r="U38" i="45" l="1"/>
  <c r="O38" i="45"/>
  <c r="G38" i="45"/>
  <c r="K38" i="45"/>
  <c r="R38" i="45"/>
  <c r="F38" i="45"/>
  <c r="X38" i="45" s="1"/>
  <c r="N38" i="45"/>
  <c r="J38" i="45"/>
  <c r="T38" i="45"/>
  <c r="Q38" i="45"/>
  <c r="AA6" i="54"/>
  <c r="AB6" i="54" s="1"/>
  <c r="X6" i="54"/>
  <c r="X17" i="54"/>
  <c r="AA17" i="54"/>
  <c r="AB17" i="54" s="1"/>
  <c r="C37" i="45"/>
  <c r="BD38" i="39"/>
  <c r="T21" i="45"/>
  <c r="Q29" i="45"/>
  <c r="F21" i="45"/>
  <c r="X21" i="45" s="1"/>
  <c r="N31" i="45"/>
  <c r="T29" i="45"/>
  <c r="J21" i="45"/>
  <c r="T31" i="45"/>
  <c r="J29" i="45"/>
  <c r="N21" i="45"/>
  <c r="J31" i="45"/>
  <c r="J32" i="45"/>
  <c r="J14" i="45"/>
  <c r="F28" i="45"/>
  <c r="X28" i="45" s="1"/>
  <c r="Q32" i="45"/>
  <c r="J23" i="45"/>
  <c r="N25" i="45"/>
  <c r="F15" i="45"/>
  <c r="X15" i="45" s="1"/>
  <c r="F32" i="45"/>
  <c r="X32" i="45" s="1"/>
  <c r="N23" i="45"/>
  <c r="T25" i="45"/>
  <c r="F9" i="45"/>
  <c r="X9" i="45" s="1"/>
  <c r="T20" i="45"/>
  <c r="F23" i="45"/>
  <c r="X23" i="45" s="1"/>
  <c r="N9" i="45"/>
  <c r="Q24" i="45"/>
  <c r="T24" i="45"/>
  <c r="J28" i="45"/>
  <c r="J24" i="45"/>
  <c r="T28" i="45"/>
  <c r="Q28" i="45"/>
  <c r="F24" i="45"/>
  <c r="X24" i="45" s="1"/>
  <c r="R37" i="39"/>
  <c r="BJ37" i="39" s="1"/>
  <c r="L45" i="37"/>
  <c r="Q10" i="45"/>
  <c r="T18" i="45"/>
  <c r="I48" i="37"/>
  <c r="N18" i="45"/>
  <c r="X123" i="46"/>
  <c r="AB123" i="46"/>
  <c r="Q26" i="45"/>
  <c r="T26" i="45"/>
  <c r="J26" i="45"/>
  <c r="Q18" i="45"/>
  <c r="F18" i="45"/>
  <c r="X18" i="45" s="1"/>
  <c r="T16" i="45"/>
  <c r="J16" i="45"/>
  <c r="F16" i="45"/>
  <c r="X16" i="45" s="1"/>
  <c r="J10" i="45"/>
  <c r="J12" i="24"/>
  <c r="J12" i="23" s="1"/>
  <c r="J12" i="21" s="1"/>
  <c r="J12" i="22" s="1"/>
  <c r="J12" i="20" s="1"/>
  <c r="J12" i="19" s="1"/>
  <c r="J12" i="18" s="1"/>
  <c r="J12" i="17" s="1"/>
  <c r="J12" i="16" s="1"/>
  <c r="J12" i="15" s="1"/>
  <c r="J12" i="14" s="1"/>
  <c r="J12" i="13" s="1"/>
  <c r="J12" i="12" s="1"/>
  <c r="J12" i="11" s="1"/>
  <c r="J12" i="10" s="1"/>
  <c r="J13" i="24"/>
  <c r="J13" i="23" s="1"/>
  <c r="J13" i="21" s="1"/>
  <c r="J13" i="22" s="1"/>
  <c r="J13" i="20" s="1"/>
  <c r="J13" i="19" s="1"/>
  <c r="J13" i="18" s="1"/>
  <c r="J13" i="17" s="1"/>
  <c r="J13" i="16" s="1"/>
  <c r="J13" i="15" s="1"/>
  <c r="J13" i="14" s="1"/>
  <c r="J13" i="13" s="1"/>
  <c r="J13" i="12" s="1"/>
  <c r="J13" i="11" s="1"/>
  <c r="J13" i="10" s="1"/>
  <c r="J14" i="24"/>
  <c r="J14" i="23" s="1"/>
  <c r="J14" i="21" s="1"/>
  <c r="J14" i="22" s="1"/>
  <c r="J14" i="20" s="1"/>
  <c r="J14" i="19" s="1"/>
  <c r="N11" i="45"/>
  <c r="N15" i="45"/>
  <c r="J15" i="45"/>
  <c r="Q15" i="45"/>
  <c r="V17" i="39"/>
  <c r="AX17" i="39"/>
  <c r="E17" i="1"/>
  <c r="GT17" i="1" s="1"/>
  <c r="J18" i="26"/>
  <c r="J18" i="25" s="1"/>
  <c r="J26" i="26"/>
  <c r="J26" i="25" s="1"/>
  <c r="J28" i="26"/>
  <c r="J28" i="25" s="1"/>
  <c r="F10" i="45"/>
  <c r="X10" i="45" s="1"/>
  <c r="J19" i="26"/>
  <c r="J19" i="25" s="1"/>
  <c r="J21" i="26"/>
  <c r="J21" i="25" s="1"/>
  <c r="J31" i="26"/>
  <c r="J31" i="25" s="1"/>
  <c r="N10" i="45"/>
  <c r="J27" i="26"/>
  <c r="J27" i="25" s="1"/>
  <c r="J29" i="26"/>
  <c r="J29" i="25" s="1"/>
  <c r="J8" i="26"/>
  <c r="J8" i="25" s="1"/>
  <c r="J22" i="26"/>
  <c r="J22" i="25" s="1"/>
  <c r="J24" i="26"/>
  <c r="J24" i="25" s="1"/>
  <c r="J30" i="26"/>
  <c r="J30" i="25" s="1"/>
  <c r="J25" i="26"/>
  <c r="J25" i="25" s="1"/>
  <c r="J20" i="26"/>
  <c r="J20" i="25" s="1"/>
  <c r="J23" i="26"/>
  <c r="J23" i="25" s="1"/>
  <c r="J11" i="27"/>
  <c r="J11" i="28" s="1"/>
  <c r="J11" i="25" s="1"/>
  <c r="J11" i="45"/>
  <c r="J16" i="27"/>
  <c r="J16" i="28" s="1"/>
  <c r="J10" i="25"/>
  <c r="J10" i="27"/>
  <c r="J15" i="27"/>
  <c r="J15" i="28" s="1"/>
  <c r="Q11" i="45"/>
  <c r="J17" i="27"/>
  <c r="J17" i="28" s="1"/>
  <c r="F11" i="45"/>
  <c r="X11" i="45" s="1"/>
  <c r="E44" i="32"/>
  <c r="AA23" i="46"/>
  <c r="AB23" i="46" s="1"/>
  <c r="Z12" i="46"/>
  <c r="W17" i="46"/>
  <c r="C53" i="29"/>
  <c r="V45" i="29"/>
  <c r="W45" i="29" s="1"/>
  <c r="C16" i="45"/>
  <c r="G16" i="45" s="1"/>
  <c r="BJ17" i="39"/>
  <c r="A11" i="1"/>
  <c r="A12" i="2" s="1"/>
  <c r="G37" i="45"/>
  <c r="K37" i="45"/>
  <c r="U37" i="45"/>
  <c r="O37" i="45"/>
  <c r="R37" i="45"/>
  <c r="J37" i="45"/>
  <c r="F37" i="45"/>
  <c r="X37" i="45" s="1"/>
  <c r="Q37" i="45"/>
  <c r="N37" i="45"/>
  <c r="T37" i="45"/>
  <c r="T27" i="45"/>
  <c r="N27" i="45"/>
  <c r="J27" i="45"/>
  <c r="F27" i="45"/>
  <c r="X27" i="45" s="1"/>
  <c r="Q27" i="45"/>
  <c r="J35" i="45"/>
  <c r="F35" i="45"/>
  <c r="X35" i="45" s="1"/>
  <c r="N35" i="45"/>
  <c r="T35" i="45"/>
  <c r="Q35" i="45"/>
  <c r="T17" i="45"/>
  <c r="N17" i="45"/>
  <c r="J17" i="45"/>
  <c r="Q17" i="45"/>
  <c r="F17" i="45"/>
  <c r="X17" i="45" s="1"/>
  <c r="T12" i="45"/>
  <c r="J12" i="45"/>
  <c r="F12" i="45"/>
  <c r="X12" i="45" s="1"/>
  <c r="N12" i="45"/>
  <c r="Q12" i="45"/>
  <c r="B40" i="45"/>
  <c r="N30" i="45"/>
  <c r="J30" i="45"/>
  <c r="F30" i="45"/>
  <c r="X30" i="45" s="1"/>
  <c r="T30" i="45"/>
  <c r="Q30" i="45"/>
  <c r="F13" i="45"/>
  <c r="X13" i="45" s="1"/>
  <c r="J13" i="45"/>
  <c r="T13" i="45"/>
  <c r="N13" i="45"/>
  <c r="Q13" i="45"/>
  <c r="D53" i="33"/>
  <c r="E46" i="32"/>
  <c r="E40" i="32"/>
  <c r="K7" i="32"/>
  <c r="W12" i="54" s="1"/>
  <c r="W6" i="46"/>
  <c r="C35" i="32"/>
  <c r="M22" i="37"/>
  <c r="M22" i="4" s="1"/>
  <c r="M22" i="43" s="1"/>
  <c r="M27" i="37"/>
  <c r="M27" i="4" s="1"/>
  <c r="M27" i="43" s="1"/>
  <c r="M24" i="37"/>
  <c r="M24" i="4" s="1"/>
  <c r="M24" i="43" s="1"/>
  <c r="M21" i="37"/>
  <c r="M21" i="4" s="1"/>
  <c r="M21" i="43" s="1"/>
  <c r="M26" i="37"/>
  <c r="M26" i="4" s="1"/>
  <c r="M26" i="43" s="1"/>
  <c r="M29" i="37"/>
  <c r="M29" i="4" s="1"/>
  <c r="M29" i="43" s="1"/>
  <c r="M28" i="37"/>
  <c r="M28" i="4" s="1"/>
  <c r="M28" i="43" s="1"/>
  <c r="M25" i="37"/>
  <c r="M25" i="4" s="1"/>
  <c r="M25" i="43" s="1"/>
  <c r="I45" i="9"/>
  <c r="R33" i="39"/>
  <c r="BJ33" i="39" s="1"/>
  <c r="L45" i="9"/>
  <c r="M18" i="37"/>
  <c r="M18" i="4" s="1"/>
  <c r="M18" i="43" s="1"/>
  <c r="I17" i="39"/>
  <c r="BD17" i="39"/>
  <c r="AU9" i="39"/>
  <c r="AU10" i="39" s="1"/>
  <c r="AU11" i="39" s="1"/>
  <c r="AU12" i="39" s="1"/>
  <c r="AU13" i="39" s="1"/>
  <c r="AU14" i="39" s="1"/>
  <c r="AU15" i="39" s="1"/>
  <c r="AU16" i="39" s="1"/>
  <c r="AV9" i="39"/>
  <c r="I40" i="6"/>
  <c r="J32" i="8"/>
  <c r="J32" i="7" s="1"/>
  <c r="J32" i="6" s="1"/>
  <c r="J32" i="4" s="1"/>
  <c r="J32" i="43" s="1"/>
  <c r="GN39" i="1"/>
  <c r="GK39" i="1"/>
  <c r="GQ39" i="1"/>
  <c r="GW39" i="1"/>
  <c r="GT39" i="1"/>
  <c r="E40" i="2"/>
  <c r="GQ38" i="1"/>
  <c r="GT38" i="1"/>
  <c r="GK38" i="1"/>
  <c r="GW38" i="1"/>
  <c r="GN38" i="1"/>
  <c r="M23" i="11"/>
  <c r="M23" i="10" s="1"/>
  <c r="M23" i="9" s="1"/>
  <c r="M23" i="8" s="1"/>
  <c r="M23" i="7" s="1"/>
  <c r="M23" i="6" s="1"/>
  <c r="D35" i="17"/>
  <c r="R29" i="39"/>
  <c r="AR29" i="39" s="1"/>
  <c r="I45" i="13"/>
  <c r="L45" i="13"/>
  <c r="R15" i="39"/>
  <c r="T37" i="39"/>
  <c r="I48" i="13"/>
  <c r="I48" i="28"/>
  <c r="E35" i="11"/>
  <c r="C35" i="12"/>
  <c r="D35" i="14"/>
  <c r="I48" i="30"/>
  <c r="R12" i="39"/>
  <c r="BJ12" i="39" s="1"/>
  <c r="I45" i="30"/>
  <c r="L45" i="30"/>
  <c r="J44" i="33"/>
  <c r="C35" i="17"/>
  <c r="E35" i="17"/>
  <c r="E35" i="13"/>
  <c r="L45" i="28"/>
  <c r="C35" i="14"/>
  <c r="BN17" i="39"/>
  <c r="J17" i="39"/>
  <c r="I48" i="25"/>
  <c r="C35" i="16"/>
  <c r="C35" i="24"/>
  <c r="AR17" i="39"/>
  <c r="T17" i="39"/>
  <c r="D35" i="25"/>
  <c r="E35" i="14"/>
  <c r="E35" i="12"/>
  <c r="C35" i="9"/>
  <c r="L45" i="25"/>
  <c r="I45" i="25"/>
  <c r="C35" i="8"/>
  <c r="Q10" i="39"/>
  <c r="AQ10" i="39" s="1"/>
  <c r="D35" i="9"/>
  <c r="C35" i="43"/>
  <c r="I40" i="27"/>
  <c r="I45" i="27" s="1"/>
  <c r="D35" i="12"/>
  <c r="E35" i="37"/>
  <c r="J9" i="25"/>
  <c r="V37" i="39"/>
  <c r="C35" i="15"/>
  <c r="D35" i="26"/>
  <c r="C35" i="26"/>
  <c r="C35" i="7"/>
  <c r="I45" i="10"/>
  <c r="D35" i="13"/>
  <c r="R32" i="39"/>
  <c r="E35" i="26"/>
  <c r="E35" i="10"/>
  <c r="D35" i="43"/>
  <c r="I48" i="10"/>
  <c r="M12" i="27"/>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E35" i="25"/>
  <c r="E35" i="9"/>
  <c r="C35" i="30"/>
  <c r="I40" i="29"/>
  <c r="I48" i="29" s="1"/>
  <c r="E35" i="27"/>
  <c r="D35" i="37"/>
  <c r="D35" i="27"/>
  <c r="I45" i="19"/>
  <c r="E35" i="30"/>
  <c r="I45" i="17"/>
  <c r="M30" i="7"/>
  <c r="M30" i="6" s="1"/>
  <c r="M30" i="37" s="1"/>
  <c r="M30" i="4" s="1"/>
  <c r="M30" i="43" s="1"/>
  <c r="D35" i="29"/>
  <c r="R25" i="39"/>
  <c r="M43" i="32"/>
  <c r="M44" i="32" s="1"/>
  <c r="JE38" i="1"/>
  <c r="IS38" i="1"/>
  <c r="IG38" i="1"/>
  <c r="HU38" i="1"/>
  <c r="HI38" i="1"/>
  <c r="FY38" i="1"/>
  <c r="FM38" i="1"/>
  <c r="FA38" i="1"/>
  <c r="EO38" i="1"/>
  <c r="EC38" i="1"/>
  <c r="DQ38" i="1"/>
  <c r="DE38" i="1"/>
  <c r="CS38" i="1"/>
  <c r="CG38" i="1"/>
  <c r="BU38" i="1"/>
  <c r="BI38" i="1"/>
  <c r="AW38" i="1"/>
  <c r="AK38" i="1"/>
  <c r="Y38" i="1"/>
  <c r="M38" i="1"/>
  <c r="JB38" i="1"/>
  <c r="IP38" i="1"/>
  <c r="ID38" i="1"/>
  <c r="HR38" i="1"/>
  <c r="HF38" i="1"/>
  <c r="GH38" i="1"/>
  <c r="FV38" i="1"/>
  <c r="FJ38" i="1"/>
  <c r="EX38" i="1"/>
  <c r="EL38" i="1"/>
  <c r="DZ38" i="1"/>
  <c r="DN38" i="1"/>
  <c r="DB38" i="1"/>
  <c r="CP38" i="1"/>
  <c r="CD38" i="1"/>
  <c r="BR38" i="1"/>
  <c r="BF38" i="1"/>
  <c r="AT38" i="1"/>
  <c r="AH38" i="1"/>
  <c r="V38" i="1"/>
  <c r="J38" i="1"/>
  <c r="JH38" i="1"/>
  <c r="IV38" i="1"/>
  <c r="IJ38" i="1"/>
  <c r="HX38" i="1"/>
  <c r="HL38" i="1"/>
  <c r="GZ38" i="1"/>
  <c r="GB38" i="1"/>
  <c r="FP38" i="1"/>
  <c r="FD38" i="1"/>
  <c r="ER38" i="1"/>
  <c r="EF38" i="1"/>
  <c r="DT38" i="1"/>
  <c r="DH38" i="1"/>
  <c r="CV38" i="1"/>
  <c r="CJ38" i="1"/>
  <c r="BX38" i="1"/>
  <c r="BL38" i="1"/>
  <c r="AZ38" i="1"/>
  <c r="AN38" i="1"/>
  <c r="AB38" i="1"/>
  <c r="P38" i="1"/>
  <c r="CY38" i="1"/>
  <c r="G38" i="1"/>
  <c r="IA38" i="1"/>
  <c r="EI38" i="1"/>
  <c r="AQ38" i="1"/>
  <c r="FS38" i="1"/>
  <c r="CA38" i="1"/>
  <c r="HC38" i="1"/>
  <c r="DK38" i="1"/>
  <c r="S38" i="1"/>
  <c r="IM38" i="1"/>
  <c r="EU38" i="1"/>
  <c r="BC38" i="1"/>
  <c r="HO38" i="1"/>
  <c r="DW38" i="1"/>
  <c r="AE38" i="1"/>
  <c r="IY38" i="1"/>
  <c r="GE38" i="1"/>
  <c r="BO38" i="1"/>
  <c r="CM38" i="1"/>
  <c r="FG38" i="1"/>
  <c r="C35" i="37"/>
  <c r="IY39" i="1"/>
  <c r="IM39" i="1"/>
  <c r="IA39" i="1"/>
  <c r="HO39" i="1"/>
  <c r="HC39" i="1"/>
  <c r="GE39" i="1"/>
  <c r="FS39" i="1"/>
  <c r="FG39" i="1"/>
  <c r="EU39" i="1"/>
  <c r="EI39" i="1"/>
  <c r="DW39" i="1"/>
  <c r="DK39" i="1"/>
  <c r="CY39" i="1"/>
  <c r="CM39" i="1"/>
  <c r="CA39" i="1"/>
  <c r="BO39" i="1"/>
  <c r="BC39" i="1"/>
  <c r="AQ39" i="1"/>
  <c r="AE39" i="1"/>
  <c r="S39" i="1"/>
  <c r="G39" i="1"/>
  <c r="JH39" i="1"/>
  <c r="IV39" i="1"/>
  <c r="IJ39" i="1"/>
  <c r="HX39" i="1"/>
  <c r="HL39" i="1"/>
  <c r="GZ39" i="1"/>
  <c r="GB39" i="1"/>
  <c r="FP39" i="1"/>
  <c r="FD39" i="1"/>
  <c r="ER39" i="1"/>
  <c r="EF39" i="1"/>
  <c r="DT39" i="1"/>
  <c r="DH39" i="1"/>
  <c r="CV39" i="1"/>
  <c r="CJ39" i="1"/>
  <c r="BX39" i="1"/>
  <c r="BL39" i="1"/>
  <c r="AZ39" i="1"/>
  <c r="AN39" i="1"/>
  <c r="AB39" i="1"/>
  <c r="P39" i="1"/>
  <c r="JB39" i="1"/>
  <c r="IP39" i="1"/>
  <c r="ID39" i="1"/>
  <c r="HR39" i="1"/>
  <c r="HF39" i="1"/>
  <c r="GH39" i="1"/>
  <c r="FV39" i="1"/>
  <c r="FJ39" i="1"/>
  <c r="EX39" i="1"/>
  <c r="EL39" i="1"/>
  <c r="DZ39" i="1"/>
  <c r="DN39" i="1"/>
  <c r="DB39" i="1"/>
  <c r="CP39" i="1"/>
  <c r="CD39" i="1"/>
  <c r="BR39" i="1"/>
  <c r="BF39" i="1"/>
  <c r="AT39" i="1"/>
  <c r="AH39" i="1"/>
  <c r="V39" i="1"/>
  <c r="J39" i="1"/>
  <c r="CS39" i="1"/>
  <c r="HU39" i="1"/>
  <c r="EC39" i="1"/>
  <c r="AK39" i="1"/>
  <c r="JE39" i="1"/>
  <c r="FM39" i="1"/>
  <c r="BU39" i="1"/>
  <c r="DE39" i="1"/>
  <c r="M39" i="1"/>
  <c r="IG39" i="1"/>
  <c r="EO39" i="1"/>
  <c r="AW39" i="1"/>
  <c r="HI39" i="1"/>
  <c r="DQ39" i="1"/>
  <c r="Y39" i="1"/>
  <c r="IS39" i="1"/>
  <c r="FY39" i="1"/>
  <c r="BI39" i="1"/>
  <c r="FA39" i="1"/>
  <c r="CG39" i="1"/>
  <c r="E35" i="43"/>
  <c r="E35" i="28"/>
  <c r="E35" i="8"/>
  <c r="D35" i="10"/>
  <c r="D35" i="8"/>
  <c r="D35" i="28"/>
  <c r="L45" i="14"/>
  <c r="R28" i="39"/>
  <c r="I45" i="14"/>
  <c r="C35" i="10"/>
  <c r="D35" i="15"/>
  <c r="M10" i="29"/>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C35" i="13"/>
  <c r="E35" i="32"/>
  <c r="E35" i="15"/>
  <c r="M46" i="31"/>
  <c r="M46" i="30" s="1"/>
  <c r="M46" i="29" s="1"/>
  <c r="M46" i="27" s="1"/>
  <c r="M46" i="28" s="1"/>
  <c r="M46" i="26" s="1"/>
  <c r="M46" i="25" s="1"/>
  <c r="M46" i="24" s="1"/>
  <c r="M46" i="23" s="1"/>
  <c r="M46" i="21" s="1"/>
  <c r="M46" i="22" s="1"/>
  <c r="M46" i="20" s="1"/>
  <c r="M46" i="19" s="1"/>
  <c r="M46" i="18" s="1"/>
  <c r="M46" i="17" s="1"/>
  <c r="M46" i="16" s="1"/>
  <c r="M46" i="15" s="1"/>
  <c r="M46" i="14" s="1"/>
  <c r="M46" i="13" s="1"/>
  <c r="M46" i="12" s="1"/>
  <c r="M46" i="11" s="1"/>
  <c r="M46" i="10" s="1"/>
  <c r="M46" i="9" s="1"/>
  <c r="M46" i="8" s="1"/>
  <c r="M46" i="7" s="1"/>
  <c r="M46" i="6" s="1"/>
  <c r="M46" i="37" s="1"/>
  <c r="M46" i="4" s="1"/>
  <c r="M46" i="43" s="1"/>
  <c r="C35" i="28"/>
  <c r="D35" i="24"/>
  <c r="E35" i="24"/>
  <c r="I45" i="12"/>
  <c r="L45" i="12"/>
  <c r="R30" i="39"/>
  <c r="I48" i="12"/>
  <c r="D35" i="16"/>
  <c r="E35" i="7"/>
  <c r="D35" i="7"/>
  <c r="D35" i="20"/>
  <c r="D35" i="32"/>
  <c r="K34" i="33"/>
  <c r="M7" i="33"/>
  <c r="I48" i="19"/>
  <c r="J57" i="32"/>
  <c r="J57" i="31" s="1"/>
  <c r="J57" i="30" s="1"/>
  <c r="J57" i="29" s="1"/>
  <c r="J57" i="27" s="1"/>
  <c r="J57" i="28" s="1"/>
  <c r="J57" i="26" s="1"/>
  <c r="J57" i="25" s="1"/>
  <c r="J44" i="31"/>
  <c r="E52" i="33"/>
  <c r="E53" i="33" s="1"/>
  <c r="D42" i="2"/>
  <c r="J56" i="33"/>
  <c r="J56" i="32" s="1"/>
  <c r="J56" i="31" s="1"/>
  <c r="J56" i="30" s="1"/>
  <c r="J56" i="29" s="1"/>
  <c r="J56" i="27" s="1"/>
  <c r="J56" i="28" s="1"/>
  <c r="J56" i="26" s="1"/>
  <c r="J56" i="25" s="1"/>
  <c r="J58" i="25" s="1"/>
  <c r="D35" i="4"/>
  <c r="E35" i="4"/>
  <c r="E39" i="2"/>
  <c r="D35" i="30"/>
  <c r="E35" i="20"/>
  <c r="C35" i="27"/>
  <c r="J38" i="30"/>
  <c r="J44" i="30" s="1"/>
  <c r="C35" i="23"/>
  <c r="C35" i="20"/>
  <c r="E35" i="16"/>
  <c r="C35" i="4"/>
  <c r="D40" i="31"/>
  <c r="D40" i="30" s="1"/>
  <c r="E40" i="30" s="1"/>
  <c r="C35" i="29"/>
  <c r="E35" i="29"/>
  <c r="C35" i="25"/>
  <c r="C35" i="18"/>
  <c r="E35" i="18"/>
  <c r="I45" i="18"/>
  <c r="L45" i="17"/>
  <c r="I48" i="17"/>
  <c r="J44" i="32"/>
  <c r="L45" i="7"/>
  <c r="I45" i="7"/>
  <c r="R35" i="39"/>
  <c r="I48" i="7"/>
  <c r="R34" i="39"/>
  <c r="I45" i="8"/>
  <c r="I48" i="8"/>
  <c r="L45" i="8"/>
  <c r="M47" i="33"/>
  <c r="F33" i="39"/>
  <c r="D35" i="11"/>
  <c r="C35" i="11"/>
  <c r="F31" i="39"/>
  <c r="AV28" i="39"/>
  <c r="R27" i="39"/>
  <c r="I45" i="15"/>
  <c r="I48" i="15"/>
  <c r="L45" i="16"/>
  <c r="I48" i="16"/>
  <c r="R26" i="39"/>
  <c r="D35" i="18"/>
  <c r="M17" i="18"/>
  <c r="M17" i="17" s="1"/>
  <c r="M17" i="16" s="1"/>
  <c r="M17" i="15" s="1"/>
  <c r="M17" i="14" s="1"/>
  <c r="M17" i="13" s="1"/>
  <c r="M17" i="12" s="1"/>
  <c r="M17" i="11" s="1"/>
  <c r="M17" i="10" s="1"/>
  <c r="M17" i="9" s="1"/>
  <c r="M17" i="8" s="1"/>
  <c r="M17" i="7" s="1"/>
  <c r="M17" i="6" s="1"/>
  <c r="R24" i="39"/>
  <c r="I48" i="18"/>
  <c r="R23" i="39"/>
  <c r="I45" i="20"/>
  <c r="R22" i="39"/>
  <c r="I48" i="20"/>
  <c r="AT41" i="39"/>
  <c r="C35" i="22"/>
  <c r="E35" i="22"/>
  <c r="D35" i="22"/>
  <c r="R21" i="39"/>
  <c r="I45" i="22"/>
  <c r="I48" i="22"/>
  <c r="L45" i="21"/>
  <c r="I48" i="21"/>
  <c r="I45" i="21"/>
  <c r="R20" i="39"/>
  <c r="C35" i="21"/>
  <c r="E35" i="21"/>
  <c r="D35" i="21"/>
  <c r="J46" i="32"/>
  <c r="J47" i="32" s="1"/>
  <c r="I45" i="23"/>
  <c r="R19" i="39"/>
  <c r="I48" i="23"/>
  <c r="D35" i="23"/>
  <c r="E35" i="23"/>
  <c r="L45" i="24"/>
  <c r="I45" i="24"/>
  <c r="I48" i="24"/>
  <c r="R18" i="39"/>
  <c r="R16" i="39"/>
  <c r="I48" i="26"/>
  <c r="I45" i="26"/>
  <c r="L45" i="26"/>
  <c r="E35" i="31"/>
  <c r="E35" i="33"/>
  <c r="C35" i="33"/>
  <c r="D35" i="33"/>
  <c r="D47" i="31"/>
  <c r="C35" i="31"/>
  <c r="D35" i="31"/>
  <c r="AP41" i="39"/>
  <c r="BH41" i="39" s="1"/>
  <c r="D46" i="31"/>
  <c r="E46" i="31" s="1"/>
  <c r="D48" i="31"/>
  <c r="D48" i="30" s="1"/>
  <c r="D45" i="31"/>
  <c r="D45" i="30" s="1"/>
  <c r="D39" i="31"/>
  <c r="D39" i="30" s="1"/>
  <c r="D42" i="31"/>
  <c r="D42" i="30" s="1"/>
  <c r="D42" i="29" s="1"/>
  <c r="E42" i="29" s="1"/>
  <c r="D43" i="31"/>
  <c r="D43" i="30" s="1"/>
  <c r="D44" i="31"/>
  <c r="E44" i="31" s="1"/>
  <c r="E38" i="32"/>
  <c r="D38" i="30"/>
  <c r="E38" i="31"/>
  <c r="D51" i="31"/>
  <c r="D41" i="31"/>
  <c r="E41" i="32"/>
  <c r="D52" i="32"/>
  <c r="E50" i="32"/>
  <c r="D50" i="31"/>
  <c r="J39" i="32"/>
  <c r="J37" i="31"/>
  <c r="E35" i="19"/>
  <c r="C35" i="19"/>
  <c r="D35" i="19"/>
  <c r="E49" i="32"/>
  <c r="D49" i="31"/>
  <c r="AI39" i="39"/>
  <c r="M8" i="31"/>
  <c r="GB17" i="1" l="1"/>
  <c r="CY17" i="1"/>
  <c r="AA12" i="54"/>
  <c r="AB12" i="54" s="1"/>
  <c r="X12" i="54"/>
  <c r="J37" i="39"/>
  <c r="AX37" i="39"/>
  <c r="I37" i="39"/>
  <c r="BD37" i="39"/>
  <c r="AR37" i="39"/>
  <c r="AL37" i="39"/>
  <c r="BN37" i="39"/>
  <c r="C36" i="45"/>
  <c r="G36" i="45" s="1"/>
  <c r="E37" i="1"/>
  <c r="HR37" i="1" s="1"/>
  <c r="AH17" i="1"/>
  <c r="HR17" i="1"/>
  <c r="M43" i="31"/>
  <c r="M43" i="30" s="1"/>
  <c r="M43" i="29" s="1"/>
  <c r="M43" i="27" s="1"/>
  <c r="M43" i="28" s="1"/>
  <c r="M43" i="26" s="1"/>
  <c r="M43" i="25" s="1"/>
  <c r="M43" i="24" s="1"/>
  <c r="M43" i="23" s="1"/>
  <c r="M43" i="21" s="1"/>
  <c r="M43" i="22" s="1"/>
  <c r="M43" i="20" s="1"/>
  <c r="M43" i="19" s="1"/>
  <c r="M43" i="18" s="1"/>
  <c r="M43" i="17" s="1"/>
  <c r="M43" i="16" s="1"/>
  <c r="M43" i="15" s="1"/>
  <c r="M43" i="14" s="1"/>
  <c r="M43" i="13" s="1"/>
  <c r="M43" i="12" s="1"/>
  <c r="M43" i="11" s="1"/>
  <c r="M43" i="10" s="1"/>
  <c r="M43" i="9" s="1"/>
  <c r="M43" i="8" s="1"/>
  <c r="M43" i="7" s="1"/>
  <c r="M43" i="6" s="1"/>
  <c r="BI17" i="1"/>
  <c r="IS17" i="1"/>
  <c r="I33" i="39"/>
  <c r="AX33" i="39"/>
  <c r="T33" i="39"/>
  <c r="BD33" i="39"/>
  <c r="BN33" i="39"/>
  <c r="E33" i="1"/>
  <c r="BC33" i="1" s="1"/>
  <c r="CS17" i="1"/>
  <c r="AB17" i="1"/>
  <c r="HL17" i="1"/>
  <c r="EI17" i="1"/>
  <c r="BR17" i="1"/>
  <c r="JB17" i="1"/>
  <c r="DE17" i="1"/>
  <c r="AN17" i="1"/>
  <c r="HX17" i="1"/>
  <c r="EU17" i="1"/>
  <c r="CD17" i="1"/>
  <c r="E18" i="2"/>
  <c r="EW18" i="2" s="1"/>
  <c r="EO17" i="1"/>
  <c r="BX17" i="1"/>
  <c r="JH17" i="1"/>
  <c r="GE17" i="1"/>
  <c r="DN17" i="1"/>
  <c r="FA17" i="1"/>
  <c r="CJ17" i="1"/>
  <c r="G17" i="1"/>
  <c r="GQ17" i="1"/>
  <c r="DZ17" i="1"/>
  <c r="GK17" i="1"/>
  <c r="DT17" i="1"/>
  <c r="AQ17" i="1"/>
  <c r="IA17" i="1"/>
  <c r="FJ17" i="1"/>
  <c r="M17" i="1"/>
  <c r="GW17" i="1"/>
  <c r="EF17" i="1"/>
  <c r="BC17" i="1"/>
  <c r="IM17" i="1"/>
  <c r="FV17" i="1"/>
  <c r="AW17" i="1"/>
  <c r="IG17" i="1"/>
  <c r="FP17" i="1"/>
  <c r="CM17" i="1"/>
  <c r="V17" i="1"/>
  <c r="HF17" i="1"/>
  <c r="J9" i="24"/>
  <c r="J9" i="23" s="1"/>
  <c r="J9" i="21" s="1"/>
  <c r="J8" i="24"/>
  <c r="J8" i="23" s="1"/>
  <c r="J8" i="21" s="1"/>
  <c r="J8" i="22" s="1"/>
  <c r="J8" i="20" s="1"/>
  <c r="J8" i="19" s="1"/>
  <c r="J8" i="18" s="1"/>
  <c r="J8" i="17" s="1"/>
  <c r="J8" i="16" s="1"/>
  <c r="J8" i="15" s="1"/>
  <c r="J8" i="14" s="1"/>
  <c r="J8" i="13" s="1"/>
  <c r="J8" i="12" s="1"/>
  <c r="J8" i="11" s="1"/>
  <c r="J8" i="10" s="1"/>
  <c r="J8" i="9" s="1"/>
  <c r="J8" i="8" s="1"/>
  <c r="J8" i="7" s="1"/>
  <c r="J8" i="6" s="1"/>
  <c r="J8" i="37" s="1"/>
  <c r="J8" i="4" s="1"/>
  <c r="J8" i="43" s="1"/>
  <c r="J28" i="24"/>
  <c r="J28" i="23" s="1"/>
  <c r="J28" i="21" s="1"/>
  <c r="J28" i="22" s="1"/>
  <c r="J28" i="20" s="1"/>
  <c r="J28" i="19" s="1"/>
  <c r="J28" i="18" s="1"/>
  <c r="J28" i="17" s="1"/>
  <c r="J28" i="16" s="1"/>
  <c r="J28" i="15" s="1"/>
  <c r="J28" i="14" s="1"/>
  <c r="J28" i="13" s="1"/>
  <c r="J28" i="12" s="1"/>
  <c r="J28" i="11" s="1"/>
  <c r="J28" i="10" s="1"/>
  <c r="J28" i="9" s="1"/>
  <c r="J28" i="8" s="1"/>
  <c r="J28" i="7" s="1"/>
  <c r="J28" i="6" s="1"/>
  <c r="J28" i="37" s="1"/>
  <c r="J28" i="4" s="1"/>
  <c r="J28" i="43" s="1"/>
  <c r="J11" i="24"/>
  <c r="J11" i="23" s="1"/>
  <c r="J11" i="21" s="1"/>
  <c r="J11" i="22" s="1"/>
  <c r="J29" i="24"/>
  <c r="J29" i="23" s="1"/>
  <c r="J29" i="21" s="1"/>
  <c r="J29" i="22" s="1"/>
  <c r="J29" i="20" s="1"/>
  <c r="J29" i="19" s="1"/>
  <c r="J29" i="18" s="1"/>
  <c r="J29" i="17" s="1"/>
  <c r="J29" i="16" s="1"/>
  <c r="J29" i="15" s="1"/>
  <c r="J29" i="14" s="1"/>
  <c r="J29" i="13" s="1"/>
  <c r="J29" i="12" s="1"/>
  <c r="J29" i="11" s="1"/>
  <c r="J29" i="10" s="1"/>
  <c r="J29" i="9" s="1"/>
  <c r="J29" i="8" s="1"/>
  <c r="J29" i="7" s="1"/>
  <c r="J29" i="6" s="1"/>
  <c r="J29" i="37" s="1"/>
  <c r="J29" i="4" s="1"/>
  <c r="J29" i="43" s="1"/>
  <c r="J26" i="24"/>
  <c r="J26" i="23" s="1"/>
  <c r="J26" i="21" s="1"/>
  <c r="J26" i="22" s="1"/>
  <c r="J26" i="20" s="1"/>
  <c r="J26" i="19" s="1"/>
  <c r="J26" i="18" s="1"/>
  <c r="J26" i="17" s="1"/>
  <c r="J26" i="16" s="1"/>
  <c r="J26" i="15" s="1"/>
  <c r="J26" i="14" s="1"/>
  <c r="J26" i="13" s="1"/>
  <c r="J26" i="12" s="1"/>
  <c r="J26" i="11" s="1"/>
  <c r="J26" i="10" s="1"/>
  <c r="J26" i="9" s="1"/>
  <c r="J26" i="8" s="1"/>
  <c r="J26" i="7" s="1"/>
  <c r="J26" i="6" s="1"/>
  <c r="J26" i="37" s="1"/>
  <c r="J23" i="24"/>
  <c r="J23" i="23" s="1"/>
  <c r="J23" i="21" s="1"/>
  <c r="J23" i="22" s="1"/>
  <c r="J23" i="20" s="1"/>
  <c r="J23" i="19" s="1"/>
  <c r="J23" i="18" s="1"/>
  <c r="J23" i="17" s="1"/>
  <c r="J27" i="24"/>
  <c r="J27" i="23" s="1"/>
  <c r="J27" i="21" s="1"/>
  <c r="J27" i="22" s="1"/>
  <c r="J27" i="20" s="1"/>
  <c r="J27" i="19" s="1"/>
  <c r="J27" i="18" s="1"/>
  <c r="J27" i="17" s="1"/>
  <c r="J27" i="16" s="1"/>
  <c r="J27" i="15" s="1"/>
  <c r="J27" i="14" s="1"/>
  <c r="J27" i="13" s="1"/>
  <c r="J27" i="12" s="1"/>
  <c r="J27" i="11" s="1"/>
  <c r="J27" i="10" s="1"/>
  <c r="J27" i="9" s="1"/>
  <c r="J27" i="8" s="1"/>
  <c r="J27" i="7" s="1"/>
  <c r="J27" i="6" s="1"/>
  <c r="J27" i="37" s="1"/>
  <c r="J18" i="24"/>
  <c r="J18" i="23" s="1"/>
  <c r="J18" i="21" s="1"/>
  <c r="J18" i="22" s="1"/>
  <c r="J18" i="20" s="1"/>
  <c r="J18" i="19" s="1"/>
  <c r="J18" i="18" s="1"/>
  <c r="J18" i="16" s="1"/>
  <c r="J20" i="24"/>
  <c r="J20" i="23" s="1"/>
  <c r="J20" i="21" s="1"/>
  <c r="J20" i="22" s="1"/>
  <c r="J20" i="20" s="1"/>
  <c r="J20" i="19" s="1"/>
  <c r="J20" i="18" s="1"/>
  <c r="J20" i="17" s="1"/>
  <c r="J25" i="24"/>
  <c r="J25" i="23" s="1"/>
  <c r="J25" i="21" s="1"/>
  <c r="J25" i="22" s="1"/>
  <c r="J25" i="20" s="1"/>
  <c r="J25" i="19" s="1"/>
  <c r="J25" i="18" s="1"/>
  <c r="J25" i="17" s="1"/>
  <c r="J25" i="16" s="1"/>
  <c r="J25" i="15" s="1"/>
  <c r="J25" i="14" s="1"/>
  <c r="J25" i="13" s="1"/>
  <c r="J25" i="12" s="1"/>
  <c r="J25" i="11" s="1"/>
  <c r="J25" i="10" s="1"/>
  <c r="J25" i="9" s="1"/>
  <c r="J25" i="8" s="1"/>
  <c r="J25" i="7" s="1"/>
  <c r="J25" i="6" s="1"/>
  <c r="J25" i="37" s="1"/>
  <c r="J31" i="24"/>
  <c r="J31" i="23" s="1"/>
  <c r="J31" i="21" s="1"/>
  <c r="J31" i="22" s="1"/>
  <c r="J31" i="20" s="1"/>
  <c r="J31" i="19" s="1"/>
  <c r="J31" i="18" s="1"/>
  <c r="J31" i="17" s="1"/>
  <c r="J31" i="16" s="1"/>
  <c r="J31" i="15" s="1"/>
  <c r="J31" i="14" s="1"/>
  <c r="J31" i="13" s="1"/>
  <c r="J31" i="12" s="1"/>
  <c r="J31" i="11" s="1"/>
  <c r="J31" i="10" s="1"/>
  <c r="J31" i="9" s="1"/>
  <c r="J31" i="8" s="1"/>
  <c r="J31" i="7" s="1"/>
  <c r="J31" i="6" s="1"/>
  <c r="J31" i="37" s="1"/>
  <c r="J31" i="4" s="1"/>
  <c r="J31" i="43" s="1"/>
  <c r="E47" i="31"/>
  <c r="AA58" i="46"/>
  <c r="AB58" i="46" s="1"/>
  <c r="J30" i="24"/>
  <c r="J30" i="23" s="1"/>
  <c r="J30" i="21" s="1"/>
  <c r="J30" i="22" s="1"/>
  <c r="J30" i="20" s="1"/>
  <c r="J30" i="19" s="1"/>
  <c r="J30" i="18" s="1"/>
  <c r="J30" i="17" s="1"/>
  <c r="J30" i="16" s="1"/>
  <c r="J30" i="15" s="1"/>
  <c r="J30" i="14" s="1"/>
  <c r="J30" i="13" s="1"/>
  <c r="J30" i="12" s="1"/>
  <c r="J30" i="11" s="1"/>
  <c r="J30" i="10" s="1"/>
  <c r="J30" i="9" s="1"/>
  <c r="J30" i="8" s="1"/>
  <c r="J30" i="7" s="1"/>
  <c r="J30" i="6" s="1"/>
  <c r="J30" i="37" s="1"/>
  <c r="J30" i="4" s="1"/>
  <c r="J30" i="43" s="1"/>
  <c r="J21" i="24"/>
  <c r="J21" i="23" s="1"/>
  <c r="J21" i="21" s="1"/>
  <c r="J21" i="22" s="1"/>
  <c r="J21" i="20" s="1"/>
  <c r="J21" i="19" s="1"/>
  <c r="J21" i="18" s="1"/>
  <c r="J21" i="17" s="1"/>
  <c r="J10" i="24"/>
  <c r="J10" i="23" s="1"/>
  <c r="J10" i="21" s="1"/>
  <c r="J10" i="22" s="1"/>
  <c r="J10" i="20" s="1"/>
  <c r="J10" i="19" s="1"/>
  <c r="J10" i="18" s="1"/>
  <c r="J10" i="17" s="1"/>
  <c r="J10" i="16" s="1"/>
  <c r="J10" i="15" s="1"/>
  <c r="J10" i="14" s="1"/>
  <c r="J10" i="13" s="1"/>
  <c r="J10" i="12" s="1"/>
  <c r="J10" i="11" s="1"/>
  <c r="J10" i="10" s="1"/>
  <c r="J24" i="24"/>
  <c r="J24" i="23" s="1"/>
  <c r="J24" i="21" s="1"/>
  <c r="J24" i="22" s="1"/>
  <c r="J24" i="20" s="1"/>
  <c r="J24" i="19" s="1"/>
  <c r="J24" i="18" s="1"/>
  <c r="J24" i="17" s="1"/>
  <c r="J24" i="16" s="1"/>
  <c r="J24" i="15" s="1"/>
  <c r="J24" i="14" s="1"/>
  <c r="J24" i="13" s="1"/>
  <c r="J24" i="12" s="1"/>
  <c r="J24" i="11" s="1"/>
  <c r="J24" i="10" s="1"/>
  <c r="J24" i="9" s="1"/>
  <c r="J24" i="8" s="1"/>
  <c r="J24" i="7" s="1"/>
  <c r="J24" i="6" s="1"/>
  <c r="J24" i="37" s="1"/>
  <c r="J19" i="24"/>
  <c r="J19" i="23" s="1"/>
  <c r="J19" i="21" s="1"/>
  <c r="J19" i="22" s="1"/>
  <c r="J19" i="20" s="1"/>
  <c r="J19" i="19" s="1"/>
  <c r="J19" i="18" s="1"/>
  <c r="J19" i="16" s="1"/>
  <c r="J19" i="15" s="1"/>
  <c r="J22" i="24"/>
  <c r="J22" i="23" s="1"/>
  <c r="J22" i="21" s="1"/>
  <c r="J22" i="22" s="1"/>
  <c r="J22" i="20" s="1"/>
  <c r="J22" i="19" s="1"/>
  <c r="J22" i="18" s="1"/>
  <c r="J22" i="17" s="1"/>
  <c r="AA52" i="46"/>
  <c r="AB52" i="46" s="1"/>
  <c r="BU17" i="1"/>
  <c r="FM17" i="1"/>
  <c r="JE17" i="1"/>
  <c r="CV17" i="1"/>
  <c r="GN17" i="1"/>
  <c r="S17" i="1"/>
  <c r="DK17" i="1"/>
  <c r="HC17" i="1"/>
  <c r="AT17" i="1"/>
  <c r="EL17" i="1"/>
  <c r="ID17" i="1"/>
  <c r="CG17" i="1"/>
  <c r="FY17" i="1"/>
  <c r="P17" i="1"/>
  <c r="DH17" i="1"/>
  <c r="GZ17" i="1"/>
  <c r="AE17" i="1"/>
  <c r="DW17" i="1"/>
  <c r="HO17" i="1"/>
  <c r="BF17" i="1"/>
  <c r="EX17" i="1"/>
  <c r="IP17" i="1"/>
  <c r="Y17" i="1"/>
  <c r="DQ17" i="1"/>
  <c r="HI17" i="1"/>
  <c r="AZ17" i="1"/>
  <c r="ER17" i="1"/>
  <c r="IJ17" i="1"/>
  <c r="BO17" i="1"/>
  <c r="FG17" i="1"/>
  <c r="IY17" i="1"/>
  <c r="CP17" i="1"/>
  <c r="GH17" i="1"/>
  <c r="AK17" i="1"/>
  <c r="EC17" i="1"/>
  <c r="HU17" i="1"/>
  <c r="BL17" i="1"/>
  <c r="FD17" i="1"/>
  <c r="IV17" i="1"/>
  <c r="CA17" i="1"/>
  <c r="FS17" i="1"/>
  <c r="J17" i="1"/>
  <c r="DB17" i="1"/>
  <c r="J15" i="26"/>
  <c r="J15" i="23" s="1"/>
  <c r="J15" i="21" s="1"/>
  <c r="J15" i="22" s="1"/>
  <c r="J15" i="20" s="1"/>
  <c r="J15" i="19" s="1"/>
  <c r="J15" i="18" s="1"/>
  <c r="J15" i="17" s="1"/>
  <c r="J15" i="16" s="1"/>
  <c r="J15" i="15" s="1"/>
  <c r="J15" i="14" s="1"/>
  <c r="J15" i="13" s="1"/>
  <c r="J15" i="12" s="1"/>
  <c r="J15" i="11" s="1"/>
  <c r="J15" i="10" s="1"/>
  <c r="J15" i="9" s="1"/>
  <c r="J15" i="8" s="1"/>
  <c r="J15" i="7" s="1"/>
  <c r="J15" i="6" s="1"/>
  <c r="J15" i="37" s="1"/>
  <c r="JH37" i="1"/>
  <c r="DN37" i="1"/>
  <c r="A12" i="1"/>
  <c r="A13" i="2" s="1"/>
  <c r="J16" i="26"/>
  <c r="J16" i="25" s="1"/>
  <c r="J16" i="23" s="1"/>
  <c r="J16" i="21" s="1"/>
  <c r="J16" i="22" s="1"/>
  <c r="J16" i="20" s="1"/>
  <c r="J16" i="19" s="1"/>
  <c r="J16" i="18" s="1"/>
  <c r="J16" i="17" s="1"/>
  <c r="J16" i="16" s="1"/>
  <c r="K16" i="45"/>
  <c r="U16" i="45"/>
  <c r="J17" i="26"/>
  <c r="J17" i="25" s="1"/>
  <c r="FM37" i="1"/>
  <c r="V33" i="39"/>
  <c r="W12" i="46"/>
  <c r="R16" i="45"/>
  <c r="O16" i="45"/>
  <c r="X17" i="46"/>
  <c r="AA17" i="46"/>
  <c r="AB17" i="46" s="1"/>
  <c r="C17" i="45"/>
  <c r="O17" i="45" s="1"/>
  <c r="BJ18" i="39"/>
  <c r="C18" i="45"/>
  <c r="O18" i="45" s="1"/>
  <c r="BJ19" i="39"/>
  <c r="C22" i="45"/>
  <c r="G22" i="45" s="1"/>
  <c r="BJ23" i="39"/>
  <c r="C33" i="45"/>
  <c r="G33" i="45" s="1"/>
  <c r="BJ34" i="39"/>
  <c r="C31" i="45"/>
  <c r="K31" i="45" s="1"/>
  <c r="BJ32" i="39"/>
  <c r="C14" i="45"/>
  <c r="G14" i="45" s="1"/>
  <c r="BJ15" i="39"/>
  <c r="C24" i="45"/>
  <c r="K24" i="45" s="1"/>
  <c r="BJ25" i="39"/>
  <c r="C23" i="45"/>
  <c r="U23" i="45" s="1"/>
  <c r="BJ24" i="39"/>
  <c r="C21" i="45"/>
  <c r="O21" i="45" s="1"/>
  <c r="BJ22" i="39"/>
  <c r="C26" i="45"/>
  <c r="U26" i="45" s="1"/>
  <c r="BJ27" i="39"/>
  <c r="C29" i="45"/>
  <c r="O29" i="45" s="1"/>
  <c r="BJ30" i="39"/>
  <c r="C27" i="45"/>
  <c r="U27" i="45" s="1"/>
  <c r="BJ28" i="39"/>
  <c r="C28" i="45"/>
  <c r="G28" i="45" s="1"/>
  <c r="BJ29" i="39"/>
  <c r="C34" i="45"/>
  <c r="U34" i="45" s="1"/>
  <c r="BJ35" i="39"/>
  <c r="C15" i="45"/>
  <c r="R15" i="45" s="1"/>
  <c r="BJ16" i="39"/>
  <c r="C19" i="45"/>
  <c r="G19" i="45" s="1"/>
  <c r="BJ20" i="39"/>
  <c r="C20" i="45"/>
  <c r="U20" i="45" s="1"/>
  <c r="BJ21" i="39"/>
  <c r="C25" i="45"/>
  <c r="K25" i="45" s="1"/>
  <c r="BJ26" i="39"/>
  <c r="AR33" i="39"/>
  <c r="C32" i="45"/>
  <c r="O23" i="45"/>
  <c r="R36" i="45"/>
  <c r="E12" i="1"/>
  <c r="FP12" i="1" s="1"/>
  <c r="C11" i="45"/>
  <c r="T40" i="45"/>
  <c r="F40" i="45"/>
  <c r="X40" i="45" s="1"/>
  <c r="N40" i="45"/>
  <c r="J40" i="45"/>
  <c r="Q40" i="45"/>
  <c r="FD37" i="1"/>
  <c r="JE37" i="1"/>
  <c r="DZ37" i="1"/>
  <c r="AB37" i="1"/>
  <c r="G37" i="1"/>
  <c r="GH37" i="1"/>
  <c r="DT37" i="1"/>
  <c r="BO37" i="1"/>
  <c r="DH37" i="1"/>
  <c r="CM37" i="1"/>
  <c r="AW37" i="1"/>
  <c r="CY37" i="1"/>
  <c r="BU37" i="1"/>
  <c r="V37" i="1"/>
  <c r="J33" i="39"/>
  <c r="E38" i="2"/>
  <c r="EY38" i="2" s="1"/>
  <c r="CV37" i="1"/>
  <c r="EO37" i="1"/>
  <c r="AH37" i="1"/>
  <c r="AL33" i="39"/>
  <c r="CP37" i="1"/>
  <c r="K34" i="32"/>
  <c r="I40" i="32" s="1"/>
  <c r="T29" i="39"/>
  <c r="V29" i="39"/>
  <c r="AL29" i="39"/>
  <c r="I29" i="39"/>
  <c r="AX29" i="39"/>
  <c r="BD29" i="39"/>
  <c r="J29" i="39"/>
  <c r="E29" i="1"/>
  <c r="HF29" i="1" s="1"/>
  <c r="HX33" i="1"/>
  <c r="AA6" i="46"/>
  <c r="AB6" i="46" s="1"/>
  <c r="X6" i="46"/>
  <c r="M23" i="37"/>
  <c r="M23" i="4" s="1"/>
  <c r="M23" i="43" s="1"/>
  <c r="CG37" i="1"/>
  <c r="FG37" i="1"/>
  <c r="M17" i="37"/>
  <c r="M17" i="4" s="1"/>
  <c r="M17" i="43" s="1"/>
  <c r="ER37" i="1"/>
  <c r="FY37" i="1"/>
  <c r="GE37" i="1"/>
  <c r="HF37" i="1"/>
  <c r="P37" i="1"/>
  <c r="IG37" i="1"/>
  <c r="IY37" i="1"/>
  <c r="AW33" i="1"/>
  <c r="JH33" i="1"/>
  <c r="CJ33" i="1"/>
  <c r="I32" i="39"/>
  <c r="V32" i="39"/>
  <c r="BN29" i="39"/>
  <c r="BN28" i="39"/>
  <c r="J25" i="39"/>
  <c r="E15" i="1"/>
  <c r="Y15" i="1" s="1"/>
  <c r="BN12" i="39"/>
  <c r="AW9" i="39"/>
  <c r="L45" i="6"/>
  <c r="R36" i="39"/>
  <c r="I48" i="6"/>
  <c r="I45" i="6"/>
  <c r="AX32" i="39"/>
  <c r="I15" i="39"/>
  <c r="EY40" i="2"/>
  <c r="EW40" i="2"/>
  <c r="J32" i="39"/>
  <c r="T15" i="39"/>
  <c r="J12" i="9"/>
  <c r="J12" i="8" s="1"/>
  <c r="J12" i="7" s="1"/>
  <c r="J12" i="6" s="1"/>
  <c r="AL32" i="39"/>
  <c r="BD15" i="39"/>
  <c r="AX15" i="39"/>
  <c r="BD32" i="39"/>
  <c r="BN15" i="39"/>
  <c r="AR15" i="39"/>
  <c r="T32" i="39"/>
  <c r="E32" i="1"/>
  <c r="GN32" i="1" s="1"/>
  <c r="V15" i="39"/>
  <c r="AL15" i="39"/>
  <c r="J13" i="9"/>
  <c r="J13" i="8" s="1"/>
  <c r="J13" i="7" s="1"/>
  <c r="J13" i="6" s="1"/>
  <c r="AR32" i="39"/>
  <c r="J15" i="39"/>
  <c r="GN33" i="1"/>
  <c r="FV37" i="1"/>
  <c r="GT37" i="1"/>
  <c r="GK37" i="1"/>
  <c r="GW37" i="1"/>
  <c r="GQ37" i="1"/>
  <c r="GN37" i="1"/>
  <c r="V12" i="39"/>
  <c r="BD12" i="39"/>
  <c r="AK10" i="39"/>
  <c r="AR12" i="39"/>
  <c r="AX12" i="39"/>
  <c r="T12" i="39"/>
  <c r="Q11" i="39"/>
  <c r="AQ11" i="39" s="1"/>
  <c r="J12" i="39"/>
  <c r="K34" i="11"/>
  <c r="I12" i="39"/>
  <c r="AL12" i="39"/>
  <c r="BN32" i="39"/>
  <c r="BN30" i="39"/>
  <c r="L45" i="29"/>
  <c r="J14" i="18"/>
  <c r="J56" i="24"/>
  <c r="J59" i="24" s="1"/>
  <c r="AL25" i="39"/>
  <c r="BD25" i="39"/>
  <c r="T25" i="39"/>
  <c r="BU33" i="1"/>
  <c r="DW33" i="1"/>
  <c r="IP33" i="1"/>
  <c r="FP37" i="1"/>
  <c r="IV37" i="1"/>
  <c r="IJ37" i="1"/>
  <c r="BI37" i="1"/>
  <c r="FA37" i="1"/>
  <c r="IS37" i="1"/>
  <c r="CA37" i="1"/>
  <c r="FS37" i="1"/>
  <c r="J37" i="1"/>
  <c r="DB37" i="1"/>
  <c r="AR25" i="39"/>
  <c r="E25" i="1"/>
  <c r="FS25" i="1" s="1"/>
  <c r="BL33" i="1"/>
  <c r="IY33" i="1"/>
  <c r="AN37" i="1"/>
  <c r="HL37" i="1"/>
  <c r="GZ37" i="1"/>
  <c r="CS37" i="1"/>
  <c r="S37" i="1"/>
  <c r="DK37" i="1"/>
  <c r="HC37" i="1"/>
  <c r="AT37" i="1"/>
  <c r="EL37" i="1"/>
  <c r="ID37" i="1"/>
  <c r="AX25" i="39"/>
  <c r="FM33" i="1"/>
  <c r="CA33" i="1"/>
  <c r="EF37" i="1"/>
  <c r="CJ37" i="1"/>
  <c r="M37" i="1"/>
  <c r="DE37" i="1"/>
  <c r="AE37" i="1"/>
  <c r="DW37" i="1"/>
  <c r="HO37" i="1"/>
  <c r="BF37" i="1"/>
  <c r="EX37" i="1"/>
  <c r="IP37" i="1"/>
  <c r="I25" i="39"/>
  <c r="IS33" i="1"/>
  <c r="IJ33" i="1"/>
  <c r="DN33" i="1"/>
  <c r="BN25" i="39"/>
  <c r="HX37" i="1"/>
  <c r="GB37" i="1"/>
  <c r="Y37" i="1"/>
  <c r="DQ37" i="1"/>
  <c r="HI37" i="1"/>
  <c r="AQ37" i="1"/>
  <c r="EI37" i="1"/>
  <c r="IA37" i="1"/>
  <c r="BR37" i="1"/>
  <c r="FJ37" i="1"/>
  <c r="JB37" i="1"/>
  <c r="V25" i="39"/>
  <c r="Y33" i="1"/>
  <c r="CY33" i="1"/>
  <c r="BX37" i="1"/>
  <c r="BL37" i="1"/>
  <c r="AZ37" i="1"/>
  <c r="AK37" i="1"/>
  <c r="EC37" i="1"/>
  <c r="HU37" i="1"/>
  <c r="BC37" i="1"/>
  <c r="EU37" i="1"/>
  <c r="IM37" i="1"/>
  <c r="CD37" i="1"/>
  <c r="I48" i="27"/>
  <c r="R14" i="39"/>
  <c r="L45" i="27"/>
  <c r="AX28" i="39"/>
  <c r="R13" i="39"/>
  <c r="I45" i="29"/>
  <c r="J38" i="29"/>
  <c r="J38" i="27" s="1"/>
  <c r="BN26" i="39"/>
  <c r="BN35" i="39"/>
  <c r="BN24" i="39"/>
  <c r="BN16" i="39"/>
  <c r="BN21" i="39"/>
  <c r="D40" i="29"/>
  <c r="D40" i="27" s="1"/>
  <c r="D40" i="28" s="1"/>
  <c r="BN22" i="39"/>
  <c r="EX29" i="1"/>
  <c r="BF29" i="1"/>
  <c r="HO29" i="1"/>
  <c r="CY29" i="1"/>
  <c r="G29" i="1"/>
  <c r="FA29" i="1"/>
  <c r="BI29" i="1"/>
  <c r="AB29" i="1"/>
  <c r="FD29" i="1"/>
  <c r="W190" i="54"/>
  <c r="BN34" i="39"/>
  <c r="GB12" i="1"/>
  <c r="CJ12" i="1"/>
  <c r="CY12" i="1"/>
  <c r="AW12" i="1"/>
  <c r="DW12" i="1"/>
  <c r="BF12" i="1"/>
  <c r="EU12" i="1"/>
  <c r="BO12" i="1"/>
  <c r="GT12" i="1"/>
  <c r="EO12" i="1"/>
  <c r="BN27" i="39"/>
  <c r="BN20" i="39"/>
  <c r="BN18" i="39"/>
  <c r="BN19" i="39"/>
  <c r="BN23" i="39"/>
  <c r="M47" i="31"/>
  <c r="T28" i="39"/>
  <c r="J28" i="39"/>
  <c r="AL28" i="39"/>
  <c r="I28" i="39"/>
  <c r="AR28" i="39"/>
  <c r="V28" i="39"/>
  <c r="BD28" i="39"/>
  <c r="E28" i="1"/>
  <c r="D53" i="32"/>
  <c r="BD30" i="39"/>
  <c r="V30" i="39"/>
  <c r="I30" i="39"/>
  <c r="AX30" i="39"/>
  <c r="T30" i="39"/>
  <c r="AL30" i="39"/>
  <c r="J30" i="39"/>
  <c r="AR30" i="39"/>
  <c r="E30" i="1"/>
  <c r="M47" i="30"/>
  <c r="M7" i="32"/>
  <c r="M34" i="33"/>
  <c r="J40" i="33" s="1"/>
  <c r="I40" i="33"/>
  <c r="R9" i="39" s="1"/>
  <c r="M44" i="30"/>
  <c r="E40" i="31"/>
  <c r="EY39" i="2"/>
  <c r="EW39" i="2"/>
  <c r="D46" i="30"/>
  <c r="D46" i="29" s="1"/>
  <c r="E46" i="29" s="1"/>
  <c r="E48" i="31"/>
  <c r="E42" i="31"/>
  <c r="AR35" i="39"/>
  <c r="T35" i="39"/>
  <c r="V35" i="39"/>
  <c r="BD35" i="39"/>
  <c r="I35" i="39"/>
  <c r="AL35" i="39"/>
  <c r="J35" i="39"/>
  <c r="AX35" i="39"/>
  <c r="E35" i="1"/>
  <c r="AR34" i="39"/>
  <c r="T34" i="39"/>
  <c r="V34" i="39"/>
  <c r="I34" i="39"/>
  <c r="BD34" i="39"/>
  <c r="J34" i="39"/>
  <c r="E34" i="1"/>
  <c r="AL34" i="39"/>
  <c r="AX34" i="39"/>
  <c r="J46" i="31"/>
  <c r="J47" i="31" s="1"/>
  <c r="V27" i="39"/>
  <c r="AL27" i="39"/>
  <c r="BD27" i="39"/>
  <c r="E27" i="1"/>
  <c r="I27" i="39"/>
  <c r="J27" i="39"/>
  <c r="AX27" i="39"/>
  <c r="AR27" i="39"/>
  <c r="T27" i="39"/>
  <c r="E26" i="1"/>
  <c r="I26" i="39"/>
  <c r="J26" i="39"/>
  <c r="V26" i="39"/>
  <c r="AL26" i="39"/>
  <c r="T26" i="39"/>
  <c r="BD26" i="39"/>
  <c r="AR26" i="39"/>
  <c r="AX26" i="39"/>
  <c r="J24" i="39"/>
  <c r="AR24" i="39"/>
  <c r="BD24" i="39"/>
  <c r="I24" i="39"/>
  <c r="V24" i="39"/>
  <c r="AX24" i="39"/>
  <c r="T24" i="39"/>
  <c r="E24" i="1"/>
  <c r="AL24" i="39"/>
  <c r="E23" i="1"/>
  <c r="AR23" i="39"/>
  <c r="AL23" i="39"/>
  <c r="V23" i="39"/>
  <c r="I23" i="39"/>
  <c r="AX23" i="39"/>
  <c r="J23" i="39"/>
  <c r="BD23" i="39"/>
  <c r="T23" i="39"/>
  <c r="AV41" i="39"/>
  <c r="J22" i="39"/>
  <c r="V22" i="39"/>
  <c r="BD22" i="39"/>
  <c r="AX22" i="39"/>
  <c r="E22" i="1"/>
  <c r="AL22" i="39"/>
  <c r="T22" i="39"/>
  <c r="I22" i="39"/>
  <c r="AR22" i="39"/>
  <c r="BD21" i="39"/>
  <c r="T21" i="39"/>
  <c r="V21" i="39"/>
  <c r="AX21" i="39"/>
  <c r="E21" i="1"/>
  <c r="I21" i="39"/>
  <c r="AR21" i="39"/>
  <c r="AL21" i="39"/>
  <c r="J21" i="39"/>
  <c r="BD20" i="39"/>
  <c r="AR20" i="39"/>
  <c r="T20" i="39"/>
  <c r="V20" i="39"/>
  <c r="E20" i="1"/>
  <c r="AX20" i="39"/>
  <c r="J20" i="39"/>
  <c r="AL20" i="39"/>
  <c r="I20" i="39"/>
  <c r="AR19" i="39"/>
  <c r="J19" i="39"/>
  <c r="E19" i="1"/>
  <c r="BD19" i="39"/>
  <c r="AL19" i="39"/>
  <c r="I19" i="39"/>
  <c r="V19" i="39"/>
  <c r="T19" i="39"/>
  <c r="AX19" i="39"/>
  <c r="BD18" i="39"/>
  <c r="AL18" i="39"/>
  <c r="E18" i="1"/>
  <c r="AX18" i="39"/>
  <c r="T18" i="39"/>
  <c r="V18" i="39"/>
  <c r="I18" i="39"/>
  <c r="J18" i="39"/>
  <c r="AR18" i="39"/>
  <c r="E16" i="1"/>
  <c r="I16" i="39"/>
  <c r="J16" i="39"/>
  <c r="AX16" i="39"/>
  <c r="AR16" i="39"/>
  <c r="AL16" i="39"/>
  <c r="BD16" i="39"/>
  <c r="V16" i="39"/>
  <c r="T16" i="39"/>
  <c r="K34" i="31"/>
  <c r="M9" i="31"/>
  <c r="M9" i="30" s="1"/>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D47" i="30"/>
  <c r="E47" i="30" s="1"/>
  <c r="E39" i="31"/>
  <c r="E43" i="31"/>
  <c r="D48" i="29"/>
  <c r="E48" i="30"/>
  <c r="E45" i="31"/>
  <c r="E42" i="30"/>
  <c r="D42" i="27"/>
  <c r="D42" i="28" s="1"/>
  <c r="E42" i="28" s="1"/>
  <c r="D44" i="30"/>
  <c r="E44" i="30" s="1"/>
  <c r="D51" i="30"/>
  <c r="E51" i="31"/>
  <c r="E38" i="30"/>
  <c r="D38" i="29"/>
  <c r="D43" i="29"/>
  <c r="E43" i="30"/>
  <c r="D39" i="29"/>
  <c r="E39" i="30"/>
  <c r="E49" i="31"/>
  <c r="D49" i="30"/>
  <c r="J39" i="31"/>
  <c r="J37" i="30"/>
  <c r="D50" i="30"/>
  <c r="E50" i="31"/>
  <c r="D41" i="30"/>
  <c r="E41" i="31"/>
  <c r="D52" i="31"/>
  <c r="D53" i="31" s="1"/>
  <c r="E45" i="30"/>
  <c r="D45" i="29"/>
  <c r="E52" i="32"/>
  <c r="E53" i="32" s="1"/>
  <c r="M8" i="30"/>
  <c r="AU17" i="39"/>
  <c r="J57" i="24"/>
  <c r="D41" i="1"/>
  <c r="AA195" i="54" l="1"/>
  <c r="X195" i="54"/>
  <c r="AB33" i="1"/>
  <c r="V33" i="1"/>
  <c r="FP33" i="1"/>
  <c r="HU33" i="1"/>
  <c r="EF33" i="1"/>
  <c r="EX33" i="1"/>
  <c r="HL33" i="1"/>
  <c r="HR33" i="1"/>
  <c r="FJ33" i="1"/>
  <c r="E34" i="2"/>
  <c r="EY34" i="2" s="1"/>
  <c r="BX33" i="1"/>
  <c r="AQ33" i="1"/>
  <c r="DZ33" i="1"/>
  <c r="GE33" i="1"/>
  <c r="AK33" i="1"/>
  <c r="GH33" i="1"/>
  <c r="BI33" i="1"/>
  <c r="BF33" i="1"/>
  <c r="IA33" i="1"/>
  <c r="EU33" i="1"/>
  <c r="CD33" i="1"/>
  <c r="AT33" i="1"/>
  <c r="AH33" i="1"/>
  <c r="CM33" i="1"/>
  <c r="CS33" i="1"/>
  <c r="CP33" i="1"/>
  <c r="M33" i="1"/>
  <c r="HO33" i="1"/>
  <c r="GK33" i="1"/>
  <c r="FY33" i="1"/>
  <c r="CV33" i="1"/>
  <c r="DK33" i="1"/>
  <c r="IM33" i="1"/>
  <c r="GW33" i="1"/>
  <c r="AN33" i="1"/>
  <c r="G33" i="1"/>
  <c r="AZ33" i="1"/>
  <c r="DB33" i="1"/>
  <c r="DT33" i="1"/>
  <c r="FG33" i="1"/>
  <c r="AE33" i="1"/>
  <c r="GT33" i="1"/>
  <c r="FV33" i="1"/>
  <c r="EL33" i="1"/>
  <c r="FA33" i="1"/>
  <c r="P33" i="1"/>
  <c r="JB33" i="1"/>
  <c r="DQ33" i="1"/>
  <c r="FD33" i="1"/>
  <c r="EO33" i="1"/>
  <c r="DH33" i="1"/>
  <c r="J33" i="1"/>
  <c r="DE33" i="1"/>
  <c r="BO33" i="1"/>
  <c r="EC33" i="1"/>
  <c r="GQ33" i="1"/>
  <c r="HC33" i="1"/>
  <c r="EI33" i="1"/>
  <c r="BR33" i="1"/>
  <c r="M44" i="31"/>
  <c r="HI33" i="1"/>
  <c r="HF33" i="1"/>
  <c r="GB33" i="1"/>
  <c r="FS33" i="1"/>
  <c r="IV33" i="1"/>
  <c r="JE33" i="1"/>
  <c r="GZ33" i="1"/>
  <c r="ER33" i="1"/>
  <c r="IG33" i="1"/>
  <c r="K36" i="45"/>
  <c r="O36" i="45"/>
  <c r="U36" i="45"/>
  <c r="EY18" i="2"/>
  <c r="ID33" i="1"/>
  <c r="S33" i="1"/>
  <c r="P12" i="1"/>
  <c r="HU12" i="1"/>
  <c r="CP12" i="1"/>
  <c r="FV12" i="1"/>
  <c r="BR12" i="1"/>
  <c r="EX12" i="1"/>
  <c r="BI12" i="1"/>
  <c r="DZ12" i="1"/>
  <c r="CV12" i="1"/>
  <c r="GN12" i="1"/>
  <c r="IV29" i="1"/>
  <c r="JH29" i="1"/>
  <c r="DT29" i="1"/>
  <c r="BU29" i="1"/>
  <c r="FM29" i="1"/>
  <c r="S29" i="1"/>
  <c r="DK29" i="1"/>
  <c r="IA29" i="1"/>
  <c r="BR29" i="1"/>
  <c r="FJ29" i="1"/>
  <c r="GE12" i="1"/>
  <c r="AB12" i="1"/>
  <c r="HF12" i="1"/>
  <c r="IY12" i="1"/>
  <c r="DQ12" i="1"/>
  <c r="IM12" i="1"/>
  <c r="CS12" i="1"/>
  <c r="FY12" i="1"/>
  <c r="BU12" i="1"/>
  <c r="FA12" i="1"/>
  <c r="DH12" i="1"/>
  <c r="GZ12" i="1"/>
  <c r="ER29" i="1"/>
  <c r="P29" i="1"/>
  <c r="CJ29" i="1"/>
  <c r="CG29" i="1"/>
  <c r="FY29" i="1"/>
  <c r="AE29" i="1"/>
  <c r="DW29" i="1"/>
  <c r="IM29" i="1"/>
  <c r="CD29" i="1"/>
  <c r="FV29" i="1"/>
  <c r="GZ29" i="1"/>
  <c r="AN12" i="1"/>
  <c r="IG12" i="1"/>
  <c r="G12" i="1"/>
  <c r="FG12" i="1"/>
  <c r="JB12" i="1"/>
  <c r="EI12" i="1"/>
  <c r="HO12" i="1"/>
  <c r="DK12" i="1"/>
  <c r="GQ12" i="1"/>
  <c r="DT12" i="1"/>
  <c r="HL12" i="1"/>
  <c r="BX29" i="1"/>
  <c r="DH29" i="1"/>
  <c r="GB29" i="1"/>
  <c r="CS29" i="1"/>
  <c r="GK29" i="1"/>
  <c r="AQ29" i="1"/>
  <c r="EI29" i="1"/>
  <c r="IY29" i="1"/>
  <c r="CP29" i="1"/>
  <c r="GH29" i="1"/>
  <c r="GN29" i="1"/>
  <c r="E13" i="2"/>
  <c r="EY13" i="2" s="1"/>
  <c r="AZ12" i="1"/>
  <c r="CA12" i="1"/>
  <c r="S12" i="1"/>
  <c r="GH12" i="1"/>
  <c r="J12" i="1"/>
  <c r="FJ12" i="1"/>
  <c r="IP12" i="1"/>
  <c r="EL12" i="1"/>
  <c r="HR12" i="1"/>
  <c r="EF12" i="1"/>
  <c r="HX12" i="1"/>
  <c r="BL29" i="1"/>
  <c r="AN29" i="1"/>
  <c r="M29" i="1"/>
  <c r="DE29" i="1"/>
  <c r="HU29" i="1"/>
  <c r="BC29" i="1"/>
  <c r="EU29" i="1"/>
  <c r="J29" i="1"/>
  <c r="DB29" i="1"/>
  <c r="HR29" i="1"/>
  <c r="HI29" i="1"/>
  <c r="E30" i="2"/>
  <c r="EW30" i="2" s="1"/>
  <c r="BL12" i="1"/>
  <c r="DB12" i="1"/>
  <c r="AE12" i="1"/>
  <c r="HI12" i="1"/>
  <c r="V12" i="1"/>
  <c r="GK12" i="1"/>
  <c r="M12" i="1"/>
  <c r="FM12" i="1"/>
  <c r="IS12" i="1"/>
  <c r="ER12" i="1"/>
  <c r="IV12" i="1"/>
  <c r="FP29" i="1"/>
  <c r="EF29" i="1"/>
  <c r="Y29" i="1"/>
  <c r="DQ29" i="1"/>
  <c r="IG29" i="1"/>
  <c r="BO29" i="1"/>
  <c r="FG29" i="1"/>
  <c r="V29" i="1"/>
  <c r="DN29" i="1"/>
  <c r="ID29" i="1"/>
  <c r="HL29" i="1"/>
  <c r="CM12" i="1"/>
  <c r="EC12" i="1"/>
  <c r="AQ12" i="1"/>
  <c r="CD12" i="1"/>
  <c r="AH12" i="1"/>
  <c r="IA12" i="1"/>
  <c r="Y12" i="1"/>
  <c r="HC12" i="1"/>
  <c r="JE12" i="1"/>
  <c r="FD12" i="1"/>
  <c r="JH12" i="1"/>
  <c r="IJ29" i="1"/>
  <c r="HX29" i="1"/>
  <c r="AK29" i="1"/>
  <c r="EC29" i="1"/>
  <c r="IS29" i="1"/>
  <c r="CA29" i="1"/>
  <c r="FS29" i="1"/>
  <c r="AH29" i="1"/>
  <c r="DZ29" i="1"/>
  <c r="IP29" i="1"/>
  <c r="GT29" i="1"/>
  <c r="DN12" i="1"/>
  <c r="FS12" i="1"/>
  <c r="BC12" i="1"/>
  <c r="DE12" i="1"/>
  <c r="AT12" i="1"/>
  <c r="CG12" i="1"/>
  <c r="AK12" i="1"/>
  <c r="ID12" i="1"/>
  <c r="BX12" i="1"/>
  <c r="AZ29" i="1"/>
  <c r="CV29" i="1"/>
  <c r="AW29" i="1"/>
  <c r="EO29" i="1"/>
  <c r="JE29" i="1"/>
  <c r="CM29" i="1"/>
  <c r="GE29" i="1"/>
  <c r="AT29" i="1"/>
  <c r="EL29" i="1"/>
  <c r="JB29" i="1"/>
  <c r="GQ29" i="1"/>
  <c r="R29" i="45"/>
  <c r="IV32" i="1"/>
  <c r="U24" i="45"/>
  <c r="R22" i="45"/>
  <c r="HC29" i="1"/>
  <c r="GW29" i="1"/>
  <c r="K21" i="45"/>
  <c r="O28" i="45"/>
  <c r="O20" i="45"/>
  <c r="EW34" i="2"/>
  <c r="A13" i="1"/>
  <c r="A14" i="2" s="1"/>
  <c r="R20" i="45"/>
  <c r="G20" i="45"/>
  <c r="U21" i="45"/>
  <c r="U28" i="45"/>
  <c r="R31" i="45"/>
  <c r="K20" i="45"/>
  <c r="K28" i="45"/>
  <c r="U31" i="45"/>
  <c r="G29" i="45"/>
  <c r="O33" i="45"/>
  <c r="R21" i="45"/>
  <c r="K29" i="45"/>
  <c r="K22" i="45"/>
  <c r="J17" i="24"/>
  <c r="J17" i="23" s="1"/>
  <c r="J17" i="22" s="1"/>
  <c r="J17" i="20" s="1"/>
  <c r="J17" i="19" s="1"/>
  <c r="J17" i="18" s="1"/>
  <c r="J17" i="17" s="1"/>
  <c r="J17" i="16" s="1"/>
  <c r="J17" i="15" s="1"/>
  <c r="J17" i="14" s="1"/>
  <c r="J17" i="13" s="1"/>
  <c r="J17" i="12" s="1"/>
  <c r="J17" i="11" s="1"/>
  <c r="J17" i="10" s="1"/>
  <c r="J17" i="9" s="1"/>
  <c r="J17" i="8" s="1"/>
  <c r="J17" i="7" s="1"/>
  <c r="J17" i="6" s="1"/>
  <c r="J17" i="37" s="1"/>
  <c r="G21" i="45"/>
  <c r="O22" i="45"/>
  <c r="R28" i="45"/>
  <c r="G24" i="45"/>
  <c r="K17" i="45"/>
  <c r="R17" i="45"/>
  <c r="K23" i="45"/>
  <c r="K33" i="45"/>
  <c r="U33" i="45"/>
  <c r="K19" i="45"/>
  <c r="R27" i="45"/>
  <c r="G31" i="45"/>
  <c r="G17" i="45"/>
  <c r="O19" i="45"/>
  <c r="O31" i="45"/>
  <c r="U17" i="45"/>
  <c r="O25" i="45"/>
  <c r="R26" i="45"/>
  <c r="K14" i="45"/>
  <c r="U25" i="45"/>
  <c r="G26" i="45"/>
  <c r="O14" i="45"/>
  <c r="K26" i="45"/>
  <c r="R18" i="45"/>
  <c r="O26" i="45"/>
  <c r="R34" i="45"/>
  <c r="G18" i="45"/>
  <c r="O34" i="45"/>
  <c r="R14" i="45"/>
  <c r="R25" i="45"/>
  <c r="K34" i="45"/>
  <c r="G25" i="45"/>
  <c r="G34" i="45"/>
  <c r="G15" i="45"/>
  <c r="U15" i="45"/>
  <c r="K15" i="45"/>
  <c r="O15" i="45"/>
  <c r="U29" i="45"/>
  <c r="U22" i="45"/>
  <c r="U18" i="45"/>
  <c r="R24" i="45"/>
  <c r="O24" i="45"/>
  <c r="K18" i="45"/>
  <c r="U14" i="45"/>
  <c r="S25" i="1"/>
  <c r="HI25" i="1"/>
  <c r="G27" i="45"/>
  <c r="X12" i="46"/>
  <c r="AA12" i="46"/>
  <c r="AB12" i="46" s="1"/>
  <c r="C12" i="45"/>
  <c r="O12" i="45" s="1"/>
  <c r="BJ13" i="39"/>
  <c r="C8" i="45"/>
  <c r="G8" i="45" s="1"/>
  <c r="BJ9" i="39"/>
  <c r="C13" i="45"/>
  <c r="R13" i="45" s="1"/>
  <c r="BJ14" i="39"/>
  <c r="C35" i="45"/>
  <c r="U35" i="45" s="1"/>
  <c r="BJ36" i="39"/>
  <c r="R19" i="45"/>
  <c r="K27" i="45"/>
  <c r="G23" i="45"/>
  <c r="U19" i="45"/>
  <c r="O27" i="45"/>
  <c r="R23" i="45"/>
  <c r="R33" i="45"/>
  <c r="U11" i="45"/>
  <c r="G11" i="45"/>
  <c r="K11" i="45"/>
  <c r="O11" i="45"/>
  <c r="R11" i="45"/>
  <c r="AK11" i="39"/>
  <c r="U32" i="45"/>
  <c r="K32" i="45"/>
  <c r="O32" i="45"/>
  <c r="G32" i="45"/>
  <c r="R32" i="45"/>
  <c r="EW38" i="2"/>
  <c r="R10" i="39"/>
  <c r="L45" i="32"/>
  <c r="I45" i="32"/>
  <c r="I48" i="32"/>
  <c r="CA32" i="1"/>
  <c r="GK32" i="1"/>
  <c r="CS15" i="1"/>
  <c r="CA15" i="1"/>
  <c r="E16" i="2"/>
  <c r="JE32" i="1"/>
  <c r="FS32" i="1"/>
  <c r="GE15" i="1"/>
  <c r="IJ15" i="1"/>
  <c r="AW32" i="1"/>
  <c r="CM15" i="1"/>
  <c r="ER15" i="1"/>
  <c r="FG15" i="1"/>
  <c r="BR32" i="1"/>
  <c r="AK15" i="1"/>
  <c r="AZ15" i="1"/>
  <c r="BO15" i="1"/>
  <c r="IS15" i="1"/>
  <c r="EO15" i="1"/>
  <c r="FJ32" i="1"/>
  <c r="AH15" i="1"/>
  <c r="V15" i="1"/>
  <c r="HX15" i="1"/>
  <c r="BC15" i="1"/>
  <c r="BI15" i="1"/>
  <c r="EC32" i="1"/>
  <c r="Q12" i="39"/>
  <c r="Q13" i="39" s="1"/>
  <c r="AB32" i="1"/>
  <c r="J15" i="1"/>
  <c r="EF15" i="1"/>
  <c r="HL15" i="1"/>
  <c r="DT32" i="1"/>
  <c r="IP15" i="1"/>
  <c r="AN15" i="1"/>
  <c r="DT15" i="1"/>
  <c r="M15" i="1"/>
  <c r="CS32" i="1"/>
  <c r="BI32" i="1"/>
  <c r="EO32" i="1"/>
  <c r="CD32" i="1"/>
  <c r="FV32" i="1"/>
  <c r="AN32" i="1"/>
  <c r="EF32" i="1"/>
  <c r="JH32" i="1"/>
  <c r="CM32" i="1"/>
  <c r="GE32" i="1"/>
  <c r="J16" i="15"/>
  <c r="J16" i="14" s="1"/>
  <c r="J16" i="13" s="1"/>
  <c r="J16" i="12" s="1"/>
  <c r="J16" i="11" s="1"/>
  <c r="J16" i="10" s="1"/>
  <c r="J16" i="9" s="1"/>
  <c r="J16" i="8" s="1"/>
  <c r="J16" i="7" s="1"/>
  <c r="J16" i="6" s="1"/>
  <c r="J16" i="37" s="1"/>
  <c r="J18" i="15"/>
  <c r="J18" i="14" s="1"/>
  <c r="J18" i="13" s="1"/>
  <c r="J18" i="12" s="1"/>
  <c r="J18" i="11" s="1"/>
  <c r="J18" i="10" s="1"/>
  <c r="J18" i="9" s="1"/>
  <c r="J18" i="8" s="1"/>
  <c r="J18" i="7" s="1"/>
  <c r="J18" i="6" s="1"/>
  <c r="J18" i="37" s="1"/>
  <c r="GW32" i="1"/>
  <c r="E33" i="2"/>
  <c r="EW33" i="2" s="1"/>
  <c r="AK32" i="1"/>
  <c r="FA32" i="1"/>
  <c r="IG32" i="1"/>
  <c r="CP32" i="1"/>
  <c r="GH32" i="1"/>
  <c r="AZ32" i="1"/>
  <c r="ER32" i="1"/>
  <c r="G32" i="1"/>
  <c r="CY32" i="1"/>
  <c r="HO32" i="1"/>
  <c r="HU32" i="1"/>
  <c r="IS32" i="1"/>
  <c r="J32" i="1"/>
  <c r="DB32" i="1"/>
  <c r="HR32" i="1"/>
  <c r="BL32" i="1"/>
  <c r="FD32" i="1"/>
  <c r="S32" i="1"/>
  <c r="DK32" i="1"/>
  <c r="IA32" i="1"/>
  <c r="ID15" i="1"/>
  <c r="IA15" i="1"/>
  <c r="M32" i="1"/>
  <c r="Y32" i="1"/>
  <c r="V32" i="1"/>
  <c r="DN32" i="1"/>
  <c r="ID32" i="1"/>
  <c r="BX32" i="1"/>
  <c r="FP32" i="1"/>
  <c r="AE32" i="1"/>
  <c r="DW32" i="1"/>
  <c r="IM32" i="1"/>
  <c r="HL32" i="1"/>
  <c r="HR15" i="1"/>
  <c r="EI15" i="1"/>
  <c r="DW15" i="1"/>
  <c r="DE32" i="1"/>
  <c r="DQ32" i="1"/>
  <c r="AH32" i="1"/>
  <c r="DZ32" i="1"/>
  <c r="IP32" i="1"/>
  <c r="CJ32" i="1"/>
  <c r="GB32" i="1"/>
  <c r="AQ32" i="1"/>
  <c r="EI32" i="1"/>
  <c r="IY32" i="1"/>
  <c r="HI32" i="1"/>
  <c r="IV15" i="1"/>
  <c r="FY15" i="1"/>
  <c r="HF15" i="1"/>
  <c r="JE15" i="1"/>
  <c r="G15" i="1"/>
  <c r="FA15" i="1"/>
  <c r="EX15" i="1"/>
  <c r="AQ15" i="1"/>
  <c r="AE15" i="1"/>
  <c r="BU32" i="1"/>
  <c r="CG32" i="1"/>
  <c r="AT32" i="1"/>
  <c r="EL32" i="1"/>
  <c r="JB32" i="1"/>
  <c r="CV32" i="1"/>
  <c r="HX32" i="1"/>
  <c r="BC32" i="1"/>
  <c r="EU32" i="1"/>
  <c r="HF32" i="1"/>
  <c r="FD15" i="1"/>
  <c r="CG15" i="1"/>
  <c r="AT15" i="1"/>
  <c r="FM15" i="1"/>
  <c r="DN15" i="1"/>
  <c r="IM15" i="1"/>
  <c r="GZ15" i="1"/>
  <c r="GN15" i="1"/>
  <c r="GQ15" i="1"/>
  <c r="FM32" i="1"/>
  <c r="FY32" i="1"/>
  <c r="BF32" i="1"/>
  <c r="EX32" i="1"/>
  <c r="P32" i="1"/>
  <c r="DH32" i="1"/>
  <c r="IJ32" i="1"/>
  <c r="BO32" i="1"/>
  <c r="FG32" i="1"/>
  <c r="J14" i="17"/>
  <c r="J14" i="16" s="1"/>
  <c r="J14" i="15" s="1"/>
  <c r="J14" i="14" s="1"/>
  <c r="J14" i="13" s="1"/>
  <c r="J14" i="12" s="1"/>
  <c r="J14" i="11" s="1"/>
  <c r="J14" i="10" s="1"/>
  <c r="J14" i="9" s="1"/>
  <c r="J14" i="8" s="1"/>
  <c r="J14" i="7" s="1"/>
  <c r="J14" i="6" s="1"/>
  <c r="J14" i="37" s="1"/>
  <c r="HC32" i="1"/>
  <c r="BL15" i="1"/>
  <c r="FS15" i="1"/>
  <c r="CP15" i="1"/>
  <c r="IY15" i="1"/>
  <c r="JB15" i="1"/>
  <c r="EU15" i="1"/>
  <c r="DZ15" i="1"/>
  <c r="GT15" i="1"/>
  <c r="CY15" i="1"/>
  <c r="JH15" i="1"/>
  <c r="CV15" i="1"/>
  <c r="FP15" i="1"/>
  <c r="BX15" i="1"/>
  <c r="DH15" i="1"/>
  <c r="HU15" i="1"/>
  <c r="FV15" i="1"/>
  <c r="BR15" i="1"/>
  <c r="P15" i="1"/>
  <c r="EC15" i="1"/>
  <c r="BU15" i="1"/>
  <c r="GW15" i="1"/>
  <c r="AW15" i="1"/>
  <c r="AB15" i="1"/>
  <c r="IG15" i="1"/>
  <c r="EL15" i="1"/>
  <c r="HO15" i="1"/>
  <c r="GH15" i="1"/>
  <c r="DE15" i="1"/>
  <c r="GQ32" i="1"/>
  <c r="GT32" i="1"/>
  <c r="GZ32" i="1"/>
  <c r="J26" i="4"/>
  <c r="J26" i="43" s="1"/>
  <c r="J25" i="4"/>
  <c r="J25" i="43" s="1"/>
  <c r="J24" i="4"/>
  <c r="J24" i="43" s="1"/>
  <c r="J13" i="37"/>
  <c r="J13" i="4" s="1"/>
  <c r="J13" i="43" s="1"/>
  <c r="GK15" i="1"/>
  <c r="S15" i="1"/>
  <c r="GB15" i="1"/>
  <c r="CJ15" i="1"/>
  <c r="DB15" i="1"/>
  <c r="HI15" i="1"/>
  <c r="CD15" i="1"/>
  <c r="DQ15" i="1"/>
  <c r="BF15" i="1"/>
  <c r="HC15" i="1"/>
  <c r="FJ15" i="1"/>
  <c r="DK15" i="1"/>
  <c r="J12" i="37"/>
  <c r="J12" i="4" s="1"/>
  <c r="J12" i="43" s="1"/>
  <c r="I9" i="39"/>
  <c r="V9" i="39"/>
  <c r="BN9" i="39"/>
  <c r="AR9" i="39"/>
  <c r="T9" i="39"/>
  <c r="J9" i="39"/>
  <c r="S9" i="39"/>
  <c r="BK9" i="39" s="1"/>
  <c r="AL9" i="39"/>
  <c r="BD9" i="39"/>
  <c r="AX9" i="39"/>
  <c r="V36" i="39"/>
  <c r="E36" i="1"/>
  <c r="J36" i="39"/>
  <c r="AX36" i="39"/>
  <c r="I36" i="39"/>
  <c r="AL36" i="39"/>
  <c r="T36" i="39"/>
  <c r="BD36" i="39"/>
  <c r="AR36" i="39"/>
  <c r="BN36" i="39"/>
  <c r="G25" i="1"/>
  <c r="GH25" i="1"/>
  <c r="EL25" i="1"/>
  <c r="GZ25" i="1"/>
  <c r="EF25" i="1"/>
  <c r="GN35" i="1"/>
  <c r="GW35" i="1"/>
  <c r="GQ35" i="1"/>
  <c r="GT35" i="1"/>
  <c r="GK35" i="1"/>
  <c r="DT25" i="1"/>
  <c r="IP25" i="1"/>
  <c r="FV25" i="1"/>
  <c r="J10" i="9"/>
  <c r="J10" i="8" s="1"/>
  <c r="J10" i="7" s="1"/>
  <c r="J10" i="6" s="1"/>
  <c r="GQ34" i="1"/>
  <c r="GK34" i="1"/>
  <c r="GW34" i="1"/>
  <c r="GN34" i="1"/>
  <c r="GZ34" i="1"/>
  <c r="GT34" i="1"/>
  <c r="ID25" i="1"/>
  <c r="FA25" i="1"/>
  <c r="CM25" i="1"/>
  <c r="AK25" i="1"/>
  <c r="GB25" i="1"/>
  <c r="CY25" i="1"/>
  <c r="HU25" i="1"/>
  <c r="FP25" i="1"/>
  <c r="GE25" i="1"/>
  <c r="JE25" i="1"/>
  <c r="HF25" i="1"/>
  <c r="GQ25" i="1"/>
  <c r="I40" i="11"/>
  <c r="GQ30" i="1"/>
  <c r="GT30" i="1"/>
  <c r="GK30" i="1"/>
  <c r="GW30" i="1"/>
  <c r="GN30" i="1"/>
  <c r="GZ30" i="1"/>
  <c r="HF30" i="1"/>
  <c r="HC30" i="1"/>
  <c r="HI30" i="1"/>
  <c r="HL30" i="1"/>
  <c r="J56" i="23"/>
  <c r="J56" i="21" s="1"/>
  <c r="GK26" i="1"/>
  <c r="GT26" i="1"/>
  <c r="GQ26" i="1"/>
  <c r="GN26" i="1"/>
  <c r="GK27" i="1"/>
  <c r="GT27" i="1"/>
  <c r="GQ27" i="1"/>
  <c r="GN27" i="1"/>
  <c r="GN28" i="1"/>
  <c r="GK28" i="1"/>
  <c r="GT28" i="1"/>
  <c r="GQ28" i="1"/>
  <c r="J22" i="16"/>
  <c r="J22" i="15" s="1"/>
  <c r="J22" i="14" s="1"/>
  <c r="J22" i="13" s="1"/>
  <c r="J22" i="12" s="1"/>
  <c r="J22" i="11" s="1"/>
  <c r="J22" i="10" s="1"/>
  <c r="J22" i="9" s="1"/>
  <c r="J22" i="8" s="1"/>
  <c r="J22" i="7" s="1"/>
  <c r="J22" i="6" s="1"/>
  <c r="J22" i="37" s="1"/>
  <c r="J23" i="16"/>
  <c r="J23" i="15" s="1"/>
  <c r="J23" i="14" s="1"/>
  <c r="J23" i="13" s="1"/>
  <c r="J23" i="12" s="1"/>
  <c r="J23" i="11" s="1"/>
  <c r="J23" i="10" s="1"/>
  <c r="J23" i="9" s="1"/>
  <c r="J23" i="8" s="1"/>
  <c r="J23" i="7" s="1"/>
  <c r="J23" i="6" s="1"/>
  <c r="J23" i="37" s="1"/>
  <c r="J19" i="14"/>
  <c r="J19" i="13" s="1"/>
  <c r="BD14" i="39"/>
  <c r="AR14" i="39"/>
  <c r="J11" i="20"/>
  <c r="AX14" i="39"/>
  <c r="J9" i="22"/>
  <c r="HR25" i="1"/>
  <c r="IV25" i="1"/>
  <c r="JB25" i="1"/>
  <c r="BL25" i="1"/>
  <c r="BF25" i="1"/>
  <c r="V25" i="1"/>
  <c r="IS25" i="1"/>
  <c r="JH25" i="1"/>
  <c r="P25" i="1"/>
  <c r="HX25" i="1"/>
  <c r="DW25" i="1"/>
  <c r="HO25" i="1"/>
  <c r="FJ25" i="1"/>
  <c r="AE25" i="1"/>
  <c r="DK25" i="1"/>
  <c r="M25" i="1"/>
  <c r="CG25" i="1"/>
  <c r="AW25" i="1"/>
  <c r="IA25" i="1"/>
  <c r="IG25" i="1"/>
  <c r="CS25" i="1"/>
  <c r="AH25" i="1"/>
  <c r="AZ25" i="1"/>
  <c r="EI25" i="1"/>
  <c r="BR25" i="1"/>
  <c r="EC25" i="1"/>
  <c r="AT25" i="1"/>
  <c r="DH25" i="1"/>
  <c r="BI25" i="1"/>
  <c r="BX25" i="1"/>
  <c r="CP25" i="1"/>
  <c r="AN25" i="1"/>
  <c r="BC25" i="1"/>
  <c r="EU25" i="1"/>
  <c r="IM25" i="1"/>
  <c r="Y25" i="1"/>
  <c r="IJ25" i="1"/>
  <c r="HC25" i="1"/>
  <c r="AB25" i="1"/>
  <c r="DB25" i="1"/>
  <c r="FM25" i="1"/>
  <c r="FD25" i="1"/>
  <c r="EX25" i="1"/>
  <c r="CJ25" i="1"/>
  <c r="DN25" i="1"/>
  <c r="DQ25" i="1"/>
  <c r="CD25" i="1"/>
  <c r="BO25" i="1"/>
  <c r="FG25" i="1"/>
  <c r="IY25" i="1"/>
  <c r="E26" i="2"/>
  <c r="EY26" i="2" s="1"/>
  <c r="BU25" i="1"/>
  <c r="J25" i="1"/>
  <c r="GW25" i="1"/>
  <c r="CV25" i="1"/>
  <c r="AQ25" i="1"/>
  <c r="GT25" i="1"/>
  <c r="HL25" i="1"/>
  <c r="GK25" i="1"/>
  <c r="GN25" i="1"/>
  <c r="FY25" i="1"/>
  <c r="DZ25" i="1"/>
  <c r="EO25" i="1"/>
  <c r="ER25" i="1"/>
  <c r="DE25" i="1"/>
  <c r="CA25" i="1"/>
  <c r="M44" i="29"/>
  <c r="J44" i="29"/>
  <c r="T14" i="39"/>
  <c r="M47" i="29"/>
  <c r="V14" i="39"/>
  <c r="J14" i="39"/>
  <c r="I14" i="39"/>
  <c r="BN14" i="39"/>
  <c r="AL14" i="39"/>
  <c r="E14" i="1"/>
  <c r="HI14" i="1" s="1"/>
  <c r="J13" i="39"/>
  <c r="V13" i="39"/>
  <c r="E13" i="1"/>
  <c r="AX13" i="39"/>
  <c r="AL13" i="39"/>
  <c r="BD13" i="39"/>
  <c r="BN13" i="39"/>
  <c r="T13" i="39"/>
  <c r="I13" i="39"/>
  <c r="AR13" i="39"/>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E24" i="1"/>
  <c r="HX24" i="1"/>
  <c r="HI24" i="1"/>
  <c r="GB24" i="1"/>
  <c r="FM24" i="1"/>
  <c r="EF24" i="1"/>
  <c r="DQ24" i="1"/>
  <c r="CJ24" i="1"/>
  <c r="BU24" i="1"/>
  <c r="AN24" i="1"/>
  <c r="Y24" i="1"/>
  <c r="IJ24" i="1"/>
  <c r="HU24" i="1"/>
  <c r="GN24" i="1"/>
  <c r="FY24" i="1"/>
  <c r="ER24" i="1"/>
  <c r="EC24" i="1"/>
  <c r="CV24" i="1"/>
  <c r="CG24" i="1"/>
  <c r="AZ24" i="1"/>
  <c r="AK24" i="1"/>
  <c r="IS24" i="1"/>
  <c r="FA24" i="1"/>
  <c r="BI24" i="1"/>
  <c r="JH24" i="1"/>
  <c r="GK24" i="1"/>
  <c r="FP24" i="1"/>
  <c r="CS24" i="1"/>
  <c r="BX24" i="1"/>
  <c r="GZ24" i="1"/>
  <c r="DH24" i="1"/>
  <c r="P24" i="1"/>
  <c r="IG24" i="1"/>
  <c r="HL24" i="1"/>
  <c r="EO24" i="1"/>
  <c r="DT24" i="1"/>
  <c r="AW24" i="1"/>
  <c r="AB24" i="1"/>
  <c r="DE24" i="1"/>
  <c r="BL24" i="1"/>
  <c r="M24" i="1"/>
  <c r="IV24" i="1"/>
  <c r="GW24" i="1"/>
  <c r="FD24"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JE19" i="1"/>
  <c r="IS19" i="1"/>
  <c r="IG19" i="1"/>
  <c r="HU19" i="1"/>
  <c r="HI19" i="1"/>
  <c r="GW19" i="1"/>
  <c r="GK19" i="1"/>
  <c r="FY19" i="1"/>
  <c r="FM19" i="1"/>
  <c r="FA19" i="1"/>
  <c r="EO19" i="1"/>
  <c r="EC19" i="1"/>
  <c r="DQ19" i="1"/>
  <c r="DE19" i="1"/>
  <c r="CS19" i="1"/>
  <c r="CG19" i="1"/>
  <c r="BU19" i="1"/>
  <c r="BI19" i="1"/>
  <c r="AW19" i="1"/>
  <c r="AK19" i="1"/>
  <c r="Y19" i="1"/>
  <c r="M19" i="1"/>
  <c r="JB19" i="1"/>
  <c r="IP19" i="1"/>
  <c r="ID19" i="1"/>
  <c r="HR19" i="1"/>
  <c r="HF19" i="1"/>
  <c r="GT19" i="1"/>
  <c r="GH19" i="1"/>
  <c r="FV19" i="1"/>
  <c r="FJ19" i="1"/>
  <c r="EX19" i="1"/>
  <c r="EL19" i="1"/>
  <c r="DZ19" i="1"/>
  <c r="DN19" i="1"/>
  <c r="DB19" i="1"/>
  <c r="CP19" i="1"/>
  <c r="CD19" i="1"/>
  <c r="BR19" i="1"/>
  <c r="BF19" i="1"/>
  <c r="AT19" i="1"/>
  <c r="AH19" i="1"/>
  <c r="V19" i="1"/>
  <c r="J19" i="1"/>
  <c r="JH20" i="1"/>
  <c r="IV20" i="1"/>
  <c r="IJ20" i="1"/>
  <c r="HX20" i="1"/>
  <c r="HL20" i="1"/>
  <c r="GZ20" i="1"/>
  <c r="GN20" i="1"/>
  <c r="GB20" i="1"/>
  <c r="FP20" i="1"/>
  <c r="FD20" i="1"/>
  <c r="ER20" i="1"/>
  <c r="IS20" i="1"/>
  <c r="HR20" i="1"/>
  <c r="GQ20" i="1"/>
  <c r="FA20" i="1"/>
  <c r="IP20" i="1"/>
  <c r="HO20" i="1"/>
  <c r="FY20" i="1"/>
  <c r="EX20" i="1"/>
  <c r="JB20" i="1"/>
  <c r="IA20" i="1"/>
  <c r="GK20" i="1"/>
  <c r="FJ20" i="1"/>
  <c r="EI20" i="1"/>
  <c r="DW20" i="1"/>
  <c r="DK20" i="1"/>
  <c r="CY20" i="1"/>
  <c r="CM20" i="1"/>
  <c r="CA20" i="1"/>
  <c r="BO20" i="1"/>
  <c r="BC20" i="1"/>
  <c r="AQ20" i="1"/>
  <c r="AE20" i="1"/>
  <c r="S20" i="1"/>
  <c r="G20" i="1"/>
  <c r="IM20" i="1"/>
  <c r="GW20" i="1"/>
  <c r="FV20" i="1"/>
  <c r="EU20" i="1"/>
  <c r="HU20" i="1"/>
  <c r="GT20" i="1"/>
  <c r="FS20" i="1"/>
  <c r="FM20" i="1"/>
  <c r="DQ20" i="1"/>
  <c r="CP20" i="1"/>
  <c r="AZ20" i="1"/>
  <c r="Y20" i="1"/>
  <c r="IG20" i="1"/>
  <c r="GE20" i="1"/>
  <c r="EC20" i="1"/>
  <c r="DB20" i="1"/>
  <c r="BL20" i="1"/>
  <c r="AK20" i="1"/>
  <c r="J20" i="1"/>
  <c r="IY20" i="1"/>
  <c r="EO20" i="1"/>
  <c r="DN20" i="1"/>
  <c r="BX20" i="1"/>
  <c r="AW20" i="1"/>
  <c r="V20" i="1"/>
  <c r="ID20" i="1"/>
  <c r="HI20" i="1"/>
  <c r="FG20" i="1"/>
  <c r="DZ20" i="1"/>
  <c r="CJ20" i="1"/>
  <c r="BI20" i="1"/>
  <c r="AH20" i="1"/>
  <c r="DT20" i="1"/>
  <c r="CS20" i="1"/>
  <c r="BR20" i="1"/>
  <c r="AB20" i="1"/>
  <c r="JE20" i="1"/>
  <c r="EF20" i="1"/>
  <c r="DH20" i="1"/>
  <c r="BF20" i="1"/>
  <c r="AN20" i="1"/>
  <c r="HF20" i="1"/>
  <c r="P20" i="1"/>
  <c r="DE20" i="1"/>
  <c r="BU20" i="1"/>
  <c r="HC20" i="1"/>
  <c r="GH20" i="1"/>
  <c r="M20" i="1"/>
  <c r="EL20" i="1"/>
  <c r="CG20" i="1"/>
  <c r="AT20" i="1"/>
  <c r="CV20" i="1"/>
  <c r="CD20" i="1"/>
  <c r="JB26" i="1"/>
  <c r="IP26" i="1"/>
  <c r="ID26" i="1"/>
  <c r="HR26" i="1"/>
  <c r="HF26" i="1"/>
  <c r="GH26" i="1"/>
  <c r="FV26" i="1"/>
  <c r="FJ26" i="1"/>
  <c r="EX26" i="1"/>
  <c r="EL26" i="1"/>
  <c r="DZ26" i="1"/>
  <c r="DN26" i="1"/>
  <c r="DB26" i="1"/>
  <c r="CP26" i="1"/>
  <c r="CD26" i="1"/>
  <c r="BR26" i="1"/>
  <c r="BF26" i="1"/>
  <c r="AT26" i="1"/>
  <c r="AH26" i="1"/>
  <c r="V26" i="1"/>
  <c r="J26" i="1"/>
  <c r="IY26" i="1"/>
  <c r="IM26" i="1"/>
  <c r="IA26" i="1"/>
  <c r="HO26" i="1"/>
  <c r="HC26" i="1"/>
  <c r="GE26" i="1"/>
  <c r="FS26" i="1"/>
  <c r="FG26" i="1"/>
  <c r="EU26" i="1"/>
  <c r="EI26" i="1"/>
  <c r="DW26" i="1"/>
  <c r="DK26" i="1"/>
  <c r="CY26" i="1"/>
  <c r="CM26" i="1"/>
  <c r="CA26" i="1"/>
  <c r="BO26" i="1"/>
  <c r="BC26" i="1"/>
  <c r="AQ26" i="1"/>
  <c r="AE26" i="1"/>
  <c r="S26" i="1"/>
  <c r="G26" i="1"/>
  <c r="IV26" i="1"/>
  <c r="IG26" i="1"/>
  <c r="GZ26" i="1"/>
  <c r="FD26" i="1"/>
  <c r="EO26" i="1"/>
  <c r="DH26" i="1"/>
  <c r="CS26" i="1"/>
  <c r="BL26" i="1"/>
  <c r="AW26" i="1"/>
  <c r="P26" i="1"/>
  <c r="JE26" i="1"/>
  <c r="HX26" i="1"/>
  <c r="HI26" i="1"/>
  <c r="GB26" i="1"/>
  <c r="FM26" i="1"/>
  <c r="EF26" i="1"/>
  <c r="DQ26" i="1"/>
  <c r="CJ26" i="1"/>
  <c r="BU26" i="1"/>
  <c r="AN26" i="1"/>
  <c r="Y26" i="1"/>
  <c r="IJ26" i="1"/>
  <c r="HU26" i="1"/>
  <c r="FY26" i="1"/>
  <c r="ER26" i="1"/>
  <c r="EC26" i="1"/>
  <c r="CV26" i="1"/>
  <c r="CG26" i="1"/>
  <c r="AZ26" i="1"/>
  <c r="AK26" i="1"/>
  <c r="JH26" i="1"/>
  <c r="GW26" i="1"/>
  <c r="BX26" i="1"/>
  <c r="M26" i="1"/>
  <c r="HL26" i="1"/>
  <c r="FA26" i="1"/>
  <c r="AB26" i="1"/>
  <c r="FP26" i="1"/>
  <c r="DE26" i="1"/>
  <c r="IS26" i="1"/>
  <c r="DT26" i="1"/>
  <c r="BI26" i="1"/>
  <c r="JE27" i="1"/>
  <c r="IS27" i="1"/>
  <c r="IG27" i="1"/>
  <c r="HU27" i="1"/>
  <c r="HI27" i="1"/>
  <c r="GW27" i="1"/>
  <c r="FY27" i="1"/>
  <c r="FM27" i="1"/>
  <c r="FA27" i="1"/>
  <c r="EO27" i="1"/>
  <c r="EC27" i="1"/>
  <c r="DQ27" i="1"/>
  <c r="DE27" i="1"/>
  <c r="CS27" i="1"/>
  <c r="CG27" i="1"/>
  <c r="JB27" i="1"/>
  <c r="IP27" i="1"/>
  <c r="ID27" i="1"/>
  <c r="HR27" i="1"/>
  <c r="HF27" i="1"/>
  <c r="GH27" i="1"/>
  <c r="FV27" i="1"/>
  <c r="FJ27" i="1"/>
  <c r="EX27" i="1"/>
  <c r="EL27" i="1"/>
  <c r="DZ27" i="1"/>
  <c r="DN27" i="1"/>
  <c r="DB27" i="1"/>
  <c r="CP27" i="1"/>
  <c r="CD27" i="1"/>
  <c r="BR27" i="1"/>
  <c r="BF27" i="1"/>
  <c r="AT27" i="1"/>
  <c r="AH27" i="1"/>
  <c r="V27" i="1"/>
  <c r="J27" i="1"/>
  <c r="JH27" i="1"/>
  <c r="IV27" i="1"/>
  <c r="HX27" i="1"/>
  <c r="HL27" i="1"/>
  <c r="GZ27" i="1"/>
  <c r="GB27" i="1"/>
  <c r="FP27" i="1"/>
  <c r="FD27" i="1"/>
  <c r="ER27" i="1"/>
  <c r="EF27" i="1"/>
  <c r="DT27" i="1"/>
  <c r="DH27" i="1"/>
  <c r="CV27" i="1"/>
  <c r="CJ27" i="1"/>
  <c r="BX27" i="1"/>
  <c r="BL27" i="1"/>
  <c r="AZ27" i="1"/>
  <c r="AN27" i="1"/>
  <c r="AB27" i="1"/>
  <c r="P27" i="1"/>
  <c r="HC27" i="1"/>
  <c r="DK27" i="1"/>
  <c r="BI27" i="1"/>
  <c r="M27" i="1"/>
  <c r="IM27" i="1"/>
  <c r="EU27" i="1"/>
  <c r="AQ27" i="1"/>
  <c r="HO27" i="1"/>
  <c r="DW27" i="1"/>
  <c r="BC27" i="1"/>
  <c r="G27" i="1"/>
  <c r="IY27" i="1"/>
  <c r="FG27" i="1"/>
  <c r="AK27" i="1"/>
  <c r="IA27" i="1"/>
  <c r="EI27" i="1"/>
  <c r="AW27" i="1"/>
  <c r="FS27" i="1"/>
  <c r="CY27" i="1"/>
  <c r="BO27" i="1"/>
  <c r="Y27" i="1"/>
  <c r="GE27" i="1"/>
  <c r="CA27" i="1"/>
  <c r="S27" i="1"/>
  <c r="AE27" i="1"/>
  <c r="BU27" i="1"/>
  <c r="CM27"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G22" i="1"/>
  <c r="AE22" i="1"/>
  <c r="JH22" i="1"/>
  <c r="IA22" i="1"/>
  <c r="HL22" i="1"/>
  <c r="GE22" i="1"/>
  <c r="FP22" i="1"/>
  <c r="EI22" i="1"/>
  <c r="DT22" i="1"/>
  <c r="CM22" i="1"/>
  <c r="BX22" i="1"/>
  <c r="AQ22" i="1"/>
  <c r="P22" i="1"/>
  <c r="AB22" i="1"/>
  <c r="J22" i="1"/>
  <c r="HO22" i="1"/>
  <c r="EF22" i="1"/>
  <c r="IV22" i="1"/>
  <c r="EU22" i="1"/>
  <c r="DK22" i="1"/>
  <c r="CV22" i="1"/>
  <c r="BL22" i="1"/>
  <c r="GB22" i="1"/>
  <c r="CA22" i="1"/>
  <c r="GQ22" i="1"/>
  <c r="FG22" i="1"/>
  <c r="ER22" i="1"/>
  <c r="DH22" i="1"/>
  <c r="V22" i="1"/>
  <c r="FS22" i="1"/>
  <c r="CJ22" i="1"/>
  <c r="BO22" i="1"/>
  <c r="GN22" i="1"/>
  <c r="HX22" i="1"/>
  <c r="HC22" i="1"/>
  <c r="DW22" i="1"/>
  <c r="IM22" i="1"/>
  <c r="CY22" i="1"/>
  <c r="GZ22" i="1"/>
  <c r="AN22" i="1"/>
  <c r="S22" i="1"/>
  <c r="IJ22" i="1"/>
  <c r="BC22" i="1"/>
  <c r="IY22" i="1"/>
  <c r="FD22" i="1"/>
  <c r="AZ22" i="1"/>
  <c r="IY28" i="1"/>
  <c r="IM28" i="1"/>
  <c r="IA28" i="1"/>
  <c r="HO28" i="1"/>
  <c r="HC28" i="1"/>
  <c r="GE28" i="1"/>
  <c r="FS28" i="1"/>
  <c r="FG28" i="1"/>
  <c r="EU28" i="1"/>
  <c r="EI28" i="1"/>
  <c r="DW28" i="1"/>
  <c r="DK28" i="1"/>
  <c r="CY28" i="1"/>
  <c r="CM28" i="1"/>
  <c r="CA28" i="1"/>
  <c r="BO28" i="1"/>
  <c r="BC28" i="1"/>
  <c r="AQ28" i="1"/>
  <c r="AE28" i="1"/>
  <c r="S28" i="1"/>
  <c r="G28" i="1"/>
  <c r="JH28" i="1"/>
  <c r="IV28" i="1"/>
  <c r="IJ28" i="1"/>
  <c r="HX28" i="1"/>
  <c r="HL28" i="1"/>
  <c r="GZ28" i="1"/>
  <c r="GB28" i="1"/>
  <c r="FP28" i="1"/>
  <c r="FD28" i="1"/>
  <c r="ER28" i="1"/>
  <c r="EF28" i="1"/>
  <c r="DT28" i="1"/>
  <c r="DH28" i="1"/>
  <c r="CV28" i="1"/>
  <c r="CJ28" i="1"/>
  <c r="BX28" i="1"/>
  <c r="BL28" i="1"/>
  <c r="AZ28" i="1"/>
  <c r="AN28" i="1"/>
  <c r="AB28" i="1"/>
  <c r="P28" i="1"/>
  <c r="JE28" i="1"/>
  <c r="IP28" i="1"/>
  <c r="HI28" i="1"/>
  <c r="FM28" i="1"/>
  <c r="EX28" i="1"/>
  <c r="DQ28" i="1"/>
  <c r="DB28" i="1"/>
  <c r="BU28" i="1"/>
  <c r="BF28" i="1"/>
  <c r="Y28" i="1"/>
  <c r="J28" i="1"/>
  <c r="JB28" i="1"/>
  <c r="HU28" i="1"/>
  <c r="HF28" i="1"/>
  <c r="FY28" i="1"/>
  <c r="FJ28" i="1"/>
  <c r="EC28" i="1"/>
  <c r="DN28" i="1"/>
  <c r="CG28" i="1"/>
  <c r="BR28" i="1"/>
  <c r="AK28" i="1"/>
  <c r="V28" i="1"/>
  <c r="IG28" i="1"/>
  <c r="EO28" i="1"/>
  <c r="AW28" i="1"/>
  <c r="ID28" i="1"/>
  <c r="EL28" i="1"/>
  <c r="AT28" i="1"/>
  <c r="IS28" i="1"/>
  <c r="FV28" i="1"/>
  <c r="FA28" i="1"/>
  <c r="CD28" i="1"/>
  <c r="BI28" i="1"/>
  <c r="CS28" i="1"/>
  <c r="GH28" i="1"/>
  <c r="CP28" i="1"/>
  <c r="AH28" i="1"/>
  <c r="M28" i="1"/>
  <c r="DZ28" i="1"/>
  <c r="DE28" i="1"/>
  <c r="HR28" i="1"/>
  <c r="GW28" i="1"/>
  <c r="JB30" i="1"/>
  <c r="IP30" i="1"/>
  <c r="ID30" i="1"/>
  <c r="HR30" i="1"/>
  <c r="GH30" i="1"/>
  <c r="FV30" i="1"/>
  <c r="FJ30" i="1"/>
  <c r="EX30" i="1"/>
  <c r="EL30" i="1"/>
  <c r="DZ30" i="1"/>
  <c r="DN30" i="1"/>
  <c r="DB30" i="1"/>
  <c r="CP30" i="1"/>
  <c r="CD30" i="1"/>
  <c r="BR30" i="1"/>
  <c r="BF30" i="1"/>
  <c r="AT30" i="1"/>
  <c r="AH30" i="1"/>
  <c r="IY30" i="1"/>
  <c r="IM30" i="1"/>
  <c r="IA30" i="1"/>
  <c r="HO30" i="1"/>
  <c r="GE30" i="1"/>
  <c r="FS30" i="1"/>
  <c r="FG30" i="1"/>
  <c r="EU30" i="1"/>
  <c r="EI30" i="1"/>
  <c r="DW30" i="1"/>
  <c r="DK30" i="1"/>
  <c r="CY30" i="1"/>
  <c r="CM30" i="1"/>
  <c r="CA30" i="1"/>
  <c r="BO30" i="1"/>
  <c r="BC30" i="1"/>
  <c r="AQ30" i="1"/>
  <c r="AE30" i="1"/>
  <c r="S30" i="1"/>
  <c r="JE30" i="1"/>
  <c r="IS30" i="1"/>
  <c r="IG30" i="1"/>
  <c r="HU30" i="1"/>
  <c r="FY30" i="1"/>
  <c r="FM30" i="1"/>
  <c r="FA30" i="1"/>
  <c r="EO30" i="1"/>
  <c r="EC30" i="1"/>
  <c r="DQ30" i="1"/>
  <c r="DE30" i="1"/>
  <c r="CS30" i="1"/>
  <c r="CG30" i="1"/>
  <c r="BU30" i="1"/>
  <c r="BI30" i="1"/>
  <c r="AW30" i="1"/>
  <c r="AK30" i="1"/>
  <c r="Y30" i="1"/>
  <c r="M30" i="1"/>
  <c r="DH30" i="1"/>
  <c r="IJ30" i="1"/>
  <c r="ER30" i="1"/>
  <c r="AZ30" i="1"/>
  <c r="P30" i="1"/>
  <c r="GB30" i="1"/>
  <c r="CJ30" i="1"/>
  <c r="DT30" i="1"/>
  <c r="AB30" i="1"/>
  <c r="HX30" i="1"/>
  <c r="EF30" i="1"/>
  <c r="AN30" i="1"/>
  <c r="V30" i="1"/>
  <c r="G30" i="1"/>
  <c r="JH30" i="1"/>
  <c r="FP30" i="1"/>
  <c r="BX30" i="1"/>
  <c r="FD30" i="1"/>
  <c r="IV30" i="1"/>
  <c r="CV30" i="1"/>
  <c r="J30" i="1"/>
  <c r="BL30" i="1"/>
  <c r="E40" i="27"/>
  <c r="IY23" i="1"/>
  <c r="IM23" i="1"/>
  <c r="IA23" i="1"/>
  <c r="HO23" i="1"/>
  <c r="HC23" i="1"/>
  <c r="GQ23" i="1"/>
  <c r="GE23" i="1"/>
  <c r="FS23" i="1"/>
  <c r="FG23" i="1"/>
  <c r="EU23" i="1"/>
  <c r="EI23" i="1"/>
  <c r="DW23" i="1"/>
  <c r="DK23" i="1"/>
  <c r="CY23" i="1"/>
  <c r="CM23" i="1"/>
  <c r="CA23" i="1"/>
  <c r="BO23" i="1"/>
  <c r="BC23" i="1"/>
  <c r="AQ23" i="1"/>
  <c r="AE23" i="1"/>
  <c r="S23" i="1"/>
  <c r="G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JH23" i="1"/>
  <c r="FP23" i="1"/>
  <c r="BX23" i="1"/>
  <c r="IJ23" i="1"/>
  <c r="ER23" i="1"/>
  <c r="AZ23" i="1"/>
  <c r="GB23" i="1"/>
  <c r="CJ23" i="1"/>
  <c r="HL23" i="1"/>
  <c r="DT23" i="1"/>
  <c r="AB23" i="1"/>
  <c r="GN23" i="1"/>
  <c r="CV23" i="1"/>
  <c r="BL23" i="1"/>
  <c r="AN23" i="1"/>
  <c r="IV23" i="1"/>
  <c r="P23" i="1"/>
  <c r="HX23" i="1"/>
  <c r="EF23" i="1"/>
  <c r="FD23" i="1"/>
  <c r="DH23" i="1"/>
  <c r="GZ23" i="1"/>
  <c r="X190" i="54"/>
  <c r="O43" i="52" s="1"/>
  <c r="P43" i="52" s="1"/>
  <c r="Q43" i="52" s="1"/>
  <c r="X193" i="54"/>
  <c r="JH34" i="1"/>
  <c r="IV34" i="1"/>
  <c r="IJ34" i="1"/>
  <c r="HX34" i="1"/>
  <c r="HL34" i="1"/>
  <c r="GB34" i="1"/>
  <c r="FP34" i="1"/>
  <c r="FD34" i="1"/>
  <c r="ER34" i="1"/>
  <c r="EF34" i="1"/>
  <c r="DT34" i="1"/>
  <c r="DH34" i="1"/>
  <c r="CV34" i="1"/>
  <c r="CJ34" i="1"/>
  <c r="BX34" i="1"/>
  <c r="BL34" i="1"/>
  <c r="AZ34" i="1"/>
  <c r="AN34" i="1"/>
  <c r="AB34" i="1"/>
  <c r="P34" i="1"/>
  <c r="JE34" i="1"/>
  <c r="IS34" i="1"/>
  <c r="IG34" i="1"/>
  <c r="HU34" i="1"/>
  <c r="HI34" i="1"/>
  <c r="FY34" i="1"/>
  <c r="FM34" i="1"/>
  <c r="FA34" i="1"/>
  <c r="EO34" i="1"/>
  <c r="EC34" i="1"/>
  <c r="DQ34" i="1"/>
  <c r="DE34" i="1"/>
  <c r="CS34" i="1"/>
  <c r="CG34" i="1"/>
  <c r="BU34" i="1"/>
  <c r="BI34" i="1"/>
  <c r="AW34" i="1"/>
  <c r="AK34" i="1"/>
  <c r="Y34" i="1"/>
  <c r="M34" i="1"/>
  <c r="JB34" i="1"/>
  <c r="IP34" i="1"/>
  <c r="ID34" i="1"/>
  <c r="HR34" i="1"/>
  <c r="HF34" i="1"/>
  <c r="GH34" i="1"/>
  <c r="FV34" i="1"/>
  <c r="FJ34" i="1"/>
  <c r="EX34" i="1"/>
  <c r="EL34" i="1"/>
  <c r="DZ34" i="1"/>
  <c r="DN34" i="1"/>
  <c r="DB34" i="1"/>
  <c r="CP34" i="1"/>
  <c r="CD34" i="1"/>
  <c r="BR34" i="1"/>
  <c r="BF34" i="1"/>
  <c r="AT34" i="1"/>
  <c r="AH34" i="1"/>
  <c r="V34" i="1"/>
  <c r="J34" i="1"/>
  <c r="IY34" i="1"/>
  <c r="IM34" i="1"/>
  <c r="IA34" i="1"/>
  <c r="HO34" i="1"/>
  <c r="HC34" i="1"/>
  <c r="GE34" i="1"/>
  <c r="FS34" i="1"/>
  <c r="FG34" i="1"/>
  <c r="EU34" i="1"/>
  <c r="EI34" i="1"/>
  <c r="DW34" i="1"/>
  <c r="DK34" i="1"/>
  <c r="CY34" i="1"/>
  <c r="CM34" i="1"/>
  <c r="CA34" i="1"/>
  <c r="BO34" i="1"/>
  <c r="BC34" i="1"/>
  <c r="AQ34" i="1"/>
  <c r="AE34" i="1"/>
  <c r="S34" i="1"/>
  <c r="G34" i="1"/>
  <c r="JE16" i="1"/>
  <c r="IS16" i="1"/>
  <c r="IJ16" i="1"/>
  <c r="HX16" i="1"/>
  <c r="HL16" i="1"/>
  <c r="GZ16" i="1"/>
  <c r="GN16" i="1"/>
  <c r="GB16" i="1"/>
  <c r="FP16" i="1"/>
  <c r="FD16" i="1"/>
  <c r="ER16" i="1"/>
  <c r="EF16" i="1"/>
  <c r="DT16" i="1"/>
  <c r="DH16" i="1"/>
  <c r="CV16" i="1"/>
  <c r="CJ16" i="1"/>
  <c r="BX16" i="1"/>
  <c r="BL16" i="1"/>
  <c r="AZ16" i="1"/>
  <c r="AN16" i="1"/>
  <c r="AB16" i="1"/>
  <c r="P16" i="1"/>
  <c r="IV16" i="1"/>
  <c r="JH16" i="1"/>
  <c r="IG16" i="1"/>
  <c r="HU16" i="1"/>
  <c r="HI16" i="1"/>
  <c r="GK16" i="1"/>
  <c r="FY16" i="1"/>
  <c r="FM16" i="1"/>
  <c r="FA16" i="1"/>
  <c r="EO16" i="1"/>
  <c r="EC16" i="1"/>
  <c r="DQ16" i="1"/>
  <c r="DE16" i="1"/>
  <c r="CS16" i="1"/>
  <c r="CG16" i="1"/>
  <c r="BU16" i="1"/>
  <c r="BI16" i="1"/>
  <c r="AW16" i="1"/>
  <c r="AK16" i="1"/>
  <c r="Y16" i="1"/>
  <c r="M16" i="1"/>
  <c r="IM16" i="1"/>
  <c r="IA16" i="1"/>
  <c r="HO16" i="1"/>
  <c r="HC16" i="1"/>
  <c r="GQ16" i="1"/>
  <c r="GE16" i="1"/>
  <c r="FS16" i="1"/>
  <c r="FG16" i="1"/>
  <c r="EU16" i="1"/>
  <c r="EI16" i="1"/>
  <c r="DW16" i="1"/>
  <c r="DK16" i="1"/>
  <c r="CY16" i="1"/>
  <c r="CM16" i="1"/>
  <c r="CA16" i="1"/>
  <c r="BO16" i="1"/>
  <c r="BC16" i="1"/>
  <c r="AQ16" i="1"/>
  <c r="AE16" i="1"/>
  <c r="S16" i="1"/>
  <c r="G16" i="1"/>
  <c r="IY16" i="1"/>
  <c r="GT16" i="1"/>
  <c r="DB16" i="1"/>
  <c r="J16" i="1"/>
  <c r="ID16" i="1"/>
  <c r="EL16" i="1"/>
  <c r="AT16" i="1"/>
  <c r="FV16" i="1"/>
  <c r="CD16" i="1"/>
  <c r="HF16" i="1"/>
  <c r="DN16" i="1"/>
  <c r="IP16" i="1"/>
  <c r="EX16" i="1"/>
  <c r="BF16" i="1"/>
  <c r="GH16" i="1"/>
  <c r="CP16" i="1"/>
  <c r="JB16" i="1"/>
  <c r="HR16" i="1"/>
  <c r="DZ16" i="1"/>
  <c r="AH16" i="1"/>
  <c r="FJ16" i="1"/>
  <c r="BR16" i="1"/>
  <c r="JB21" i="1"/>
  <c r="IP21" i="1"/>
  <c r="ID21" i="1"/>
  <c r="HR21" i="1"/>
  <c r="HF21" i="1"/>
  <c r="GT21" i="1"/>
  <c r="GH21" i="1"/>
  <c r="FV21" i="1"/>
  <c r="FJ21" i="1"/>
  <c r="EX21" i="1"/>
  <c r="EL21" i="1"/>
  <c r="DZ21" i="1"/>
  <c r="DN21" i="1"/>
  <c r="DB21" i="1"/>
  <c r="CP21" i="1"/>
  <c r="CD21" i="1"/>
  <c r="BR21" i="1"/>
  <c r="BF21" i="1"/>
  <c r="AT21" i="1"/>
  <c r="AH21" i="1"/>
  <c r="V21" i="1"/>
  <c r="J21" i="1"/>
  <c r="JE21" i="1"/>
  <c r="IS21" i="1"/>
  <c r="IG21" i="1"/>
  <c r="HU21" i="1"/>
  <c r="HI21" i="1"/>
  <c r="GW21" i="1"/>
  <c r="GK21" i="1"/>
  <c r="FY21" i="1"/>
  <c r="FM21" i="1"/>
  <c r="FA21" i="1"/>
  <c r="EO21" i="1"/>
  <c r="EC21" i="1"/>
  <c r="DQ21" i="1"/>
  <c r="DE21" i="1"/>
  <c r="CS21" i="1"/>
  <c r="CG21" i="1"/>
  <c r="BU21" i="1"/>
  <c r="BI21" i="1"/>
  <c r="AW21" i="1"/>
  <c r="AK21" i="1"/>
  <c r="Y21" i="1"/>
  <c r="M21" i="1"/>
  <c r="IY21" i="1"/>
  <c r="IJ21" i="1"/>
  <c r="HC21" i="1"/>
  <c r="GN21" i="1"/>
  <c r="FG21" i="1"/>
  <c r="ER21" i="1"/>
  <c r="DK21" i="1"/>
  <c r="CV21" i="1"/>
  <c r="BO21" i="1"/>
  <c r="AZ21" i="1"/>
  <c r="S21" i="1"/>
  <c r="JH21" i="1"/>
  <c r="HX21" i="1"/>
  <c r="DW21" i="1"/>
  <c r="CM21" i="1"/>
  <c r="BX21" i="1"/>
  <c r="AN21" i="1"/>
  <c r="IM21" i="1"/>
  <c r="FD21" i="1"/>
  <c r="BC21" i="1"/>
  <c r="FS21" i="1"/>
  <c r="EI21" i="1"/>
  <c r="DT21" i="1"/>
  <c r="CJ21" i="1"/>
  <c r="GZ21" i="1"/>
  <c r="CY21" i="1"/>
  <c r="P21" i="1"/>
  <c r="IA21" i="1"/>
  <c r="HL21" i="1"/>
  <c r="GB21" i="1"/>
  <c r="CA21" i="1"/>
  <c r="AQ21" i="1"/>
  <c r="AB21" i="1"/>
  <c r="GQ21" i="1"/>
  <c r="G21" i="1"/>
  <c r="DH21" i="1"/>
  <c r="IV21" i="1"/>
  <c r="FP21" i="1"/>
  <c r="EU21" i="1"/>
  <c r="BL21" i="1"/>
  <c r="GE21" i="1"/>
  <c r="HO21" i="1"/>
  <c r="AE21" i="1"/>
  <c r="E40" i="29"/>
  <c r="JB18" i="1"/>
  <c r="IP18" i="1"/>
  <c r="ID18" i="1"/>
  <c r="HR18" i="1"/>
  <c r="HF18" i="1"/>
  <c r="GT18" i="1"/>
  <c r="GH18" i="1"/>
  <c r="FV18" i="1"/>
  <c r="FJ18" i="1"/>
  <c r="EX18" i="1"/>
  <c r="EL18" i="1"/>
  <c r="DZ18" i="1"/>
  <c r="DN18" i="1"/>
  <c r="DB18" i="1"/>
  <c r="CP18" i="1"/>
  <c r="CD18" i="1"/>
  <c r="BR18" i="1"/>
  <c r="BF18" i="1"/>
  <c r="AT18" i="1"/>
  <c r="AH18" i="1"/>
  <c r="V18" i="1"/>
  <c r="J18" i="1"/>
  <c r="JE18" i="1"/>
  <c r="HO18" i="1"/>
  <c r="GN18" i="1"/>
  <c r="FM18" i="1"/>
  <c r="DW18" i="1"/>
  <c r="CV18" i="1"/>
  <c r="BU18" i="1"/>
  <c r="AE18" i="1"/>
  <c r="IA18" i="1"/>
  <c r="GZ18" i="1"/>
  <c r="FY18" i="1"/>
  <c r="EI18" i="1"/>
  <c r="DH18" i="1"/>
  <c r="CG18" i="1"/>
  <c r="AQ18" i="1"/>
  <c r="P18" i="1"/>
  <c r="IM18" i="1"/>
  <c r="HL18" i="1"/>
  <c r="GK18" i="1"/>
  <c r="EU18" i="1"/>
  <c r="DT18" i="1"/>
  <c r="CS18" i="1"/>
  <c r="BC18" i="1"/>
  <c r="AB18" i="1"/>
  <c r="IY18" i="1"/>
  <c r="HX18" i="1"/>
  <c r="GW18" i="1"/>
  <c r="FG18" i="1"/>
  <c r="EF18" i="1"/>
  <c r="DE18" i="1"/>
  <c r="BO18" i="1"/>
  <c r="AN18" i="1"/>
  <c r="M18" i="1"/>
  <c r="JH18" i="1"/>
  <c r="IG18" i="1"/>
  <c r="GQ18" i="1"/>
  <c r="FP18" i="1"/>
  <c r="EO18" i="1"/>
  <c r="CY18" i="1"/>
  <c r="BX18" i="1"/>
  <c r="AW18" i="1"/>
  <c r="G18" i="1"/>
  <c r="IS18" i="1"/>
  <c r="DQ18" i="1"/>
  <c r="BL18" i="1"/>
  <c r="FS18" i="1"/>
  <c r="FA18" i="1"/>
  <c r="Y18" i="1"/>
  <c r="HU18" i="1"/>
  <c r="HC18" i="1"/>
  <c r="CA18" i="1"/>
  <c r="BI18" i="1"/>
  <c r="GE18" i="1"/>
  <c r="EC18" i="1"/>
  <c r="DK18" i="1"/>
  <c r="IJ18" i="1"/>
  <c r="CM18" i="1"/>
  <c r="AK18" i="1"/>
  <c r="S18" i="1"/>
  <c r="GB18" i="1"/>
  <c r="ER18" i="1"/>
  <c r="IV18" i="1"/>
  <c r="CJ18" i="1"/>
  <c r="AZ18" i="1"/>
  <c r="HI18" i="1"/>
  <c r="FD18" i="1"/>
  <c r="JB35" i="1"/>
  <c r="IP35" i="1"/>
  <c r="ID35" i="1"/>
  <c r="HR35" i="1"/>
  <c r="HF35" i="1"/>
  <c r="GH35" i="1"/>
  <c r="FV35" i="1"/>
  <c r="FJ35" i="1"/>
  <c r="EX35" i="1"/>
  <c r="EL35" i="1"/>
  <c r="JH35" i="1"/>
  <c r="IV35" i="1"/>
  <c r="IJ35" i="1"/>
  <c r="HX35" i="1"/>
  <c r="HL35" i="1"/>
  <c r="GZ35" i="1"/>
  <c r="HU35" i="1"/>
  <c r="FM35" i="1"/>
  <c r="IY35" i="1"/>
  <c r="HC35" i="1"/>
  <c r="FY35" i="1"/>
  <c r="EI35" i="1"/>
  <c r="DW35" i="1"/>
  <c r="DK35" i="1"/>
  <c r="CY35" i="1"/>
  <c r="CM35" i="1"/>
  <c r="CA35" i="1"/>
  <c r="BO35" i="1"/>
  <c r="BC35" i="1"/>
  <c r="AQ35" i="1"/>
  <c r="AE35" i="1"/>
  <c r="S35" i="1"/>
  <c r="G35" i="1"/>
  <c r="IG35" i="1"/>
  <c r="EU35" i="1"/>
  <c r="HO35" i="1"/>
  <c r="FG35" i="1"/>
  <c r="EF35" i="1"/>
  <c r="DT35" i="1"/>
  <c r="DH35" i="1"/>
  <c r="CV35" i="1"/>
  <c r="CJ35" i="1"/>
  <c r="BX35" i="1"/>
  <c r="BL35" i="1"/>
  <c r="AZ35" i="1"/>
  <c r="AN35" i="1"/>
  <c r="AB35" i="1"/>
  <c r="P35" i="1"/>
  <c r="IS35" i="1"/>
  <c r="FS35" i="1"/>
  <c r="ER35" i="1"/>
  <c r="JE35" i="1"/>
  <c r="HI35" i="1"/>
  <c r="FP35" i="1"/>
  <c r="EO35" i="1"/>
  <c r="FA35" i="1"/>
  <c r="IA35" i="1"/>
  <c r="EC35" i="1"/>
  <c r="DN35" i="1"/>
  <c r="CG35" i="1"/>
  <c r="BR35" i="1"/>
  <c r="AK35" i="1"/>
  <c r="V35" i="1"/>
  <c r="GE35" i="1"/>
  <c r="DZ35" i="1"/>
  <c r="CS35" i="1"/>
  <c r="CD35" i="1"/>
  <c r="AW35" i="1"/>
  <c r="AH35" i="1"/>
  <c r="FD35" i="1"/>
  <c r="DQ35" i="1"/>
  <c r="DB35" i="1"/>
  <c r="BU35" i="1"/>
  <c r="BF35" i="1"/>
  <c r="Y35" i="1"/>
  <c r="J35" i="1"/>
  <c r="IM35" i="1"/>
  <c r="DE35" i="1"/>
  <c r="AT35" i="1"/>
  <c r="BI35" i="1"/>
  <c r="M35" i="1"/>
  <c r="GB35" i="1"/>
  <c r="CP35" i="1"/>
  <c r="E29" i="2"/>
  <c r="E31" i="2"/>
  <c r="E21" i="2"/>
  <c r="EW21" i="2" s="1"/>
  <c r="E36" i="2"/>
  <c r="EY36" i="2" s="1"/>
  <c r="E27" i="2"/>
  <c r="EW27" i="2" s="1"/>
  <c r="E28" i="2"/>
  <c r="EY28" i="2" s="1"/>
  <c r="E35" i="2"/>
  <c r="EW35" i="2" s="1"/>
  <c r="E24" i="2"/>
  <c r="EY24" i="2" s="1"/>
  <c r="E17" i="2"/>
  <c r="EW17" i="2" s="1"/>
  <c r="E22" i="2"/>
  <c r="EW22" i="2" s="1"/>
  <c r="E19" i="2"/>
  <c r="EY19" i="2" s="1"/>
  <c r="E20" i="2"/>
  <c r="EY20" i="2" s="1"/>
  <c r="E23" i="2"/>
  <c r="EY23" i="2" s="1"/>
  <c r="E25" i="2"/>
  <c r="EY25" i="2" s="1"/>
  <c r="I45" i="33"/>
  <c r="L45" i="33"/>
  <c r="I48" i="33"/>
  <c r="I51" i="33"/>
  <c r="J45" i="33"/>
  <c r="J40" i="32"/>
  <c r="M45" i="33"/>
  <c r="M48" i="33"/>
  <c r="J48" i="33"/>
  <c r="K57" i="33"/>
  <c r="K56" i="33"/>
  <c r="J51" i="33"/>
  <c r="J41" i="33"/>
  <c r="W197" i="46"/>
  <c r="M7" i="31"/>
  <c r="M7" i="30" s="1"/>
  <c r="M7" i="29" s="1"/>
  <c r="M7" i="27" s="1"/>
  <c r="M7" i="28" s="1"/>
  <c r="M7" i="26" s="1"/>
  <c r="M7" i="25" s="1"/>
  <c r="M7" i="24" s="1"/>
  <c r="M7" i="23" s="1"/>
  <c r="M7" i="21" s="1"/>
  <c r="M7" i="22" s="1"/>
  <c r="M7" i="20" s="1"/>
  <c r="M7" i="19" s="1"/>
  <c r="M7" i="18" s="1"/>
  <c r="M7" i="17" s="1"/>
  <c r="M7" i="16" s="1"/>
  <c r="M7" i="15" s="1"/>
  <c r="M7" i="14" s="1"/>
  <c r="M7" i="13" s="1"/>
  <c r="M7" i="12" s="1"/>
  <c r="M7" i="11" s="1"/>
  <c r="M7" i="10" s="1"/>
  <c r="M7" i="9" s="1"/>
  <c r="M7" i="8" s="1"/>
  <c r="M7" i="7" s="1"/>
  <c r="M7" i="6" s="1"/>
  <c r="M7" i="37" s="1"/>
  <c r="M7" i="4" s="1"/>
  <c r="M7" i="43" s="1"/>
  <c r="M34" i="32"/>
  <c r="A14" i="1"/>
  <c r="A15" i="2" s="1"/>
  <c r="D46" i="27"/>
  <c r="D46" i="28" s="1"/>
  <c r="E46" i="30"/>
  <c r="J46" i="30"/>
  <c r="J46" i="29" s="1"/>
  <c r="J46" i="27" s="1"/>
  <c r="J46" i="28" s="1"/>
  <c r="J46" i="26" s="1"/>
  <c r="J46" i="25" s="1"/>
  <c r="J46" i="24" s="1"/>
  <c r="J46" i="23" s="1"/>
  <c r="J46" i="21" s="1"/>
  <c r="J46" i="22" s="1"/>
  <c r="J46" i="20" s="1"/>
  <c r="J46" i="19" s="1"/>
  <c r="J46" i="18" s="1"/>
  <c r="J46" i="17" s="1"/>
  <c r="J46" i="16" s="1"/>
  <c r="J46" i="15" s="1"/>
  <c r="J46" i="14" s="1"/>
  <c r="J46" i="13" s="1"/>
  <c r="J46" i="12" s="1"/>
  <c r="J46" i="11" s="1"/>
  <c r="J46" i="10" s="1"/>
  <c r="J46" i="9" s="1"/>
  <c r="J46" i="8" s="1"/>
  <c r="J46" i="7" s="1"/>
  <c r="J46" i="6" s="1"/>
  <c r="J46" i="37" s="1"/>
  <c r="J46" i="4" s="1"/>
  <c r="J46" i="43" s="1"/>
  <c r="I40" i="31"/>
  <c r="D47" i="29"/>
  <c r="E47" i="29" s="1"/>
  <c r="J44" i="27"/>
  <c r="J38" i="28"/>
  <c r="M47" i="27"/>
  <c r="M44" i="27"/>
  <c r="D48" i="27"/>
  <c r="E48" i="29"/>
  <c r="D44" i="29"/>
  <c r="E44" i="29" s="1"/>
  <c r="D42" i="26"/>
  <c r="E42" i="26" s="1"/>
  <c r="E42" i="27"/>
  <c r="D38" i="27"/>
  <c r="E38" i="29"/>
  <c r="D51" i="29"/>
  <c r="E51" i="30"/>
  <c r="E52" i="31"/>
  <c r="E53" i="31" s="1"/>
  <c r="E43" i="29"/>
  <c r="D43" i="27"/>
  <c r="E40" i="28"/>
  <c r="D40" i="26"/>
  <c r="D39" i="27"/>
  <c r="E39" i="29"/>
  <c r="E45" i="29"/>
  <c r="D45" i="27"/>
  <c r="D41" i="29"/>
  <c r="E41" i="30"/>
  <c r="D52" i="30"/>
  <c r="D53" i="30" s="1"/>
  <c r="E50" i="30"/>
  <c r="D50" i="29"/>
  <c r="M43" i="37"/>
  <c r="J39" i="30"/>
  <c r="J37" i="29"/>
  <c r="E49" i="30"/>
  <c r="D49" i="29"/>
  <c r="M8" i="29"/>
  <c r="J57" i="23"/>
  <c r="AU18" i="39"/>
  <c r="EW13" i="2" l="1"/>
  <c r="EY30" i="2"/>
  <c r="R8" i="45"/>
  <c r="U8" i="45"/>
  <c r="K8" i="45"/>
  <c r="R35" i="45"/>
  <c r="G13" i="45"/>
  <c r="K13" i="45"/>
  <c r="U12" i="45"/>
  <c r="R12" i="45"/>
  <c r="O13" i="45"/>
  <c r="G12" i="45"/>
  <c r="U13" i="45"/>
  <c r="K12" i="45"/>
  <c r="AK12" i="39"/>
  <c r="AQ12" i="39"/>
  <c r="C9" i="45"/>
  <c r="U9" i="45" s="1"/>
  <c r="BJ10" i="39"/>
  <c r="G35" i="45"/>
  <c r="K35" i="45"/>
  <c r="O35" i="45"/>
  <c r="O8" i="45"/>
  <c r="EY33" i="2"/>
  <c r="I10" i="39"/>
  <c r="AX10" i="39"/>
  <c r="AR10" i="39"/>
  <c r="BD10" i="39"/>
  <c r="T10" i="39"/>
  <c r="AL10" i="39"/>
  <c r="BN10" i="39"/>
  <c r="E10" i="1"/>
  <c r="EW16" i="2"/>
  <c r="EY16" i="2"/>
  <c r="J11" i="19"/>
  <c r="J11" i="18" s="1"/>
  <c r="J27" i="4"/>
  <c r="J27" i="43" s="1"/>
  <c r="J15" i="4"/>
  <c r="J15" i="43" s="1"/>
  <c r="J17" i="4"/>
  <c r="J17" i="43" s="1"/>
  <c r="J10" i="37"/>
  <c r="J10" i="4" s="1"/>
  <c r="J10" i="43" s="1"/>
  <c r="W9" i="39"/>
  <c r="AS9" i="39"/>
  <c r="BO9" i="39"/>
  <c r="U9" i="39"/>
  <c r="AM9" i="39"/>
  <c r="K9" i="39"/>
  <c r="BE9" i="39"/>
  <c r="AY9" i="39"/>
  <c r="EI14" i="1"/>
  <c r="AW14" i="1"/>
  <c r="E15" i="2"/>
  <c r="EW15" i="2" s="1"/>
  <c r="GW36" i="1"/>
  <c r="HL36" i="1"/>
  <c r="DH36" i="1"/>
  <c r="P36" i="1"/>
  <c r="FA36" i="1"/>
  <c r="BI36" i="1"/>
  <c r="HO36" i="1"/>
  <c r="DK36" i="1"/>
  <c r="S36" i="1"/>
  <c r="GH36" i="1"/>
  <c r="ID36" i="1"/>
  <c r="GN36" i="1"/>
  <c r="GZ36" i="1"/>
  <c r="CV36" i="1"/>
  <c r="JE36" i="1"/>
  <c r="EO36" i="1"/>
  <c r="AW36" i="1"/>
  <c r="HC36" i="1"/>
  <c r="CY36" i="1"/>
  <c r="G36" i="1"/>
  <c r="CP36" i="1"/>
  <c r="EL36" i="1"/>
  <c r="GQ36" i="1"/>
  <c r="GB36" i="1"/>
  <c r="CJ36" i="1"/>
  <c r="IS36" i="1"/>
  <c r="EC36" i="1"/>
  <c r="AK36" i="1"/>
  <c r="GE36" i="1"/>
  <c r="CM36" i="1"/>
  <c r="HF36" i="1"/>
  <c r="HR36" i="1"/>
  <c r="AT36" i="1"/>
  <c r="E37" i="2"/>
  <c r="GT36" i="1"/>
  <c r="FP36" i="1"/>
  <c r="BX36" i="1"/>
  <c r="IG36" i="1"/>
  <c r="DQ36" i="1"/>
  <c r="Y36" i="1"/>
  <c r="FS36" i="1"/>
  <c r="CA36" i="1"/>
  <c r="DN36" i="1"/>
  <c r="DZ36" i="1"/>
  <c r="FV36" i="1"/>
  <c r="JH36" i="1"/>
  <c r="FD36" i="1"/>
  <c r="BL36" i="1"/>
  <c r="HU36" i="1"/>
  <c r="DE36" i="1"/>
  <c r="M36" i="1"/>
  <c r="FG36" i="1"/>
  <c r="BO36" i="1"/>
  <c r="V36" i="1"/>
  <c r="AH36" i="1"/>
  <c r="DB36" i="1"/>
  <c r="IV36" i="1"/>
  <c r="ER36" i="1"/>
  <c r="AZ36" i="1"/>
  <c r="HI36" i="1"/>
  <c r="CS36" i="1"/>
  <c r="IY36" i="1"/>
  <c r="EU36" i="1"/>
  <c r="BC36" i="1"/>
  <c r="IP36" i="1"/>
  <c r="JB36" i="1"/>
  <c r="CD36" i="1"/>
  <c r="IJ36" i="1"/>
  <c r="EF36" i="1"/>
  <c r="AN36" i="1"/>
  <c r="FY36" i="1"/>
  <c r="CG36" i="1"/>
  <c r="IM36" i="1"/>
  <c r="EI36" i="1"/>
  <c r="AQ36" i="1"/>
  <c r="EX36" i="1"/>
  <c r="FJ36" i="1"/>
  <c r="J36" i="1"/>
  <c r="GK36" i="1"/>
  <c r="HX36" i="1"/>
  <c r="DT36" i="1"/>
  <c r="AB36" i="1"/>
  <c r="FM36" i="1"/>
  <c r="BU36" i="1"/>
  <c r="IA36" i="1"/>
  <c r="DW36" i="1"/>
  <c r="AE36" i="1"/>
  <c r="BF36" i="1"/>
  <c r="BR36" i="1"/>
  <c r="J19" i="12"/>
  <c r="J19" i="11" s="1"/>
  <c r="J19" i="10" s="1"/>
  <c r="J19" i="9" s="1"/>
  <c r="J19" i="8" s="1"/>
  <c r="J19" i="7" s="1"/>
  <c r="J19" i="6" s="1"/>
  <c r="J19" i="37" s="1"/>
  <c r="J59" i="23"/>
  <c r="I45" i="11"/>
  <c r="L45" i="11"/>
  <c r="R31" i="39"/>
  <c r="I48" i="11"/>
  <c r="J21" i="16"/>
  <c r="J21" i="15" s="1"/>
  <c r="J21" i="14" s="1"/>
  <c r="J21" i="13" s="1"/>
  <c r="J21" i="11" s="1"/>
  <c r="J21" i="10" s="1"/>
  <c r="J21" i="9" s="1"/>
  <c r="J21" i="8" s="1"/>
  <c r="J21" i="7" s="1"/>
  <c r="J21" i="6" s="1"/>
  <c r="J21" i="37" s="1"/>
  <c r="EY17" i="2"/>
  <c r="BL14" i="1"/>
  <c r="EO14" i="1"/>
  <c r="IV14" i="1"/>
  <c r="IG14" i="1"/>
  <c r="GN14" i="1"/>
  <c r="CY14" i="1"/>
  <c r="V14" i="1"/>
  <c r="DN14" i="1"/>
  <c r="HF14" i="1"/>
  <c r="J56" i="22"/>
  <c r="J59" i="21"/>
  <c r="J9" i="20"/>
  <c r="J9" i="19" s="1"/>
  <c r="J9" i="18" s="1"/>
  <c r="J9" i="17" s="1"/>
  <c r="J9" i="16" s="1"/>
  <c r="J9" i="15" s="1"/>
  <c r="J9" i="14" s="1"/>
  <c r="J9" i="13" s="1"/>
  <c r="J9" i="12" s="1"/>
  <c r="J9" i="11" s="1"/>
  <c r="J9" i="10" s="1"/>
  <c r="DT14" i="1"/>
  <c r="AE14" i="1"/>
  <c r="HO14" i="1"/>
  <c r="FG14" i="1"/>
  <c r="CJ14" i="1"/>
  <c r="J14" i="1"/>
  <c r="DB14" i="1"/>
  <c r="GT14" i="1"/>
  <c r="AK14" i="1"/>
  <c r="EC14" i="1"/>
  <c r="HU14" i="1"/>
  <c r="FP14" i="1"/>
  <c r="CA14" i="1"/>
  <c r="S14" i="1"/>
  <c r="HC14" i="1"/>
  <c r="EF14" i="1"/>
  <c r="AH14" i="1"/>
  <c r="DZ14" i="1"/>
  <c r="HR14" i="1"/>
  <c r="BI14" i="1"/>
  <c r="FA14" i="1"/>
  <c r="IS14" i="1"/>
  <c r="GE14" i="1"/>
  <c r="DH14" i="1"/>
  <c r="AZ14" i="1"/>
  <c r="IJ14" i="1"/>
  <c r="EU14" i="1"/>
  <c r="AT14" i="1"/>
  <c r="EL14" i="1"/>
  <c r="ID14" i="1"/>
  <c r="BU14" i="1"/>
  <c r="FM14" i="1"/>
  <c r="JE14" i="1"/>
  <c r="AB14" i="1"/>
  <c r="HL14" i="1"/>
  <c r="DW14" i="1"/>
  <c r="BO14" i="1"/>
  <c r="IY14" i="1"/>
  <c r="GB14" i="1"/>
  <c r="BF14" i="1"/>
  <c r="EX14" i="1"/>
  <c r="IP14" i="1"/>
  <c r="CG14" i="1"/>
  <c r="FY14" i="1"/>
  <c r="AQ14" i="1"/>
  <c r="IA14" i="1"/>
  <c r="FD14" i="1"/>
  <c r="CV14" i="1"/>
  <c r="G14" i="1"/>
  <c r="GQ14" i="1"/>
  <c r="BR14" i="1"/>
  <c r="FJ14" i="1"/>
  <c r="JB14" i="1"/>
  <c r="CS14" i="1"/>
  <c r="GK14" i="1"/>
  <c r="BX14" i="1"/>
  <c r="JH14" i="1"/>
  <c r="FS14" i="1"/>
  <c r="DK14" i="1"/>
  <c r="AN14" i="1"/>
  <c r="HX14" i="1"/>
  <c r="CD14" i="1"/>
  <c r="FV14" i="1"/>
  <c r="M14" i="1"/>
  <c r="DE14" i="1"/>
  <c r="GW14" i="1"/>
  <c r="CM14" i="1"/>
  <c r="P14" i="1"/>
  <c r="GZ14" i="1"/>
  <c r="ER14" i="1"/>
  <c r="BC14" i="1"/>
  <c r="IM14" i="1"/>
  <c r="CP14" i="1"/>
  <c r="GH14" i="1"/>
  <c r="Y14" i="1"/>
  <c r="DQ14" i="1"/>
  <c r="EY35" i="2"/>
  <c r="EW26" i="2"/>
  <c r="GH13" i="1"/>
  <c r="CP13" i="1"/>
  <c r="IY13" i="1"/>
  <c r="FG13" i="1"/>
  <c r="BO13" i="1"/>
  <c r="IG13" i="1"/>
  <c r="EO13" i="1"/>
  <c r="AW13" i="1"/>
  <c r="ER13" i="1"/>
  <c r="FD13" i="1"/>
  <c r="FP13" i="1"/>
  <c r="E14" i="2"/>
  <c r="FS13" i="1"/>
  <c r="FV13" i="1"/>
  <c r="CD13" i="1"/>
  <c r="IM13" i="1"/>
  <c r="EU13" i="1"/>
  <c r="BC13" i="1"/>
  <c r="HU13" i="1"/>
  <c r="EC13" i="1"/>
  <c r="AK13" i="1"/>
  <c r="AZ13" i="1"/>
  <c r="BL13" i="1"/>
  <c r="BX13" i="1"/>
  <c r="GT13" i="1"/>
  <c r="FA13" i="1"/>
  <c r="IV13" i="1"/>
  <c r="JB13" i="1"/>
  <c r="FJ13" i="1"/>
  <c r="BR13" i="1"/>
  <c r="IA13" i="1"/>
  <c r="EI13" i="1"/>
  <c r="AQ13" i="1"/>
  <c r="HI13" i="1"/>
  <c r="DQ13" i="1"/>
  <c r="Y13" i="1"/>
  <c r="GB13" i="1"/>
  <c r="GN13" i="1"/>
  <c r="J13" i="1"/>
  <c r="IP13" i="1"/>
  <c r="EX13" i="1"/>
  <c r="BF13" i="1"/>
  <c r="HO13" i="1"/>
  <c r="DW13" i="1"/>
  <c r="AE13" i="1"/>
  <c r="GW13" i="1"/>
  <c r="DE13" i="1"/>
  <c r="M13" i="1"/>
  <c r="CJ13" i="1"/>
  <c r="CV13" i="1"/>
  <c r="IS13" i="1"/>
  <c r="ID13" i="1"/>
  <c r="EL13" i="1"/>
  <c r="AT13" i="1"/>
  <c r="HC13" i="1"/>
  <c r="DK13" i="1"/>
  <c r="S13" i="1"/>
  <c r="GK13" i="1"/>
  <c r="CS13" i="1"/>
  <c r="GZ13" i="1"/>
  <c r="HL13" i="1"/>
  <c r="HX13" i="1"/>
  <c r="BI13" i="1"/>
  <c r="HR13" i="1"/>
  <c r="DZ13" i="1"/>
  <c r="AH13" i="1"/>
  <c r="GQ13" i="1"/>
  <c r="CY13" i="1"/>
  <c r="G13" i="1"/>
  <c r="FY13" i="1"/>
  <c r="DH13" i="1"/>
  <c r="DT13" i="1"/>
  <c r="EF13" i="1"/>
  <c r="DB13" i="1"/>
  <c r="IJ13" i="1"/>
  <c r="HF13" i="1"/>
  <c r="DN13" i="1"/>
  <c r="V13" i="1"/>
  <c r="GE13" i="1"/>
  <c r="CM13" i="1"/>
  <c r="JE13" i="1"/>
  <c r="FM13" i="1"/>
  <c r="BU13" i="1"/>
  <c r="P13" i="1"/>
  <c r="AB13" i="1"/>
  <c r="AN13" i="1"/>
  <c r="CA13" i="1"/>
  <c r="JH13" i="1"/>
  <c r="EY27" i="2"/>
  <c r="EW28" i="2"/>
  <c r="EW23" i="2"/>
  <c r="EW20" i="2"/>
  <c r="EW25" i="2"/>
  <c r="M34" i="31"/>
  <c r="EY21" i="2"/>
  <c r="EY22" i="2"/>
  <c r="EY29" i="2"/>
  <c r="EW29" i="2"/>
  <c r="EW36" i="2"/>
  <c r="A15" i="1"/>
  <c r="A16" i="2" s="1"/>
  <c r="EW19" i="2"/>
  <c r="EW24" i="2"/>
  <c r="EY31" i="2"/>
  <c r="EW31" i="2"/>
  <c r="M34" i="30"/>
  <c r="X202" i="46"/>
  <c r="K56" i="32"/>
  <c r="M48" i="32"/>
  <c r="K57" i="32"/>
  <c r="J45" i="32"/>
  <c r="M45" i="32"/>
  <c r="J41" i="32"/>
  <c r="J48" i="32"/>
  <c r="E9" i="1"/>
  <c r="E46" i="27"/>
  <c r="J47" i="29"/>
  <c r="J47" i="27"/>
  <c r="J47" i="30"/>
  <c r="L45" i="31"/>
  <c r="I45" i="31"/>
  <c r="R11" i="39"/>
  <c r="I48" i="31"/>
  <c r="J40" i="31"/>
  <c r="D47" i="27"/>
  <c r="D47" i="28" s="1"/>
  <c r="D47" i="26" s="1"/>
  <c r="D44" i="27"/>
  <c r="E44" i="27" s="1"/>
  <c r="D42" i="25"/>
  <c r="D42" i="24" s="1"/>
  <c r="AQ13" i="39"/>
  <c r="Q14" i="39"/>
  <c r="AK13" i="39"/>
  <c r="J47" i="28"/>
  <c r="J38" i="26"/>
  <c r="J44" i="28"/>
  <c r="M47" i="28"/>
  <c r="M44" i="28"/>
  <c r="D48" i="28"/>
  <c r="E48" i="27"/>
  <c r="E51" i="29"/>
  <c r="D51" i="27"/>
  <c r="D38" i="28"/>
  <c r="E38" i="27"/>
  <c r="D43" i="28"/>
  <c r="E43" i="27"/>
  <c r="E40" i="26"/>
  <c r="D40" i="25"/>
  <c r="E46" i="28"/>
  <c r="D46" i="26"/>
  <c r="D39" i="28"/>
  <c r="E39" i="27"/>
  <c r="E49" i="29"/>
  <c r="D49" i="27"/>
  <c r="J39" i="29"/>
  <c r="J37" i="27"/>
  <c r="E52" i="30"/>
  <c r="E53" i="30" s="1"/>
  <c r="D45" i="28"/>
  <c r="E45" i="27"/>
  <c r="M43" i="4"/>
  <c r="D50" i="27"/>
  <c r="E50" i="29"/>
  <c r="D41" i="27"/>
  <c r="E41" i="29"/>
  <c r="D52" i="29"/>
  <c r="D53" i="29" s="1"/>
  <c r="M34" i="29"/>
  <c r="M8" i="27"/>
  <c r="AU19" i="39"/>
  <c r="J57" i="21"/>
  <c r="R9" i="45" l="1"/>
  <c r="G9" i="45"/>
  <c r="O9" i="45"/>
  <c r="K9" i="45"/>
  <c r="C10" i="45"/>
  <c r="U10" i="45" s="1"/>
  <c r="BJ11" i="39"/>
  <c r="C30" i="45"/>
  <c r="K30" i="45" s="1"/>
  <c r="BJ31" i="39"/>
  <c r="EY15" i="2"/>
  <c r="IP10" i="1"/>
  <c r="EX10" i="1"/>
  <c r="BF10" i="1"/>
  <c r="HO10" i="1"/>
  <c r="DW10" i="1"/>
  <c r="AE10" i="1"/>
  <c r="GZ10" i="1"/>
  <c r="DH10" i="1"/>
  <c r="P10" i="1"/>
  <c r="FY10" i="1"/>
  <c r="CG10" i="1"/>
  <c r="ID10" i="1"/>
  <c r="EL10" i="1"/>
  <c r="AT10" i="1"/>
  <c r="HC10" i="1"/>
  <c r="DK10" i="1"/>
  <c r="S10" i="1"/>
  <c r="GN10" i="1"/>
  <c r="CV10" i="1"/>
  <c r="JE10" i="1"/>
  <c r="FM10" i="1"/>
  <c r="BU10" i="1"/>
  <c r="HR10" i="1"/>
  <c r="DZ10" i="1"/>
  <c r="AH10" i="1"/>
  <c r="GQ10" i="1"/>
  <c r="CY10" i="1"/>
  <c r="G10" i="1"/>
  <c r="GB10" i="1"/>
  <c r="CJ10" i="1"/>
  <c r="IS10" i="1"/>
  <c r="FA10" i="1"/>
  <c r="BI10" i="1"/>
  <c r="HF10" i="1"/>
  <c r="DN10" i="1"/>
  <c r="V10" i="1"/>
  <c r="GE10" i="1"/>
  <c r="CM10" i="1"/>
  <c r="JH10" i="1"/>
  <c r="FP10" i="1"/>
  <c r="BX10" i="1"/>
  <c r="IG10" i="1"/>
  <c r="EO10" i="1"/>
  <c r="AK10" i="1"/>
  <c r="GT10" i="1"/>
  <c r="DB10" i="1"/>
  <c r="J10" i="1"/>
  <c r="FS10" i="1"/>
  <c r="CA10" i="1"/>
  <c r="IV10" i="1"/>
  <c r="FD10" i="1"/>
  <c r="BL10" i="1"/>
  <c r="HU10" i="1"/>
  <c r="EC10" i="1"/>
  <c r="Y10" i="1"/>
  <c r="GH10" i="1"/>
  <c r="CP10" i="1"/>
  <c r="IY10" i="1"/>
  <c r="FG10" i="1"/>
  <c r="BO10" i="1"/>
  <c r="IJ10" i="1"/>
  <c r="ER10" i="1"/>
  <c r="AZ10" i="1"/>
  <c r="HI10" i="1"/>
  <c r="DQ10" i="1"/>
  <c r="M10" i="1"/>
  <c r="E11" i="2"/>
  <c r="FV10" i="1"/>
  <c r="CD10" i="1"/>
  <c r="IM10" i="1"/>
  <c r="EU10" i="1"/>
  <c r="BC10" i="1"/>
  <c r="HX10" i="1"/>
  <c r="EF10" i="1"/>
  <c r="AN10" i="1"/>
  <c r="GW10" i="1"/>
  <c r="DE10" i="1"/>
  <c r="JB10" i="1"/>
  <c r="FJ10" i="1"/>
  <c r="BR10" i="1"/>
  <c r="IA10" i="1"/>
  <c r="EI10" i="1"/>
  <c r="AQ10" i="1"/>
  <c r="HL10" i="1"/>
  <c r="DT10" i="1"/>
  <c r="AB10" i="1"/>
  <c r="GK10" i="1"/>
  <c r="CS10" i="1"/>
  <c r="J11" i="17"/>
  <c r="J11" i="16" s="1"/>
  <c r="J11" i="15" s="1"/>
  <c r="J11" i="14" s="1"/>
  <c r="J11" i="13" s="1"/>
  <c r="J11" i="12" s="1"/>
  <c r="J11" i="11" s="1"/>
  <c r="J11" i="10" s="1"/>
  <c r="J11" i="9" s="1"/>
  <c r="J11" i="8" s="1"/>
  <c r="J11" i="7" s="1"/>
  <c r="J11" i="6" s="1"/>
  <c r="J18" i="4"/>
  <c r="J18" i="43" s="1"/>
  <c r="J22" i="4"/>
  <c r="J22" i="43" s="1"/>
  <c r="J16" i="4"/>
  <c r="J16" i="43" s="1"/>
  <c r="J14" i="4"/>
  <c r="J14" i="43" s="1"/>
  <c r="EY37" i="2"/>
  <c r="EW37" i="2"/>
  <c r="J9" i="9"/>
  <c r="J9" i="8" s="1"/>
  <c r="J9" i="7" s="1"/>
  <c r="J9" i="6" s="1"/>
  <c r="AX31" i="39"/>
  <c r="AR31" i="39"/>
  <c r="BN31" i="39"/>
  <c r="T31" i="39"/>
  <c r="E31" i="1"/>
  <c r="J31" i="39"/>
  <c r="V31" i="39"/>
  <c r="BD31" i="39"/>
  <c r="AL31" i="39"/>
  <c r="I31" i="39"/>
  <c r="J56" i="20"/>
  <c r="J59" i="22"/>
  <c r="EW14" i="2"/>
  <c r="EY14" i="2"/>
  <c r="BN11" i="39"/>
  <c r="JH9" i="1"/>
  <c r="IV9" i="1"/>
  <c r="HX9" i="1"/>
  <c r="HL9" i="1"/>
  <c r="GZ9" i="1"/>
  <c r="GN9" i="1"/>
  <c r="GB9" i="1"/>
  <c r="FP9" i="1"/>
  <c r="FD9" i="1"/>
  <c r="ER9" i="1"/>
  <c r="EF9" i="1"/>
  <c r="DT9" i="1"/>
  <c r="DH9" i="1"/>
  <c r="CV9" i="1"/>
  <c r="CJ9" i="1"/>
  <c r="BX9" i="1"/>
  <c r="BL9" i="1"/>
  <c r="AZ9" i="1"/>
  <c r="AN9" i="1"/>
  <c r="AB9" i="1"/>
  <c r="P9" i="1"/>
  <c r="JE9" i="1"/>
  <c r="IS9" i="1"/>
  <c r="IG9" i="1"/>
  <c r="HU9" i="1"/>
  <c r="HI9" i="1"/>
  <c r="GW9" i="1"/>
  <c r="GK9" i="1"/>
  <c r="FY9" i="1"/>
  <c r="FM9" i="1"/>
  <c r="FA9" i="1"/>
  <c r="EO9" i="1"/>
  <c r="EC9" i="1"/>
  <c r="DQ9" i="1"/>
  <c r="DE9" i="1"/>
  <c r="CS9" i="1"/>
  <c r="CG9" i="1"/>
  <c r="BU9" i="1"/>
  <c r="BI9" i="1"/>
  <c r="AW9" i="1"/>
  <c r="AK9" i="1"/>
  <c r="Y9" i="1"/>
  <c r="M9" i="1"/>
  <c r="JB9" i="1"/>
  <c r="IP9" i="1"/>
  <c r="ID9" i="1"/>
  <c r="HR9" i="1"/>
  <c r="HF9" i="1"/>
  <c r="GT9" i="1"/>
  <c r="GH9" i="1"/>
  <c r="FV9" i="1"/>
  <c r="FJ9" i="1"/>
  <c r="EX9" i="1"/>
  <c r="EL9" i="1"/>
  <c r="DZ9" i="1"/>
  <c r="DN9" i="1"/>
  <c r="DB9" i="1"/>
  <c r="CP9" i="1"/>
  <c r="CD9" i="1"/>
  <c r="BR9" i="1"/>
  <c r="BF9" i="1"/>
  <c r="AT9" i="1"/>
  <c r="AH9" i="1"/>
  <c r="V9" i="1"/>
  <c r="J9" i="1"/>
  <c r="IY9" i="1"/>
  <c r="IM9" i="1"/>
  <c r="IA9" i="1"/>
  <c r="HO9" i="1"/>
  <c r="HC9" i="1"/>
  <c r="GQ9" i="1"/>
  <c r="GE9" i="1"/>
  <c r="FS9" i="1"/>
  <c r="FG9" i="1"/>
  <c r="EU9" i="1"/>
  <c r="EI9" i="1"/>
  <c r="DW9" i="1"/>
  <c r="DK9" i="1"/>
  <c r="CY9" i="1"/>
  <c r="CM9" i="1"/>
  <c r="CA9" i="1"/>
  <c r="BO9" i="1"/>
  <c r="BC9" i="1"/>
  <c r="AQ9" i="1"/>
  <c r="AE9" i="1"/>
  <c r="S9" i="1"/>
  <c r="G9" i="1"/>
  <c r="A16" i="1"/>
  <c r="A17" i="2" s="1"/>
  <c r="E10" i="2"/>
  <c r="S10" i="39"/>
  <c r="BK10" i="39" s="1"/>
  <c r="K57" i="31"/>
  <c r="M45" i="31"/>
  <c r="J45" i="31"/>
  <c r="K56" i="31"/>
  <c r="M48" i="31"/>
  <c r="J48" i="31"/>
  <c r="J40" i="30"/>
  <c r="J41" i="31"/>
  <c r="E11" i="1"/>
  <c r="I11" i="39"/>
  <c r="T11" i="39"/>
  <c r="R41" i="39"/>
  <c r="BN41" i="39" s="1"/>
  <c r="AX11" i="39"/>
  <c r="AR11" i="39"/>
  <c r="BD11" i="39"/>
  <c r="AL11" i="39"/>
  <c r="V11" i="39"/>
  <c r="J11" i="39"/>
  <c r="E47" i="28"/>
  <c r="D44" i="28"/>
  <c r="E44" i="28" s="1"/>
  <c r="E47" i="27"/>
  <c r="E42" i="25"/>
  <c r="J38" i="25"/>
  <c r="M44" i="26"/>
  <c r="J44" i="26"/>
  <c r="J47" i="26"/>
  <c r="M47" i="26"/>
  <c r="Q15" i="39"/>
  <c r="AQ14" i="39"/>
  <c r="AK14" i="39"/>
  <c r="D48" i="26"/>
  <c r="E48" i="28"/>
  <c r="D51" i="28"/>
  <c r="E51" i="27"/>
  <c r="D38" i="26"/>
  <c r="E38" i="28"/>
  <c r="E52" i="29"/>
  <c r="E53" i="29" s="1"/>
  <c r="E43" i="28"/>
  <c r="D43" i="26"/>
  <c r="E40" i="25"/>
  <c r="D40" i="24"/>
  <c r="E47" i="26"/>
  <c r="D47" i="25"/>
  <c r="D42" i="23"/>
  <c r="E42" i="24"/>
  <c r="D39" i="26"/>
  <c r="E39" i="28"/>
  <c r="E46" i="26"/>
  <c r="D46" i="25"/>
  <c r="E45" i="28"/>
  <c r="D45" i="26"/>
  <c r="J37" i="28"/>
  <c r="J39" i="27"/>
  <c r="E49" i="27"/>
  <c r="D49" i="28"/>
  <c r="E41" i="27"/>
  <c r="D41" i="28"/>
  <c r="D52" i="27"/>
  <c r="D53" i="27" s="1"/>
  <c r="E50" i="27"/>
  <c r="D50" i="28"/>
  <c r="M43" i="43"/>
  <c r="M34" i="27"/>
  <c r="M8" i="28"/>
  <c r="J57" i="22"/>
  <c r="AU20" i="39"/>
  <c r="R30" i="45" l="1"/>
  <c r="G30" i="45"/>
  <c r="O30" i="45"/>
  <c r="U30" i="45"/>
  <c r="R10" i="45"/>
  <c r="O10" i="45"/>
  <c r="G10" i="45"/>
  <c r="K10" i="45"/>
  <c r="C40" i="45"/>
  <c r="EW11" i="2"/>
  <c r="EY11" i="2"/>
  <c r="J20" i="15"/>
  <c r="J20" i="14" s="1"/>
  <c r="J20" i="13" s="1"/>
  <c r="J20" i="12" s="1"/>
  <c r="J20" i="11" s="1"/>
  <c r="J20" i="10" s="1"/>
  <c r="J20" i="9" s="1"/>
  <c r="J20" i="8" s="1"/>
  <c r="J20" i="7" s="1"/>
  <c r="J20" i="6" s="1"/>
  <c r="J20" i="37" s="1"/>
  <c r="J23" i="4"/>
  <c r="J23" i="43" s="1"/>
  <c r="J19" i="4"/>
  <c r="J19" i="43" s="1"/>
  <c r="J11" i="37"/>
  <c r="J11" i="4" s="1"/>
  <c r="J11" i="43" s="1"/>
  <c r="J9" i="37"/>
  <c r="J9" i="4" s="1"/>
  <c r="J9" i="43" s="1"/>
  <c r="GK31" i="1"/>
  <c r="GW31" i="1"/>
  <c r="GN31" i="1"/>
  <c r="GZ31" i="1"/>
  <c r="GQ31" i="1"/>
  <c r="GT31" i="1"/>
  <c r="HL31" i="1"/>
  <c r="JE31" i="1"/>
  <c r="EC31" i="1"/>
  <c r="AK31" i="1"/>
  <c r="BX31" i="1"/>
  <c r="AT31" i="1"/>
  <c r="AE31" i="1"/>
  <c r="P31" i="1"/>
  <c r="IV31" i="1"/>
  <c r="FV31" i="1"/>
  <c r="AB31" i="1"/>
  <c r="DZ31" i="1"/>
  <c r="CV31" i="1"/>
  <c r="AZ31" i="1"/>
  <c r="EU31" i="1"/>
  <c r="HI31" i="1"/>
  <c r="EO31" i="1"/>
  <c r="CY31" i="1"/>
  <c r="BF31" i="1"/>
  <c r="AQ31" i="1"/>
  <c r="IY31" i="1"/>
  <c r="E32" i="2"/>
  <c r="HC31" i="1"/>
  <c r="IS31" i="1"/>
  <c r="DQ31" i="1"/>
  <c r="Y31" i="1"/>
  <c r="AH31" i="1"/>
  <c r="S31" i="1"/>
  <c r="JB31" i="1"/>
  <c r="IJ31" i="1"/>
  <c r="GE31" i="1"/>
  <c r="EF31" i="1"/>
  <c r="FG31" i="1"/>
  <c r="CJ31" i="1"/>
  <c r="IG31" i="1"/>
  <c r="DE31" i="1"/>
  <c r="M31" i="1"/>
  <c r="G31" i="1"/>
  <c r="IP31" i="1"/>
  <c r="IA31" i="1"/>
  <c r="FS31" i="1"/>
  <c r="FD31" i="1"/>
  <c r="CP31" i="1"/>
  <c r="DT31" i="1"/>
  <c r="HF31" i="1"/>
  <c r="HU31" i="1"/>
  <c r="CS31" i="1"/>
  <c r="JH31" i="1"/>
  <c r="ID31" i="1"/>
  <c r="HO31" i="1"/>
  <c r="FJ31" i="1"/>
  <c r="ER31" i="1"/>
  <c r="DN31" i="1"/>
  <c r="BC31" i="1"/>
  <c r="CD31" i="1"/>
  <c r="FA31" i="1"/>
  <c r="BI31" i="1"/>
  <c r="DK31" i="1"/>
  <c r="BR31" i="1"/>
  <c r="V31" i="1"/>
  <c r="AW31" i="1"/>
  <c r="J31" i="1"/>
  <c r="BO31" i="1"/>
  <c r="FY31" i="1"/>
  <c r="CG31" i="1"/>
  <c r="HR31" i="1"/>
  <c r="GB31" i="1"/>
  <c r="EX31" i="1"/>
  <c r="EI31" i="1"/>
  <c r="DB31" i="1"/>
  <c r="CM31" i="1"/>
  <c r="HX31" i="1"/>
  <c r="IM31" i="1"/>
  <c r="FM31" i="1"/>
  <c r="BU31" i="1"/>
  <c r="FP31" i="1"/>
  <c r="EL31" i="1"/>
  <c r="DW31" i="1"/>
  <c r="DH31" i="1"/>
  <c r="CA31" i="1"/>
  <c r="BL31" i="1"/>
  <c r="GH31" i="1"/>
  <c r="AN31" i="1"/>
  <c r="J56" i="19"/>
  <c r="J59" i="20"/>
  <c r="BO10" i="39"/>
  <c r="JE11" i="1"/>
  <c r="IS11" i="1"/>
  <c r="IG11" i="1"/>
  <c r="HU11" i="1"/>
  <c r="HI11" i="1"/>
  <c r="GW11" i="1"/>
  <c r="GK11" i="1"/>
  <c r="FY11" i="1"/>
  <c r="FM11" i="1"/>
  <c r="FA11" i="1"/>
  <c r="JB11" i="1"/>
  <c r="IP11" i="1"/>
  <c r="ID11" i="1"/>
  <c r="HR11" i="1"/>
  <c r="HF11" i="1"/>
  <c r="GT11" i="1"/>
  <c r="GH11" i="1"/>
  <c r="FV11" i="1"/>
  <c r="FJ11" i="1"/>
  <c r="JH11" i="1"/>
  <c r="IV11" i="1"/>
  <c r="IJ11" i="1"/>
  <c r="HX11" i="1"/>
  <c r="HL11" i="1"/>
  <c r="GZ11" i="1"/>
  <c r="GN11" i="1"/>
  <c r="GB11" i="1"/>
  <c r="FP11" i="1"/>
  <c r="FD11" i="1"/>
  <c r="GQ11" i="1"/>
  <c r="IA11" i="1"/>
  <c r="EO11" i="1"/>
  <c r="EC11" i="1"/>
  <c r="DQ11" i="1"/>
  <c r="DE11" i="1"/>
  <c r="CS11" i="1"/>
  <c r="CG11" i="1"/>
  <c r="BU11" i="1"/>
  <c r="BI11" i="1"/>
  <c r="AW11" i="1"/>
  <c r="AK11" i="1"/>
  <c r="Y11" i="1"/>
  <c r="M11" i="1"/>
  <c r="FS11" i="1"/>
  <c r="HC11" i="1"/>
  <c r="EX11" i="1"/>
  <c r="EL11" i="1"/>
  <c r="DZ11" i="1"/>
  <c r="DN11" i="1"/>
  <c r="DB11" i="1"/>
  <c r="CP11" i="1"/>
  <c r="CD11" i="1"/>
  <c r="BR11" i="1"/>
  <c r="BF11" i="1"/>
  <c r="AT11" i="1"/>
  <c r="AH11" i="1"/>
  <c r="V11" i="1"/>
  <c r="J11" i="1"/>
  <c r="IM11" i="1"/>
  <c r="GE11" i="1"/>
  <c r="EU11" i="1"/>
  <c r="EI11" i="1"/>
  <c r="DW11" i="1"/>
  <c r="DK11" i="1"/>
  <c r="CY11" i="1"/>
  <c r="CM11" i="1"/>
  <c r="CA11" i="1"/>
  <c r="BO11" i="1"/>
  <c r="BC11" i="1"/>
  <c r="AQ11" i="1"/>
  <c r="AE11" i="1"/>
  <c r="S11" i="1"/>
  <c r="G11" i="1"/>
  <c r="HO11" i="1"/>
  <c r="IY11" i="1"/>
  <c r="FG11" i="1"/>
  <c r="ER11" i="1"/>
  <c r="EF11" i="1"/>
  <c r="DT11" i="1"/>
  <c r="DH11" i="1"/>
  <c r="CV11" i="1"/>
  <c r="CJ11" i="1"/>
  <c r="BX11" i="1"/>
  <c r="BL11" i="1"/>
  <c r="AZ11" i="1"/>
  <c r="AN11" i="1"/>
  <c r="AB11" i="1"/>
  <c r="P11" i="1"/>
  <c r="A17" i="1"/>
  <c r="A18" i="2" s="1"/>
  <c r="E12" i="2"/>
  <c r="EY12" i="2" s="1"/>
  <c r="AS10" i="39"/>
  <c r="U10" i="39"/>
  <c r="AY10" i="39"/>
  <c r="BE10" i="39"/>
  <c r="AM10" i="39"/>
  <c r="S11" i="39"/>
  <c r="BK11" i="39" s="1"/>
  <c r="F10" i="2"/>
  <c r="EZ10" i="2" s="1"/>
  <c r="EY10" i="2"/>
  <c r="EW10" i="2"/>
  <c r="J40" i="29"/>
  <c r="M45" i="30"/>
  <c r="M48" i="30"/>
  <c r="K57" i="30"/>
  <c r="J45" i="30"/>
  <c r="K56" i="30"/>
  <c r="J41" i="30"/>
  <c r="J48" i="30"/>
  <c r="AX41" i="39"/>
  <c r="AR41" i="39"/>
  <c r="BJ41" i="39" s="1"/>
  <c r="AL41" i="39"/>
  <c r="BD41" i="39"/>
  <c r="I41" i="39"/>
  <c r="T41" i="39"/>
  <c r="Z41" i="39"/>
  <c r="D44" i="26"/>
  <c r="E44" i="26" s="1"/>
  <c r="AQ15" i="39"/>
  <c r="AK15" i="39"/>
  <c r="Q16" i="39"/>
  <c r="M47" i="25"/>
  <c r="J44" i="25"/>
  <c r="M44" i="25"/>
  <c r="J38" i="24"/>
  <c r="J47" i="25"/>
  <c r="D48" i="25"/>
  <c r="E48" i="26"/>
  <c r="E38" i="26"/>
  <c r="D38" i="25"/>
  <c r="D51" i="26"/>
  <c r="E51" i="28"/>
  <c r="D43" i="25"/>
  <c r="E43" i="26"/>
  <c r="E40" i="24"/>
  <c r="D40" i="23"/>
  <c r="D47" i="24"/>
  <c r="E47" i="25"/>
  <c r="D39" i="25"/>
  <c r="E39" i="26"/>
  <c r="D42" i="21"/>
  <c r="E42" i="23"/>
  <c r="D46" i="24"/>
  <c r="E46" i="25"/>
  <c r="E52" i="27"/>
  <c r="E53" i="27" s="1"/>
  <c r="D50" i="26"/>
  <c r="E50" i="28"/>
  <c r="E49" i="28"/>
  <c r="D49" i="26"/>
  <c r="D45" i="25"/>
  <c r="E45" i="26"/>
  <c r="D41" i="26"/>
  <c r="E41" i="28"/>
  <c r="D52" i="28"/>
  <c r="D53" i="28" s="1"/>
  <c r="J37" i="26"/>
  <c r="J39" i="28"/>
  <c r="M8" i="26"/>
  <c r="M34" i="28"/>
  <c r="AU21" i="39"/>
  <c r="J57" i="20"/>
  <c r="R40" i="45" l="1"/>
  <c r="U40" i="45"/>
  <c r="G40" i="45"/>
  <c r="K40" i="45"/>
  <c r="O40" i="45"/>
  <c r="J21" i="4"/>
  <c r="J21" i="43" s="1"/>
  <c r="EY32" i="2"/>
  <c r="EW32" i="2"/>
  <c r="J56" i="18"/>
  <c r="J59" i="19"/>
  <c r="A18" i="1"/>
  <c r="A19" i="2" s="1"/>
  <c r="BO11" i="39"/>
  <c r="BE11" i="39"/>
  <c r="EW12" i="2"/>
  <c r="E42" i="2"/>
  <c r="EW42" i="2" s="1"/>
  <c r="AS11" i="39"/>
  <c r="S12" i="39"/>
  <c r="BK12" i="39" s="1"/>
  <c r="U11" i="39"/>
  <c r="AY11" i="39"/>
  <c r="AM11" i="39"/>
  <c r="F11" i="2"/>
  <c r="EX10" i="2"/>
  <c r="K57" i="29"/>
  <c r="J45" i="29"/>
  <c r="J41" i="29"/>
  <c r="M48" i="29"/>
  <c r="K56" i="29"/>
  <c r="J40" i="27"/>
  <c r="J48" i="29"/>
  <c r="M45" i="29"/>
  <c r="D44" i="25"/>
  <c r="D44" i="24" s="1"/>
  <c r="M47" i="24"/>
  <c r="J38" i="23"/>
  <c r="M44" i="24"/>
  <c r="J44" i="24"/>
  <c r="J47" i="24"/>
  <c r="Q17" i="39"/>
  <c r="AQ16" i="39"/>
  <c r="AK16" i="39"/>
  <c r="E48" i="25"/>
  <c r="D48" i="24"/>
  <c r="E38" i="25"/>
  <c r="D38" i="24"/>
  <c r="D51" i="25"/>
  <c r="E51" i="26"/>
  <c r="E52" i="28"/>
  <c r="E53" i="28" s="1"/>
  <c r="D43" i="24"/>
  <c r="E43" i="25"/>
  <c r="D40" i="21"/>
  <c r="E40" i="23"/>
  <c r="E47" i="24"/>
  <c r="D47" i="23"/>
  <c r="E46" i="24"/>
  <c r="D46" i="23"/>
  <c r="D42" i="22"/>
  <c r="E42" i="21"/>
  <c r="E39" i="25"/>
  <c r="D39" i="24"/>
  <c r="D41" i="25"/>
  <c r="E41" i="26"/>
  <c r="D52" i="26"/>
  <c r="D53" i="26" s="1"/>
  <c r="D45" i="24"/>
  <c r="E45" i="25"/>
  <c r="D50" i="25"/>
  <c r="E50" i="26"/>
  <c r="J37" i="25"/>
  <c r="J39" i="26"/>
  <c r="D49" i="25"/>
  <c r="E49" i="26"/>
  <c r="M34" i="26"/>
  <c r="M8" i="25"/>
  <c r="AU22" i="39"/>
  <c r="J57" i="19"/>
  <c r="J20" i="4" l="1"/>
  <c r="J20" i="43" s="1"/>
  <c r="A19" i="1"/>
  <c r="A20" i="2" s="1"/>
  <c r="J56" i="17"/>
  <c r="J59" i="18"/>
  <c r="BO12" i="39"/>
  <c r="AY12" i="39"/>
  <c r="AM12" i="39"/>
  <c r="BE12" i="39"/>
  <c r="S13" i="39"/>
  <c r="BK13" i="39" s="1"/>
  <c r="U12" i="39"/>
  <c r="AS12" i="39"/>
  <c r="EX11" i="2"/>
  <c r="EZ11" i="2"/>
  <c r="F12" i="2"/>
  <c r="E44" i="25"/>
  <c r="M48" i="27"/>
  <c r="J41" i="27"/>
  <c r="J45" i="27"/>
  <c r="M45" i="27"/>
  <c r="K57" i="27"/>
  <c r="K56" i="27"/>
  <c r="J40" i="28"/>
  <c r="J48" i="27"/>
  <c r="Q18" i="39"/>
  <c r="AQ17" i="39"/>
  <c r="AK17" i="39"/>
  <c r="M47" i="23"/>
  <c r="J47" i="23"/>
  <c r="J38" i="21"/>
  <c r="J44" i="23"/>
  <c r="M44" i="23"/>
  <c r="E48" i="24"/>
  <c r="D48" i="23"/>
  <c r="D38" i="23"/>
  <c r="E38" i="24"/>
  <c r="E51" i="25"/>
  <c r="D51" i="24"/>
  <c r="D44" i="23"/>
  <c r="E44" i="24"/>
  <c r="D43" i="23"/>
  <c r="E43" i="24"/>
  <c r="D40" i="22"/>
  <c r="E40" i="21"/>
  <c r="D47" i="21"/>
  <c r="E47" i="23"/>
  <c r="E42" i="22"/>
  <c r="D42" i="20"/>
  <c r="E39" i="24"/>
  <c r="D39" i="23"/>
  <c r="D46" i="21"/>
  <c r="E46" i="23"/>
  <c r="E50" i="25"/>
  <c r="D50" i="24"/>
  <c r="D45" i="23"/>
  <c r="E45" i="24"/>
  <c r="E52" i="26"/>
  <c r="E53" i="26" s="1"/>
  <c r="D49" i="24"/>
  <c r="E49" i="25"/>
  <c r="J39" i="25"/>
  <c r="J37" i="24"/>
  <c r="E41" i="25"/>
  <c r="D41" i="24"/>
  <c r="D52" i="25"/>
  <c r="D53" i="25" s="1"/>
  <c r="M8" i="24"/>
  <c r="M34" i="25"/>
  <c r="J57" i="18"/>
  <c r="AU23" i="39"/>
  <c r="A20" i="1" l="1"/>
  <c r="A21" i="2" s="1"/>
  <c r="J56" i="16"/>
  <c r="J56" i="15" s="1"/>
  <c r="J56" i="14" s="1"/>
  <c r="J56" i="13" s="1"/>
  <c r="J56" i="12" s="1"/>
  <c r="J56" i="11" s="1"/>
  <c r="J56" i="10" s="1"/>
  <c r="J56" i="9" s="1"/>
  <c r="J56" i="8" s="1"/>
  <c r="J56" i="7" s="1"/>
  <c r="J56" i="6" s="1"/>
  <c r="J56" i="37" s="1"/>
  <c r="J56" i="4" s="1"/>
  <c r="J56" i="43" s="1"/>
  <c r="BE13" i="39"/>
  <c r="BO13" i="39"/>
  <c r="U13" i="39"/>
  <c r="S14" i="39"/>
  <c r="BK14" i="39" s="1"/>
  <c r="AY13" i="39"/>
  <c r="AM13" i="39"/>
  <c r="AS13" i="39"/>
  <c r="EX12" i="2"/>
  <c r="F13" i="2"/>
  <c r="EZ12" i="2"/>
  <c r="A21" i="1"/>
  <c r="A22" i="2" s="1"/>
  <c r="J45" i="28"/>
  <c r="J40" i="26"/>
  <c r="M48" i="28"/>
  <c r="J48" i="28"/>
  <c r="M45" i="28"/>
  <c r="J41" i="28"/>
  <c r="K56" i="28"/>
  <c r="K57" i="28"/>
  <c r="AQ18" i="39"/>
  <c r="AK18" i="39"/>
  <c r="Q19" i="39"/>
  <c r="J38" i="22"/>
  <c r="M44" i="21"/>
  <c r="M47" i="21"/>
  <c r="J47" i="21"/>
  <c r="J44" i="21"/>
  <c r="E48" i="23"/>
  <c r="D48" i="21"/>
  <c r="E51" i="24"/>
  <c r="D51" i="23"/>
  <c r="E38" i="23"/>
  <c r="D38" i="21"/>
  <c r="D44" i="21"/>
  <c r="E44" i="23"/>
  <c r="E43" i="23"/>
  <c r="D43" i="21"/>
  <c r="E40" i="22"/>
  <c r="D40" i="20"/>
  <c r="E47" i="21"/>
  <c r="D47" i="22"/>
  <c r="D46" i="22"/>
  <c r="E46" i="21"/>
  <c r="D39" i="21"/>
  <c r="E39" i="23"/>
  <c r="E42" i="20"/>
  <c r="D42" i="19"/>
  <c r="E52" i="25"/>
  <c r="E53" i="25" s="1"/>
  <c r="D49" i="23"/>
  <c r="E49" i="24"/>
  <c r="E45" i="23"/>
  <c r="D45" i="21"/>
  <c r="D41" i="23"/>
  <c r="E41" i="24"/>
  <c r="D52" i="24"/>
  <c r="D53" i="24" s="1"/>
  <c r="J39" i="24"/>
  <c r="J37" i="23"/>
  <c r="E50" i="24"/>
  <c r="D50" i="23"/>
  <c r="M8" i="23"/>
  <c r="M34" i="24"/>
  <c r="AU24" i="39"/>
  <c r="J57" i="17"/>
  <c r="AS14" i="39" l="1"/>
  <c r="BE14" i="39"/>
  <c r="U14" i="39"/>
  <c r="AY14" i="39"/>
  <c r="BO14" i="39"/>
  <c r="AM14" i="39"/>
  <c r="S15" i="39"/>
  <c r="BK15" i="39" s="1"/>
  <c r="EZ13" i="2"/>
  <c r="F14" i="2"/>
  <c r="EX13" i="2"/>
  <c r="A22" i="1"/>
  <c r="A23" i="2" s="1"/>
  <c r="J40" i="25"/>
  <c r="M45" i="26"/>
  <c r="J45" i="26"/>
  <c r="J48" i="26"/>
  <c r="M48" i="26"/>
  <c r="J41" i="26"/>
  <c r="K56" i="26"/>
  <c r="K57" i="26"/>
  <c r="J47" i="22"/>
  <c r="J44" i="22"/>
  <c r="J38" i="20"/>
  <c r="M44" i="22"/>
  <c r="M47" i="22"/>
  <c r="Q20" i="39"/>
  <c r="AK19" i="39"/>
  <c r="AQ19" i="39"/>
  <c r="E48" i="21"/>
  <c r="D48" i="22"/>
  <c r="E38" i="21"/>
  <c r="D38" i="22"/>
  <c r="D51" i="21"/>
  <c r="E51" i="23"/>
  <c r="D44" i="22"/>
  <c r="E44" i="21"/>
  <c r="D43" i="22"/>
  <c r="E43" i="21"/>
  <c r="D40" i="19"/>
  <c r="E40" i="20"/>
  <c r="E47" i="22"/>
  <c r="D47" i="20"/>
  <c r="E39" i="21"/>
  <c r="D39" i="22"/>
  <c r="E46" i="22"/>
  <c r="D46" i="20"/>
  <c r="E42" i="19"/>
  <c r="D42" i="18"/>
  <c r="E50" i="23"/>
  <c r="D50" i="21"/>
  <c r="J39" i="23"/>
  <c r="J37" i="21"/>
  <c r="E41" i="23"/>
  <c r="D41" i="21"/>
  <c r="D52" i="23"/>
  <c r="D53" i="23" s="1"/>
  <c r="D45" i="22"/>
  <c r="E45" i="21"/>
  <c r="E52" i="24"/>
  <c r="E53" i="24" s="1"/>
  <c r="E49" i="23"/>
  <c r="D49" i="21"/>
  <c r="M8" i="21"/>
  <c r="M34" i="23"/>
  <c r="J57" i="16"/>
  <c r="AU25" i="39"/>
  <c r="AM15" i="39" l="1"/>
  <c r="S16" i="39"/>
  <c r="BK16" i="39" s="1"/>
  <c r="AY15" i="39"/>
  <c r="U15" i="39"/>
  <c r="BO15" i="39"/>
  <c r="AS15" i="39"/>
  <c r="BE15" i="39"/>
  <c r="EZ14" i="2"/>
  <c r="EX14" i="2"/>
  <c r="F15" i="2"/>
  <c r="A23" i="1"/>
  <c r="A24" i="2" s="1"/>
  <c r="S17" i="39"/>
  <c r="BK17" i="39" s="1"/>
  <c r="U16" i="39"/>
  <c r="AM16" i="39"/>
  <c r="J41" i="25"/>
  <c r="J48" i="25"/>
  <c r="J40" i="24"/>
  <c r="M48" i="25"/>
  <c r="K56" i="25"/>
  <c r="J45" i="25"/>
  <c r="M45" i="25"/>
  <c r="K57" i="25"/>
  <c r="AQ20" i="39"/>
  <c r="AK20" i="39"/>
  <c r="Q21" i="39"/>
  <c r="M44" i="20"/>
  <c r="J47" i="20"/>
  <c r="J38" i="19"/>
  <c r="M47" i="20"/>
  <c r="J44" i="20"/>
  <c r="E48" i="22"/>
  <c r="D48" i="20"/>
  <c r="D38" i="20"/>
  <c r="E38" i="22"/>
  <c r="E51" i="21"/>
  <c r="D51" i="22"/>
  <c r="E44" i="22"/>
  <c r="D44" i="20"/>
  <c r="D43" i="20"/>
  <c r="E43" i="22"/>
  <c r="D40" i="18"/>
  <c r="E40" i="19"/>
  <c r="D47" i="19"/>
  <c r="E47" i="20"/>
  <c r="D42" i="17"/>
  <c r="E42" i="18"/>
  <c r="E46" i="20"/>
  <c r="D46" i="19"/>
  <c r="E39" i="22"/>
  <c r="D39" i="20"/>
  <c r="D45" i="20"/>
  <c r="E45" i="22"/>
  <c r="D41" i="22"/>
  <c r="E41" i="21"/>
  <c r="D52" i="21"/>
  <c r="D53" i="21" s="1"/>
  <c r="J39" i="21"/>
  <c r="J37" i="22"/>
  <c r="D50" i="22"/>
  <c r="E50" i="21"/>
  <c r="E49" i="21"/>
  <c r="D49" i="22"/>
  <c r="E52" i="23"/>
  <c r="E53" i="23" s="1"/>
  <c r="M8" i="22"/>
  <c r="M34" i="21"/>
  <c r="AU26" i="39"/>
  <c r="J57" i="15"/>
  <c r="BO16" i="39" l="1"/>
  <c r="AS16" i="39"/>
  <c r="AY16" i="39"/>
  <c r="BE16" i="39"/>
  <c r="BO17" i="39"/>
  <c r="EX15" i="2"/>
  <c r="EZ15" i="2"/>
  <c r="F16" i="2"/>
  <c r="A24" i="1"/>
  <c r="A25" i="2" s="1"/>
  <c r="J41" i="24"/>
  <c r="M48" i="24"/>
  <c r="J45" i="24"/>
  <c r="J48" i="24"/>
  <c r="K57" i="24"/>
  <c r="J40" i="23"/>
  <c r="K56" i="24"/>
  <c r="M45" i="24"/>
  <c r="AS17" i="39"/>
  <c r="AM17" i="39"/>
  <c r="BE17" i="39"/>
  <c r="AY17" i="39"/>
  <c r="U17" i="39"/>
  <c r="S18" i="39"/>
  <c r="BK18" i="39" s="1"/>
  <c r="J44" i="19"/>
  <c r="M44" i="19"/>
  <c r="J38" i="18"/>
  <c r="J47" i="19"/>
  <c r="M47" i="19"/>
  <c r="Q22" i="39"/>
  <c r="AQ21" i="39"/>
  <c r="AK21" i="39"/>
  <c r="E48" i="20"/>
  <c r="D48" i="19"/>
  <c r="E51" i="22"/>
  <c r="D51" i="20"/>
  <c r="E38" i="20"/>
  <c r="D38" i="19"/>
  <c r="E44" i="20"/>
  <c r="D44" i="19"/>
  <c r="E43" i="20"/>
  <c r="D43" i="19"/>
  <c r="E40" i="18"/>
  <c r="D40" i="17"/>
  <c r="D47" i="18"/>
  <c r="E47" i="19"/>
  <c r="E42" i="17"/>
  <c r="D42" i="16"/>
  <c r="D39" i="19"/>
  <c r="E39" i="20"/>
  <c r="E46" i="19"/>
  <c r="D46" i="18"/>
  <c r="E49" i="22"/>
  <c r="D49" i="20"/>
  <c r="J39" i="22"/>
  <c r="J37" i="20"/>
  <c r="E41" i="22"/>
  <c r="D41" i="20"/>
  <c r="D52" i="22"/>
  <c r="D53" i="22" s="1"/>
  <c r="D45" i="19"/>
  <c r="E45" i="20"/>
  <c r="D50" i="20"/>
  <c r="E50" i="22"/>
  <c r="E52" i="21"/>
  <c r="E53" i="21" s="1"/>
  <c r="M34" i="22"/>
  <c r="M8" i="20"/>
  <c r="J57" i="14"/>
  <c r="AU27" i="39"/>
  <c r="BO18" i="39" l="1"/>
  <c r="EZ16" i="2"/>
  <c r="EX16" i="2"/>
  <c r="F17" i="2"/>
  <c r="A25" i="1"/>
  <c r="A26" i="2" s="1"/>
  <c r="S19" i="39"/>
  <c r="BK19" i="39" s="1"/>
  <c r="AS18" i="39"/>
  <c r="U18" i="39"/>
  <c r="AM18" i="39"/>
  <c r="BE18" i="39"/>
  <c r="AY18" i="39"/>
  <c r="J41" i="23"/>
  <c r="M48" i="23"/>
  <c r="M45" i="23"/>
  <c r="K57" i="23"/>
  <c r="J40" i="21"/>
  <c r="J48" i="23"/>
  <c r="K56" i="23"/>
  <c r="J45" i="23"/>
  <c r="Q23" i="39"/>
  <c r="AQ22" i="39"/>
  <c r="AK22" i="39"/>
  <c r="J47" i="18"/>
  <c r="M47" i="18"/>
  <c r="J44" i="18"/>
  <c r="M44" i="18"/>
  <c r="J38" i="17"/>
  <c r="E48" i="19"/>
  <c r="D48" i="18"/>
  <c r="D38" i="18"/>
  <c r="E38" i="19"/>
  <c r="E51" i="20"/>
  <c r="D51" i="19"/>
  <c r="D44" i="18"/>
  <c r="E44" i="19"/>
  <c r="E43" i="19"/>
  <c r="D43" i="18"/>
  <c r="D40" i="16"/>
  <c r="E40" i="17"/>
  <c r="E47" i="18"/>
  <c r="D47" i="17"/>
  <c r="E46" i="18"/>
  <c r="D46" i="17"/>
  <c r="E42" i="16"/>
  <c r="D42" i="15"/>
  <c r="D39" i="18"/>
  <c r="E39" i="19"/>
  <c r="E45" i="19"/>
  <c r="D45" i="18"/>
  <c r="E41" i="20"/>
  <c r="D41" i="19"/>
  <c r="D52" i="20"/>
  <c r="D53" i="20" s="1"/>
  <c r="J37" i="19"/>
  <c r="J39" i="20"/>
  <c r="D49" i="19"/>
  <c r="E49" i="20"/>
  <c r="D50" i="19"/>
  <c r="E50" i="20"/>
  <c r="E52" i="22"/>
  <c r="E53" i="22" s="1"/>
  <c r="M34" i="20"/>
  <c r="M8" i="19"/>
  <c r="AU28" i="39"/>
  <c r="J57" i="13"/>
  <c r="AA103" i="46" l="1"/>
  <c r="AB103" i="46" s="1"/>
  <c r="BO19" i="39"/>
  <c r="EX17" i="2"/>
  <c r="EZ17" i="2"/>
  <c r="F18" i="2"/>
  <c r="A26" i="1"/>
  <c r="A27" i="2" s="1"/>
  <c r="J45" i="21"/>
  <c r="K56" i="21"/>
  <c r="M45" i="21"/>
  <c r="J40" i="22"/>
  <c r="J48" i="21"/>
  <c r="J41" i="21"/>
  <c r="M48" i="21"/>
  <c r="K57" i="21"/>
  <c r="AS19" i="39"/>
  <c r="BE19" i="39"/>
  <c r="AM19" i="39"/>
  <c r="AY19" i="39"/>
  <c r="U19" i="39"/>
  <c r="S20" i="39"/>
  <c r="BK20" i="39" s="1"/>
  <c r="AQ23" i="39"/>
  <c r="Q24" i="39"/>
  <c r="AK23" i="39"/>
  <c r="J44" i="17"/>
  <c r="J38" i="16"/>
  <c r="M47" i="17"/>
  <c r="J47" i="17"/>
  <c r="M44" i="17"/>
  <c r="D48" i="17"/>
  <c r="E48" i="18"/>
  <c r="D51" i="18"/>
  <c r="E51" i="19"/>
  <c r="D38" i="17"/>
  <c r="E38" i="18"/>
  <c r="D44" i="17"/>
  <c r="E44" i="18"/>
  <c r="E43" i="18"/>
  <c r="D43" i="17"/>
  <c r="E40" i="16"/>
  <c r="D40" i="15"/>
  <c r="E47" i="17"/>
  <c r="D47" i="16"/>
  <c r="D39" i="17"/>
  <c r="E39" i="18"/>
  <c r="E42" i="15"/>
  <c r="D42" i="14"/>
  <c r="E46" i="17"/>
  <c r="D46" i="16"/>
  <c r="D49" i="18"/>
  <c r="E49" i="19"/>
  <c r="J39" i="19"/>
  <c r="J37" i="18"/>
  <c r="E41" i="19"/>
  <c r="D41" i="18"/>
  <c r="D52" i="19"/>
  <c r="D53" i="19" s="1"/>
  <c r="D45" i="17"/>
  <c r="E45" i="18"/>
  <c r="D50" i="18"/>
  <c r="E50" i="19"/>
  <c r="E52" i="20"/>
  <c r="E53" i="20" s="1"/>
  <c r="M34" i="19"/>
  <c r="M8" i="18"/>
  <c r="AU29" i="39"/>
  <c r="J57" i="12"/>
  <c r="AA108" i="46" l="1"/>
  <c r="AB108" i="46" s="1"/>
  <c r="BO20" i="39"/>
  <c r="EZ18" i="2"/>
  <c r="EX18" i="2"/>
  <c r="F19" i="2"/>
  <c r="A27" i="1"/>
  <c r="A28" i="2" s="1"/>
  <c r="U20" i="39"/>
  <c r="AS20" i="39"/>
  <c r="S21" i="39"/>
  <c r="BK21" i="39" s="1"/>
  <c r="AY20" i="39"/>
  <c r="BE20" i="39"/>
  <c r="AM20" i="39"/>
  <c r="M48" i="22"/>
  <c r="M45" i="22"/>
  <c r="J45" i="22"/>
  <c r="K57" i="22"/>
  <c r="J41" i="22"/>
  <c r="K56" i="22"/>
  <c r="J40" i="20"/>
  <c r="J48" i="22"/>
  <c r="J44" i="16"/>
  <c r="J47" i="16"/>
  <c r="M47" i="16"/>
  <c r="J38" i="15"/>
  <c r="M44" i="16"/>
  <c r="Q25" i="39"/>
  <c r="AQ24" i="39"/>
  <c r="AK24" i="39"/>
  <c r="E48" i="17"/>
  <c r="D48" i="16"/>
  <c r="D38" i="16"/>
  <c r="E38" i="17"/>
  <c r="D51" i="17"/>
  <c r="E51" i="18"/>
  <c r="E44" i="17"/>
  <c r="D44" i="16"/>
  <c r="D43" i="16"/>
  <c r="E43" i="17"/>
  <c r="E40" i="15"/>
  <c r="D40" i="14"/>
  <c r="E47" i="16"/>
  <c r="D47" i="15"/>
  <c r="D46" i="15"/>
  <c r="E46" i="16"/>
  <c r="E42" i="14"/>
  <c r="D42" i="13"/>
  <c r="D39" i="16"/>
  <c r="E39" i="17"/>
  <c r="D45" i="16"/>
  <c r="E45" i="17"/>
  <c r="D41" i="17"/>
  <c r="E41" i="18"/>
  <c r="D52" i="18"/>
  <c r="D53" i="18" s="1"/>
  <c r="J37" i="17"/>
  <c r="J39" i="18"/>
  <c r="E50" i="18"/>
  <c r="D50" i="17"/>
  <c r="E52" i="19"/>
  <c r="E53" i="19" s="1"/>
  <c r="E49" i="18"/>
  <c r="D49" i="17"/>
  <c r="M34" i="18"/>
  <c r="M8" i="17"/>
  <c r="J57" i="11"/>
  <c r="AU30" i="39"/>
  <c r="BO21" i="39" l="1"/>
  <c r="EX19" i="2"/>
  <c r="EZ19" i="2"/>
  <c r="F20" i="2"/>
  <c r="A28" i="1"/>
  <c r="A29" i="2" s="1"/>
  <c r="J41" i="20"/>
  <c r="M48" i="20"/>
  <c r="J48" i="20"/>
  <c r="K57" i="20"/>
  <c r="J45" i="20"/>
  <c r="J40" i="19"/>
  <c r="K56" i="20"/>
  <c r="M45" i="20"/>
  <c r="AM21" i="39"/>
  <c r="AS21" i="39"/>
  <c r="BE21" i="39"/>
  <c r="S22" i="39"/>
  <c r="BK22" i="39" s="1"/>
  <c r="U21" i="39"/>
  <c r="AY21" i="39"/>
  <c r="AQ25" i="39"/>
  <c r="AK25" i="39"/>
  <c r="Q26" i="39"/>
  <c r="J38" i="14"/>
  <c r="J47" i="15"/>
  <c r="M47" i="15"/>
  <c r="J44" i="15"/>
  <c r="M44" i="15"/>
  <c r="E48" i="16"/>
  <c r="D48" i="15"/>
  <c r="D51" i="16"/>
  <c r="E51" i="17"/>
  <c r="D38" i="15"/>
  <c r="E38" i="16"/>
  <c r="D44" i="15"/>
  <c r="E44" i="16"/>
  <c r="E43" i="16"/>
  <c r="D43" i="15"/>
  <c r="D40" i="13"/>
  <c r="E40" i="14"/>
  <c r="E47" i="15"/>
  <c r="D47" i="14"/>
  <c r="E39" i="16"/>
  <c r="D39" i="15"/>
  <c r="D46" i="14"/>
  <c r="E46" i="15"/>
  <c r="D42" i="12"/>
  <c r="E42" i="13"/>
  <c r="D50" i="16"/>
  <c r="E50" i="17"/>
  <c r="J39" i="17"/>
  <c r="J37" i="16"/>
  <c r="E52" i="18"/>
  <c r="E53" i="18" s="1"/>
  <c r="D49" i="16"/>
  <c r="E49" i="17"/>
  <c r="E41" i="17"/>
  <c r="D41" i="16"/>
  <c r="D52" i="17"/>
  <c r="D53" i="17" s="1"/>
  <c r="E45" i="16"/>
  <c r="D45" i="15"/>
  <c r="M34" i="17"/>
  <c r="M8" i="16"/>
  <c r="AU31" i="39"/>
  <c r="J57" i="10"/>
  <c r="BO22" i="39" l="1"/>
  <c r="EZ20" i="2"/>
  <c r="EX20" i="2"/>
  <c r="F21" i="2"/>
  <c r="A29" i="1"/>
  <c r="A30" i="2" s="1"/>
  <c r="U22" i="39"/>
  <c r="AS22" i="39"/>
  <c r="S23" i="39"/>
  <c r="BK23" i="39" s="1"/>
  <c r="AY22" i="39"/>
  <c r="BE22" i="39"/>
  <c r="AM22" i="39"/>
  <c r="J41" i="19"/>
  <c r="M45" i="19"/>
  <c r="J40" i="18"/>
  <c r="J48" i="19"/>
  <c r="M48" i="19"/>
  <c r="K56" i="19"/>
  <c r="J45" i="19"/>
  <c r="K57" i="19"/>
  <c r="J47" i="14"/>
  <c r="M47" i="14"/>
  <c r="J38" i="13"/>
  <c r="M44" i="14"/>
  <c r="J44" i="14"/>
  <c r="Q27" i="39"/>
  <c r="AQ26" i="39"/>
  <c r="AK26" i="39"/>
  <c r="E48" i="15"/>
  <c r="D48" i="14"/>
  <c r="E38" i="15"/>
  <c r="D38" i="14"/>
  <c r="E51" i="16"/>
  <c r="D51" i="15"/>
  <c r="E44" i="15"/>
  <c r="D44" i="14"/>
  <c r="E43" i="15"/>
  <c r="D43" i="14"/>
  <c r="E40" i="13"/>
  <c r="D40" i="12"/>
  <c r="D47" i="13"/>
  <c r="E47" i="14"/>
  <c r="D39" i="14"/>
  <c r="E39" i="15"/>
  <c r="E52" i="17"/>
  <c r="E53" i="17" s="1"/>
  <c r="D42" i="11"/>
  <c r="E42" i="12"/>
  <c r="D46" i="13"/>
  <c r="E46" i="14"/>
  <c r="D41" i="15"/>
  <c r="E41" i="16"/>
  <c r="D52" i="16"/>
  <c r="D53" i="16" s="1"/>
  <c r="D50" i="15"/>
  <c r="E50" i="16"/>
  <c r="E45" i="15"/>
  <c r="D45" i="14"/>
  <c r="D49" i="15"/>
  <c r="E49" i="16"/>
  <c r="J39" i="16"/>
  <c r="J37" i="15"/>
  <c r="M34" i="16"/>
  <c r="M8" i="15"/>
  <c r="J57" i="9"/>
  <c r="AU32" i="39"/>
  <c r="BO23" i="39" l="1"/>
  <c r="EZ21" i="2"/>
  <c r="EX21" i="2"/>
  <c r="F22" i="2"/>
  <c r="A30" i="1"/>
  <c r="A31" i="2" s="1"/>
  <c r="M48" i="18"/>
  <c r="J41" i="18"/>
  <c r="J48" i="18"/>
  <c r="K57" i="18"/>
  <c r="J40" i="17"/>
  <c r="K56" i="18"/>
  <c r="J45" i="18"/>
  <c r="M45" i="18"/>
  <c r="U23" i="39"/>
  <c r="S24" i="39"/>
  <c r="BK24" i="39" s="1"/>
  <c r="AS23" i="39"/>
  <c r="BE23" i="39"/>
  <c r="AM23" i="39"/>
  <c r="AY23" i="39"/>
  <c r="AQ27" i="39"/>
  <c r="Q28" i="39"/>
  <c r="AK27" i="39"/>
  <c r="J38" i="12"/>
  <c r="J44" i="13"/>
  <c r="M47" i="13"/>
  <c r="J47" i="13"/>
  <c r="M44" i="13"/>
  <c r="E48" i="14"/>
  <c r="D48" i="13"/>
  <c r="D51" i="14"/>
  <c r="E51" i="15"/>
  <c r="E38" i="14"/>
  <c r="D38" i="13"/>
  <c r="E44" i="14"/>
  <c r="D44" i="13"/>
  <c r="E43" i="14"/>
  <c r="D43" i="13"/>
  <c r="E40" i="12"/>
  <c r="D40" i="11"/>
  <c r="E47" i="13"/>
  <c r="D47" i="12"/>
  <c r="E39" i="14"/>
  <c r="D39" i="13"/>
  <c r="D46" i="12"/>
  <c r="E46" i="13"/>
  <c r="D42" i="10"/>
  <c r="E42" i="11"/>
  <c r="J37" i="14"/>
  <c r="J39" i="15"/>
  <c r="D45" i="13"/>
  <c r="E45" i="14"/>
  <c r="E41" i="15"/>
  <c r="D41" i="14"/>
  <c r="D52" i="15"/>
  <c r="D53" i="15" s="1"/>
  <c r="D49" i="14"/>
  <c r="E49" i="15"/>
  <c r="E50" i="15"/>
  <c r="D50" i="14"/>
  <c r="E52" i="16"/>
  <c r="E53" i="16" s="1"/>
  <c r="M8" i="14"/>
  <c r="M34" i="15"/>
  <c r="AU33" i="39"/>
  <c r="J57" i="8"/>
  <c r="BO24" i="39" l="1"/>
  <c r="EX22" i="2"/>
  <c r="EZ22" i="2"/>
  <c r="F23" i="2"/>
  <c r="A31" i="1"/>
  <c r="A32" i="2" s="1"/>
  <c r="U24" i="39"/>
  <c r="AM24" i="39"/>
  <c r="S25" i="39"/>
  <c r="BK25" i="39" s="1"/>
  <c r="BE24" i="39"/>
  <c r="AS24" i="39"/>
  <c r="AY24" i="39"/>
  <c r="M48" i="17"/>
  <c r="J41" i="17"/>
  <c r="M45" i="17"/>
  <c r="K56" i="17"/>
  <c r="J40" i="16"/>
  <c r="J48" i="17"/>
  <c r="J45" i="17"/>
  <c r="K57" i="17"/>
  <c r="Q29" i="39"/>
  <c r="AQ28" i="39"/>
  <c r="AK28" i="39"/>
  <c r="J44" i="12"/>
  <c r="M44" i="12"/>
  <c r="M47" i="12"/>
  <c r="J38" i="11"/>
  <c r="J47" i="12"/>
  <c r="E48" i="13"/>
  <c r="D48" i="12"/>
  <c r="E38" i="13"/>
  <c r="D38" i="12"/>
  <c r="D51" i="13"/>
  <c r="E51" i="14"/>
  <c r="D44" i="12"/>
  <c r="E44" i="13"/>
  <c r="D43" i="12"/>
  <c r="E43" i="13"/>
  <c r="E40" i="11"/>
  <c r="D40" i="10"/>
  <c r="E47" i="12"/>
  <c r="D47" i="11"/>
  <c r="E39" i="13"/>
  <c r="D39" i="12"/>
  <c r="E42" i="10"/>
  <c r="D42" i="9"/>
  <c r="D46" i="11"/>
  <c r="E46" i="12"/>
  <c r="D50" i="13"/>
  <c r="E50" i="14"/>
  <c r="E41" i="14"/>
  <c r="D41" i="13"/>
  <c r="D52" i="14"/>
  <c r="D53" i="14" s="1"/>
  <c r="E49" i="14"/>
  <c r="D49" i="13"/>
  <c r="E52" i="15"/>
  <c r="E53" i="15" s="1"/>
  <c r="E45" i="13"/>
  <c r="D45" i="12"/>
  <c r="J37" i="13"/>
  <c r="J39" i="14"/>
  <c r="M8" i="13"/>
  <c r="M34" i="14"/>
  <c r="AU34" i="39"/>
  <c r="J57" i="7"/>
  <c r="BO25" i="39" l="1"/>
  <c r="EZ23" i="2"/>
  <c r="EX23" i="2"/>
  <c r="F24" i="2"/>
  <c r="A32" i="1"/>
  <c r="A33" i="2" s="1"/>
  <c r="U25" i="39"/>
  <c r="S26" i="39"/>
  <c r="BK26" i="39" s="1"/>
  <c r="BE25" i="39"/>
  <c r="AS25" i="39"/>
  <c r="AM25" i="39"/>
  <c r="AY25" i="39"/>
  <c r="K56" i="16"/>
  <c r="J45" i="16"/>
  <c r="M45" i="16"/>
  <c r="J40" i="15"/>
  <c r="M48" i="16"/>
  <c r="J41" i="16"/>
  <c r="J48" i="16"/>
  <c r="K57" i="16"/>
  <c r="J44" i="11"/>
  <c r="J38" i="10"/>
  <c r="M47" i="11"/>
  <c r="J47" i="11"/>
  <c r="M44" i="11"/>
  <c r="AQ29" i="39"/>
  <c r="AK29" i="39"/>
  <c r="Q30" i="39"/>
  <c r="E48" i="12"/>
  <c r="D48" i="11"/>
  <c r="E38" i="12"/>
  <c r="D38" i="11"/>
  <c r="E51" i="13"/>
  <c r="D51" i="12"/>
  <c r="D44" i="11"/>
  <c r="E44" i="12"/>
  <c r="E43" i="12"/>
  <c r="D43" i="11"/>
  <c r="E40" i="10"/>
  <c r="D40" i="9"/>
  <c r="D47" i="10"/>
  <c r="E47" i="11"/>
  <c r="D46" i="10"/>
  <c r="E46" i="11"/>
  <c r="E42" i="9"/>
  <c r="D42" i="8"/>
  <c r="D39" i="11"/>
  <c r="E39" i="12"/>
  <c r="J37" i="12"/>
  <c r="J39" i="13"/>
  <c r="D49" i="12"/>
  <c r="E49" i="13"/>
  <c r="E52" i="14"/>
  <c r="E53" i="14" s="1"/>
  <c r="E50" i="13"/>
  <c r="D50" i="12"/>
  <c r="D45" i="11"/>
  <c r="E45" i="12"/>
  <c r="D41" i="12"/>
  <c r="E41" i="13"/>
  <c r="D52" i="13"/>
  <c r="D53" i="13" s="1"/>
  <c r="M34" i="13"/>
  <c r="M8" i="12"/>
  <c r="AU35" i="39"/>
  <c r="J57" i="6"/>
  <c r="BO26" i="39" l="1"/>
  <c r="EZ24" i="2"/>
  <c r="EX24" i="2"/>
  <c r="F25" i="2"/>
  <c r="A33" i="1"/>
  <c r="A34" i="2" s="1"/>
  <c r="J41" i="15"/>
  <c r="M48" i="15"/>
  <c r="J45" i="15"/>
  <c r="J48" i="15"/>
  <c r="K57" i="15"/>
  <c r="J40" i="14"/>
  <c r="K56" i="15"/>
  <c r="M45" i="15"/>
  <c r="AS26" i="39"/>
  <c r="AM26" i="39"/>
  <c r="BE26" i="39"/>
  <c r="AY26" i="39"/>
  <c r="U26" i="39"/>
  <c r="S27" i="39"/>
  <c r="BK27" i="39" s="1"/>
  <c r="J44" i="10"/>
  <c r="J38" i="9"/>
  <c r="M47" i="10"/>
  <c r="J47" i="10"/>
  <c r="M44" i="10"/>
  <c r="AQ30" i="39"/>
  <c r="AK30" i="39"/>
  <c r="Q31" i="39"/>
  <c r="E48" i="11"/>
  <c r="D48" i="10"/>
  <c r="E51" i="12"/>
  <c r="D51" i="11"/>
  <c r="E38" i="11"/>
  <c r="D38" i="10"/>
  <c r="D44" i="10"/>
  <c r="E44" i="11"/>
  <c r="E43" i="11"/>
  <c r="D43" i="10"/>
  <c r="D40" i="8"/>
  <c r="E40" i="9"/>
  <c r="E47" i="10"/>
  <c r="D47" i="9"/>
  <c r="E42" i="8"/>
  <c r="D42" i="7"/>
  <c r="D39" i="10"/>
  <c r="E39" i="11"/>
  <c r="D46" i="9"/>
  <c r="E46" i="10"/>
  <c r="E52" i="13"/>
  <c r="E53" i="13" s="1"/>
  <c r="D50" i="11"/>
  <c r="E50" i="12"/>
  <c r="D49" i="11"/>
  <c r="E49" i="12"/>
  <c r="J39" i="12"/>
  <c r="J37" i="11"/>
  <c r="D41" i="11"/>
  <c r="E41" i="12"/>
  <c r="D52" i="12"/>
  <c r="D53" i="12" s="1"/>
  <c r="D45" i="10"/>
  <c r="E45" i="11"/>
  <c r="M34" i="12"/>
  <c r="M8" i="11"/>
  <c r="J57" i="37"/>
  <c r="AU36" i="39"/>
  <c r="Z190" i="54" l="1"/>
  <c r="Z197" i="46"/>
  <c r="Z201" i="46" s="1"/>
  <c r="BO27" i="39"/>
  <c r="EX25" i="2"/>
  <c r="EZ25" i="2"/>
  <c r="F26" i="2"/>
  <c r="A34" i="1"/>
  <c r="A35" i="2" s="1"/>
  <c r="U27" i="39"/>
  <c r="S28" i="39"/>
  <c r="BK28" i="39" s="1"/>
  <c r="AY27" i="39"/>
  <c r="AM27" i="39"/>
  <c r="AS27" i="39"/>
  <c r="BE27" i="39"/>
  <c r="J40" i="13"/>
  <c r="M48" i="14"/>
  <c r="J41" i="14"/>
  <c r="J48" i="14"/>
  <c r="K56" i="14"/>
  <c r="M45" i="14"/>
  <c r="J45" i="14"/>
  <c r="K57" i="14"/>
  <c r="AK31" i="39"/>
  <c r="AQ31" i="39"/>
  <c r="Q32" i="39"/>
  <c r="M47" i="9"/>
  <c r="J47" i="9"/>
  <c r="J38" i="8"/>
  <c r="J44" i="9"/>
  <c r="M44" i="9"/>
  <c r="E48" i="10"/>
  <c r="D48" i="9"/>
  <c r="E38" i="10"/>
  <c r="D38" i="9"/>
  <c r="D51" i="10"/>
  <c r="E51" i="11"/>
  <c r="D44" i="9"/>
  <c r="E44" i="10"/>
  <c r="E43" i="10"/>
  <c r="D43" i="9"/>
  <c r="E40" i="8"/>
  <c r="D40" i="7"/>
  <c r="D47" i="8"/>
  <c r="E47" i="9"/>
  <c r="E46" i="9"/>
  <c r="D46" i="8"/>
  <c r="D39" i="9"/>
  <c r="E39" i="10"/>
  <c r="E52" i="12"/>
  <c r="E53" i="12" s="1"/>
  <c r="E42" i="7"/>
  <c r="D42" i="6"/>
  <c r="D41" i="10"/>
  <c r="E41" i="11"/>
  <c r="D52" i="11"/>
  <c r="D53" i="11" s="1"/>
  <c r="J39" i="11"/>
  <c r="J37" i="10"/>
  <c r="E45" i="10"/>
  <c r="D45" i="9"/>
  <c r="E49" i="11"/>
  <c r="D49" i="10"/>
  <c r="D50" i="10"/>
  <c r="E50" i="11"/>
  <c r="M34" i="11"/>
  <c r="M8" i="10"/>
  <c r="AU37" i="39"/>
  <c r="J57" i="4"/>
  <c r="T2" i="53" l="1"/>
  <c r="N14" i="52" s="1"/>
  <c r="Z191" i="54"/>
  <c r="X199" i="54" s="1"/>
  <c r="Z192" i="54"/>
  <c r="I2" i="53"/>
  <c r="E14" i="52" s="1"/>
  <c r="Z199" i="46"/>
  <c r="AB190" i="54"/>
  <c r="AA190" i="54"/>
  <c r="BO28" i="39"/>
  <c r="EZ26" i="2"/>
  <c r="EX26" i="2"/>
  <c r="F27" i="2"/>
  <c r="A35" i="1"/>
  <c r="A36" i="2" s="1"/>
  <c r="J41" i="13"/>
  <c r="K56" i="13"/>
  <c r="M45" i="13"/>
  <c r="K57" i="13"/>
  <c r="J45" i="13"/>
  <c r="J48" i="13"/>
  <c r="J40" i="12"/>
  <c r="M48" i="13"/>
  <c r="BE28" i="39"/>
  <c r="U28" i="39"/>
  <c r="AS28" i="39"/>
  <c r="S29" i="39"/>
  <c r="BK29" i="39" s="1"/>
  <c r="AM28" i="39"/>
  <c r="AY28" i="39"/>
  <c r="AQ32" i="39"/>
  <c r="Q33" i="39"/>
  <c r="AK32" i="39"/>
  <c r="J38" i="7"/>
  <c r="J47" i="8"/>
  <c r="J44" i="8"/>
  <c r="M47" i="8"/>
  <c r="M44" i="8"/>
  <c r="D48" i="8"/>
  <c r="E48" i="9"/>
  <c r="D38" i="8"/>
  <c r="E38" i="9"/>
  <c r="E51" i="10"/>
  <c r="D51" i="9"/>
  <c r="E44" i="9"/>
  <c r="D44" i="8"/>
  <c r="E43" i="9"/>
  <c r="D43" i="8"/>
  <c r="D40" i="6"/>
  <c r="E40" i="7"/>
  <c r="D47" i="7"/>
  <c r="E47" i="8"/>
  <c r="D46" i="7"/>
  <c r="E46" i="8"/>
  <c r="E42" i="6"/>
  <c r="D42" i="37"/>
  <c r="D39" i="8"/>
  <c r="E39" i="9"/>
  <c r="E50" i="10"/>
  <c r="D50" i="9"/>
  <c r="J39" i="10"/>
  <c r="J37" i="9"/>
  <c r="D41" i="9"/>
  <c r="E41" i="10"/>
  <c r="D52" i="10"/>
  <c r="D53" i="10" s="1"/>
  <c r="D49" i="9"/>
  <c r="E49" i="10"/>
  <c r="E45" i="9"/>
  <c r="D45" i="8"/>
  <c r="E52" i="11"/>
  <c r="E53" i="11" s="1"/>
  <c r="M34" i="10"/>
  <c r="M8" i="9"/>
  <c r="J57" i="43"/>
  <c r="AU38" i="39"/>
  <c r="T4" i="53" l="1"/>
  <c r="N16" i="52" s="1"/>
  <c r="AB191" i="54"/>
  <c r="X202" i="54" s="1"/>
  <c r="AA191" i="54"/>
  <c r="X201" i="54" s="1"/>
  <c r="X223" i="54" s="1"/>
  <c r="X225" i="54" s="1"/>
  <c r="T3" i="53"/>
  <c r="N15" i="52" s="1"/>
  <c r="U2" i="53"/>
  <c r="O14" i="52" s="1"/>
  <c r="BO29" i="39"/>
  <c r="EZ27" i="2"/>
  <c r="EX27" i="2"/>
  <c r="F28" i="2"/>
  <c r="F29" i="2" s="1"/>
  <c r="A36" i="1"/>
  <c r="A37" i="2" s="1"/>
  <c r="J41" i="12"/>
  <c r="M45" i="12"/>
  <c r="J45" i="12"/>
  <c r="J48" i="12"/>
  <c r="K56" i="12"/>
  <c r="J40" i="11"/>
  <c r="K56" i="11" s="1"/>
  <c r="M48" i="12"/>
  <c r="K57" i="12"/>
  <c r="S30" i="39"/>
  <c r="BK30" i="39" s="1"/>
  <c r="U29" i="39"/>
  <c r="AY29" i="39"/>
  <c r="AM29" i="39"/>
  <c r="BE29" i="39"/>
  <c r="AS29" i="39"/>
  <c r="J44" i="7"/>
  <c r="J38" i="6"/>
  <c r="J44" i="6" s="1"/>
  <c r="M47" i="7"/>
  <c r="J47" i="7"/>
  <c r="M44" i="7"/>
  <c r="AK33" i="39"/>
  <c r="Q34" i="39"/>
  <c r="AK34" i="39" s="1"/>
  <c r="AQ33" i="39"/>
  <c r="D48" i="7"/>
  <c r="D48" i="6" s="1"/>
  <c r="E48" i="8"/>
  <c r="D51" i="8"/>
  <c r="E51" i="8" s="1"/>
  <c r="E51" i="9"/>
  <c r="E38" i="8"/>
  <c r="D38" i="7"/>
  <c r="E38" i="7" s="1"/>
  <c r="D44" i="7"/>
  <c r="D44" i="6" s="1"/>
  <c r="D44" i="37" s="1"/>
  <c r="E44" i="8"/>
  <c r="D43" i="7"/>
  <c r="E43" i="7" s="1"/>
  <c r="E43" i="8"/>
  <c r="E40" i="6"/>
  <c r="D40" i="37"/>
  <c r="D40" i="4" s="1"/>
  <c r="E47" i="7"/>
  <c r="D47" i="6"/>
  <c r="D47" i="37" s="1"/>
  <c r="D47" i="4" s="1"/>
  <c r="E39" i="8"/>
  <c r="D39" i="7"/>
  <c r="E39" i="7" s="1"/>
  <c r="D46" i="6"/>
  <c r="D46" i="37" s="1"/>
  <c r="D46" i="4" s="1"/>
  <c r="E46" i="7"/>
  <c r="E42" i="37"/>
  <c r="D42" i="4"/>
  <c r="E42" i="4" s="1"/>
  <c r="D45" i="7"/>
  <c r="D45" i="6" s="1"/>
  <c r="E45" i="8"/>
  <c r="E52" i="10"/>
  <c r="E53" i="10" s="1"/>
  <c r="J37" i="8"/>
  <c r="J37" i="7" s="1"/>
  <c r="J39" i="9"/>
  <c r="E50" i="9"/>
  <c r="D50" i="8"/>
  <c r="D50" i="7" s="1"/>
  <c r="E50" i="7" s="1"/>
  <c r="D49" i="8"/>
  <c r="E49" i="9"/>
  <c r="D41" i="8"/>
  <c r="E41" i="8" s="1"/>
  <c r="E41" i="9"/>
  <c r="D52" i="9"/>
  <c r="D53" i="9" s="1"/>
  <c r="M8" i="8"/>
  <c r="M34" i="8" s="1"/>
  <c r="R66" i="53" s="1"/>
  <c r="M34" i="9"/>
  <c r="AU39" i="39"/>
  <c r="A37" i="1"/>
  <c r="A38" i="2" s="1"/>
  <c r="U4" i="53" l="1"/>
  <c r="O16" i="52" s="1"/>
  <c r="P16" i="52" s="1"/>
  <c r="Q16" i="52" s="1"/>
  <c r="N42" i="52"/>
  <c r="AQ34" i="39"/>
  <c r="EX28" i="2"/>
  <c r="EZ28" i="2"/>
  <c r="E44" i="7"/>
  <c r="D38" i="6"/>
  <c r="E38" i="6" s="1"/>
  <c r="Q35" i="39"/>
  <c r="AK35" i="39" s="1"/>
  <c r="BE30" i="39"/>
  <c r="M8" i="7"/>
  <c r="D43" i="6"/>
  <c r="E43" i="6" s="1"/>
  <c r="E47" i="6"/>
  <c r="D41" i="7"/>
  <c r="D41" i="6" s="1"/>
  <c r="E41" i="6" s="1"/>
  <c r="AY30" i="39"/>
  <c r="AS30" i="39"/>
  <c r="M48" i="11"/>
  <c r="J48" i="11"/>
  <c r="K57" i="11"/>
  <c r="M45" i="11"/>
  <c r="J45" i="11"/>
  <c r="J41" i="11"/>
  <c r="J40" i="10"/>
  <c r="S31" i="39"/>
  <c r="BK31" i="39" s="1"/>
  <c r="BO30" i="39"/>
  <c r="AM30" i="39"/>
  <c r="U3" i="53"/>
  <c r="O15" i="52" s="1"/>
  <c r="P15" i="52" s="1"/>
  <c r="M44" i="6"/>
  <c r="M47" i="6"/>
  <c r="J47" i="6"/>
  <c r="J39" i="8"/>
  <c r="J37" i="6"/>
  <c r="J37" i="37" s="1"/>
  <c r="J39" i="7"/>
  <c r="EZ29" i="2"/>
  <c r="EX29" i="2"/>
  <c r="F30" i="2"/>
  <c r="F31" i="2" s="1"/>
  <c r="P14" i="52"/>
  <c r="U30" i="39"/>
  <c r="E52" i="9"/>
  <c r="E53" i="9" s="1"/>
  <c r="J38" i="37"/>
  <c r="D52" i="8"/>
  <c r="D53" i="8" s="1"/>
  <c r="D39" i="6"/>
  <c r="E39" i="6" s="1"/>
  <c r="E46" i="6"/>
  <c r="D51" i="7"/>
  <c r="E45" i="7"/>
  <c r="D45" i="37"/>
  <c r="D45" i="4" s="1"/>
  <c r="E45" i="6"/>
  <c r="E47" i="37"/>
  <c r="E50" i="8"/>
  <c r="E44" i="6"/>
  <c r="D42" i="43"/>
  <c r="E42" i="43" s="1"/>
  <c r="E46" i="37"/>
  <c r="E48" i="7"/>
  <c r="E40" i="4"/>
  <c r="D40" i="43"/>
  <c r="E40" i="43" s="1"/>
  <c r="E48" i="6"/>
  <c r="D48" i="37"/>
  <c r="E48" i="37" s="1"/>
  <c r="D49" i="7"/>
  <c r="E40" i="37"/>
  <c r="E49" i="8"/>
  <c r="D50" i="6"/>
  <c r="E50" i="6" s="1"/>
  <c r="A38" i="1"/>
  <c r="A39" i="2" s="1"/>
  <c r="D44" i="4"/>
  <c r="E44" i="37"/>
  <c r="D47" i="43"/>
  <c r="E47" i="43" s="1"/>
  <c r="E47" i="4"/>
  <c r="E46" i="4"/>
  <c r="D46" i="43"/>
  <c r="E46" i="43" s="1"/>
  <c r="D38" i="37" l="1"/>
  <c r="D38" i="4" s="1"/>
  <c r="E38" i="4" s="1"/>
  <c r="Q36" i="39"/>
  <c r="AK36" i="39" s="1"/>
  <c r="AQ35" i="39"/>
  <c r="BE31" i="39"/>
  <c r="U31" i="39"/>
  <c r="S32" i="39"/>
  <c r="AQ36" i="39"/>
  <c r="E41" i="7"/>
  <c r="EZ30" i="2"/>
  <c r="M8" i="6"/>
  <c r="M34" i="7"/>
  <c r="EX30" i="2"/>
  <c r="D43" i="37"/>
  <c r="D43" i="4" s="1"/>
  <c r="D43" i="43" s="1"/>
  <c r="E43" i="43" s="1"/>
  <c r="D41" i="37"/>
  <c r="D41" i="4" s="1"/>
  <c r="D39" i="37"/>
  <c r="D39" i="4" s="1"/>
  <c r="D39" i="43" s="1"/>
  <c r="E39" i="43" s="1"/>
  <c r="O42" i="52"/>
  <c r="O44" i="52" s="1"/>
  <c r="J39" i="6"/>
  <c r="J48" i="10"/>
  <c r="J41" i="10"/>
  <c r="K57" i="10"/>
  <c r="K56" i="10"/>
  <c r="J45" i="10"/>
  <c r="M48" i="10"/>
  <c r="M45" i="10"/>
  <c r="J40" i="9"/>
  <c r="AS31" i="39"/>
  <c r="BO31" i="39"/>
  <c r="AM31" i="39"/>
  <c r="AY31" i="39"/>
  <c r="Q14" i="52"/>
  <c r="Q42" i="52" s="1"/>
  <c r="Q44" i="52" s="1"/>
  <c r="R14" i="53" s="1"/>
  <c r="P42" i="52"/>
  <c r="P44" i="52" s="1"/>
  <c r="A39" i="1"/>
  <c r="A40" i="2" s="1"/>
  <c r="J44" i="37"/>
  <c r="J47" i="37"/>
  <c r="M47" i="37"/>
  <c r="M44" i="37"/>
  <c r="J38" i="4"/>
  <c r="E45" i="37"/>
  <c r="D50" i="37"/>
  <c r="E50" i="37" s="1"/>
  <c r="E51" i="7"/>
  <c r="D51" i="6"/>
  <c r="E52" i="8"/>
  <c r="E53" i="8" s="1"/>
  <c r="D48" i="4"/>
  <c r="E48" i="4" s="1"/>
  <c r="E49" i="7"/>
  <c r="D49" i="6"/>
  <c r="D52" i="7"/>
  <c r="D53" i="7" s="1"/>
  <c r="EZ31" i="2"/>
  <c r="EX31" i="2"/>
  <c r="F32" i="2"/>
  <c r="E44" i="4"/>
  <c r="D44" i="43"/>
  <c r="E44" i="43" s="1"/>
  <c r="J39" i="37"/>
  <c r="J37" i="4"/>
  <c r="E45" i="4"/>
  <c r="D45" i="43"/>
  <c r="E45" i="43" s="1"/>
  <c r="E38" i="37" l="1"/>
  <c r="D38" i="43"/>
  <c r="E38" i="43" s="1"/>
  <c r="Q37" i="39"/>
  <c r="Q38" i="39" s="1"/>
  <c r="S33" i="39"/>
  <c r="S34" i="39" s="1"/>
  <c r="BK32" i="39"/>
  <c r="AM32" i="39"/>
  <c r="BO32" i="39"/>
  <c r="U32" i="39"/>
  <c r="BE32" i="39"/>
  <c r="AS32" i="39"/>
  <c r="AY32" i="39"/>
  <c r="BE33" i="39"/>
  <c r="AY33" i="39"/>
  <c r="AQ37" i="39"/>
  <c r="E43" i="37"/>
  <c r="E43" i="4"/>
  <c r="M34" i="6"/>
  <c r="M8" i="37"/>
  <c r="E39" i="4"/>
  <c r="E41" i="37"/>
  <c r="D50" i="4"/>
  <c r="D50" i="43" s="1"/>
  <c r="E50" i="43" s="1"/>
  <c r="E39" i="37"/>
  <c r="J41" i="9"/>
  <c r="K56" i="9"/>
  <c r="J48" i="9"/>
  <c r="J45" i="9"/>
  <c r="J40" i="8"/>
  <c r="M48" i="9"/>
  <c r="K57" i="9"/>
  <c r="M45" i="9"/>
  <c r="E52" i="7"/>
  <c r="E53" i="7" s="1"/>
  <c r="J44" i="4"/>
  <c r="M44" i="4"/>
  <c r="M47" i="4"/>
  <c r="J47" i="4"/>
  <c r="J38" i="43"/>
  <c r="D48" i="43"/>
  <c r="E48" i="43" s="1"/>
  <c r="E51" i="6"/>
  <c r="D51" i="37"/>
  <c r="E49" i="6"/>
  <c r="D49" i="37"/>
  <c r="D52" i="6"/>
  <c r="D53" i="6" s="1"/>
  <c r="EZ32" i="2"/>
  <c r="EX32" i="2"/>
  <c r="F33" i="2"/>
  <c r="Q39" i="39"/>
  <c r="AK38" i="39"/>
  <c r="AQ38" i="39"/>
  <c r="J37" i="43"/>
  <c r="J39" i="43" s="1"/>
  <c r="J39" i="4"/>
  <c r="D41" i="43"/>
  <c r="E41" i="4"/>
  <c r="BO33" i="39" l="1"/>
  <c r="AM33" i="39"/>
  <c r="U33" i="39"/>
  <c r="AK37" i="39"/>
  <c r="BO34" i="39"/>
  <c r="BK34" i="39"/>
  <c r="AS33" i="39"/>
  <c r="BK33" i="39"/>
  <c r="AY34" i="39"/>
  <c r="AM34" i="39"/>
  <c r="BE34" i="39"/>
  <c r="AS34" i="39"/>
  <c r="U34" i="39"/>
  <c r="S35" i="39"/>
  <c r="E50" i="4"/>
  <c r="M8" i="4"/>
  <c r="M34" i="37"/>
  <c r="J41" i="8"/>
  <c r="K56" i="8"/>
  <c r="M45" i="8"/>
  <c r="M48" i="8"/>
  <c r="J40" i="7"/>
  <c r="J48" i="8"/>
  <c r="J45" i="8"/>
  <c r="K57" i="8"/>
  <c r="E52" i="6"/>
  <c r="E53" i="6" s="1"/>
  <c r="M47" i="43"/>
  <c r="M44" i="43"/>
  <c r="J47" i="43"/>
  <c r="J44" i="43"/>
  <c r="E51" i="37"/>
  <c r="D51" i="4"/>
  <c r="E49" i="37"/>
  <c r="D52" i="37"/>
  <c r="D53" i="37" s="1"/>
  <c r="D49" i="4"/>
  <c r="EZ33" i="2"/>
  <c r="EX33" i="2"/>
  <c r="F34" i="2"/>
  <c r="S36" i="39"/>
  <c r="BK36" i="39" s="1"/>
  <c r="AK39" i="39"/>
  <c r="AQ39" i="39"/>
  <c r="E41" i="43"/>
  <c r="BO35" i="39" l="1"/>
  <c r="BK35" i="39"/>
  <c r="AM35" i="39"/>
  <c r="U35" i="39"/>
  <c r="AY35" i="39"/>
  <c r="BE35" i="39"/>
  <c r="AS35" i="39"/>
  <c r="M34" i="4"/>
  <c r="M8" i="43"/>
  <c r="M34" i="43" s="1"/>
  <c r="AA202" i="46" s="1"/>
  <c r="J41" i="7"/>
  <c r="K56" i="7"/>
  <c r="J45" i="7"/>
  <c r="K57" i="7"/>
  <c r="J40" i="6"/>
  <c r="J48" i="7"/>
  <c r="M45" i="7"/>
  <c r="M48" i="7"/>
  <c r="E52" i="37"/>
  <c r="E53" i="37" s="1"/>
  <c r="E51" i="4"/>
  <c r="D51" i="43"/>
  <c r="E51" i="43" s="1"/>
  <c r="D52" i="4"/>
  <c r="D53" i="4" s="1"/>
  <c r="D49" i="43"/>
  <c r="E49" i="4"/>
  <c r="BO36" i="39"/>
  <c r="EX34" i="2"/>
  <c r="EZ34" i="2"/>
  <c r="F35" i="2"/>
  <c r="U36" i="39"/>
  <c r="S37" i="39"/>
  <c r="BK37" i="39" s="1"/>
  <c r="AY36" i="39"/>
  <c r="BE36" i="39"/>
  <c r="AS36" i="39"/>
  <c r="AM36" i="39"/>
  <c r="W199" i="46" l="1"/>
  <c r="E52" i="4"/>
  <c r="E53" i="4" s="1"/>
  <c r="J41" i="6"/>
  <c r="J48" i="6"/>
  <c r="J40" i="37"/>
  <c r="M48" i="6"/>
  <c r="M45" i="6"/>
  <c r="K57" i="6"/>
  <c r="J45" i="6"/>
  <c r="K56" i="6"/>
  <c r="E49" i="43"/>
  <c r="E52" i="43" s="1"/>
  <c r="E53" i="43" s="1"/>
  <c r="D52" i="43"/>
  <c r="BO37" i="39"/>
  <c r="EZ35" i="2"/>
  <c r="EX35" i="2"/>
  <c r="F36" i="2"/>
  <c r="AM37" i="39"/>
  <c r="AS37" i="39"/>
  <c r="BE37" i="39"/>
  <c r="U37" i="39"/>
  <c r="S38" i="39"/>
  <c r="BK38" i="39" s="1"/>
  <c r="AY37" i="39"/>
  <c r="K56" i="37" l="1"/>
  <c r="K57" i="37"/>
  <c r="J48" i="37"/>
  <c r="M45" i="37"/>
  <c r="J41" i="37"/>
  <c r="J45" i="37"/>
  <c r="M48" i="37"/>
  <c r="J40" i="4"/>
  <c r="D53" i="43"/>
  <c r="BO38" i="39"/>
  <c r="EX36" i="2"/>
  <c r="EZ36" i="2"/>
  <c r="F37" i="2"/>
  <c r="AS38" i="39"/>
  <c r="U38" i="39"/>
  <c r="S39" i="39"/>
  <c r="BK39" i="39" s="1"/>
  <c r="AM38" i="39"/>
  <c r="BE38" i="39"/>
  <c r="AY38" i="39"/>
  <c r="K56" i="4" l="1"/>
  <c r="M48" i="4"/>
  <c r="K57" i="4"/>
  <c r="J48" i="4"/>
  <c r="J40" i="43"/>
  <c r="J41" i="4"/>
  <c r="M45" i="4"/>
  <c r="J45" i="4"/>
  <c r="BO39" i="39"/>
  <c r="EX37" i="2"/>
  <c r="EZ37" i="2"/>
  <c r="F38" i="2"/>
  <c r="AS39" i="39"/>
  <c r="BE39" i="39"/>
  <c r="U39" i="39"/>
  <c r="AM39" i="39"/>
  <c r="AY39" i="39"/>
  <c r="K56" i="43" l="1"/>
  <c r="M48" i="43"/>
  <c r="M45" i="43"/>
  <c r="K57" i="43"/>
  <c r="J41" i="43"/>
  <c r="J45" i="43"/>
  <c r="J48" i="43"/>
  <c r="EX38" i="2"/>
  <c r="EZ38" i="2"/>
  <c r="F39" i="2"/>
  <c r="F40" i="2" s="1"/>
  <c r="EZ40" i="2" l="1"/>
  <c r="EX40" i="2"/>
  <c r="EX39" i="2"/>
  <c r="EZ39" i="2"/>
  <c r="BB10" i="39" l="1"/>
  <c r="H10" i="39"/>
  <c r="J10" i="39"/>
  <c r="AV10" i="39"/>
  <c r="V10" i="39"/>
  <c r="L41" i="39"/>
  <c r="M10" i="39"/>
  <c r="BI10" i="39" s="1"/>
  <c r="T197" i="46"/>
  <c r="P197" i="46"/>
  <c r="K197" i="46"/>
  <c r="AD205" i="46" s="1"/>
  <c r="X228" i="46" s="1"/>
  <c r="C197" i="46"/>
  <c r="Q197" i="46"/>
  <c r="Q198" i="46" s="1"/>
  <c r="U197" i="46"/>
  <c r="X200" i="46" s="1"/>
  <c r="BF199" i="46" l="1"/>
  <c r="BG199" i="46"/>
  <c r="BH199" i="46"/>
  <c r="BD199" i="46"/>
  <c r="BE199" i="46"/>
  <c r="AH4" i="50"/>
  <c r="AH3" i="50"/>
  <c r="AH38" i="50"/>
  <c r="O197" i="46"/>
  <c r="H41" i="39"/>
  <c r="J41" i="39"/>
  <c r="V41" i="39"/>
  <c r="BB41" i="39" s="1"/>
  <c r="BC10" i="39"/>
  <c r="M11" i="39"/>
  <c r="BI11" i="39" s="1"/>
  <c r="AW10" i="39"/>
  <c r="K10" i="39"/>
  <c r="W10" i="39"/>
  <c r="AC197" i="46"/>
  <c r="AA197" i="46"/>
  <c r="Z198" i="46"/>
  <c r="X206" i="46" s="1"/>
  <c r="X197" i="46"/>
  <c r="F43" i="52" s="1"/>
  <c r="G43" i="52" s="1"/>
  <c r="H43" i="52" s="1"/>
  <c r="Y198" i="46"/>
  <c r="X205" i="46" s="1"/>
  <c r="V198" i="46"/>
  <c r="I8" i="53"/>
  <c r="F14" i="52" s="1"/>
  <c r="G14" i="52" s="1"/>
  <c r="S198" i="46"/>
  <c r="R198" i="46"/>
  <c r="BA198" i="46" l="1"/>
  <c r="AZ198" i="46"/>
  <c r="AI3" i="50"/>
  <c r="AK198" i="46"/>
  <c r="X215" i="46" s="1"/>
  <c r="AS198" i="46"/>
  <c r="X221" i="46" s="1"/>
  <c r="AW198" i="46"/>
  <c r="X224" i="46" s="1"/>
  <c r="AM198" i="46"/>
  <c r="AU198" i="46"/>
  <c r="X223" i="46" s="1"/>
  <c r="AJ198" i="46"/>
  <c r="X214" i="46" s="1"/>
  <c r="AO198" i="46"/>
  <c r="X218" i="46" s="1"/>
  <c r="AR198" i="46"/>
  <c r="AI198" i="46"/>
  <c r="X213" i="46" s="1"/>
  <c r="AT198" i="46"/>
  <c r="X222" i="46" s="1"/>
  <c r="AY198" i="46"/>
  <c r="AF198" i="46"/>
  <c r="X210" i="46" s="1"/>
  <c r="AG198" i="46"/>
  <c r="X211" i="46" s="1"/>
  <c r="AV198" i="46"/>
  <c r="X225" i="46" s="1"/>
  <c r="AQ198" i="46"/>
  <c r="X220" i="46" s="1"/>
  <c r="AH198" i="46"/>
  <c r="X212" i="46" s="1"/>
  <c r="AP198" i="46"/>
  <c r="X219" i="46" s="1"/>
  <c r="AX198" i="46"/>
  <c r="AN198" i="46"/>
  <c r="X217" i="46" s="1"/>
  <c r="BC198" i="46"/>
  <c r="AL198" i="46"/>
  <c r="X216" i="46" s="1"/>
  <c r="BB198" i="46"/>
  <c r="AC198" i="46"/>
  <c r="X207" i="46" s="1"/>
  <c r="I5" i="53"/>
  <c r="E17" i="52" s="1"/>
  <c r="F17" i="52" s="1"/>
  <c r="G17" i="52" s="1"/>
  <c r="G10" i="39"/>
  <c r="N41" i="39"/>
  <c r="G41" i="39" s="1"/>
  <c r="O10" i="39"/>
  <c r="O11" i="39" s="1"/>
  <c r="O12" i="39" s="1"/>
  <c r="O13" i="39" s="1"/>
  <c r="O14" i="39" s="1"/>
  <c r="O15" i="39" s="1"/>
  <c r="O16" i="39" s="1"/>
  <c r="O17" i="39" s="1"/>
  <c r="O18" i="39" s="1"/>
  <c r="O19" i="39" s="1"/>
  <c r="O20" i="39" s="1"/>
  <c r="O21" i="39" s="1"/>
  <c r="O22" i="39" s="1"/>
  <c r="O23" i="39" s="1"/>
  <c r="O24" i="39" s="1"/>
  <c r="O25" i="39" s="1"/>
  <c r="O26" i="39" s="1"/>
  <c r="O27" i="39" s="1"/>
  <c r="O28" i="39" s="1"/>
  <c r="O29" i="39" s="1"/>
  <c r="O30" i="39" s="1"/>
  <c r="O31" i="39" s="1"/>
  <c r="O32" i="39" s="1"/>
  <c r="O33" i="39" s="1"/>
  <c r="O34" i="39" s="1"/>
  <c r="O35" i="39" s="1"/>
  <c r="O36" i="39" s="1"/>
  <c r="O37" i="39" s="1"/>
  <c r="O38" i="39" s="1"/>
  <c r="O39" i="39" s="1"/>
  <c r="AB197" i="46"/>
  <c r="AB198" i="46" s="1"/>
  <c r="X209" i="46" s="1"/>
  <c r="BC11" i="39"/>
  <c r="AW11" i="39"/>
  <c r="M12" i="39"/>
  <c r="BI12" i="39" s="1"/>
  <c r="W11" i="39"/>
  <c r="K11" i="39"/>
  <c r="J2" i="53"/>
  <c r="I11" i="53"/>
  <c r="AA198" i="46"/>
  <c r="X208" i="46" s="1"/>
  <c r="I3" i="53"/>
  <c r="E15" i="52" s="1"/>
  <c r="F12" i="52" l="1"/>
  <c r="G12" i="52" s="1"/>
  <c r="F11" i="52"/>
  <c r="G11" i="52" s="1"/>
  <c r="X227" i="46"/>
  <c r="F15" i="52"/>
  <c r="G15" i="52" s="1"/>
  <c r="H14" i="52" s="1"/>
  <c r="F37" i="52"/>
  <c r="F33" i="52"/>
  <c r="F31" i="52"/>
  <c r="F35" i="52"/>
  <c r="F6" i="52"/>
  <c r="G6" i="52" s="1"/>
  <c r="F19" i="52"/>
  <c r="F27" i="52"/>
  <c r="F23" i="52"/>
  <c r="F29" i="52"/>
  <c r="F41" i="52"/>
  <c r="F28" i="52"/>
  <c r="F20" i="52"/>
  <c r="G20" i="52" s="1"/>
  <c r="F5" i="52"/>
  <c r="G5" i="52" s="1"/>
  <c r="F26" i="52"/>
  <c r="F30" i="52"/>
  <c r="F13" i="52"/>
  <c r="G13" i="52" s="1"/>
  <c r="F24" i="52"/>
  <c r="F18" i="52"/>
  <c r="F39" i="52"/>
  <c r="F9" i="52"/>
  <c r="G9" i="52" s="1"/>
  <c r="F10" i="52"/>
  <c r="G10" i="52" s="1"/>
  <c r="F22" i="52"/>
  <c r="F8" i="52"/>
  <c r="G8" i="52" s="1"/>
  <c r="F32" i="52"/>
  <c r="F38" i="52"/>
  <c r="F21" i="52"/>
  <c r="F25" i="52"/>
  <c r="F4" i="52"/>
  <c r="F40" i="52"/>
  <c r="F34" i="52"/>
  <c r="F36" i="52"/>
  <c r="F7" i="52"/>
  <c r="G7" i="52" s="1"/>
  <c r="X226" i="46"/>
  <c r="J5" i="53"/>
  <c r="I4" i="53"/>
  <c r="E16" i="52" s="1"/>
  <c r="F16" i="52" s="1"/>
  <c r="G16" i="52" s="1"/>
  <c r="BC12" i="39"/>
  <c r="M13" i="39"/>
  <c r="AW12" i="39"/>
  <c r="W12" i="39"/>
  <c r="K12" i="39"/>
  <c r="J3" i="53"/>
  <c r="X230" i="46" l="1"/>
  <c r="X232" i="46" s="1"/>
  <c r="G40" i="52"/>
  <c r="H40" i="52" s="1"/>
  <c r="G33" i="52"/>
  <c r="AW13" i="39"/>
  <c r="BI13" i="39"/>
  <c r="M14" i="39"/>
  <c r="K13" i="39"/>
  <c r="BC13" i="39"/>
  <c r="W13" i="39"/>
  <c r="G26" i="52"/>
  <c r="J4" i="53"/>
  <c r="G4" i="52"/>
  <c r="H4" i="52" s="1"/>
  <c r="F42" i="52"/>
  <c r="F44" i="52" s="1"/>
  <c r="G21" i="52"/>
  <c r="G18" i="52"/>
  <c r="G38" i="52"/>
  <c r="E42" i="52"/>
  <c r="G35" i="52"/>
  <c r="K14" i="39" l="1"/>
  <c r="BI14" i="39"/>
  <c r="W14" i="39"/>
  <c r="G68" i="53" s="1"/>
  <c r="H26" i="52"/>
  <c r="BC14" i="39"/>
  <c r="AW14" i="39"/>
  <c r="M15" i="39"/>
  <c r="BI15" i="39" s="1"/>
  <c r="H16" i="52"/>
  <c r="G42" i="52"/>
  <c r="G44" i="52" s="1"/>
  <c r="H42" i="52" l="1"/>
  <c r="H44" i="52" s="1"/>
  <c r="G15" i="53" s="1"/>
  <c r="K15" i="39"/>
  <c r="W15" i="39"/>
  <c r="AW15" i="39"/>
  <c r="BC15" i="39"/>
  <c r="M16" i="39"/>
  <c r="BI16" i="39" s="1"/>
  <c r="BC16" i="39" l="1"/>
  <c r="M17" i="39"/>
  <c r="BI17" i="39" s="1"/>
  <c r="K16" i="39"/>
  <c r="AW16" i="39"/>
  <c r="W16" i="39"/>
  <c r="AW17" i="39" l="1"/>
  <c r="W17" i="39"/>
  <c r="M18" i="39"/>
  <c r="BI18" i="39" s="1"/>
  <c r="BC17" i="39"/>
  <c r="K17" i="39"/>
  <c r="K18" i="39" l="1"/>
  <c r="W18" i="39"/>
  <c r="BC18" i="39"/>
  <c r="AW18" i="39"/>
  <c r="M19" i="39"/>
  <c r="BI19" i="39" s="1"/>
  <c r="K19" i="39" l="1"/>
  <c r="W19" i="39"/>
  <c r="M20" i="39"/>
  <c r="BI20" i="39" s="1"/>
  <c r="AW19" i="39"/>
  <c r="BC19" i="39"/>
  <c r="W20" i="39" l="1"/>
  <c r="K20" i="39"/>
  <c r="M21" i="39"/>
  <c r="BI21" i="39" s="1"/>
  <c r="AW20" i="39"/>
  <c r="BC20" i="39"/>
  <c r="K21" i="39" l="1"/>
  <c r="W21" i="39"/>
  <c r="M22" i="39"/>
  <c r="BI22" i="39" s="1"/>
  <c r="BC21" i="39"/>
  <c r="AW21" i="39"/>
  <c r="K22" i="39" l="1"/>
  <c r="W22" i="39"/>
  <c r="BC22" i="39"/>
  <c r="AW22" i="39"/>
  <c r="M23" i="39"/>
  <c r="BI23" i="39" s="1"/>
  <c r="W23" i="39" l="1"/>
  <c r="AW23" i="39"/>
  <c r="K23" i="39"/>
  <c r="M24" i="39"/>
  <c r="BI24" i="39" s="1"/>
  <c r="BC23" i="39"/>
  <c r="K24" i="39" l="1"/>
  <c r="W24" i="39"/>
  <c r="M25" i="39"/>
  <c r="BI25" i="39" s="1"/>
  <c r="AW24" i="39"/>
  <c r="BC24" i="39"/>
  <c r="K25" i="39" l="1"/>
  <c r="M26" i="39"/>
  <c r="BI26" i="39" s="1"/>
  <c r="W25" i="39"/>
  <c r="BC25" i="39"/>
  <c r="AW25" i="39"/>
  <c r="K26" i="39" l="1"/>
  <c r="W26" i="39"/>
  <c r="AW26" i="39"/>
  <c r="M27" i="39"/>
  <c r="BI27" i="39" s="1"/>
  <c r="BC26" i="39"/>
  <c r="K27" i="39" l="1"/>
  <c r="AW27" i="39"/>
  <c r="W27" i="39"/>
  <c r="M28" i="39"/>
  <c r="BI28" i="39" s="1"/>
  <c r="BC27" i="39"/>
  <c r="W28" i="39" l="1"/>
  <c r="K28" i="39"/>
  <c r="BC28" i="39"/>
  <c r="AW28" i="39"/>
  <c r="M29" i="39"/>
  <c r="BI29" i="39" s="1"/>
  <c r="K29" i="39" l="1"/>
  <c r="W29" i="39"/>
  <c r="BC29" i="39"/>
  <c r="AW29" i="39"/>
  <c r="M30" i="39"/>
  <c r="BI30" i="39" s="1"/>
  <c r="W30" i="39" l="1"/>
  <c r="K30" i="39"/>
  <c r="BC30" i="39"/>
  <c r="M31" i="39"/>
  <c r="BI31" i="39" s="1"/>
  <c r="AW30" i="39"/>
  <c r="W31" i="39" l="1"/>
  <c r="BC31" i="39"/>
  <c r="K31" i="39"/>
  <c r="M32" i="39"/>
  <c r="BI32" i="39" s="1"/>
  <c r="AW31" i="39"/>
  <c r="K32" i="39" l="1"/>
  <c r="W32" i="39"/>
  <c r="BC32" i="39"/>
  <c r="M33" i="39"/>
  <c r="BI33" i="39" s="1"/>
  <c r="AW32" i="39"/>
  <c r="W33" i="39" l="1"/>
  <c r="K33" i="39"/>
  <c r="BC33" i="39"/>
  <c r="M34" i="39"/>
  <c r="BI34" i="39" s="1"/>
  <c r="AW33" i="39"/>
  <c r="W34" i="39" l="1"/>
  <c r="BC34" i="39"/>
  <c r="M35" i="39"/>
  <c r="BI35" i="39" s="1"/>
  <c r="AW34" i="39"/>
  <c r="K34" i="39"/>
  <c r="K35" i="39" l="1"/>
  <c r="W35" i="39"/>
  <c r="AW35" i="39"/>
  <c r="M36" i="39"/>
  <c r="BI36" i="39" s="1"/>
  <c r="BC35" i="39"/>
  <c r="K36" i="39" l="1"/>
  <c r="W36" i="39"/>
  <c r="BC36" i="39"/>
  <c r="AW36" i="39"/>
  <c r="M37" i="39"/>
  <c r="BI37" i="39" s="1"/>
  <c r="K37" i="39" l="1"/>
  <c r="BC37" i="39"/>
  <c r="W37" i="39"/>
  <c r="M38" i="39"/>
  <c r="BI38" i="39" s="1"/>
  <c r="AW37" i="39"/>
  <c r="IK9" i="1"/>
  <c r="KU9" i="1" s="1"/>
  <c r="IJ9" i="1"/>
  <c r="K38" i="39" l="1"/>
  <c r="BC38" i="39"/>
  <c r="W38" i="39"/>
  <c r="M39" i="39"/>
  <c r="BI39" i="39" s="1"/>
  <c r="AW38" i="39"/>
  <c r="AV41" i="1"/>
  <c r="AW10" i="1"/>
  <c r="AX10" i="1"/>
  <c r="KT10" i="1" s="1"/>
  <c r="W39" i="39" l="1"/>
  <c r="K39" i="39"/>
  <c r="AW39" i="39"/>
  <c r="BC39" i="39"/>
  <c r="AW41" i="1"/>
  <c r="AX41" i="1"/>
  <c r="IK27" i="1" l="1"/>
  <c r="KU27" i="1" s="1"/>
  <c r="IJ27" i="1"/>
  <c r="CH33" i="1" l="1"/>
  <c r="KT33" i="1" s="1"/>
  <c r="CG33" i="1"/>
  <c r="GX12" i="1" l="1"/>
  <c r="GW12" i="1"/>
  <c r="II41" i="1"/>
  <c r="IJ41" i="1" s="1"/>
  <c r="IJ12" i="1"/>
  <c r="IK12" i="1"/>
  <c r="KU12" i="1" l="1"/>
  <c r="IK41" i="1"/>
  <c r="CF41" i="1" l="1"/>
  <c r="CH13" i="1"/>
  <c r="KT13" i="1"/>
  <c r="CG13" i="1"/>
  <c r="CG41" i="1" l="1"/>
  <c r="CH41" i="1"/>
  <c r="U41" i="1" l="1"/>
  <c r="W16" i="1"/>
  <c r="KT16" i="1" s="1"/>
  <c r="V16" i="1"/>
  <c r="V41" i="1" l="1"/>
  <c r="W41" i="1"/>
  <c r="GV41" i="1"/>
  <c r="GX41" i="1" s="1"/>
  <c r="KU41" i="1" s="1"/>
  <c r="GX16" i="1"/>
  <c r="KU16" i="1" s="1"/>
  <c r="GW16" i="1"/>
  <c r="GW41" i="1" l="1"/>
  <c r="EE41" i="1" l="1"/>
  <c r="EF21" i="1"/>
  <c r="EG21" i="1"/>
  <c r="KT21" i="1" s="1"/>
  <c r="EG41" i="1" l="1"/>
  <c r="KT41" i="1" s="1"/>
  <c r="KV41" i="1"/>
  <c r="EF41" i="1"/>
  <c r="I49" i="19" l="1"/>
  <c r="AD23" i="39"/>
  <c r="AF23" i="39"/>
  <c r="I49" i="11"/>
  <c r="AD31" i="39"/>
  <c r="AF31" i="39"/>
  <c r="AD15" i="39"/>
  <c r="AF15" i="39"/>
  <c r="I49" i="28"/>
  <c r="I49" i="23"/>
  <c r="AF19" i="39"/>
  <c r="AD19" i="39"/>
  <c r="AD25" i="39"/>
  <c r="AF25" i="39"/>
  <c r="I49" i="17"/>
  <c r="I49" i="8"/>
  <c r="AD34" i="39"/>
  <c r="AF34" i="39"/>
  <c r="AF22" i="39"/>
  <c r="I49" i="20"/>
  <c r="AD22" i="39"/>
  <c r="AD11" i="39"/>
  <c r="AF11" i="39"/>
  <c r="I49" i="31"/>
  <c r="AD9" i="39"/>
  <c r="AC9" i="39"/>
  <c r="AF9" i="39"/>
  <c r="AD20" i="39"/>
  <c r="AF20" i="39"/>
  <c r="I49" i="21"/>
  <c r="I49" i="37"/>
  <c r="AD37" i="39"/>
  <c r="AF37" i="39"/>
  <c r="I49" i="26"/>
  <c r="AF16" i="39"/>
  <c r="AD16" i="39"/>
  <c r="AD12" i="39"/>
  <c r="AF12" i="39"/>
  <c r="I49" i="30"/>
  <c r="I49" i="4"/>
  <c r="AD38" i="39"/>
  <c r="AF38" i="39"/>
  <c r="I49" i="22"/>
  <c r="AF21" i="39"/>
  <c r="AD21" i="39"/>
  <c r="AD18" i="39"/>
  <c r="AF18" i="39"/>
  <c r="I49" i="24"/>
  <c r="I49" i="32"/>
  <c r="AF10" i="39"/>
  <c r="AD10" i="39"/>
  <c r="AC10" i="39"/>
  <c r="AC11" i="39" s="1"/>
  <c r="AD13" i="39"/>
  <c r="I49" i="29"/>
  <c r="AF13" i="39"/>
  <c r="I49" i="6"/>
  <c r="AD36" i="39"/>
  <c r="AF36" i="39"/>
  <c r="I49" i="9"/>
  <c r="AD33" i="39"/>
  <c r="AF33" i="39"/>
  <c r="AD17" i="39"/>
  <c r="AF17" i="39"/>
  <c r="I49" i="25"/>
  <c r="I49" i="7"/>
  <c r="AD35" i="39"/>
  <c r="AF35" i="39"/>
  <c r="I49" i="10"/>
  <c r="AD32" i="39"/>
  <c r="AF32" i="39"/>
  <c r="I49" i="43"/>
  <c r="AD39" i="39"/>
  <c r="AF39" i="39"/>
  <c r="AE11" i="39" l="1"/>
  <c r="AG11" i="39"/>
  <c r="AC12" i="39"/>
  <c r="I49" i="15"/>
  <c r="AD27" i="39"/>
  <c r="AF27" i="39"/>
  <c r="I49" i="14"/>
  <c r="AD28" i="39"/>
  <c r="AF28" i="39"/>
  <c r="I49" i="18"/>
  <c r="AF24" i="39"/>
  <c r="AD24" i="39"/>
  <c r="I51" i="10"/>
  <c r="I50" i="10"/>
  <c r="I51" i="6"/>
  <c r="I50" i="6"/>
  <c r="J49" i="32"/>
  <c r="I50" i="32"/>
  <c r="I51" i="32"/>
  <c r="I50" i="22"/>
  <c r="I51" i="22"/>
  <c r="I50" i="37"/>
  <c r="I51" i="37"/>
  <c r="I49" i="27"/>
  <c r="AD14" i="39"/>
  <c r="AF14" i="39"/>
  <c r="AB41" i="39"/>
  <c r="AD41" i="39" s="1"/>
  <c r="I51" i="31"/>
  <c r="I50" i="31"/>
  <c r="I49" i="13"/>
  <c r="AD29" i="39"/>
  <c r="AF29" i="39"/>
  <c r="I49" i="12"/>
  <c r="AD30" i="39"/>
  <c r="AF30" i="39"/>
  <c r="I50" i="24"/>
  <c r="I51" i="24"/>
  <c r="I50" i="21"/>
  <c r="I51" i="21"/>
  <c r="I50" i="8"/>
  <c r="I51" i="8"/>
  <c r="I50" i="23"/>
  <c r="I51" i="23"/>
  <c r="I50" i="11"/>
  <c r="I51" i="11"/>
  <c r="I51" i="29"/>
  <c r="I50" i="29"/>
  <c r="I51" i="17"/>
  <c r="I50" i="17"/>
  <c r="I50" i="7"/>
  <c r="I51" i="7"/>
  <c r="I50" i="9"/>
  <c r="I51" i="9"/>
  <c r="I50" i="4"/>
  <c r="I51" i="4"/>
  <c r="I50" i="26"/>
  <c r="I51" i="26"/>
  <c r="I50" i="28"/>
  <c r="I51" i="28"/>
  <c r="I49" i="16"/>
  <c r="AF26" i="39"/>
  <c r="AD26" i="39"/>
  <c r="AG10" i="39"/>
  <c r="AE10" i="39"/>
  <c r="I50" i="25"/>
  <c r="I51" i="25"/>
  <c r="I50" i="30"/>
  <c r="I51" i="30"/>
  <c r="AG9" i="39"/>
  <c r="AE9" i="39"/>
  <c r="I50" i="20"/>
  <c r="I51" i="20"/>
  <c r="I50" i="19"/>
  <c r="I51" i="19"/>
  <c r="I50" i="43"/>
  <c r="I51" i="43"/>
  <c r="AF41" i="39" l="1"/>
  <c r="I50" i="14"/>
  <c r="I51" i="14"/>
  <c r="I51" i="27"/>
  <c r="I50" i="27"/>
  <c r="I50" i="18"/>
  <c r="I51" i="18"/>
  <c r="I50" i="15"/>
  <c r="I51" i="15"/>
  <c r="AE12" i="39"/>
  <c r="AG12" i="39"/>
  <c r="AC13" i="39"/>
  <c r="J49" i="31"/>
  <c r="J50" i="32"/>
  <c r="J51" i="32"/>
  <c r="I50" i="12"/>
  <c r="I51" i="12"/>
  <c r="I50" i="13"/>
  <c r="I51" i="13"/>
  <c r="I50" i="16"/>
  <c r="I51" i="16"/>
  <c r="J49" i="30" l="1"/>
  <c r="J50" i="31"/>
  <c r="J51" i="31"/>
  <c r="AE13" i="39"/>
  <c r="AG13" i="39"/>
  <c r="AC14" i="39"/>
  <c r="AE14" i="39" l="1"/>
  <c r="AG14" i="39"/>
  <c r="AC15" i="39"/>
  <c r="J50" i="30"/>
  <c r="J51" i="30"/>
  <c r="J49" i="29"/>
  <c r="AG15" i="39" l="1"/>
  <c r="AE15" i="39"/>
  <c r="AC16" i="39"/>
  <c r="J49" i="27"/>
  <c r="J50" i="29"/>
  <c r="J51" i="29"/>
  <c r="J51" i="27" l="1"/>
  <c r="J50" i="27"/>
  <c r="J49" i="28"/>
  <c r="AE16" i="39"/>
  <c r="AG16" i="39"/>
  <c r="AC17" i="39"/>
  <c r="J51" i="28" l="1"/>
  <c r="J50" i="28"/>
  <c r="J49" i="26"/>
  <c r="AE17" i="39"/>
  <c r="AG17" i="39"/>
  <c r="AC18" i="39"/>
  <c r="AG18" i="39" l="1"/>
  <c r="AE18" i="39"/>
  <c r="AC19" i="39"/>
  <c r="J50" i="26"/>
  <c r="J51" i="26"/>
  <c r="J49" i="25"/>
  <c r="AE19" i="39" l="1"/>
  <c r="AG19" i="39"/>
  <c r="AC20" i="39"/>
  <c r="J50" i="25"/>
  <c r="J51" i="25"/>
  <c r="J49" i="24"/>
  <c r="J51" i="24" l="1"/>
  <c r="J50" i="24"/>
  <c r="J49" i="23"/>
  <c r="AG20" i="39"/>
  <c r="AE20" i="39"/>
  <c r="AC21" i="39"/>
  <c r="AE21" i="39" l="1"/>
  <c r="AG21" i="39"/>
  <c r="AC22" i="39"/>
  <c r="J50" i="23"/>
  <c r="J51" i="23"/>
  <c r="J49" i="21"/>
  <c r="J50" i="21" l="1"/>
  <c r="J51" i="21"/>
  <c r="J49" i="22"/>
  <c r="AE22" i="39"/>
  <c r="AG22" i="39"/>
  <c r="AC23" i="39"/>
  <c r="AG23" i="39" l="1"/>
  <c r="AE23" i="39"/>
  <c r="AC24" i="39"/>
  <c r="J51" i="22"/>
  <c r="J50" i="22"/>
  <c r="J49" i="20"/>
  <c r="AG24" i="39" l="1"/>
  <c r="AE24" i="39"/>
  <c r="AC25" i="39"/>
  <c r="J50" i="20"/>
  <c r="J51" i="20"/>
  <c r="J49" i="19"/>
  <c r="J50" i="19" l="1"/>
  <c r="J51" i="19"/>
  <c r="J49" i="18"/>
  <c r="AG25" i="39"/>
  <c r="AE25" i="39"/>
  <c r="AC26" i="39"/>
  <c r="AE26" i="39" l="1"/>
  <c r="AG26" i="39"/>
  <c r="AC27" i="39"/>
  <c r="J51" i="18"/>
  <c r="J50" i="18"/>
  <c r="J49" i="17"/>
  <c r="J51" i="17" l="1"/>
  <c r="J50" i="17"/>
  <c r="J49" i="16"/>
  <c r="AG27" i="39"/>
  <c r="AE27" i="39"/>
  <c r="AC28" i="39"/>
  <c r="AG28" i="39" l="1"/>
  <c r="AE28" i="39"/>
  <c r="AC29" i="39"/>
  <c r="J51" i="16"/>
  <c r="J50" i="16"/>
  <c r="J49" i="15"/>
  <c r="J50" i="15" l="1"/>
  <c r="J51" i="15"/>
  <c r="J49" i="14"/>
  <c r="AE29" i="39"/>
  <c r="AG29" i="39"/>
  <c r="AC30" i="39"/>
  <c r="AG30" i="39" l="1"/>
  <c r="AE30" i="39"/>
  <c r="AC31" i="39"/>
  <c r="J51" i="14"/>
  <c r="J50" i="14"/>
  <c r="J49" i="13"/>
  <c r="J50" i="13" l="1"/>
  <c r="J51" i="13"/>
  <c r="J49" i="12"/>
  <c r="AG31" i="39"/>
  <c r="AE31" i="39"/>
  <c r="AC32" i="39"/>
  <c r="AG32" i="39" l="1"/>
  <c r="AE32" i="39"/>
  <c r="AC33" i="39"/>
  <c r="J51" i="12"/>
  <c r="J50" i="12"/>
  <c r="J49" i="11"/>
  <c r="J51" i="11" l="1"/>
  <c r="J50" i="11"/>
  <c r="J49" i="10"/>
  <c r="AC34" i="39"/>
  <c r="AG33" i="39"/>
  <c r="AE33" i="39"/>
  <c r="AE34" i="39" l="1"/>
  <c r="AG34" i="39"/>
  <c r="AC35" i="39"/>
  <c r="J51" i="10"/>
  <c r="J50" i="10"/>
  <c r="J49" i="9"/>
  <c r="J49" i="8" l="1"/>
  <c r="J50" i="9"/>
  <c r="J51" i="9"/>
  <c r="AE35" i="39"/>
  <c r="AG35" i="39"/>
  <c r="AC36" i="39"/>
  <c r="AE36" i="39" l="1"/>
  <c r="AG36" i="39"/>
  <c r="AC37" i="39"/>
  <c r="J51" i="8"/>
  <c r="J50" i="8"/>
  <c r="J49" i="7"/>
  <c r="J50" i="7" l="1"/>
  <c r="J51" i="7"/>
  <c r="J49" i="6"/>
  <c r="AE37" i="39"/>
  <c r="AG37" i="39"/>
  <c r="AC38" i="39"/>
  <c r="AE38" i="39" l="1"/>
  <c r="AG38" i="39"/>
  <c r="AC39" i="39"/>
  <c r="J50" i="6"/>
  <c r="J51" i="6"/>
  <c r="J49" i="37"/>
  <c r="J50" i="37" l="1"/>
  <c r="J51" i="37"/>
  <c r="J49" i="4"/>
  <c r="AG39" i="39"/>
  <c r="AE39" i="39"/>
  <c r="J51" i="4" l="1"/>
  <c r="J50" i="4"/>
  <c r="J49" i="43"/>
  <c r="J51" i="43" l="1"/>
  <c r="J50" i="43"/>
</calcChain>
</file>

<file path=xl/comments1.xml><?xml version="1.0" encoding="utf-8"?>
<comments xmlns="http://schemas.openxmlformats.org/spreadsheetml/2006/main">
  <authors>
    <author>win10</author>
  </authors>
  <commentList>
    <comment ref="G77" authorId="0" shapeId="0">
      <text>
        <r>
          <rPr>
            <b/>
            <sz val="9"/>
            <color indexed="81"/>
            <rFont val="Tahoma"/>
            <family val="2"/>
          </rPr>
          <t>win10:</t>
        </r>
        <r>
          <rPr>
            <sz val="9"/>
            <color indexed="81"/>
            <rFont val="Tahoma"/>
            <family val="2"/>
          </rPr>
          <t xml:space="preserve">
spek khusus SNH</t>
        </r>
      </text>
    </comment>
    <comment ref="H77" authorId="0" shapeId="0">
      <text>
        <r>
          <rPr>
            <b/>
            <sz val="9"/>
            <color indexed="81"/>
            <rFont val="Tahoma"/>
            <family val="2"/>
          </rPr>
          <t>win10:</t>
        </r>
        <r>
          <rPr>
            <sz val="9"/>
            <color indexed="81"/>
            <rFont val="Tahoma"/>
            <family val="2"/>
          </rPr>
          <t xml:space="preserve">
spek khusus SNH</t>
        </r>
      </text>
    </comment>
    <comment ref="G82" authorId="0" shapeId="0">
      <text>
        <r>
          <rPr>
            <b/>
            <sz val="9"/>
            <color indexed="81"/>
            <rFont val="Tahoma"/>
            <family val="2"/>
          </rPr>
          <t>win10:</t>
        </r>
        <r>
          <rPr>
            <sz val="9"/>
            <color indexed="81"/>
            <rFont val="Tahoma"/>
            <family val="2"/>
          </rPr>
          <t xml:space="preserve">
spek khusus SNH</t>
        </r>
      </text>
    </comment>
    <comment ref="H82" authorId="0" shapeId="0">
      <text>
        <r>
          <rPr>
            <b/>
            <sz val="9"/>
            <color indexed="81"/>
            <rFont val="Tahoma"/>
            <family val="2"/>
          </rPr>
          <t>win10:</t>
        </r>
        <r>
          <rPr>
            <sz val="9"/>
            <color indexed="81"/>
            <rFont val="Tahoma"/>
            <family val="2"/>
          </rPr>
          <t xml:space="preserve">
spek khusus SNH</t>
        </r>
      </text>
    </comment>
    <comment ref="G87" authorId="0" shapeId="0">
      <text>
        <r>
          <rPr>
            <b/>
            <sz val="9"/>
            <color indexed="81"/>
            <rFont val="Tahoma"/>
            <family val="2"/>
          </rPr>
          <t>win10:</t>
        </r>
        <r>
          <rPr>
            <sz val="9"/>
            <color indexed="81"/>
            <rFont val="Tahoma"/>
            <family val="2"/>
          </rPr>
          <t xml:space="preserve">
spek khusus SNH</t>
        </r>
      </text>
    </comment>
    <comment ref="H87" authorId="0" shapeId="0">
      <text>
        <r>
          <rPr>
            <b/>
            <sz val="9"/>
            <color indexed="81"/>
            <rFont val="Tahoma"/>
            <family val="2"/>
          </rPr>
          <t>win10:</t>
        </r>
        <r>
          <rPr>
            <sz val="9"/>
            <color indexed="81"/>
            <rFont val="Tahoma"/>
            <family val="2"/>
          </rPr>
          <t xml:space="preserve">
spek khusus SNH</t>
        </r>
      </text>
    </comment>
    <comment ref="G92" authorId="0" shapeId="0">
      <text>
        <r>
          <rPr>
            <b/>
            <sz val="9"/>
            <color indexed="81"/>
            <rFont val="Tahoma"/>
            <family val="2"/>
          </rPr>
          <t>win10:</t>
        </r>
        <r>
          <rPr>
            <sz val="9"/>
            <color indexed="81"/>
            <rFont val="Tahoma"/>
            <family val="2"/>
          </rPr>
          <t xml:space="preserve">
spek khusus SNH</t>
        </r>
      </text>
    </comment>
    <comment ref="H92" authorId="0" shapeId="0">
      <text>
        <r>
          <rPr>
            <b/>
            <sz val="9"/>
            <color indexed="81"/>
            <rFont val="Tahoma"/>
            <family val="2"/>
          </rPr>
          <t>win10:</t>
        </r>
        <r>
          <rPr>
            <sz val="9"/>
            <color indexed="81"/>
            <rFont val="Tahoma"/>
            <family val="2"/>
          </rPr>
          <t xml:space="preserve">
spek khusus SNH</t>
        </r>
      </text>
    </comment>
    <comment ref="G97" authorId="0" shapeId="0">
      <text>
        <r>
          <rPr>
            <b/>
            <sz val="9"/>
            <color indexed="81"/>
            <rFont val="Tahoma"/>
            <family val="2"/>
          </rPr>
          <t>win10:</t>
        </r>
        <r>
          <rPr>
            <sz val="9"/>
            <color indexed="81"/>
            <rFont val="Tahoma"/>
            <family val="2"/>
          </rPr>
          <t xml:space="preserve">
spek khusus SNH</t>
        </r>
      </text>
    </comment>
    <comment ref="H97" authorId="0" shapeId="0">
      <text>
        <r>
          <rPr>
            <b/>
            <sz val="9"/>
            <color indexed="81"/>
            <rFont val="Tahoma"/>
            <family val="2"/>
          </rPr>
          <t>win10:</t>
        </r>
        <r>
          <rPr>
            <sz val="9"/>
            <color indexed="81"/>
            <rFont val="Tahoma"/>
            <family val="2"/>
          </rPr>
          <t xml:space="preserve">
spek khusus SNH</t>
        </r>
      </text>
    </comment>
    <comment ref="G105" authorId="0" shapeId="0">
      <text>
        <r>
          <rPr>
            <b/>
            <sz val="9"/>
            <color indexed="81"/>
            <rFont val="Tahoma"/>
            <family val="2"/>
          </rPr>
          <t>win10:</t>
        </r>
        <r>
          <rPr>
            <sz val="9"/>
            <color indexed="81"/>
            <rFont val="Tahoma"/>
            <family val="2"/>
          </rPr>
          <t xml:space="preserve">
spek khusus SNH</t>
        </r>
      </text>
    </comment>
    <comment ref="H105" authorId="0" shapeId="0">
      <text>
        <r>
          <rPr>
            <b/>
            <sz val="9"/>
            <color indexed="81"/>
            <rFont val="Tahoma"/>
            <family val="2"/>
          </rPr>
          <t>win10:</t>
        </r>
        <r>
          <rPr>
            <sz val="9"/>
            <color indexed="81"/>
            <rFont val="Tahoma"/>
            <family val="2"/>
          </rPr>
          <t xml:space="preserve">
spek khusus SNH</t>
        </r>
      </text>
    </comment>
    <comment ref="G108" authorId="0" shapeId="0">
      <text>
        <r>
          <rPr>
            <b/>
            <sz val="9"/>
            <color indexed="81"/>
            <rFont val="Tahoma"/>
            <family val="2"/>
          </rPr>
          <t>win10:</t>
        </r>
        <r>
          <rPr>
            <sz val="9"/>
            <color indexed="81"/>
            <rFont val="Tahoma"/>
            <family val="2"/>
          </rPr>
          <t xml:space="preserve">
spek khusus SNH</t>
        </r>
      </text>
    </comment>
    <comment ref="H108" authorId="0" shapeId="0">
      <text>
        <r>
          <rPr>
            <b/>
            <sz val="9"/>
            <color indexed="81"/>
            <rFont val="Tahoma"/>
            <family val="2"/>
          </rPr>
          <t>win10:</t>
        </r>
        <r>
          <rPr>
            <sz val="9"/>
            <color indexed="81"/>
            <rFont val="Tahoma"/>
            <family val="2"/>
          </rPr>
          <t xml:space="preserve">
spek khusus SNH</t>
        </r>
      </text>
    </comment>
  </commentList>
</comments>
</file>

<file path=xl/comments2.xml><?xml version="1.0" encoding="utf-8"?>
<comments xmlns="http://schemas.openxmlformats.org/spreadsheetml/2006/main">
  <authors>
    <author>win10</author>
  </authors>
  <commentList>
    <comment ref="G77" authorId="0" shapeId="0">
      <text>
        <r>
          <rPr>
            <b/>
            <sz val="9"/>
            <color indexed="81"/>
            <rFont val="Tahoma"/>
            <family val="2"/>
          </rPr>
          <t>win10:</t>
        </r>
        <r>
          <rPr>
            <sz val="9"/>
            <color indexed="81"/>
            <rFont val="Tahoma"/>
            <family val="2"/>
          </rPr>
          <t xml:space="preserve">
spek khusus SNH</t>
        </r>
      </text>
    </comment>
    <comment ref="H77" authorId="0" shapeId="0">
      <text>
        <r>
          <rPr>
            <b/>
            <sz val="9"/>
            <color indexed="81"/>
            <rFont val="Tahoma"/>
            <family val="2"/>
          </rPr>
          <t>win10:</t>
        </r>
        <r>
          <rPr>
            <sz val="9"/>
            <color indexed="81"/>
            <rFont val="Tahoma"/>
            <family val="2"/>
          </rPr>
          <t xml:space="preserve">
spek khusus SNH</t>
        </r>
      </text>
    </comment>
    <comment ref="G82" authorId="0" shapeId="0">
      <text>
        <r>
          <rPr>
            <b/>
            <sz val="9"/>
            <color indexed="81"/>
            <rFont val="Tahoma"/>
            <family val="2"/>
          </rPr>
          <t>win10:</t>
        </r>
        <r>
          <rPr>
            <sz val="9"/>
            <color indexed="81"/>
            <rFont val="Tahoma"/>
            <family val="2"/>
          </rPr>
          <t xml:space="preserve">
spek khusus SNH</t>
        </r>
      </text>
    </comment>
    <comment ref="H82" authorId="0" shapeId="0">
      <text>
        <r>
          <rPr>
            <b/>
            <sz val="9"/>
            <color indexed="81"/>
            <rFont val="Tahoma"/>
            <family val="2"/>
          </rPr>
          <t>win10:</t>
        </r>
        <r>
          <rPr>
            <sz val="9"/>
            <color indexed="81"/>
            <rFont val="Tahoma"/>
            <family val="2"/>
          </rPr>
          <t xml:space="preserve">
spek khusus SNH</t>
        </r>
      </text>
    </comment>
    <comment ref="G87" authorId="0" shapeId="0">
      <text>
        <r>
          <rPr>
            <b/>
            <sz val="9"/>
            <color indexed="81"/>
            <rFont val="Tahoma"/>
            <family val="2"/>
          </rPr>
          <t>win10:</t>
        </r>
        <r>
          <rPr>
            <sz val="9"/>
            <color indexed="81"/>
            <rFont val="Tahoma"/>
            <family val="2"/>
          </rPr>
          <t xml:space="preserve">
spek khusus SNH</t>
        </r>
      </text>
    </comment>
    <comment ref="H87" authorId="0" shapeId="0">
      <text>
        <r>
          <rPr>
            <b/>
            <sz val="9"/>
            <color indexed="81"/>
            <rFont val="Tahoma"/>
            <family val="2"/>
          </rPr>
          <t>win10:</t>
        </r>
        <r>
          <rPr>
            <sz val="9"/>
            <color indexed="81"/>
            <rFont val="Tahoma"/>
            <family val="2"/>
          </rPr>
          <t xml:space="preserve">
spek khusus SNH</t>
        </r>
      </text>
    </comment>
    <comment ref="G92" authorId="0" shapeId="0">
      <text>
        <r>
          <rPr>
            <b/>
            <sz val="9"/>
            <color indexed="81"/>
            <rFont val="Tahoma"/>
            <family val="2"/>
          </rPr>
          <t>win10:</t>
        </r>
        <r>
          <rPr>
            <sz val="9"/>
            <color indexed="81"/>
            <rFont val="Tahoma"/>
            <family val="2"/>
          </rPr>
          <t xml:space="preserve">
spek khusus SNH</t>
        </r>
      </text>
    </comment>
    <comment ref="H92" authorId="0" shapeId="0">
      <text>
        <r>
          <rPr>
            <b/>
            <sz val="9"/>
            <color indexed="81"/>
            <rFont val="Tahoma"/>
            <family val="2"/>
          </rPr>
          <t>win10:</t>
        </r>
        <r>
          <rPr>
            <sz val="9"/>
            <color indexed="81"/>
            <rFont val="Tahoma"/>
            <family val="2"/>
          </rPr>
          <t xml:space="preserve">
spek khusus SNH</t>
        </r>
      </text>
    </comment>
    <comment ref="G97" authorId="0" shapeId="0">
      <text>
        <r>
          <rPr>
            <b/>
            <sz val="9"/>
            <color indexed="81"/>
            <rFont val="Tahoma"/>
            <family val="2"/>
          </rPr>
          <t>win10:</t>
        </r>
        <r>
          <rPr>
            <sz val="9"/>
            <color indexed="81"/>
            <rFont val="Tahoma"/>
            <family val="2"/>
          </rPr>
          <t xml:space="preserve">
spek khusus SNH</t>
        </r>
      </text>
    </comment>
    <comment ref="H97" authorId="0" shapeId="0">
      <text>
        <r>
          <rPr>
            <b/>
            <sz val="9"/>
            <color indexed="81"/>
            <rFont val="Tahoma"/>
            <family val="2"/>
          </rPr>
          <t>win10:</t>
        </r>
        <r>
          <rPr>
            <sz val="9"/>
            <color indexed="81"/>
            <rFont val="Tahoma"/>
            <family val="2"/>
          </rPr>
          <t xml:space="preserve">
spek khusus SNH</t>
        </r>
      </text>
    </comment>
    <comment ref="G105" authorId="0" shapeId="0">
      <text>
        <r>
          <rPr>
            <b/>
            <sz val="9"/>
            <color indexed="81"/>
            <rFont val="Tahoma"/>
            <family val="2"/>
          </rPr>
          <t>win10:</t>
        </r>
        <r>
          <rPr>
            <sz val="9"/>
            <color indexed="81"/>
            <rFont val="Tahoma"/>
            <family val="2"/>
          </rPr>
          <t xml:space="preserve">
spek khusus SNH</t>
        </r>
      </text>
    </comment>
    <comment ref="H105" authorId="0" shapeId="0">
      <text>
        <r>
          <rPr>
            <b/>
            <sz val="9"/>
            <color indexed="81"/>
            <rFont val="Tahoma"/>
            <family val="2"/>
          </rPr>
          <t>win10:</t>
        </r>
        <r>
          <rPr>
            <sz val="9"/>
            <color indexed="81"/>
            <rFont val="Tahoma"/>
            <family val="2"/>
          </rPr>
          <t xml:space="preserve">
spek khusus SNH</t>
        </r>
      </text>
    </comment>
    <comment ref="G108" authorId="0" shapeId="0">
      <text>
        <r>
          <rPr>
            <b/>
            <sz val="9"/>
            <color indexed="81"/>
            <rFont val="Tahoma"/>
            <family val="2"/>
          </rPr>
          <t>win10:</t>
        </r>
        <r>
          <rPr>
            <sz val="9"/>
            <color indexed="81"/>
            <rFont val="Tahoma"/>
            <family val="2"/>
          </rPr>
          <t xml:space="preserve">
spek khusus SNH</t>
        </r>
      </text>
    </comment>
    <comment ref="H108" authorId="0" shapeId="0">
      <text>
        <r>
          <rPr>
            <b/>
            <sz val="9"/>
            <color indexed="81"/>
            <rFont val="Tahoma"/>
            <family val="2"/>
          </rPr>
          <t>win10:</t>
        </r>
        <r>
          <rPr>
            <sz val="9"/>
            <color indexed="81"/>
            <rFont val="Tahoma"/>
            <family val="2"/>
          </rPr>
          <t xml:space="preserve">
spek khusus SNH</t>
        </r>
      </text>
    </comment>
  </commentList>
</comments>
</file>

<file path=xl/sharedStrings.xml><?xml version="1.0" encoding="utf-8"?>
<sst xmlns="http://schemas.openxmlformats.org/spreadsheetml/2006/main" count="6770" uniqueCount="835">
  <si>
    <t xml:space="preserve"> </t>
  </si>
  <si>
    <t xml:space="preserve">  </t>
  </si>
  <si>
    <t>Efficiency</t>
  </si>
  <si>
    <t>Total</t>
  </si>
  <si>
    <t>NBKP</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</si>
  <si>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</si>
  <si>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</si>
  <si>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</si>
  <si>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</si>
  <si>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</si>
  <si>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</si>
  <si>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</si>
  <si>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</si>
  <si>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</si>
  <si>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</si>
  <si>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</si>
  <si>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</si>
  <si>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</si>
  <si>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</si>
  <si>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</si>
  <si>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</si>
  <si>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</si>
  <si>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</si>
  <si>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</si>
  <si>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</si>
  <si>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</si>
  <si>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</si>
  <si>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</si>
  <si>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</si>
  <si>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</si>
  <si>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</si>
  <si>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</si>
  <si>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NET GROSS  (Timbangan)   (%)</t>
  </si>
  <si>
    <t>NET GROSS             ( Scanner)          (%)</t>
  </si>
  <si>
    <t>FRESH WATER</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</si>
  <si>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</si>
  <si>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</si>
  <si>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</si>
  <si>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</si>
  <si>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</si>
  <si>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</si>
  <si>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</si>
  <si>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</si>
  <si>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</si>
  <si>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</si>
  <si>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</si>
  <si>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</si>
  <si>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</si>
  <si>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</si>
  <si>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</si>
  <si>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</si>
  <si>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</si>
  <si>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</si>
  <si>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</si>
  <si>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</si>
  <si>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</si>
  <si>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</si>
  <si>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</si>
  <si>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</si>
  <si>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</si>
  <si>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</si>
  <si>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</si>
  <si>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</si>
  <si>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</si>
  <si>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</si>
  <si>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</si>
  <si>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</si>
  <si>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</si>
  <si>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</si>
  <si>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</si>
  <si>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</si>
  <si>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</si>
  <si>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</si>
  <si>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</si>
  <si>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</si>
  <si>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</si>
  <si>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</si>
  <si>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</si>
  <si>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</si>
  <si>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</si>
  <si>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</si>
  <si>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</si>
  <si>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</si>
  <si>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</si>
  <si>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</si>
  <si>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</si>
  <si>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</si>
  <si>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</si>
  <si>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</si>
  <si>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</si>
  <si>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</si>
  <si>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</si>
  <si>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</si>
  <si>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</si>
  <si>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</si>
  <si>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</si>
  <si>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</si>
  <si>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</si>
  <si>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</si>
  <si>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</si>
  <si>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</si>
  <si>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</si>
  <si>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</si>
  <si>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EBKP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</si>
  <si>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</si>
  <si>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</si>
  <si>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</si>
  <si>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</si>
  <si>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</si>
  <si>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</si>
  <si>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</si>
  <si>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</si>
  <si>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</si>
  <si>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</si>
  <si>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</si>
  <si>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</si>
  <si>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</si>
  <si>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</si>
  <si>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</si>
  <si>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</si>
  <si>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</si>
  <si>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</si>
  <si>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</si>
  <si>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</si>
  <si>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</si>
  <si>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</si>
  <si>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</si>
  <si>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</si>
  <si>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</si>
  <si>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</si>
  <si>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</si>
  <si>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</si>
  <si>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</si>
  <si>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</si>
  <si>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</si>
  <si>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</si>
  <si>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</si>
  <si>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</si>
  <si>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</si>
  <si>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</si>
  <si>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</si>
  <si>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</si>
  <si>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</si>
  <si>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</si>
  <si>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</si>
  <si>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</si>
  <si>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</si>
  <si>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</si>
  <si>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</si>
  <si>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</si>
  <si>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</si>
  <si>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</si>
  <si>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</si>
  <si>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</si>
  <si>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</si>
  <si>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</si>
  <si>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</si>
  <si>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</si>
  <si>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</si>
  <si>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</si>
  <si>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</si>
  <si>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</si>
  <si>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</si>
  <si>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</si>
  <si>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</si>
  <si>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</si>
  <si>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</si>
  <si>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</si>
  <si>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</si>
  <si>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</si>
  <si>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</si>
  <si>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</si>
  <si>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</si>
  <si>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</si>
  <si>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</si>
  <si>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</si>
  <si>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</si>
  <si>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</si>
  <si>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</si>
  <si>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</si>
  <si>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</si>
  <si>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</si>
  <si>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Gas ConsumptionHood PM 11</t>
  </si>
  <si>
    <t>TISSUE MACHINE 12</t>
  </si>
  <si>
    <t>DEINKING</t>
  </si>
  <si>
    <t>POWER (kWh) DEINKING</t>
  </si>
  <si>
    <t>STEAM (TON) DEINKING</t>
  </si>
  <si>
    <t>SWL</t>
  </si>
  <si>
    <t>Speed yankee (mpm)</t>
  </si>
  <si>
    <t>Speed reel (mpm)</t>
  </si>
  <si>
    <t>Creep ( % )</t>
  </si>
  <si>
    <t>Real Eff PM vs Target (%)</t>
  </si>
  <si>
    <t>Real Eff FG vs Real Eff PM (%)</t>
  </si>
  <si>
    <t>Eff FG vs Target (%)</t>
  </si>
  <si>
    <t xml:space="preserve">Kapasitas Target (ton) </t>
  </si>
  <si>
    <t>Real Eff PM ( % )</t>
  </si>
  <si>
    <t xml:space="preserve">Kapasitas Teori Real (ton) </t>
  </si>
  <si>
    <t>Speed real (ton) with Available Time</t>
  </si>
  <si>
    <t>Marketing</t>
  </si>
  <si>
    <t>Change Grade</t>
  </si>
  <si>
    <t>Loss time sheet break</t>
  </si>
  <si>
    <t>Loss time change blade</t>
  </si>
  <si>
    <t>Baklog</t>
  </si>
  <si>
    <t xml:space="preserve">Sisa Spool seset </t>
  </si>
  <si>
    <t>Gripis</t>
  </si>
  <si>
    <t>Ngelokor</t>
  </si>
  <si>
    <t>Keriput</t>
  </si>
  <si>
    <t>Start up</t>
  </si>
  <si>
    <t>Potongan jelek</t>
  </si>
  <si>
    <t>Hole</t>
  </si>
  <si>
    <t>Dirt</t>
  </si>
  <si>
    <t>Jumbo gandeng</t>
  </si>
  <si>
    <t>Formasi jelek</t>
  </si>
  <si>
    <t>MDT &lt; std</t>
  </si>
  <si>
    <t>Lembab</t>
  </si>
  <si>
    <t>Diameter &lt; std</t>
  </si>
  <si>
    <t>Gelembung</t>
  </si>
  <si>
    <t>Bw &lt; std</t>
  </si>
  <si>
    <t>Lebar kertas kurang</t>
  </si>
  <si>
    <t>Cap garis doctor</t>
  </si>
  <si>
    <t>White spot</t>
  </si>
  <si>
    <t>Thickness &lt; std</t>
  </si>
  <si>
    <t>Bulky &lt; std</t>
  </si>
  <si>
    <t>Bw &gt; std</t>
  </si>
  <si>
    <t>Kertas melipat</t>
  </si>
  <si>
    <t>- Cleaning</t>
  </si>
  <si>
    <t>Loss time change grade</t>
  </si>
  <si>
    <t>NGR 900</t>
  </si>
  <si>
    <t>NGR 200</t>
  </si>
  <si>
    <t>CONVERTING</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</si>
  <si>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</si>
  <si>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</si>
  <si>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</si>
  <si>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</si>
  <si>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</si>
  <si>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</si>
  <si>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</si>
  <si>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</si>
  <si>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</si>
  <si>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</si>
  <si>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</si>
  <si>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</si>
  <si>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</si>
  <si>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</si>
  <si>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</si>
  <si>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</si>
  <si>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</si>
  <si>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</si>
  <si>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</si>
  <si>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</si>
  <si>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</si>
  <si>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</si>
  <si>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</si>
  <si>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</si>
  <si>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</si>
  <si>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</si>
  <si>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</si>
  <si>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</si>
  <si>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</si>
  <si>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</si>
  <si>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</si>
  <si>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</si>
  <si>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</si>
  <si>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</si>
  <si>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</si>
  <si>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</si>
  <si>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</si>
  <si>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</si>
  <si>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Total Prosentase</t>
  </si>
  <si>
    <t>Sisa spool popereel</t>
  </si>
  <si>
    <t>Sisa Spool rewinder</t>
  </si>
  <si>
    <t>Pending</t>
  </si>
  <si>
    <t>Trim</t>
  </si>
  <si>
    <t>Kertas sobek pinggir</t>
  </si>
  <si>
    <t>Joint</t>
  </si>
  <si>
    <t>Seset Change Grade</t>
  </si>
  <si>
    <t>soping</t>
  </si>
  <si>
    <t>crushing</t>
  </si>
  <si>
    <t>UNKNOWN</t>
  </si>
  <si>
    <t>NBKP CRESSBROOK</t>
  </si>
  <si>
    <t>Tissue Waste Brown</t>
  </si>
  <si>
    <t>TOTAL BB Recycle</t>
  </si>
  <si>
    <t>Reject Roll</t>
  </si>
  <si>
    <t>Encore T</t>
  </si>
  <si>
    <t>Yield BB Recycle</t>
  </si>
  <si>
    <t>Produksi</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</si>
  <si>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</si>
  <si>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</si>
  <si>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</si>
  <si>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</si>
  <si>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</si>
  <si>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</si>
  <si>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</si>
  <si>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</si>
  <si>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</si>
  <si>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</si>
  <si>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</si>
  <si>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DEKAINK</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</si>
  <si>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</si>
  <si>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</si>
  <si>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</si>
  <si>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</si>
  <si>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</si>
  <si>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</si>
  <si>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</si>
  <si>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</si>
  <si>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</si>
  <si>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</si>
  <si>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</si>
  <si>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</si>
  <si>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</si>
  <si>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</si>
  <si>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</si>
  <si>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</si>
  <si>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</si>
  <si>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</si>
  <si>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</si>
  <si>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</si>
  <si>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</si>
  <si>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</si>
  <si>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</si>
  <si>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</si>
  <si>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</si>
  <si>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</si>
  <si>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</si>
  <si>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</si>
  <si>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</si>
  <si>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</si>
  <si>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</si>
  <si>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</si>
  <si>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</si>
  <si>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</si>
  <si>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</si>
  <si>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</si>
  <si>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</si>
  <si>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</si>
  <si>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</si>
  <si>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</si>
  <si>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</si>
  <si>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</si>
  <si>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</si>
  <si>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</si>
  <si>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</si>
  <si>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</si>
  <si>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</si>
  <si>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DI 370/DKF 250</t>
  </si>
  <si>
    <t>ELTEXIN</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</si>
  <si>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</si>
  <si>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</si>
  <si>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</si>
  <si>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</si>
  <si>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</si>
  <si>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</si>
  <si>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</si>
  <si>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</si>
  <si>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</si>
  <si>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</si>
  <si>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</si>
  <si>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Price</t>
  </si>
  <si>
    <t>Running</t>
  </si>
  <si>
    <t>Down Time PLN</t>
  </si>
  <si>
    <t>Change Spool</t>
  </si>
  <si>
    <t xml:space="preserve">Kapasitas Running (ton) </t>
  </si>
  <si>
    <t>Eff FG vs Target  Running(%)</t>
  </si>
  <si>
    <t>EPOSTRONG</t>
  </si>
  <si>
    <t>NBKP SCA</t>
  </si>
  <si>
    <t>TOTAL LBKP</t>
  </si>
  <si>
    <t>Steam, &amp; gangguan sinergy (X)</t>
  </si>
  <si>
    <t>Freq, Trip PLN (X)</t>
  </si>
  <si>
    <t>Cleaning Holes (X)</t>
  </si>
  <si>
    <t>Per hari</t>
  </si>
  <si>
    <t>LBKP HOWE/HSPP</t>
  </si>
  <si>
    <t>Seset Warna blm ACC</t>
  </si>
  <si>
    <t>LBKP CAKRAWALA</t>
  </si>
  <si>
    <t>DFR 810S</t>
  </si>
  <si>
    <t>Pot Serabut</t>
  </si>
  <si>
    <t>NBKP Crofton/Catalyst</t>
  </si>
  <si>
    <t>BTCMP</t>
  </si>
  <si>
    <t>Total PM15</t>
  </si>
  <si>
    <t xml:space="preserve">PM15 Efficiency Report </t>
  </si>
  <si>
    <t>PM 15</t>
  </si>
  <si>
    <t>Kehilangan Effisiensi PM 15 terdiri dari:</t>
  </si>
  <si>
    <t>CHEMICAL DAILY REPORT PM 15</t>
  </si>
  <si>
    <t>PULP AND BROKE DAILY REPORT PM 15</t>
  </si>
  <si>
    <t>PM 15 Summary</t>
  </si>
  <si>
    <t>PM 15 Running Time</t>
  </si>
  <si>
    <t>- Sheet Breaks (0x)</t>
  </si>
  <si>
    <t>- Change Blade (0x)</t>
  </si>
  <si>
    <t>PAPER MACHINE 15 DAILY REPORT 1</t>
  </si>
  <si>
    <t>Deinking</t>
  </si>
  <si>
    <t>Trafo 3000 (barat)</t>
  </si>
  <si>
    <t>Trafo 3000 (Timur)</t>
  </si>
  <si>
    <t>Rewinder tengah</t>
  </si>
  <si>
    <t>0</t>
  </si>
  <si>
    <t>- Sheet Breaks (2x)</t>
  </si>
  <si>
    <t>- Change Spool (10x)</t>
  </si>
  <si>
    <t>- Change Spool (30x)</t>
  </si>
  <si>
    <t>SUZANO</t>
  </si>
  <si>
    <t>Change Grade/Cleaning</t>
  </si>
  <si>
    <t>SS</t>
  </si>
  <si>
    <t>JANUARI</t>
  </si>
  <si>
    <t>PHP PM</t>
  </si>
  <si>
    <t xml:space="preserve">PM15 Efficiency Running Report </t>
  </si>
  <si>
    <t>.01.26</t>
  </si>
  <si>
    <t>- Awal Shift PM Produksi T13,5 HB
Speed: 1230 mpm / 22%</t>
  </si>
  <si>
    <t xml:space="preserve">- Awal Shift PM Produksi T13.5
Speed: 1220 mpm / -22% </t>
  </si>
  <si>
    <t xml:space="preserve">- Awal Shift PM Produksi  T13.5
Speed actual/ crepe : 1230 mpm/ 20% </t>
  </si>
  <si>
    <t>10:29 pm 15 stop cleaning felt dan wire
Cleaning couch pit tank
cleaning reject tank
11:56 bilas felt
12:14 pm start up
12:34 on reel</t>
  </si>
  <si>
    <t>T 13,5</t>
  </si>
  <si>
    <t>1226,35/963,19</t>
  </si>
  <si>
    <t>1230/959,4</t>
  </si>
  <si>
    <t>1220/951,6</t>
  </si>
  <si>
    <t>1230/984</t>
  </si>
  <si>
    <t>- Change Spool (8x)</t>
  </si>
  <si>
    <t>- Change Blade (3x)</t>
  </si>
  <si>
    <t>- Change Blade (4x)</t>
  </si>
  <si>
    <t>- Change Spool (11x)</t>
  </si>
  <si>
    <t>Toilet</t>
  </si>
  <si>
    <t>13,5</t>
  </si>
  <si>
    <t>- Change Blade (11x)</t>
  </si>
  <si>
    <t>- Change Spool (29x)</t>
  </si>
  <si>
    <t>- 10:29 pm 15 stop cleaning felt dan wire</t>
  </si>
  <si>
    <t>T 13,5 RC HW</t>
  </si>
  <si>
    <t>Erwin R</t>
  </si>
  <si>
    <t>Ariko P</t>
  </si>
  <si>
    <t>Agus K</t>
  </si>
  <si>
    <t>275*1</t>
  </si>
  <si>
    <t>SWL B + B Mix</t>
  </si>
  <si>
    <t>TWS + Core</t>
  </si>
  <si>
    <t>CVT Broke</t>
  </si>
  <si>
    <t>RC HW</t>
  </si>
  <si>
    <t>WPL</t>
  </si>
  <si>
    <t>POWER WPL (kWh)</t>
  </si>
  <si>
    <t xml:space="preserve">- Awal Shift PM Produksi T13.5
Speed: 1260 mpm / -22% </t>
  </si>
  <si>
    <t>- Awal Shift PM Produksi T13. 5
Speed / crepe : 1230 mpm/ 22%</t>
  </si>
  <si>
    <t>1260/982,8</t>
  </si>
  <si>
    <t>1250/975</t>
  </si>
  <si>
    <t>- Change Blade (5x)</t>
  </si>
  <si>
    <t>- Change Blade (8x)</t>
  </si>
  <si>
    <t>- Change Spool (31x)</t>
  </si>
  <si>
    <t>Hadi F</t>
  </si>
  <si>
    <t>TWS Putih</t>
  </si>
  <si>
    <t>Protolan pulp/Pulp Kotor</t>
  </si>
  <si>
    <t>- Awal Shift PM Produksi T13.5/14.5
Speed : 1260 mpm/22%</t>
  </si>
  <si>
    <t>- 02.30 change grade T14.5 Lb speed 1160/18%</t>
  </si>
  <si>
    <t>- Awal Shift PM Produksi T13,5 
Speed: 1260 mpm / 22%</t>
  </si>
  <si>
    <t xml:space="preserve">- Awal Shift PM Produksi T13.5
Speed actual/ crepe : 1260 mpm/ 22% </t>
  </si>
  <si>
    <t>07:42 vacum uhle box open. Turbo vacum trip
08:14 pm 15 start up
08:34 on reel speed 1100
08:43 speed naik 1120
09:27 speed naik 1140
10:17 speed naik 1180
10:55 speed naik 1220
11:59 speed naik 1230
12:52 speed naik 1250
13:55 speed naik 1260</t>
  </si>
  <si>
    <t>- Awal Shift PM Produksi  T13.5
Speed : 1260 mpm/22%</t>
  </si>
  <si>
    <t>- 15.10 vacum trip, pm stop cleaning felt wire 
- cleaning couch pit 
- cleaning uhle box
- uhle box tidak bisa down
- 17.15 uhle box oke
- 17.17 hood nyala
- 17.23 bilas felt 
- 17.31 persiapan jalan 
- 17.53 hood mati
- 17.57 stock on
- 18.40 on reel prod T13.5</t>
  </si>
  <si>
    <t>- Change Spool (7x)</t>
  </si>
  <si>
    <t>T 14,5</t>
  </si>
  <si>
    <t>1203,75/965,03</t>
  </si>
  <si>
    <t>1209,95/943,76</t>
  </si>
  <si>
    <t>1225,12/964,62</t>
  </si>
  <si>
    <t>13,5/14,5</t>
  </si>
  <si>
    <t>- Change Spool (33x)</t>
  </si>
  <si>
    <t>- Change Spool (27x)</t>
  </si>
  <si>
    <t>- 07:42 vacum uhle box open. Turbo vacum trip</t>
  </si>
  <si>
    <t>T 14,5 RC HW</t>
  </si>
  <si>
    <t>264*1</t>
  </si>
  <si>
    <t>RR PPIC</t>
  </si>
  <si>
    <t>Detac DC779F</t>
  </si>
  <si>
    <t>CHEMZYME CL</t>
  </si>
  <si>
    <t>Cytreat 427</t>
  </si>
  <si>
    <t>- awal shift steam drop pm turun speed  40 mpm 
- 00.20 steam stabil pm naik speed perlahan</t>
  </si>
  <si>
    <t xml:space="preserve"># reject MED 770 kg (bearing chuck panas, Chuck tiba2 open pas gulung roll, penampang roll sebelah TS cacat) </t>
  </si>
  <si>
    <t xml:space="preserve">- Awal Shift PM Produksi T14.5 LB
Speed actual/ crepe : 1160 mpm/ 18% </t>
  </si>
  <si>
    <t>- Awal Shift PM Produksi T14,5
Speed: 1150 mpm / 18%</t>
  </si>
  <si>
    <t>- Awal Shift PM Produksi T14.5
Speed : 1140 mpm/18%</t>
  </si>
  <si>
    <t>1150/943</t>
  </si>
  <si>
    <t>1160/951,2</t>
  </si>
  <si>
    <t>1100/902</t>
  </si>
  <si>
    <t>1136,67/932,07</t>
  </si>
  <si>
    <t>14,5</t>
  </si>
  <si>
    <t>- Change Blade (12x)</t>
  </si>
  <si>
    <t>speed real</t>
  </si>
  <si>
    <t>speed target</t>
  </si>
  <si>
    <t>reel</t>
  </si>
  <si>
    <t>creeping</t>
  </si>
  <si>
    <t>time</t>
  </si>
  <si>
    <t>trim</t>
  </si>
  <si>
    <t>Teori</t>
  </si>
  <si>
    <t>Accept</t>
  </si>
  <si>
    <t>Eff</t>
  </si>
  <si>
    <t xml:space="preserve">- reject MED 770 kg (bearing chuck panas, Chuck tiba2 open pas gulung roll, penampang roll sebelah TS cacat) </t>
  </si>
  <si>
    <t>- Awal Shift PM Produksi Tw 17
Speed : 810 mpm/18% felt baru</t>
  </si>
  <si>
    <t>- felt baru pm naik speed perlahan, speed akhir 850mpm</t>
  </si>
  <si>
    <t>- Awal Shift PM Produksi Tw 29
Speed: 550 mpm / 18%</t>
  </si>
  <si>
    <t>- Awal Shift PM Produksi  T14. 5
Speed: 1140 mpm</t>
  </si>
  <si>
    <t>- Awal shift pm stop revisi ganti felt &amp; boilout
- cleaning cw, ww &amp; krofta (selesai) 
- cleaning watertray &amp; silo (selesai) 
- cleaning couchpit &amp; reject tank (selesai) 
- pasang felt blm selesai (spr, tarik strechroll &amp; tutup breastroll)</t>
  </si>
  <si>
    <t>Planned Shut</t>
  </si>
  <si>
    <t>- 07.03 pm stop, boilout &amp; ganti felt
- 07.39 mulai boilout
- Med pasang sapot vacum 
- cleaning ww &amp; cw chest
- cleaning silo &amp; water tray
- 12.00 pasang felt</t>
  </si>
  <si>
    <t>TW 29</t>
  </si>
  <si>
    <t>15.30 pasang felt selesai, tunggu eid ganti motor stretcher roll wire
15.50 motor stretcher wire selesai, loosen wire tutup breast roll
16.10 tention felt dan med setting vacum uhile box baru, eid ganti packing thermo kompresor
17.38 ganti packing selesai
17.40 heating yanker, cleaning felt dan karcer wire
20.02 pm 15 start
20.33 pm 15 on reel, produksi TW 29
20.50 pm 15 stop, kertas tidak bisa pick up dan ada hole, (cleaning wire dan solar felt)
21.30 pm15 persiapan jalan
21.54 pm on reel, produksi TW29
22.30 change gradeTW 17, speed 800/-15%</t>
  </si>
  <si>
    <t>TW 17</t>
  </si>
  <si>
    <t>810/664,2</t>
  </si>
  <si>
    <t>608,43/517,17</t>
  </si>
  <si>
    <t>1140/934,8</t>
  </si>
  <si>
    <t>782,19/644,07</t>
  </si>
  <si>
    <t>- Change Spool (1x)</t>
  </si>
  <si>
    <t>- Change Blade (2x)</t>
  </si>
  <si>
    <t>- Change Spool (3x)</t>
  </si>
  <si>
    <t>Toilet/Towel</t>
  </si>
  <si>
    <t>14,5/29/17</t>
  </si>
  <si>
    <t>Towel</t>
  </si>
  <si>
    <t>- 07.03 pm stop, boilout &amp; ganti felt</t>
  </si>
  <si>
    <t>- Ganti felt</t>
  </si>
  <si>
    <t>256,5*1</t>
  </si>
  <si>
    <t>TW 17 RC HW</t>
  </si>
  <si>
    <t>- Awal Shift PM Produksi Tw 22/ Tw14
Speed : 690 mpm/15%</t>
  </si>
  <si>
    <t>- 02.55 change grade Tw14 speed 1080mpm/22%, SU turun muncul hole acak buka hpp 10 bar
- speed turun 1000 mpm
- kertas ok, hpp turun 4 bar
- JR gulung di rw c keriput tambor rijeck</t>
  </si>
  <si>
    <t>- Awal Shift PM Produksi  Tw 22
Speed: 690 mpm / 15%</t>
  </si>
  <si>
    <t xml:space="preserve">- Awal Shift PM Produksi Tw17
Speed: 860 mpm / -18% </t>
  </si>
  <si>
    <t>- 10.30 change grade Tw35.5 speed 550 mpm, tissue bag DS tidak bisa pick up
- coba turun speed 480, tissue bag ds msih blm bisa pick up
- 11.03 change grade Tw17 speed 860 mpm 
- 14.07 change grade Tw22 speed 680 mpm</t>
  </si>
  <si>
    <t>TW 35,5</t>
  </si>
  <si>
    <t>TW 22</t>
  </si>
  <si>
    <t>TW 14</t>
  </si>
  <si>
    <t>868,73/701,26</t>
  </si>
  <si>
    <t>816,48/669,51</t>
  </si>
  <si>
    <t>17/35,5/22/14</t>
  </si>
  <si>
    <t>690/586,50</t>
  </si>
  <si>
    <t>791,74/652,42</t>
  </si>
  <si>
    <t>- Change Spool (9x)</t>
  </si>
  <si>
    <t>- Change Spool (25x)</t>
  </si>
  <si>
    <t>257*1</t>
  </si>
  <si>
    <t>256*1</t>
  </si>
  <si>
    <t>137*2</t>
  </si>
  <si>
    <t>TW 22 RC HW</t>
  </si>
  <si>
    <t xml:space="preserve">- Awal Shift PM Produksi N 15.5
Speed actual/ crepe : 990 mpm/ 13% </t>
  </si>
  <si>
    <t xml:space="preserve">- Awal Shift PM Produksi Tw 29 &amp; N 15.5
Speed actual/ crepe : 590 &amp; 990 mpm/ 13 &amp; 14% </t>
  </si>
  <si>
    <t>- 21:04 change grade N 15.5 speed 990/-14%</t>
  </si>
  <si>
    <t xml:space="preserve">- Awal Shift PM Produksi Tw14
Speed: 1000 mpm / -18% </t>
  </si>
  <si>
    <t>- 09.43 trial change grade Tw35.5
- 11.06 change grade Tw29
- 13.32 change Blade muncul marking bag center
- setting temperatur &amp; coating release, marking hilang</t>
  </si>
  <si>
    <t>N 15,5</t>
  </si>
  <si>
    <t>14/35,5/29/15,5</t>
  </si>
  <si>
    <t>Towel/Napkin</t>
  </si>
  <si>
    <t>Napkin</t>
  </si>
  <si>
    <t>795,63/683,36</t>
  </si>
  <si>
    <t>710,21/594,73</t>
  </si>
  <si>
    <t>686,67/603,96</t>
  </si>
  <si>
    <t>990/851,4</t>
  </si>
  <si>
    <t>- Change Blade (1x)</t>
  </si>
  <si>
    <t>- Change Spool (23x)</t>
  </si>
  <si>
    <t>- 15.10 vacum trip, pm stop cleaning felt wire</t>
  </si>
  <si>
    <t>Vacuum Trip</t>
  </si>
  <si>
    <t>Boil Out</t>
  </si>
  <si>
    <t>Ganti Felt</t>
  </si>
  <si>
    <t>Cleaning Felt &amp; Wire</t>
  </si>
  <si>
    <t>Reject 770 kg</t>
  </si>
  <si>
    <t>TW 14 RC HW</t>
  </si>
  <si>
    <t>TW 29 RC HW</t>
  </si>
  <si>
    <t>TW 35,5 RC HW</t>
  </si>
  <si>
    <t>N 15,5 RC HW</t>
  </si>
  <si>
    <t>46*5+36</t>
  </si>
  <si>
    <t>86*3</t>
  </si>
  <si>
    <t xml:space="preserve">- Awal Shift PM Produksi T13.5
Speed actual/ crepe : 930 mpm/ 15% </t>
  </si>
  <si>
    <t>Speed awal 930
Pressure gas semakin turun 
00:24 speed turun 900
01:27 speed naik 920
02:10 pressure gas mulai naik
02:13 speed naik 950
03:12 speed naik 960
03:50 speed naik 980
04:38 speed naik 1000
05:02 speed naik 1030
05:38 speed naik 1050</t>
  </si>
  <si>
    <t>- Awal Shift PM Produksi : N15,5
Speed: 990 mpm / 13%</t>
  </si>
  <si>
    <t>*Dari awal shift, gas PGN drop terus sampai 117mBar, speed yankee turun perlahan menyesuaikan sampai 900 mpm
19.30 wsr on, 150 ml/mnt
19.40 change grade F14, speed 920 mpm/22%
20.40 Wsr off
22.32 change grade T13,5 lb speed 930 mpm/15%</t>
  </si>
  <si>
    <t xml:space="preserve">- Awal Shift PM Produksi N15.5
Speed: 990 mpm / -13% </t>
  </si>
  <si>
    <t>- 12.00 pressure gas mulai turun</t>
  </si>
  <si>
    <t>F 14</t>
  </si>
  <si>
    <t>966,44/821,47</t>
  </si>
  <si>
    <t>908,92/760</t>
  </si>
  <si>
    <t>990/861,3</t>
  </si>
  <si>
    <t>955,12/814,26</t>
  </si>
  <si>
    <t>15,5/14/13,5</t>
  </si>
  <si>
    <t>Napkin/Facial/Toilet</t>
  </si>
  <si>
    <t>Facial</t>
  </si>
  <si>
    <t>- Change Blade (9x)</t>
  </si>
  <si>
    <t>- Change Spool (24x)</t>
  </si>
  <si>
    <t>133*2</t>
  </si>
  <si>
    <t>F 14 RC HW</t>
  </si>
  <si>
    <t xml:space="preserve">- Awal Shift PM Produksi  T 15
Speed actual/ crepe : 1170 mpm/ 20% </t>
  </si>
  <si>
    <t>Ganti beberapa nozel hpp felt yg buntu</t>
  </si>
  <si>
    <t>- Awal Shift PM Produksi T15
Speed : 1160 mpm/20%</t>
  </si>
  <si>
    <t xml:space="preserve">- Awal Shift PM Produksi  T13.5 &amp; T 15
Speed actual/ crepe : 1180 &amp; 1160 mpm/ 16 &amp;20 % </t>
  </si>
  <si>
    <t>01:19 speed naik 1190
05:26 change grade T15 speed 1160</t>
  </si>
  <si>
    <t>- Awal Shift PM Produksi T13.5
Speed : 950 mpm/17%</t>
  </si>
  <si>
    <t>- awal shift pm stop hood susah menyala, press gass low
- 15.25 hood nyala pm persiapa jalan
- 15.35 pm stock on
- 15.45 pm on reel prod T13.5 speed 900/17%
- pm naik speed perlahan menyesuaikan press gas
- speed akhir shift 1180</t>
  </si>
  <si>
    <t>- ( hood mati gas low )</t>
  </si>
  <si>
    <t xml:space="preserve">- Awal Shift PM Produksi T13.5
Speed: 1050 mpm / -15% </t>
  </si>
  <si>
    <t>- 09.02 sp down, pressure gas minim
- 12.08 jr muncul hole
- 12.18 pm stop, cleaning felt wire 
- cleaning couch pit 
- cleaning area pm
- 14.20 persiapan jalan 
- 14.25 burner masih belum bisa nyala</t>
  </si>
  <si>
    <t>T 15</t>
  </si>
  <si>
    <t>1097,45/917,36</t>
  </si>
  <si>
    <t>- Change Spool (6x)</t>
  </si>
  <si>
    <t>1050/892,5</t>
  </si>
  <si>
    <t>1039,68/862,93</t>
  </si>
  <si>
    <t>1181,23/983,15</t>
  </si>
  <si>
    <t>1170/936</t>
  </si>
  <si>
    <t>1160/928</t>
  </si>
  <si>
    <t>1166,67/933,33</t>
  </si>
  <si>
    <t>13,5/15</t>
  </si>
  <si>
    <t>15</t>
  </si>
  <si>
    <t>PGN</t>
  </si>
  <si>
    <t>PGN &amp; efek PGN</t>
  </si>
  <si>
    <t>- Change Blade (14x)</t>
  </si>
  <si>
    <t>- Change Spool (28x)</t>
  </si>
  <si>
    <t>Target</t>
  </si>
  <si>
    <t>Real</t>
  </si>
  <si>
    <t>Waktu</t>
  </si>
  <si>
    <t>LT</t>
  </si>
  <si>
    <t>DT</t>
  </si>
  <si>
    <t>T 15 RC HW</t>
  </si>
  <si>
    <t>245+24</t>
  </si>
  <si>
    <t>-  Loss speed Efek PGN</t>
  </si>
  <si>
    <t>- Cleaning hole</t>
  </si>
  <si>
    <t>- Burner hood off</t>
  </si>
  <si>
    <t>- Loss Speed Efek PGN</t>
  </si>
  <si>
    <t>INDOFLOC C360</t>
  </si>
  <si>
    <t xml:space="preserve">- Awal Shift PM Produksi  T14
Speed actual/ crepe : 1240 mpm/ 22% </t>
  </si>
  <si>
    <t>- Awal Shift PM Produksi  T14
Speed : 1240 mpm/22%</t>
  </si>
  <si>
    <t>- Awal Shift PM Produksi  T15
Speed: 1170 mpm / 20%</t>
  </si>
  <si>
    <t>- 12.13 Change grade T14, speed 1230mpm/-22%</t>
  </si>
  <si>
    <t>T 14</t>
  </si>
  <si>
    <t>1190,88/944,141</t>
  </si>
  <si>
    <t>1240/967,2</t>
  </si>
  <si>
    <t>1223,63/959,51</t>
  </si>
  <si>
    <t>- Sheet Breaks (1x)</t>
  </si>
  <si>
    <t>15/14</t>
  </si>
  <si>
    <t>- Change Spool (32x)</t>
  </si>
  <si>
    <t>271*1</t>
  </si>
  <si>
    <t>T 14 RC HW</t>
  </si>
  <si>
    <t xml:space="preserve">- Awal Shift PM Produksi   T15
Speed actual/ crepe : 1160 mpm/ 22% </t>
  </si>
  <si>
    <t>- Awal Shift PM Produksi T14
Speed : 1170 mpm/22%</t>
  </si>
  <si>
    <t>- 17.15 change grade T15 speed 1160/22%
- 22.00 ganti blade kertas gelombang, coba ganti sloter&amp;blade 3x kertas ok
- kertas beberapa kali putus krn kotoran</t>
  </si>
  <si>
    <t>- Awal Shift PM Produksi  T14
Speed: 1240 mpm / 22%</t>
  </si>
  <si>
    <t>10.07 pm 15 stop vacuum trip
10.20 vacuum sudah bisa, pm 15 start up
10.31 pm 15 on rell
10.33 jr su 1 turun terdapat hole sisi DS
10.49 jr su 2 turun hole masih ada
10.52 pm 15 stop lagi cleaning felt wire
11.10 cleaning pm, siram felt pakai solar, sikat felt dan karcher wire
12.02 bilas felt dan wire
12.26 pm 15 persiapan jalan
12.45 pm 15 on reel
12.47 jr su turun, hole sudah hilang, acc Qc.
12.55 tissue sering soping sblh DS ,( naikkan press spr sblh DS 5.6 bar)</t>
  </si>
  <si>
    <t>1160/904,8</t>
  </si>
  <si>
    <t>1162,81/906,99</t>
  </si>
  <si>
    <t>1181,05/921,22</t>
  </si>
  <si>
    <t>14/15</t>
  </si>
  <si>
    <t>- Change Blade (15x)</t>
  </si>
  <si>
    <t>- 10.07 pm 15 stop vacuum trip</t>
  </si>
  <si>
    <t xml:space="preserve">- Awal Shift PM Produksi  T15
Speed: 1170 mpm / -22% </t>
  </si>
  <si>
    <t>- Awal Shift PM Produksi  T15
Speed : 1160 mpm/22%</t>
  </si>
  <si>
    <t>- Awal Shift PM Produksi  T15
Speed: 1160 mpm / 22%</t>
  </si>
  <si>
    <t>1170/912,6</t>
  </si>
  <si>
    <t>1163,33/907,7</t>
  </si>
  <si>
    <t>- Change Blade (10x)</t>
  </si>
  <si>
    <t>Cylube 901</t>
  </si>
  <si>
    <t xml:space="preserve">- Awal Shift PM Produksi T15
Speed: 1170 mpm / -20% </t>
  </si>
  <si>
    <t>23.23 jr muncul hole bag FS, cek hpp felt bag FS, ganti nozzle hpp bag FS</t>
  </si>
  <si>
    <t xml:space="preserve">- Awal Shift PM Produksi T15
Speed actual/ crepe : 1170 mpm/ 20% </t>
  </si>
  <si>
    <t>- Awal Shift PM Produksi T15
Speed: 1170 mpm / 20%
Deckle: 2.74m</t>
  </si>
  <si>
    <t xml:space="preserve">- Awal Shift PM Produksi  T15
Speed: 1170 mpm / -20% </t>
  </si>
  <si>
    <t>- 03.26 muncul hole Blade bag DS, cek felt bag DS, ganti nozzle hpp felt
- tissue sering putus2 karna slam</t>
  </si>
  <si>
    <t>- Awal Shift PM Produksi  T15
Speed : 1170 mpm/20%</t>
  </si>
  <si>
    <t>- Awal Shift PM Produksi T15
Speed: 1170 mpm / 20%</t>
  </si>
  <si>
    <t>- Change Blade (6x)</t>
  </si>
  <si>
    <t>- Change Blade (13x)</t>
  </si>
  <si>
    <t xml:space="preserve">- Awal Shift PM Produksi T14
Speed: 1140 mpm / -18% </t>
  </si>
  <si>
    <t>- Awal Shift PM Produksi  T20 &amp; T14
Speed actual/ crepe : 950 &amp; 1140 mpm/ 20 &amp; 18% 
Loss speed : %</t>
  </si>
  <si>
    <t>- 18:22 change grade T14</t>
  </si>
  <si>
    <t>- Awal Shift PM Produksi T16 1ply
Speed : 1080 mpm/18%</t>
  </si>
  <si>
    <t>- 10.00 rew c ganti pot  pm 14
- 12.50 change grade T20 speed 950mpm/20%
- 13.00 rew c ganti pot pm 15</t>
  </si>
  <si>
    <t xml:space="preserve">- Awal Shift PM Produksi T16
Speed: 1080 mpm / -16% </t>
  </si>
  <si>
    <t xml:space="preserve">- Awal Shift PM Produksi T18 &amp; T16
Speed actual/ crepe : 950 &amp; 1070 mpm/ 17% </t>
  </si>
  <si>
    <t>21:24 change grade T16 speed 1070
21:49 speed naik 1090</t>
  </si>
  <si>
    <t>11.18"  Pm 15 stop (pompa coating release trip) sekalian cleaning felt dan wire
11.26"  Cleaning pm, siram felt pakai solar, sikat felt, karcher wire
12.25"  Bilas felt dan wire
12.58"  Pm 15 persiapan jalan
13.15"  Pm 15 on rell
13.20"  Jr su 1 turun ada hole sisi ds
13.45"  Jr su 2 turun hole sudah hilang
14.30"  Change grade T18 LB</t>
  </si>
  <si>
    <t>T 18</t>
  </si>
  <si>
    <t>T 16</t>
  </si>
  <si>
    <t>1080/907,2</t>
  </si>
  <si>
    <t>976,96/810,88</t>
  </si>
  <si>
    <t>1150,17/923,21</t>
  </si>
  <si>
    <t>1069,04/880,43</t>
  </si>
  <si>
    <t>T 20</t>
  </si>
  <si>
    <t>1060,04/861,24</t>
  </si>
  <si>
    <t>1044,79/851,58</t>
  </si>
  <si>
    <t>1081,61/882,54</t>
  </si>
  <si>
    <t>15/18/16</t>
  </si>
  <si>
    <t>16/20/14</t>
  </si>
  <si>
    <t>- 11.18"  Pm 15 stop (pompa coating release trip) sekalian cleaning felt dan wire</t>
  </si>
  <si>
    <t>- Change Spool (26x)</t>
  </si>
  <si>
    <t>T 18 RC HW</t>
  </si>
  <si>
    <t>T 16 RC HW</t>
  </si>
  <si>
    <t>T 20 RC HW</t>
  </si>
  <si>
    <t>267,5*1</t>
  </si>
  <si>
    <t>268*1</t>
  </si>
  <si>
    <t>269,5*1</t>
  </si>
  <si>
    <t>SODIUM HYPOCHLORID</t>
  </si>
  <si>
    <t xml:space="preserve">- Awal Shift PM Produksi T14
Speed: 1210 mpm / -20% </t>
  </si>
  <si>
    <t>- shower couting sering buntu
- 02.12 change grade T15 speed 1160 mpm
- speed akhir 1180 mpm</t>
  </si>
  <si>
    <t xml:space="preserve">- Awal Shift PM Produksi T14
Speed actual/ crepe : 1200 mpm/ 20% </t>
  </si>
  <si>
    <t>Speed awal 1180
15:40 speed naik 1200
16:36 speed naik 1210</t>
  </si>
  <si>
    <t>- Flow Fres water eror
- 11.30 menggunakan enzim 200 ml/ jam
- speed pm akhir 1180 mpm</t>
  </si>
  <si>
    <t>- Awal Shift PM Produksi T14
Speed : 1150 mpm/20%</t>
  </si>
  <si>
    <t>1186/948,8</t>
  </si>
  <si>
    <t>1206,33/965,07</t>
  </si>
  <si>
    <t>1163,13/930,5</t>
  </si>
  <si>
    <t>1185,18/948,12</t>
  </si>
  <si>
    <t>- Awal Shift PM Produksi T15
Speed: 1170 mpm / 21%</t>
  </si>
  <si>
    <t xml:space="preserve">23.44"  Jr turun terdapat pinhole area Center dan DS (acc taruh ply 1/ depan) 
*cleaning wire,( soda wire dan lap wire )
check hpp, turun speed ke 1170 mpm
01.16 Jr turun pinhole sudah berkurang (acc taruh ply ke 2 ) </t>
  </si>
  <si>
    <t xml:space="preserve">- Awal Shift PM Produksi T15
Speed actual/ crepe : 1200 mpm/ 21% </t>
  </si>
  <si>
    <t>- Awal Shift PM Produksi T15
Speed : 1180 mpm/21%</t>
  </si>
  <si>
    <t>- flow Fres water eror</t>
  </si>
  <si>
    <t>1180/932,2</t>
  </si>
  <si>
    <t>1200/948</t>
  </si>
  <si>
    <t>1170/924,3</t>
  </si>
  <si>
    <t>1183,33/934,83</t>
  </si>
  <si>
    <t>- Awal Shift PM Produksi  T15
Speed: 1170 mpm / 21%</t>
  </si>
  <si>
    <t>00.11"  Change grade T13,5, speed 1210mpm/21%
05.48"  Change grade T13 ( spek khusus) speed 1230mpm/21%</t>
  </si>
  <si>
    <t xml:space="preserve">- Awal Shift PM Produksi T15
Speed actual/ crepe : 1180 mpm/ 21% </t>
  </si>
  <si>
    <t>T 13</t>
  </si>
  <si>
    <t>1207,08/953,596</t>
  </si>
  <si>
    <t>1189,03/939,33</t>
  </si>
  <si>
    <t>- Change Spool (12x)</t>
  </si>
  <si>
    <t>15/13,5/13</t>
  </si>
  <si>
    <t>T 13 RC HW</t>
  </si>
  <si>
    <t>267*1</t>
  </si>
  <si>
    <t>272*1</t>
  </si>
  <si>
    <t>1250/987</t>
  </si>
  <si>
    <t>1290/1019</t>
  </si>
  <si>
    <t>1276/1008</t>
  </si>
  <si>
    <t>13</t>
  </si>
  <si>
    <t>- Awal Shift PM Produksi  T13 Speed: 1250 mpm / 21%</t>
  </si>
  <si>
    <t>- Awal Shift PM Produksi  T13 Speed 1290 mpm / 21%</t>
  </si>
  <si>
    <t>- Awal Shift PM Produksi  T13, T13.5
Speed : 1270 mpm/21%</t>
  </si>
  <si>
    <t>- flow Fres water eror
- 10.40 change grade T13.5 speed 1270/21%</t>
  </si>
  <si>
    <t>- Awal Shift PM Produksi  T13,5
Speed: 1280 mpm/21%
Speed actual: 1080mpm (loss speed 200mpm/15.5%)</t>
  </si>
  <si>
    <t>- Awal shift pressure gas drop, down speed ke 1080 mpm
05.30 speed up 1100 mpm</t>
  </si>
  <si>
    <t xml:space="preserve">- Awal Shift PM Produksi  T13.5
Speed: 1280 mpm / -21% </t>
  </si>
  <si>
    <t>- 15.53 pressure gas drop, sp turun 1150
- 17.13 pressure belum bisa naik, sp turun lagi
- sp akhir 1080</t>
  </si>
  <si>
    <t>1083,75/856,16</t>
  </si>
  <si>
    <t>1133,29/895,3</t>
  </si>
  <si>
    <t>1270/1003,5</t>
  </si>
  <si>
    <t>1162,35/918,25</t>
  </si>
  <si>
    <t>13/13,5</t>
  </si>
  <si>
    <t>129*2</t>
  </si>
  <si>
    <t>130*2</t>
  </si>
  <si>
    <t>- Awal Shift PM Produksi T13.5
Speed: 1160 mpm / -21%</t>
  </si>
  <si>
    <t>- 15.18 jr turun muncul hole ± 117 cm dari DS &amp; muncul Ws
- 21.10 change grade T14, speed 1160</t>
  </si>
  <si>
    <t xml:space="preserve">- Awal Shift PM Produksi  T13.5
Speed actual/ crepe : 1230 mpm/ 21% </t>
  </si>
  <si>
    <t>Speed awal 1300
08:18 speed turun 1230 menyesuaikan sisa bubur DIP
10:05 pm stop. Sinergy trip
12:49 bilas felt
13:07 pm 15 start up
13:22 on reel speed 1100
14:02 speed naik 1120
14:36 speed naik 1140</t>
  </si>
  <si>
    <t xml:space="preserve">- Awal Shift PM Produksi   T13,5
Speed: 1280 mpm / 21%  </t>
  </si>
  <si>
    <t xml:space="preserve">Awal shift pressure gas PGN masih belom stabil. </t>
  </si>
  <si>
    <t xml:space="preserve">- Awal Shift PM Produksi T13.5
Speed: 1100 mpm / -21% </t>
  </si>
  <si>
    <t>- 16.15 sp up 1160
- 17.15 sp up 1230
- 18.15 sp up 1290
- sp akhir 1300</t>
  </si>
  <si>
    <t xml:space="preserve">- Awal Shift PM Produksi   T13.5
Speed actual/ crepe : 1100 mpm/ 21% </t>
  </si>
  <si>
    <t>09:42 pm 15 stop. Burner hood mati (pressure gas pgn drop)
Cleaning felt dan wire
Cleaning couch pit tank
Kacer wire
11:27 bilas felt
11:34 pm start up
11:47 on reel speed 1000
12:17 speed naik 1040
12:42 speed naik 1050
13:30 speed naik 1080
14:06 speed naik 1100</t>
  </si>
  <si>
    <t>1280/1011,2</t>
  </si>
  <si>
    <t>1239,52/979,22</t>
  </si>
  <si>
    <t>1078,54/852,04</t>
  </si>
  <si>
    <t>1210,84/956,56</t>
  </si>
  <si>
    <t xml:space="preserve">- Awal Shift PM Produksi   T14
Speed: 1280 mpm / 21%  </t>
  </si>
  <si>
    <t>00.08 packing steam thermo bocor
00.13 pm 15 stop, perbaikan packing steam thermo, cleaning felt dan wire
01.17 bilas felt dan wire
01.43 pm 15 start up
02.04 pm 15 on reel</t>
  </si>
  <si>
    <t>1210,07/955,956</t>
  </si>
  <si>
    <t>1160/916,4</t>
  </si>
  <si>
    <t>1216,69/961,19</t>
  </si>
  <si>
    <t>- 09:42 pm 15 stop. Burner hood mati (pressure gas pgn drop)</t>
  </si>
  <si>
    <t>- 10:05 pm stop. Sinergy trip</t>
  </si>
  <si>
    <t>- 00.13 pm 15 stop, perbaikan packing steam thermo, cleaning felt dan wire</t>
  </si>
  <si>
    <t>13,5/14</t>
  </si>
  <si>
    <t xml:space="preserve">- Awal Shift PM Produksi  T14
Speed: 800 mpm / -22% </t>
  </si>
  <si>
    <t>- Pm jalan tanpa burner
- pressure gas tidak cukup, speed 800 mpm
- flowmeter freshwater error</t>
  </si>
  <si>
    <t>- Awal Shift PM Produksi  T14
Speed : 850 mpm/22% pres gas rendah</t>
  </si>
  <si>
    <t>- flow Fres water eror
- press gass PGN low
- 23.55 pm sirkulasi eid cek motor  circulation hood di off
- 00.00 motor sirkulsi hood on proses nyalakan hood
- 00.05 pm on reel</t>
  </si>
  <si>
    <t xml:space="preserve">- Awal Shift PM Produksi  T14
Speed actual/ crepe : 1280 mpm/ 21% </t>
  </si>
  <si>
    <t>09:16 presure gas turun speed turun 1270
10:19 speed turun 1100
10:46 speed turun 1080
11:47 speed turun 1030
12:34 pm stop burner hood mati
13:56 pm start up
14:23 on reel. Speed 830</t>
  </si>
  <si>
    <t>850/663</t>
  </si>
  <si>
    <t>800/624</t>
  </si>
  <si>
    <t>1155,77/913,06</t>
  </si>
  <si>
    <t>917,2/718,64</t>
  </si>
  <si>
    <t>14</t>
  </si>
  <si>
    <t>- 12:34 pm stop burner hood mati</t>
  </si>
  <si>
    <t>- 23.55 pm sirkulasi eid cek motor  circulation hood di off</t>
  </si>
  <si>
    <t>ANMOL Super 7175</t>
  </si>
  <si>
    <t>- Awal Shift PM Produksi T14
Speed : 800 mpm/22% pres gas rendah</t>
  </si>
  <si>
    <t>- flow Fres water eror
- press gass PGN low
- 23.20 press gas naik  burner on speed naik perlahan,900 mpm menyesuaikan press gas
- 06.40 press gass mulai turun pm turun  speed</t>
  </si>
  <si>
    <t xml:space="preserve">- Awal Shift PM Produksi T14
Speed: 800 mpm / -22% </t>
  </si>
  <si>
    <t>- pressure gas tidak cukup, speed 800 mpm</t>
  </si>
  <si>
    <t xml:space="preserve">- Awal Shift PM Produksi  T14
Speed actual/ crepe : 1280 mpm/ 22% </t>
  </si>
  <si>
    <t xml:space="preserve">Presure gas semakin turun
10:18 pm jalan tanpa burner, speed turun 800 </t>
  </si>
  <si>
    <t>998/778,44</t>
  </si>
  <si>
    <t>891,67/695,5</t>
  </si>
  <si>
    <t>896,56/699,31</t>
  </si>
  <si>
    <t>- Change Spool (5x)</t>
  </si>
  <si>
    <t>- Change Blade (7x)</t>
  </si>
  <si>
    <t>- Change Spool (17x)</t>
  </si>
  <si>
    <t>- Awal Shift PM Produksi  T14
Speed: 1280 mpm / -22%  
Speed actual : 820 mpm / -22%</t>
  </si>
  <si>
    <t>- 22.30 press gas naik 175 mbar
- akhirshift speed 830 mpm</t>
  </si>
  <si>
    <t>- Awal Shift PM Produksi  T14
Speed target/ crepe : 1280 mpm/ 22% 
Speed actual/ crepe : 800 mpm/22%</t>
  </si>
  <si>
    <t xml:space="preserve">Presure gas semakin turun
08:29 speed turun 800 </t>
  </si>
  <si>
    <t>- Flow Fres water eror
- press gass PGN low
- 23.10 press gas naik speed naik perlahan, menyesuaikan press gas, speed akhir 880 mpm
- 23.12 JR turun banyak pin hole, cleaning wire lap dg solar &amp; karcher wire
- 00.25 pin hole minim</t>
  </si>
  <si>
    <t>878,33/685,1</t>
  </si>
  <si>
    <t>820,63/640,09</t>
  </si>
  <si>
    <t>832,99/649,73</t>
  </si>
  <si>
    <t>- Change Spool (20x)</t>
  </si>
  <si>
    <t xml:space="preserve">                                                                                                                                                                                                                              </t>
  </si>
  <si>
    <t>- Awal Shift PM Produksi T14
Speed : 850 mpm/22%</t>
  </si>
  <si>
    <t>- flow Fres water eror
- press gass PGN low
- 23.25 press gas naik proses nyalakan burner, burner nyala speed naik perlahan menyesuaikan press gas, speed akhir 950 mpm</t>
  </si>
  <si>
    <t>- Awal Shift PM Produksi T14
Speed: 1280 mpm / 22%  
Speed actual : 810 mpm / 22%</t>
  </si>
  <si>
    <t>Burner off dari awal shift sampai akhir shift</t>
  </si>
  <si>
    <t>- Awal Shift PM Produksi T14
Speed target/ crepe : 1280 mpm/ 22% 
Speed actual/ crepe : 800 mpm/22%</t>
  </si>
  <si>
    <t>Presure gas semakin turun
08:37 speed turun 800 
10:13 burner hood mati</t>
  </si>
  <si>
    <t>944,79/736,94</t>
  </si>
  <si>
    <t>810/631,8</t>
  </si>
  <si>
    <t>816,17/636,61</t>
  </si>
  <si>
    <t>856,99/668,45</t>
  </si>
  <si>
    <t>METSA</t>
  </si>
  <si>
    <t>Loss Time PGN</t>
  </si>
  <si>
    <t>Down Time PGN</t>
  </si>
  <si>
    <t>Loss speed efek PGN</t>
  </si>
  <si>
    <t>Cleaning hole</t>
  </si>
  <si>
    <t>Burner hood off</t>
  </si>
  <si>
    <t>Pompa coating release trip</t>
  </si>
  <si>
    <t>Sinergy trip</t>
  </si>
  <si>
    <t>Eid cek motor sirkulasi</t>
  </si>
  <si>
    <t>- Awal Shift PM Produksi T15
Speed : 1120 mpm/22%</t>
  </si>
  <si>
    <t>- flow Fres water eror
- press PGN mulai naik pm naik speed perlahan
- 06.00 crane 8 ton ngeslong cek eid
- 06.25 change grade T14 speed 1200 mpm/22%
- 06.30 kompresor bacaan fliker pm trip</t>
  </si>
  <si>
    <t>- Awal shift speed 910 mpm,  pressure gas mulai naik. Speed up bertahap menyesuaikan
- Speed akhir 1120mpm
22.18  Motor agitator L.Dump trip
22.30 agitator lbkp ok</t>
  </si>
  <si>
    <t>- Awal Shift PM Produksi T15
Speed: 1200 mpm / 22%</t>
  </si>
  <si>
    <t xml:space="preserve">- Awal Shift PM Produksi T14
Speed: 960 mpm / -22% </t>
  </si>
  <si>
    <t>- pressure gas masih belum bisa stabil
- 09.27 change grade T15</t>
  </si>
  <si>
    <t>918,375/716,333</t>
  </si>
  <si>
    <t>1015/791,7</t>
  </si>
  <si>
    <t>1120,89/874,293</t>
  </si>
  <si>
    <t>1015,9/792,4</t>
  </si>
  <si>
    <t>- Sheet Breaks (3x)</t>
  </si>
  <si>
    <t>- 06.30 kompresor bacaan fliker pm trip</t>
  </si>
  <si>
    <t>h</t>
  </si>
  <si>
    <t>Perbaikan packing steam thermo</t>
  </si>
  <si>
    <t>- awal shift pm stop DIP buburan habis
- cleaning area pm
- cleaning felt &amp; katcer wire masih ada lem
- perbaiki terpal tutup motor di ikat agak ke atas
- ganti selang angin trading paper yang pecah
- pompa coating dg map (blm kalibrasi) 
- bantu eid ganti control valve dilution UTM yg macet
- posisi crawl wire geser ke ds, cek eid</t>
  </si>
  <si>
    <t>- 15.00 Awal shift pm 15 masih stop, dip2 ganti motor dan gearbox plug screw :
- Cleaning crofta dan isi crofta
- Cleaning CW tank dan isi CW tank
- Isi silo tank
- Drain utm
- Cek hpp wire 
- bantu pm 15
-  tutup area motor sblh ww dan vacum dg terpal ( atap jebol)</t>
  </si>
  <si>
    <t>- 07.00 awal shift pm masih stop
- cleaning couch pit 
- cleaning felt wire
- 08.24 bilas felt
- 08.54 bilas felt selesai, pm tidak jadi jalan
- Dip stop, tunggu DIP jalan
- lanjut drain ww, cw, silo, water tray &amp; reject tank
- cleaning ww, cw, silo, water tray &amp; reject tank
- ganti nozzle hpp felt</t>
  </si>
  <si>
    <t>STOP</t>
  </si>
  <si>
    <t>- Change Spool (0x)</t>
  </si>
  <si>
    <t>- dip trobel karena perbaikan med eid)</t>
  </si>
  <si>
    <t>- Dip Trouble karena maintenance</t>
  </si>
  <si>
    <t>kompressor bacaan fliker pm trip</t>
  </si>
  <si>
    <t>DIP Stop</t>
  </si>
  <si>
    <t>Total Loss Speed PGN</t>
  </si>
  <si>
    <t>% Loss Time PGN</t>
  </si>
  <si>
    <t>Loss Speed PGN</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</si>
</sst>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409]mmm\-yy;@"/>
    <numFmt numFmtId="181" formatCode="_(* #,##0.000_);_(* \(#,##0.000\);_(* &quot;-&quot;_);_(@_)"/>
    <numFmt numFmtId="182" formatCode="_(* #,##0.0_);_(* \(#,##0.0\);_(* &quot;-&quot;_);_(@_)"/>
    <numFmt numFmtId="183" formatCode="0.000000"/>
  </numFmts>
  <fonts count="64">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sz val="10"/>
      <name val="Arial"/>
      <family val="2"/>
    </font>
    <font>
      <b/>
      <sz val="11"/>
      <color theme="1"/>
      <name val="Calibri"/>
      <family val="2"/>
      <scheme val="minor"/>
    </font>
    <font>
      <b/>
      <sz val="11"/>
      <name val="Calibri"/>
      <family val="2"/>
      <scheme val="minor"/>
    </font>
    <font>
      <b/>
      <sz val="11"/>
      <color rgb="FFFF0000"/>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sz val="12"/>
      <name val="Calibri"/>
      <family val="2"/>
      <scheme val="minor"/>
    </font>
  </fonts>
  <fills count="38">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164" fontId="44" fillId="0" borderId="0" applyFont="0" applyFill="0" applyBorder="0" applyAlignment="0" applyProtection="0"/>
  </cellStyleXfs>
  <cellXfs count="813">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0"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171" fontId="0" fillId="0" borderId="11" xfId="0" applyNumberFormat="1" applyBorder="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18" xfId="28" applyFont="1" applyFill="1" applyBorder="1"/>
    <xf numFmtId="0" fontId="27" fillId="0" borderId="0" xfId="0" applyFont="1"/>
    <xf numFmtId="0" fontId="27" fillId="0" borderId="18" xfId="28" applyNumberFormat="1" applyFont="1" applyBorder="1"/>
    <xf numFmtId="0" fontId="26" fillId="24" borderId="11" xfId="0" quotePrefix="1" applyFont="1" applyFill="1" applyBorder="1"/>
    <xf numFmtId="0" fontId="26" fillId="24" borderId="13" xfId="0" quotePrefix="1" applyFont="1" applyFill="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8" fontId="41" fillId="0" borderId="0" xfId="0" applyNumberFormat="1" applyFont="1" applyAlignment="1">
      <alignment horizontal="center" vertical="center" wrapText="1"/>
    </xf>
    <xf numFmtId="179" fontId="41" fillId="0" borderId="0" xfId="29" applyNumberFormat="1" applyFont="1" applyFill="1" applyBorder="1" applyAlignment="1">
      <alignment horizontal="center" vertical="center" wrapText="1"/>
    </xf>
    <xf numFmtId="166" fontId="41" fillId="0" borderId="0" xfId="51" applyNumberFormat="1" applyFont="1" applyFill="1" applyBorder="1" applyAlignment="1">
      <alignment horizontal="center" vertical="center" wrapText="1"/>
    </xf>
    <xf numFmtId="0" fontId="42" fillId="0" borderId="0" xfId="0" applyFont="1"/>
    <xf numFmtId="179"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8"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8" fontId="41" fillId="0" borderId="11" xfId="0" applyNumberFormat="1" applyFont="1" applyBorder="1"/>
    <xf numFmtId="164" fontId="41" fillId="0" borderId="11" xfId="29" applyFont="1" applyFill="1" applyBorder="1" applyAlignment="1">
      <alignment horizontal="center"/>
    </xf>
    <xf numFmtId="179" fontId="41" fillId="0" borderId="11" xfId="29" applyNumberFormat="1" applyFont="1" applyFill="1" applyBorder="1" applyAlignment="1">
      <alignment vertical="center"/>
    </xf>
    <xf numFmtId="166" fontId="41" fillId="0" borderId="11" xfId="51" applyNumberFormat="1" applyFont="1" applyFill="1" applyBorder="1" applyAlignment="1">
      <alignment vertical="center"/>
    </xf>
    <xf numFmtId="0" fontId="41" fillId="0" borderId="11" xfId="0" applyFont="1" applyBorder="1" applyAlignment="1">
      <alignment wrapText="1"/>
    </xf>
    <xf numFmtId="173" fontId="38" fillId="0" borderId="11" xfId="45" applyNumberFormat="1" applyFont="1" applyBorder="1" applyAlignment="1">
      <alignment horizontal="center"/>
    </xf>
    <xf numFmtId="0" fontId="38" fillId="0" borderId="11" xfId="45"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1" applyFont="1" applyFill="1" applyBorder="1" applyAlignment="1">
      <alignment vertical="center"/>
    </xf>
    <xf numFmtId="164" fontId="38" fillId="0" borderId="11" xfId="29" applyFont="1" applyFill="1" applyBorder="1" applyAlignment="1">
      <alignment horizontal="center"/>
    </xf>
    <xf numFmtId="179" fontId="38" fillId="0" borderId="11" xfId="29" applyNumberFormat="1" applyFont="1" applyFill="1" applyBorder="1" applyAlignment="1">
      <alignment horizontal="center"/>
    </xf>
    <xf numFmtId="179" fontId="41" fillId="0" borderId="11" xfId="29" applyNumberFormat="1" applyFont="1" applyBorder="1" applyAlignment="1">
      <alignment vertical="center"/>
    </xf>
    <xf numFmtId="2" fontId="41" fillId="0" borderId="11" xfId="0" applyNumberFormat="1" applyFont="1" applyBorder="1"/>
    <xf numFmtId="2" fontId="38" fillId="0" borderId="11" xfId="47" applyNumberFormat="1" applyFont="1" applyBorder="1"/>
    <xf numFmtId="179" fontId="42" fillId="0" borderId="11" xfId="29" applyNumberFormat="1" applyFont="1" applyFill="1" applyBorder="1" applyAlignment="1">
      <alignment vertical="center"/>
    </xf>
    <xf numFmtId="0" fontId="41" fillId="0" borderId="11" xfId="0" applyFont="1" applyBorder="1" applyAlignment="1">
      <alignment horizontal="center" wrapText="1"/>
    </xf>
    <xf numFmtId="9" fontId="41" fillId="0" borderId="11" xfId="0" applyNumberFormat="1" applyFont="1" applyBorder="1" applyAlignment="1">
      <alignment horizontal="center" wrapText="1"/>
    </xf>
    <xf numFmtId="0" fontId="22" fillId="24" borderId="11" xfId="44" applyFont="1" applyFill="1" applyBorder="1"/>
    <xf numFmtId="179" fontId="41" fillId="0" borderId="0" xfId="29" applyNumberFormat="1" applyFont="1" applyFill="1" applyBorder="1" applyAlignment="1">
      <alignment vertical="center"/>
    </xf>
    <xf numFmtId="0" fontId="41" fillId="0" borderId="0" xfId="0" applyFont="1" applyAlignment="1">
      <alignment horizontal="center"/>
    </xf>
    <xf numFmtId="178"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9" fontId="42" fillId="25" borderId="11" xfId="29" applyNumberFormat="1" applyFont="1" applyFill="1" applyBorder="1" applyAlignment="1">
      <alignment vertical="center"/>
    </xf>
    <xf numFmtId="178"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8" applyFont="1" applyBorder="1"/>
    <xf numFmtId="10" fontId="42" fillId="25" borderId="11" xfId="51" applyNumberFormat="1" applyFont="1" applyFill="1" applyBorder="1" applyAlignment="1">
      <alignment vertical="center"/>
    </xf>
    <xf numFmtId="166" fontId="42" fillId="25" borderId="11" xfId="51"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9" fontId="41" fillId="0" borderId="0" xfId="29" applyNumberFormat="1" applyFont="1" applyFill="1" applyBorder="1" applyAlignment="1">
      <alignment horizontal="center"/>
    </xf>
    <xf numFmtId="165" fontId="42" fillId="0" borderId="0" xfId="0" applyNumberFormat="1" applyFont="1" applyAlignment="1">
      <alignment horizontal="right"/>
    </xf>
    <xf numFmtId="179" fontId="42" fillId="0" borderId="0" xfId="29" applyNumberFormat="1" applyFont="1" applyFill="1" applyBorder="1" applyAlignment="1">
      <alignment horizontal="right"/>
    </xf>
    <xf numFmtId="166" fontId="42" fillId="0" borderId="0" xfId="51" applyNumberFormat="1" applyFont="1" applyFill="1" applyBorder="1" applyAlignment="1">
      <alignment vertical="center"/>
    </xf>
    <xf numFmtId="0" fontId="41" fillId="0" borderId="0" xfId="0" applyFont="1" applyAlignment="1">
      <alignment wrapText="1"/>
    </xf>
    <xf numFmtId="0" fontId="42" fillId="0" borderId="0" xfId="51"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1" applyNumberFormat="1" applyFont="1" applyFill="1" applyBorder="1" applyAlignment="1" applyProtection="1">
      <alignment horizontal="center" vertical="center"/>
    </xf>
    <xf numFmtId="166" fontId="26" fillId="24" borderId="29" xfId="51" applyNumberFormat="1" applyFont="1" applyFill="1" applyBorder="1" applyAlignment="1" applyProtection="1">
      <alignment horizontal="center" vertical="center"/>
    </xf>
    <xf numFmtId="166" fontId="26" fillId="24" borderId="37" xfId="51"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1"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1" applyNumberFormat="1" applyFont="1" applyFill="1" applyBorder="1" applyAlignment="1" applyProtection="1">
      <alignment horizontal="center" vertical="center"/>
    </xf>
    <xf numFmtId="166" fontId="26" fillId="24" borderId="15" xfId="51" applyNumberFormat="1" applyFont="1" applyFill="1" applyBorder="1" applyAlignment="1" applyProtection="1">
      <alignment horizontal="center" vertical="center"/>
    </xf>
    <xf numFmtId="166" fontId="26" fillId="24" borderId="34" xfId="51"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1" applyNumberFormat="1" applyFont="1" applyFill="1" applyBorder="1" applyProtection="1"/>
    <xf numFmtId="166" fontId="26" fillId="24" borderId="24" xfId="51"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29" xfId="0" applyFont="1" applyFill="1" applyBorder="1" applyAlignment="1">
      <alignment horizontal="left" vertical="center"/>
    </xf>
    <xf numFmtId="0" fontId="26" fillId="24" borderId="40" xfId="0" applyFont="1" applyFill="1" applyBorder="1" applyAlignment="1">
      <alignment vertical="center" wrapText="1"/>
    </xf>
    <xf numFmtId="0" fontId="26" fillId="24" borderId="54" xfId="0" applyFont="1" applyFill="1" applyBorder="1" applyAlignment="1">
      <alignment horizontal="left" vertical="center"/>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1"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1"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0" fontId="26" fillId="24" borderId="63" xfId="0" applyFont="1" applyFill="1" applyBorder="1" applyAlignment="1" applyProtection="1">
      <alignment horizontal="left" vertical="center"/>
      <protection locked="0"/>
    </xf>
    <xf numFmtId="165" fontId="26" fillId="24" borderId="55" xfId="51" applyNumberFormat="1" applyFont="1" applyFill="1" applyBorder="1" applyAlignment="1" applyProtection="1">
      <alignment horizontal="center" vertical="center"/>
      <protection locked="0"/>
    </xf>
    <xf numFmtId="165" fontId="26" fillId="24" borderId="54" xfId="51" applyNumberFormat="1" applyFont="1" applyFill="1" applyBorder="1" applyAlignment="1" applyProtection="1">
      <alignment horizontal="center" vertical="center"/>
      <protection locked="0"/>
    </xf>
    <xf numFmtId="165" fontId="26" fillId="24" borderId="64" xfId="51"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0" fontId="45" fillId="24" borderId="14"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79" fontId="41" fillId="0" borderId="17" xfId="29" applyNumberFormat="1" applyFont="1" applyBorder="1" applyAlignment="1">
      <alignment vertical="center"/>
    </xf>
    <xf numFmtId="179"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1" fillId="0" borderId="0" xfId="41" applyFont="1"/>
    <xf numFmtId="0" fontId="51" fillId="0" borderId="0" xfId="41" applyFont="1" applyAlignment="1">
      <alignment horizontal="center"/>
    </xf>
    <xf numFmtId="2" fontId="51"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0" fontId="52" fillId="0" borderId="0" xfId="41" applyFont="1"/>
    <xf numFmtId="16" fontId="47" fillId="0" borderId="10" xfId="41" applyNumberFormat="1" applyBorder="1"/>
    <xf numFmtId="0" fontId="47" fillId="0" borderId="11" xfId="41" applyBorder="1"/>
    <xf numFmtId="2" fontId="47" fillId="0" borderId="11" xfId="41" applyNumberFormat="1" applyBorder="1" applyAlignment="1">
      <alignment horizontal="center"/>
    </xf>
    <xf numFmtId="165" fontId="47" fillId="11" borderId="11" xfId="28" applyFont="1" applyFill="1" applyBorder="1" applyAlignment="1" applyProtection="1">
      <alignment horizontal="center"/>
    </xf>
    <xf numFmtId="0" fontId="53" fillId="0" borderId="0" xfId="41" applyFont="1"/>
    <xf numFmtId="0" fontId="47" fillId="0" borderId="10" xfId="41" applyBorder="1"/>
    <xf numFmtId="0" fontId="47" fillId="0" borderId="11" xfId="41" applyBorder="1" applyAlignment="1">
      <alignment horizontal="left"/>
    </xf>
    <xf numFmtId="0" fontId="47" fillId="0" borderId="11" xfId="41" applyBorder="1" applyAlignment="1">
      <alignment horizontal="right"/>
    </xf>
    <xf numFmtId="165" fontId="53" fillId="0" borderId="23" xfId="28" applyFont="1" applyBorder="1" applyProtection="1"/>
    <xf numFmtId="0" fontId="47" fillId="0" borderId="0" xfId="42" applyAlignment="1">
      <alignment horizontal="center"/>
    </xf>
    <xf numFmtId="39" fontId="47" fillId="0" borderId="0" xfId="42" quotePrefix="1" applyNumberFormat="1" applyAlignment="1">
      <alignment horizontal="left"/>
    </xf>
    <xf numFmtId="0" fontId="47" fillId="0" borderId="0" xfId="41" quotePrefix="1"/>
    <xf numFmtId="39" fontId="47" fillId="0" borderId="0" xfId="42" applyNumberFormat="1"/>
    <xf numFmtId="39" fontId="47" fillId="0" borderId="0" xfId="42" quotePrefix="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4" fontId="30" fillId="0" borderId="0" xfId="0" applyNumberFormat="1" applyFont="1" applyAlignment="1">
      <alignment horizontal="center" vertical="center" wrapText="1"/>
    </xf>
    <xf numFmtId="4" fontId="30" fillId="0" borderId="0" xfId="0" applyNumberFormat="1" applyFont="1" applyAlignment="1">
      <alignment horizontal="right"/>
    </xf>
    <xf numFmtId="2" fontId="30" fillId="0" borderId="0" xfId="0" applyNumberFormat="1" applyFont="1"/>
    <xf numFmtId="170" fontId="30" fillId="0" borderId="0" xfId="0" applyNumberFormat="1" applyFont="1" applyAlignment="1">
      <alignment horizontal="right"/>
    </xf>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4" fontId="30" fillId="0" borderId="11" xfId="0" applyNumberFormat="1" applyFont="1" applyBorder="1" applyAlignment="1">
      <alignment horizontal="center" vertical="center" wrapText="1"/>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171" fontId="0" fillId="0" borderId="11" xfId="0" applyNumberFormat="1" applyBorder="1" applyAlignment="1">
      <alignment vertical="justify"/>
    </xf>
    <xf numFmtId="168" fontId="0" fillId="0" borderId="11" xfId="0" applyNumberFormat="1" applyBorder="1"/>
    <xf numFmtId="10" fontId="0" fillId="0" borderId="11" xfId="0" applyNumberFormat="1" applyBorder="1" applyAlignment="1">
      <alignment horizontal="center" vertical="center" wrapText="1"/>
    </xf>
    <xf numFmtId="10" fontId="0" fillId="0" borderId="11" xfId="0" applyNumberFormat="1" applyBorder="1" applyAlignment="1">
      <alignment vertical="justify" wrapText="1"/>
    </xf>
    <xf numFmtId="4" fontId="0" fillId="0" borderId="11" xfId="0" applyNumberFormat="1" applyBorder="1" applyAlignment="1">
      <alignment vertical="justify" wrapText="1"/>
    </xf>
    <xf numFmtId="2" fontId="0" fillId="0" borderId="11" xfId="0" applyNumberFormat="1" applyBorder="1" applyAlignment="1">
      <alignment vertical="justify"/>
    </xf>
    <xf numFmtId="168" fontId="0" fillId="0" borderId="11" xfId="0" applyNumberFormat="1" applyBorder="1" applyAlignment="1">
      <alignment vertical="justify" wrapText="1"/>
    </xf>
    <xf numFmtId="2" fontId="0" fillId="0" borderId="11" xfId="0" applyNumberFormat="1" applyBorder="1" applyAlignment="1">
      <alignment vertical="justify" wrapText="1"/>
    </xf>
    <xf numFmtId="0" fontId="0" fillId="0" borderId="62" xfId="0" applyBorder="1" applyAlignment="1">
      <alignment horizontal="center"/>
    </xf>
    <xf numFmtId="4" fontId="0" fillId="0" borderId="62" xfId="0" applyNumberFormat="1" applyBorder="1"/>
    <xf numFmtId="171" fontId="0" fillId="0" borderId="62" xfId="0" applyNumberFormat="1" applyBorder="1" applyAlignment="1">
      <alignment vertical="justify"/>
    </xf>
    <xf numFmtId="171" fontId="0" fillId="0" borderId="62" xfId="0" applyNumberFormat="1" applyBorder="1"/>
    <xf numFmtId="168" fontId="0" fillId="0" borderId="62" xfId="0" applyNumberFormat="1" applyBorder="1"/>
    <xf numFmtId="10" fontId="0" fillId="0" borderId="62" xfId="0" applyNumberFormat="1" applyBorder="1"/>
    <xf numFmtId="10" fontId="0" fillId="0" borderId="62" xfId="0" applyNumberFormat="1" applyBorder="1" applyAlignment="1">
      <alignment horizontal="center" vertical="center" wrapText="1"/>
    </xf>
    <xf numFmtId="10" fontId="0" fillId="0" borderId="62" xfId="0" applyNumberFormat="1" applyBorder="1" applyAlignment="1">
      <alignment vertical="justify" wrapText="1"/>
    </xf>
    <xf numFmtId="4" fontId="0" fillId="0" borderId="62" xfId="0" applyNumberFormat="1" applyBorder="1" applyAlignment="1">
      <alignment vertical="justify" wrapText="1"/>
    </xf>
    <xf numFmtId="2" fontId="0" fillId="0" borderId="62" xfId="0" applyNumberFormat="1" applyBorder="1"/>
    <xf numFmtId="4" fontId="0" fillId="0" borderId="62" xfId="0" applyNumberFormat="1" applyBorder="1" applyAlignment="1">
      <alignment vertical="justify"/>
    </xf>
    <xf numFmtId="2" fontId="0" fillId="0" borderId="62" xfId="0" applyNumberFormat="1" applyBorder="1" applyAlignment="1">
      <alignment vertical="justify"/>
    </xf>
    <xf numFmtId="2" fontId="0" fillId="0" borderId="62" xfId="0" applyNumberFormat="1" applyBorder="1" applyAlignment="1">
      <alignment vertical="justify" wrapText="1"/>
    </xf>
    <xf numFmtId="16" fontId="27" fillId="0" borderId="66" xfId="0" applyNumberFormat="1" applyFont="1" applyBorder="1"/>
    <xf numFmtId="0" fontId="27" fillId="0" borderId="66" xfId="0" applyFont="1" applyBorder="1" applyAlignment="1">
      <alignment horizontal="center"/>
    </xf>
    <xf numFmtId="171" fontId="27" fillId="0" borderId="66" xfId="0" applyNumberFormat="1" applyFont="1" applyBorder="1"/>
    <xf numFmtId="10" fontId="27" fillId="0" borderId="66" xfId="0" applyNumberFormat="1" applyFont="1" applyBorder="1"/>
    <xf numFmtId="168" fontId="27" fillId="0" borderId="66" xfId="0" applyNumberFormat="1" applyFont="1" applyBorder="1"/>
    <xf numFmtId="10" fontId="27" fillId="0" borderId="66" xfId="0" applyNumberFormat="1" applyFont="1" applyBorder="1" applyAlignment="1">
      <alignment horizontal="center" vertical="center" wrapText="1"/>
    </xf>
    <xf numFmtId="10" fontId="27" fillId="0" borderId="66" xfId="0" applyNumberFormat="1" applyFont="1" applyBorder="1" applyAlignment="1">
      <alignment vertical="justify" wrapText="1"/>
    </xf>
    <xf numFmtId="2" fontId="27" fillId="0" borderId="66" xfId="0" applyNumberFormat="1" applyFont="1" applyBorder="1"/>
    <xf numFmtId="4" fontId="27" fillId="0" borderId="66" xfId="0" applyNumberFormat="1" applyFont="1" applyBorder="1"/>
    <xf numFmtId="4" fontId="27" fillId="0" borderId="66" xfId="0" applyNumberFormat="1" applyFont="1" applyBorder="1" applyAlignment="1">
      <alignment vertical="justify"/>
    </xf>
    <xf numFmtId="2" fontId="27" fillId="0" borderId="66" xfId="0" applyNumberFormat="1" applyFont="1" applyBorder="1" applyAlignment="1">
      <alignment vertical="justify"/>
    </xf>
    <xf numFmtId="2" fontId="27" fillId="0" borderId="66" xfId="0" applyNumberFormat="1" applyFont="1" applyBorder="1" applyAlignment="1">
      <alignment vertical="justify" wrapText="1"/>
    </xf>
    <xf numFmtId="4" fontId="27" fillId="0" borderId="66" xfId="0" applyNumberFormat="1" applyFont="1" applyBorder="1" applyAlignment="1">
      <alignment vertical="justify" wrapText="1"/>
    </xf>
    <xf numFmtId="165" fontId="30" fillId="0" borderId="0" xfId="28" applyFont="1" applyBorder="1" applyProtection="1"/>
    <xf numFmtId="171" fontId="32" fillId="0" borderId="0" xfId="0" applyNumberFormat="1" applyFont="1" applyAlignment="1">
      <alignment horizontal="center"/>
    </xf>
    <xf numFmtId="168" fontId="32" fillId="0" borderId="0" xfId="0" applyNumberFormat="1" applyFont="1" applyAlignment="1">
      <alignment horizontal="center"/>
    </xf>
    <xf numFmtId="4" fontId="32" fillId="0" borderId="0" xfId="0" applyNumberFormat="1" applyFont="1" applyAlignment="1">
      <alignment horizontal="center" vertical="center" wrapText="1"/>
    </xf>
    <xf numFmtId="4"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174" fontId="27" fillId="0" borderId="17" xfId="28" applyNumberFormat="1" applyFont="1" applyBorder="1" applyProtection="1"/>
    <xf numFmtId="0" fontId="27" fillId="0" borderId="11" xfId="0" applyFont="1" applyBorder="1"/>
    <xf numFmtId="174" fontId="30" fillId="0" borderId="0" xfId="28" applyNumberFormat="1" applyFont="1" applyBorder="1" applyProtection="1"/>
    <xf numFmtId="174" fontId="0" fillId="0" borderId="0" xfId="0" applyNumberFormat="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80" fontId="0" fillId="0" borderId="0" xfId="0" applyNumberFormat="1" applyAlignment="1">
      <alignment horizontal="right" vertical="center"/>
    </xf>
    <xf numFmtId="165" fontId="45" fillId="24" borderId="10" xfId="0" applyNumberFormat="1" applyFont="1" applyFill="1" applyBorder="1" applyAlignment="1">
      <alignment horizontal="left"/>
    </xf>
    <xf numFmtId="173" fontId="46" fillId="0" borderId="11" xfId="45" applyNumberFormat="1" applyFont="1" applyBorder="1" applyAlignment="1">
      <alignment horizontal="center"/>
    </xf>
    <xf numFmtId="16" fontId="22" fillId="24" borderId="0" xfId="28" applyNumberFormat="1" applyFont="1" applyFill="1" applyBorder="1" applyProtection="1">
      <protection locked="0"/>
    </xf>
    <xf numFmtId="173" fontId="47" fillId="0" borderId="67" xfId="0" applyNumberFormat="1" applyFont="1" applyBorder="1"/>
    <xf numFmtId="0" fontId="0" fillId="0" borderId="45" xfId="0" applyBorder="1"/>
    <xf numFmtId="0" fontId="47" fillId="0" borderId="45" xfId="0" applyFont="1" applyBorder="1"/>
    <xf numFmtId="164" fontId="41" fillId="0" borderId="11" xfId="29" applyFont="1" applyFill="1" applyBorder="1"/>
    <xf numFmtId="164" fontId="41" fillId="0" borderId="0" xfId="29" applyFont="1" applyFill="1"/>
    <xf numFmtId="164" fontId="42" fillId="25" borderId="11" xfId="29" applyFont="1" applyFill="1" applyBorder="1" applyAlignment="1">
      <alignment vertical="center"/>
    </xf>
    <xf numFmtId="179" fontId="42" fillId="0" borderId="0" xfId="29" applyNumberFormat="1" applyFont="1" applyFill="1" applyBorder="1" applyAlignment="1">
      <alignment vertical="center"/>
    </xf>
    <xf numFmtId="179" fontId="26" fillId="24" borderId="21" xfId="29" applyNumberFormat="1" applyFont="1" applyFill="1" applyBorder="1" applyAlignment="1" applyProtection="1">
      <alignment horizontal="right" vertical="center"/>
    </xf>
    <xf numFmtId="179" fontId="26" fillId="24" borderId="17" xfId="29" applyNumberFormat="1" applyFont="1" applyFill="1" applyBorder="1" applyAlignment="1" applyProtection="1">
      <alignment horizontal="right" vertical="center"/>
    </xf>
    <xf numFmtId="179" fontId="26" fillId="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vertical="center"/>
    </xf>
    <xf numFmtId="179" fontId="22" fillId="2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xf>
    <xf numFmtId="179" fontId="26" fillId="24" borderId="14" xfId="29" applyNumberFormat="1" applyFont="1" applyFill="1" applyBorder="1" applyAlignment="1" applyProtection="1">
      <alignment horizontal="right"/>
    </xf>
    <xf numFmtId="179" fontId="26" fillId="24" borderId="23" xfId="29" applyNumberFormat="1" applyFont="1" applyFill="1" applyBorder="1" applyAlignment="1" applyProtection="1">
      <alignment horizontal="right"/>
    </xf>
    <xf numFmtId="10" fontId="41" fillId="0" borderId="0" xfId="51" applyNumberFormat="1" applyFont="1" applyFill="1" applyBorder="1"/>
    <xf numFmtId="10" fontId="42" fillId="0" borderId="11" xfId="51" applyNumberFormat="1" applyFont="1" applyFill="1" applyBorder="1"/>
    <xf numFmtId="10" fontId="41" fillId="0" borderId="0" xfId="51" applyNumberFormat="1" applyFont="1" applyFill="1" applyBorder="1" applyAlignment="1">
      <alignment vertical="center"/>
    </xf>
    <xf numFmtId="10" fontId="42" fillId="27" borderId="0" xfId="51" applyNumberFormat="1" applyFont="1" applyFill="1" applyBorder="1"/>
    <xf numFmtId="10" fontId="42" fillId="0" borderId="11" xfId="51" applyNumberFormat="1" applyFont="1" applyFill="1" applyBorder="1" applyAlignment="1">
      <alignment vertical="center"/>
    </xf>
    <xf numFmtId="0" fontId="41" fillId="28" borderId="0" xfId="0" applyFont="1" applyFill="1"/>
    <xf numFmtId="0" fontId="49" fillId="28" borderId="0" xfId="0" applyFont="1" applyFill="1"/>
    <xf numFmtId="179"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65" fontId="42" fillId="28" borderId="0" xfId="0" applyNumberFormat="1" applyFont="1" applyFill="1" applyAlignment="1">
      <alignment horizontal="right"/>
    </xf>
    <xf numFmtId="166" fontId="42" fillId="28" borderId="0" xfId="51" applyNumberFormat="1" applyFont="1" applyFill="1" applyBorder="1" applyAlignment="1">
      <alignment vertical="center"/>
    </xf>
    <xf numFmtId="179" fontId="42" fillId="25" borderId="13" xfId="29" applyNumberFormat="1" applyFont="1" applyFill="1" applyBorder="1" applyAlignment="1">
      <alignment vertical="center"/>
    </xf>
    <xf numFmtId="179" fontId="42" fillId="25" borderId="19" xfId="29" applyNumberFormat="1" applyFont="1" applyFill="1" applyBorder="1" applyAlignment="1">
      <alignment vertical="center"/>
    </xf>
    <xf numFmtId="166" fontId="42" fillId="25" borderId="19" xfId="51"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9" fontId="42" fillId="4" borderId="11" xfId="29" applyNumberFormat="1" applyFont="1" applyFill="1" applyBorder="1" applyAlignment="1">
      <alignment horizontal="center"/>
    </xf>
    <xf numFmtId="0" fontId="44" fillId="0" borderId="0" xfId="0" applyFont="1"/>
    <xf numFmtId="0" fontId="44" fillId="0" borderId="45" xfId="0" applyFont="1" applyBorder="1"/>
    <xf numFmtId="0" fontId="0" fillId="0" borderId="55" xfId="0" applyBorder="1" applyAlignment="1">
      <alignment horizontal="center" vertical="center"/>
    </xf>
    <xf numFmtId="167" fontId="0" fillId="0" borderId="55" xfId="28" applyNumberFormat="1" applyFont="1" applyBorder="1" applyAlignment="1">
      <alignment horizontal="center" vertical="center" wrapText="1"/>
    </xf>
    <xf numFmtId="0" fontId="0" fillId="0" borderId="68" xfId="0" applyBorder="1"/>
    <xf numFmtId="0" fontId="47" fillId="0" borderId="36" xfId="0" applyFont="1"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8" fontId="36" fillId="31" borderId="13" xfId="0" applyNumberFormat="1" applyFont="1" applyFill="1" applyBorder="1" applyAlignment="1">
      <alignment horizontal="center" vertical="center" wrapText="1"/>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179" fontId="54" fillId="0" borderId="0" xfId="29" applyNumberFormat="1" applyFont="1" applyProtection="1"/>
    <xf numFmtId="0" fontId="26" fillId="24" borderId="56" xfId="0" applyFont="1" applyFill="1" applyBorder="1"/>
    <xf numFmtId="0" fontId="26" fillId="24" borderId="47" xfId="0" applyFont="1" applyFill="1" applyBorder="1"/>
    <xf numFmtId="0" fontId="26" fillId="24" borderId="10" xfId="0" applyFont="1" applyFill="1" applyBorder="1"/>
    <xf numFmtId="0" fontId="26" fillId="24" borderId="49" xfId="0" applyFont="1" applyFill="1" applyBorder="1"/>
    <xf numFmtId="4" fontId="26" fillId="24" borderId="10" xfId="0" applyNumberFormat="1" applyFont="1" applyFill="1" applyBorder="1"/>
    <xf numFmtId="4" fontId="26" fillId="24" borderId="49" xfId="0" applyNumberFormat="1" applyFont="1" applyFill="1" applyBorder="1"/>
    <xf numFmtId="165" fontId="26" fillId="24" borderId="10" xfId="0" applyNumberFormat="1" applyFont="1" applyFill="1" applyBorder="1"/>
    <xf numFmtId="165" fontId="26" fillId="24" borderId="49" xfId="0" applyNumberFormat="1" applyFont="1" applyFill="1" applyBorder="1"/>
    <xf numFmtId="39" fontId="26" fillId="24" borderId="49" xfId="0" applyNumberFormat="1" applyFont="1" applyFill="1" applyBorder="1"/>
    <xf numFmtId="0" fontId="22" fillId="24" borderId="57" xfId="0" applyFont="1" applyFill="1" applyBorder="1"/>
    <xf numFmtId="0" fontId="22" fillId="24" borderId="24" xfId="0" applyFont="1" applyFill="1" applyBorder="1"/>
    <xf numFmtId="0" fontId="44" fillId="0" borderId="11" xfId="0" applyFont="1" applyBorder="1" applyAlignment="1" applyProtection="1">
      <alignment horizontal="center"/>
      <protection locked="0"/>
    </xf>
    <xf numFmtId="0" fontId="44" fillId="0" borderId="11" xfId="0" quotePrefix="1" applyFont="1" applyBorder="1" applyAlignment="1" applyProtection="1">
      <alignment horizontal="center"/>
      <protection locked="0"/>
    </xf>
    <xf numFmtId="0" fontId="44" fillId="0" borderId="55" xfId="0" applyFont="1" applyBorder="1"/>
    <xf numFmtId="2" fontId="0" fillId="0" borderId="40" xfId="0" applyNumberFormat="1" applyBorder="1" applyAlignment="1">
      <alignment vertical="center"/>
    </xf>
    <xf numFmtId="165" fontId="0" fillId="0" borderId="70" xfId="0" applyNumberFormat="1" applyBorder="1" applyAlignment="1">
      <alignment vertical="center"/>
    </xf>
    <xf numFmtId="167" fontId="44" fillId="0" borderId="11" xfId="0" quotePrefix="1" applyNumberFormat="1" applyFont="1" applyBorder="1" applyAlignment="1" applyProtection="1">
      <alignment horizontal="center"/>
      <protection locked="0"/>
    </xf>
    <xf numFmtId="167" fontId="0" fillId="0" borderId="62" xfId="0" applyNumberFormat="1" applyBorder="1" applyAlignment="1">
      <alignment horizontal="center"/>
    </xf>
    <xf numFmtId="167" fontId="27" fillId="0" borderId="66" xfId="0" applyNumberFormat="1" applyFont="1" applyBorder="1" applyAlignment="1">
      <alignment horizontal="center"/>
    </xf>
    <xf numFmtId="9" fontId="0" fillId="0" borderId="11" xfId="51" applyFont="1" applyBorder="1" applyAlignment="1" applyProtection="1">
      <alignment horizontal="center" vertical="center"/>
      <protection locked="0"/>
    </xf>
    <xf numFmtId="0" fontId="0" fillId="0" borderId="11" xfId="0" quotePrefix="1" applyBorder="1" applyAlignment="1" applyProtection="1">
      <alignment horizontal="center"/>
      <protection locked="0"/>
    </xf>
    <xf numFmtId="10" fontId="44" fillId="0" borderId="11" xfId="51" applyNumberFormat="1" applyFont="1" applyFill="1" applyBorder="1" applyAlignment="1" applyProtection="1">
      <alignment horizontal="center" vertical="center"/>
      <protection locked="0"/>
    </xf>
    <xf numFmtId="2" fontId="38" fillId="0" borderId="11" xfId="45" applyNumberFormat="1" applyFont="1" applyBorder="1" applyAlignment="1">
      <alignment horizontal="center"/>
    </xf>
    <xf numFmtId="10" fontId="55" fillId="27" borderId="11" xfId="51" applyNumberFormat="1" applyFont="1" applyFill="1" applyBorder="1" applyAlignment="1" applyProtection="1">
      <alignment horizontal="center" vertical="center"/>
      <protection locked="0"/>
    </xf>
    <xf numFmtId="165" fontId="42" fillId="32" borderId="11" xfId="29" applyNumberFormat="1" applyFont="1" applyFill="1" applyBorder="1" applyAlignment="1">
      <alignment vertical="center"/>
    </xf>
    <xf numFmtId="169" fontId="34" fillId="0" borderId="0" xfId="0" applyNumberFormat="1" applyFont="1" applyAlignment="1">
      <alignment vertical="center"/>
    </xf>
    <xf numFmtId="165" fontId="26" fillId="24" borderId="45" xfId="0" applyNumberFormat="1" applyFont="1" applyFill="1" applyBorder="1" applyAlignment="1">
      <alignment horizontal="left"/>
    </xf>
    <xf numFmtId="181" fontId="42" fillId="25" borderId="11" xfId="29" applyNumberFormat="1" applyFont="1" applyFill="1" applyBorder="1" applyAlignment="1">
      <alignment vertical="center"/>
    </xf>
    <xf numFmtId="1" fontId="47" fillId="0" borderId="39" xfId="0" applyNumberFormat="1" applyFont="1" applyBorder="1" applyAlignment="1">
      <alignment horizontal="center" vertical="center"/>
    </xf>
    <xf numFmtId="0" fontId="37" fillId="27" borderId="11" xfId="0" applyFont="1" applyFill="1" applyBorder="1" applyAlignment="1">
      <alignment horizontal="center" vertical="center" wrapText="1"/>
    </xf>
    <xf numFmtId="10" fontId="55" fillId="27" borderId="62" xfId="51"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179" fontId="42" fillId="0" borderId="17" xfId="29" applyNumberFormat="1" applyFont="1" applyFill="1" applyBorder="1" applyAlignment="1">
      <alignment vertical="center" wrapText="1"/>
    </xf>
    <xf numFmtId="0" fontId="38" fillId="0" borderId="11" xfId="56" applyFont="1" applyBorder="1" applyAlignment="1">
      <alignment horizontal="left"/>
    </xf>
    <xf numFmtId="0" fontId="44" fillId="0" borderId="11" xfId="0" applyFont="1" applyBorder="1"/>
    <xf numFmtId="0" fontId="30" fillId="0" borderId="11" xfId="56" applyFont="1" applyBorder="1" applyAlignment="1">
      <alignment horizontal="left"/>
    </xf>
    <xf numFmtId="0" fontId="56" fillId="0" borderId="0" xfId="0" applyFont="1"/>
    <xf numFmtId="3" fontId="0" fillId="34" borderId="65" xfId="0" applyNumberFormat="1" applyFill="1" applyBorder="1"/>
    <xf numFmtId="0" fontId="0" fillId="0" borderId="0" xfId="0" applyAlignment="1">
      <alignment horizontal="right"/>
    </xf>
    <xf numFmtId="2" fontId="56" fillId="27" borderId="11" xfId="0" applyNumberFormat="1" applyFont="1" applyFill="1" applyBorder="1" applyAlignment="1">
      <alignment horizontal="center" vertical="center" wrapText="1"/>
    </xf>
    <xf numFmtId="0" fontId="56" fillId="27" borderId="11" xfId="0" applyFont="1" applyFill="1" applyBorder="1" applyAlignment="1">
      <alignment horizontal="center" vertical="center" wrapText="1"/>
    </xf>
    <xf numFmtId="9" fontId="56" fillId="27" borderId="11" xfId="51" applyFont="1" applyFill="1" applyBorder="1" applyAlignment="1">
      <alignment horizontal="center" vertical="center" wrapText="1"/>
    </xf>
    <xf numFmtId="2" fontId="56" fillId="33" borderId="11" xfId="0" applyNumberFormat="1" applyFont="1" applyFill="1" applyBorder="1" applyAlignment="1">
      <alignment horizontal="center"/>
    </xf>
    <xf numFmtId="10" fontId="0" fillId="0" borderId="11" xfId="51" applyNumberFormat="1" applyFont="1" applyBorder="1"/>
    <xf numFmtId="10" fontId="56" fillId="33" borderId="11" xfId="51" applyNumberFormat="1" applyFont="1" applyFill="1" applyBorder="1" applyAlignment="1">
      <alignment horizontal="center"/>
    </xf>
    <xf numFmtId="10" fontId="27" fillId="0" borderId="11" xfId="0" applyNumberFormat="1" applyFont="1" applyBorder="1"/>
    <xf numFmtId="0" fontId="56" fillId="27" borderId="11" xfId="0" applyFont="1" applyFill="1" applyBorder="1" applyAlignment="1">
      <alignment horizontal="center" vertical="center"/>
    </xf>
    <xf numFmtId="14" fontId="56" fillId="0" borderId="0" xfId="0" applyNumberFormat="1" applyFont="1" applyAlignment="1">
      <alignment horizontal="center" vertical="center"/>
    </xf>
    <xf numFmtId="2" fontId="56" fillId="0" borderId="0" xfId="0" applyNumberFormat="1" applyFont="1" applyAlignment="1">
      <alignment horizontal="center" vertical="center" wrapText="1"/>
    </xf>
    <xf numFmtId="0" fontId="56" fillId="0" borderId="0" xfId="0" applyFont="1" applyAlignment="1">
      <alignment horizontal="center" vertical="center"/>
    </xf>
    <xf numFmtId="10" fontId="0" fillId="0" borderId="11" xfId="51" applyNumberFormat="1" applyFont="1" applyBorder="1" applyAlignment="1">
      <alignment horizontal="center"/>
    </xf>
    <xf numFmtId="0" fontId="0" fillId="27" borderId="11" xfId="0" applyFill="1" applyBorder="1"/>
    <xf numFmtId="10" fontId="0" fillId="0" borderId="11" xfId="0" applyNumberFormat="1" applyBorder="1" applyAlignment="1">
      <alignment horizontal="right"/>
    </xf>
    <xf numFmtId="10" fontId="0" fillId="0" borderId="11" xfId="0" applyNumberFormat="1" applyBorder="1" applyAlignment="1">
      <alignment horizontal="center"/>
    </xf>
    <xf numFmtId="0" fontId="27" fillId="33" borderId="11" xfId="0" applyFont="1" applyFill="1" applyBorder="1"/>
    <xf numFmtId="0" fontId="38" fillId="35" borderId="11" xfId="56" applyFont="1" applyFill="1" applyBorder="1" applyAlignment="1">
      <alignment horizontal="left"/>
    </xf>
    <xf numFmtId="0" fontId="0" fillId="36" borderId="11" xfId="0" applyFill="1" applyBorder="1"/>
    <xf numFmtId="0" fontId="44" fillId="36" borderId="11" xfId="0" applyFont="1" applyFill="1" applyBorder="1"/>
    <xf numFmtId="10" fontId="0" fillId="35" borderId="17" xfId="51" applyNumberFormat="1" applyFont="1" applyFill="1" applyBorder="1"/>
    <xf numFmtId="10" fontId="0" fillId="0" borderId="17" xfId="51" applyNumberFormat="1" applyFont="1" applyBorder="1"/>
    <xf numFmtId="0" fontId="38" fillId="0" borderId="19" xfId="56" applyFont="1" applyBorder="1" applyAlignment="1">
      <alignment horizontal="left"/>
    </xf>
    <xf numFmtId="0" fontId="60" fillId="0" borderId="11" xfId="56" applyFont="1" applyBorder="1" applyAlignment="1">
      <alignment horizontal="left"/>
    </xf>
    <xf numFmtId="10" fontId="59" fillId="27" borderId="11" xfId="51" applyNumberFormat="1" applyFont="1" applyFill="1" applyBorder="1"/>
    <xf numFmtId="0" fontId="0" fillId="0" borderId="0" xfId="0" quotePrefix="1"/>
    <xf numFmtId="0" fontId="27" fillId="0" borderId="17" xfId="0" applyFont="1" applyBorder="1" applyAlignment="1">
      <alignment horizontal="center" vertical="center" wrapText="1"/>
    </xf>
    <xf numFmtId="0" fontId="27" fillId="0" borderId="19" xfId="0" applyFont="1" applyBorder="1" applyAlignment="1">
      <alignment horizontal="center" vertical="center" wrapText="1"/>
    </xf>
    <xf numFmtId="0" fontId="63" fillId="34" borderId="0" xfId="0" applyFont="1" applyFill="1"/>
    <xf numFmtId="0" fontId="0" fillId="0" borderId="11" xfId="0" applyBorder="1" applyAlignment="1">
      <alignment horizontal="center" vertical="center" wrapText="1"/>
    </xf>
    <xf numFmtId="43" fontId="0" fillId="0" borderId="11" xfId="0" applyNumberFormat="1" applyBorder="1"/>
    <xf numFmtId="9" fontId="0" fillId="0" borderId="11" xfId="0" applyNumberFormat="1" applyBorder="1"/>
    <xf numFmtId="165" fontId="44" fillId="0" borderId="11" xfId="28" applyFont="1" applyBorder="1" applyProtection="1">
      <protection locked="0"/>
    </xf>
    <xf numFmtId="165" fontId="44" fillId="0" borderId="11" xfId="28" applyFont="1" applyBorder="1" applyAlignment="1" applyProtection="1">
      <alignment wrapText="1"/>
      <protection locked="0"/>
    </xf>
    <xf numFmtId="49" fontId="0" fillId="0" borderId="0" xfId="0" applyNumberFormat="1" applyAlignment="1">
      <alignment horizontal="left" vertical="center"/>
    </xf>
    <xf numFmtId="166" fontId="0" fillId="0" borderId="0" xfId="0" applyNumberFormat="1"/>
    <xf numFmtId="0" fontId="21" fillId="0" borderId="0" xfId="4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8" fontId="41" fillId="0" borderId="11" xfId="0" applyNumberFormat="1" applyFont="1" applyBorder="1" applyAlignment="1">
      <alignment horizontal="center" vertical="center" wrapText="1"/>
    </xf>
    <xf numFmtId="2" fontId="38" fillId="0" borderId="11" xfId="46" applyNumberFormat="1" applyFont="1" applyBorder="1" applyAlignment="1">
      <alignment horizontal="center"/>
    </xf>
    <xf numFmtId="10" fontId="41" fillId="0" borderId="11" xfId="51" applyNumberFormat="1" applyFont="1" applyFill="1" applyBorder="1" applyAlignment="1">
      <alignment vertical="center"/>
    </xf>
    <xf numFmtId="179" fontId="41" fillId="0" borderId="19" xfId="29" applyNumberFormat="1" applyFont="1" applyFill="1" applyBorder="1" applyAlignment="1">
      <alignment vertical="center"/>
    </xf>
    <xf numFmtId="2" fontId="35" fillId="0" borderId="11" xfId="47" applyNumberFormat="1" applyFont="1" applyBorder="1"/>
    <xf numFmtId="2" fontId="41" fillId="0" borderId="0" xfId="0" applyNumberFormat="1" applyFont="1"/>
    <xf numFmtId="10" fontId="42" fillId="29" borderId="11" xfId="51" applyNumberFormat="1" applyFont="1" applyFill="1" applyBorder="1" applyAlignment="1">
      <alignment vertical="center"/>
    </xf>
    <xf numFmtId="10" fontId="42" fillId="4" borderId="11" xfId="51" applyNumberFormat="1" applyFont="1" applyFill="1" applyBorder="1" applyAlignment="1">
      <alignment vertical="center"/>
    </xf>
    <xf numFmtId="10" fontId="42" fillId="25" borderId="11" xfId="51" applyNumberFormat="1" applyFont="1" applyFill="1" applyBorder="1"/>
    <xf numFmtId="182" fontId="42" fillId="0" borderId="11" xfId="29" applyNumberFormat="1" applyFont="1" applyFill="1" applyBorder="1" applyAlignment="1">
      <alignment vertical="center"/>
    </xf>
    <xf numFmtId="166" fontId="42" fillId="0" borderId="0" xfId="52" applyNumberFormat="1" applyFont="1" applyFill="1" applyBorder="1" applyAlignment="1">
      <alignment vertical="center"/>
    </xf>
    <xf numFmtId="10" fontId="41" fillId="28" borderId="0" xfId="0" applyNumberFormat="1" applyFont="1" applyFill="1" applyAlignment="1">
      <alignment horizontal="right"/>
    </xf>
    <xf numFmtId="10" fontId="0" fillId="0" borderId="0" xfId="0" applyNumberFormat="1"/>
    <xf numFmtId="179" fontId="42" fillId="37" borderId="11" xfId="57" applyNumberFormat="1" applyFont="1" applyFill="1" applyBorder="1" applyAlignment="1">
      <alignment horizontal="center" vertical="center" wrapText="1"/>
    </xf>
    <xf numFmtId="179" fontId="42" fillId="26" borderId="14" xfId="57" applyNumberFormat="1" applyFont="1" applyFill="1" applyBorder="1" applyAlignment="1">
      <alignment horizontal="center" vertical="center" wrapText="1"/>
    </xf>
    <xf numFmtId="179" fontId="42" fillId="26" borderId="11" xfId="57" applyNumberFormat="1" applyFont="1" applyFill="1" applyBorder="1" applyAlignment="1">
      <alignment horizontal="center" vertical="center" wrapText="1"/>
    </xf>
    <xf numFmtId="179" fontId="42" fillId="37" borderId="14" xfId="57"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5" xfId="28" applyNumberFormat="1" applyFont="1" applyBorder="1" applyAlignment="1"/>
    <xf numFmtId="2" fontId="0" fillId="0" borderId="85" xfId="28" applyNumberFormat="1" applyFont="1" applyBorder="1" applyAlignment="1" applyProtection="1">
      <alignment horizontal="center" vertical="center"/>
      <protection hidden="1"/>
    </xf>
    <xf numFmtId="0" fontId="27" fillId="0" borderId="0" xfId="41" applyFont="1"/>
    <xf numFmtId="0" fontId="42" fillId="0" borderId="14" xfId="0" applyFont="1" applyBorder="1" applyAlignment="1">
      <alignment horizontal="center" vertical="center" wrapText="1"/>
    </xf>
    <xf numFmtId="179" fontId="42" fillId="0" borderId="17" xfId="29" applyNumberFormat="1" applyFont="1" applyFill="1" applyBorder="1" applyAlignment="1">
      <alignment horizontal="center" vertical="center" wrapText="1"/>
    </xf>
    <xf numFmtId="164" fontId="42" fillId="0" borderId="14" xfId="29"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0" fontId="56" fillId="27" borderId="11" xfId="0" applyFont="1" applyFill="1" applyBorder="1" applyAlignment="1">
      <alignment horizontal="center" vertical="center"/>
    </xf>
    <xf numFmtId="0" fontId="44" fillId="0" borderId="11" xfId="0" applyFont="1" applyBorder="1" applyAlignment="1">
      <alignment wrapText="1"/>
    </xf>
    <xf numFmtId="4" fontId="0" fillId="0" borderId="11" xfId="0" applyNumberFormat="1" applyBorder="1" applyAlignment="1">
      <alignment vertical="center" wrapText="1"/>
    </xf>
    <xf numFmtId="4" fontId="0" fillId="0" borderId="11" xfId="0" applyNumberFormat="1" applyBorder="1" applyAlignment="1">
      <alignment vertical="center"/>
    </xf>
    <xf numFmtId="10" fontId="44" fillId="27" borderId="11" xfId="51" applyNumberFormat="1" applyFont="1" applyFill="1" applyBorder="1" applyAlignment="1" applyProtection="1">
      <alignment horizontal="center" vertical="center"/>
      <protection locked="0"/>
    </xf>
    <xf numFmtId="4" fontId="0" fillId="0" borderId="62" xfId="0" applyNumberFormat="1" applyBorder="1" applyAlignment="1">
      <alignment vertical="center" wrapText="1"/>
    </xf>
    <xf numFmtId="4" fontId="0" fillId="0" borderId="62" xfId="0" applyNumberFormat="1" applyBorder="1" applyAlignment="1">
      <alignment vertical="center"/>
    </xf>
    <xf numFmtId="10" fontId="44" fillId="27" borderId="62" xfId="51" applyNumberFormat="1" applyFont="1" applyFill="1" applyBorder="1" applyAlignment="1" applyProtection="1">
      <alignment horizontal="center" vertical="center"/>
      <protection locked="0"/>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74" fontId="26" fillId="24" borderId="11" xfId="28" applyNumberFormat="1" applyFont="1" applyFill="1" applyBorder="1" applyAlignment="1" applyProtection="1">
      <alignment horizontal="center"/>
      <protection locked="0"/>
    </xf>
    <xf numFmtId="174" fontId="22" fillId="24" borderId="0" xfId="0" applyNumberFormat="1" applyFont="1" applyFill="1"/>
    <xf numFmtId="171" fontId="0" fillId="0" borderId="11" xfId="0" applyNumberFormat="1" applyBorder="1" applyAlignment="1" applyProtection="1">
      <alignment vertical="justify" wrapText="1"/>
      <protection locked="0"/>
    </xf>
    <xf numFmtId="0" fontId="27" fillId="0" borderId="17" xfId="0" applyFont="1" applyBorder="1" applyAlignment="1">
      <alignment horizontal="center" vertical="center" wrapText="1"/>
    </xf>
    <xf numFmtId="165" fontId="27" fillId="0" borderId="11" xfId="28" applyFont="1" applyBorder="1"/>
    <xf numFmtId="1" fontId="42" fillId="0" borderId="0" xfId="51" applyNumberFormat="1" applyFont="1" applyFill="1" applyBorder="1" applyAlignment="1">
      <alignment vertical="center"/>
    </xf>
    <xf numFmtId="177" fontId="22" fillId="24" borderId="0" xfId="0" applyNumberFormat="1" applyFont="1" applyFill="1"/>
    <xf numFmtId="0" fontId="0" fillId="0" borderId="11" xfId="0" applyBorder="1" applyAlignment="1">
      <alignment horizontal="center"/>
    </xf>
    <xf numFmtId="0" fontId="0" fillId="0" borderId="11" xfId="0" applyBorder="1" applyAlignment="1">
      <alignment horizontal="center"/>
    </xf>
    <xf numFmtId="0" fontId="27" fillId="0" borderId="17" xfId="0" applyFont="1" applyBorder="1" applyAlignment="1">
      <alignment horizontal="center" vertical="center" wrapText="1"/>
    </xf>
    <xf numFmtId="0" fontId="0" fillId="0" borderId="11" xfId="0" applyBorder="1" applyAlignment="1">
      <alignment horizontal="center"/>
    </xf>
    <xf numFmtId="181" fontId="41" fillId="0" borderId="0" xfId="29" applyNumberFormat="1" applyFont="1" applyFill="1" applyBorder="1" applyAlignment="1">
      <alignment vertical="center"/>
    </xf>
    <xf numFmtId="167" fontId="32" fillId="32" borderId="13" xfId="28" applyNumberFormat="1" applyFont="1" applyFill="1" applyBorder="1" applyAlignment="1" applyProtection="1">
      <alignment horizontal="center"/>
    </xf>
    <xf numFmtId="167" fontId="32" fillId="30" borderId="13"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9" fontId="34" fillId="0" borderId="11" xfId="0" applyNumberFormat="1" applyFont="1" applyBorder="1" applyAlignment="1">
      <alignment vertical="justify" wrapText="1"/>
    </xf>
    <xf numFmtId="0" fontId="57" fillId="0" borderId="11" xfId="0" applyFont="1" applyBorder="1" applyAlignment="1">
      <alignment horizontal="center" vertical="center" wrapText="1"/>
    </xf>
    <xf numFmtId="172" fontId="30" fillId="0" borderId="11" xfId="28" applyNumberFormat="1" applyFont="1" applyFill="1" applyBorder="1" applyProtection="1"/>
    <xf numFmtId="167" fontId="44" fillId="0" borderId="11" xfId="28" applyNumberFormat="1" applyFont="1" applyFill="1" applyBorder="1" applyProtection="1"/>
    <xf numFmtId="0" fontId="27" fillId="35" borderId="11" xfId="0" applyFont="1" applyFill="1" applyBorder="1"/>
    <xf numFmtId="0" fontId="27" fillId="0" borderId="11" xfId="28" applyNumberFormat="1" applyFont="1" applyBorder="1" applyProtection="1"/>
    <xf numFmtId="0" fontId="56" fillId="27" borderId="11" xfId="0" applyFont="1" applyFill="1" applyBorder="1" applyAlignment="1">
      <alignment horizontal="center" vertical="center" wrapText="1"/>
    </xf>
    <xf numFmtId="10" fontId="0" fillId="0" borderId="11" xfId="0" applyNumberFormat="1" applyBorder="1" applyAlignment="1">
      <alignment horizontal="center" vertical="center"/>
    </xf>
    <xf numFmtId="0" fontId="56" fillId="0" borderId="11" xfId="0" applyFont="1" applyBorder="1" applyAlignment="1">
      <alignment horizontal="left" vertical="center"/>
    </xf>
    <xf numFmtId="0" fontId="0" fillId="0" borderId="0" xfId="0" applyAlignment="1">
      <alignment vertical="top" wrapText="1"/>
    </xf>
    <xf numFmtId="0" fontId="0" fillId="0" borderId="11" xfId="0" applyBorder="1" applyAlignment="1">
      <alignment vertical="top" wrapText="1"/>
    </xf>
    <xf numFmtId="10" fontId="1" fillId="0" borderId="11" xfId="51" applyNumberFormat="1" applyFont="1" applyFill="1" applyBorder="1" applyAlignment="1">
      <alignment horizontal="center" vertical="center"/>
    </xf>
    <xf numFmtId="10" fontId="0" fillId="0" borderId="11" xfId="51" applyNumberFormat="1" applyFont="1" applyFill="1" applyBorder="1" applyAlignment="1">
      <alignment horizontal="center" vertical="center"/>
    </xf>
    <xf numFmtId="0" fontId="44" fillId="0" borderId="11" xfId="0" applyFont="1" applyBorder="1" applyAlignment="1">
      <alignment vertical="top" wrapText="1"/>
    </xf>
    <xf numFmtId="0" fontId="56" fillId="0" borderId="60" xfId="0" applyFont="1" applyBorder="1" applyAlignment="1">
      <alignment vertical="center"/>
    </xf>
    <xf numFmtId="10" fontId="56" fillId="0" borderId="11" xfId="51" applyNumberFormat="1" applyFont="1" applyBorder="1" applyAlignment="1">
      <alignment horizontal="center"/>
    </xf>
    <xf numFmtId="0" fontId="26" fillId="24" borderId="86" xfId="0" applyFont="1" applyFill="1" applyBorder="1" applyAlignment="1" applyProtection="1">
      <alignment horizontal="center"/>
      <protection locked="0"/>
    </xf>
    <xf numFmtId="174" fontId="0" fillId="0" borderId="65" xfId="0" applyNumberFormat="1" applyBorder="1"/>
    <xf numFmtId="1" fontId="44" fillId="27" borderId="39" xfId="0" applyNumberFormat="1" applyFont="1" applyFill="1" applyBorder="1" applyAlignment="1">
      <alignment horizontal="center" vertical="center"/>
    </xf>
    <xf numFmtId="2" fontId="0" fillId="0" borderId="70" xfId="0" applyNumberFormat="1" applyBorder="1" applyAlignment="1">
      <alignment vertical="center"/>
    </xf>
    <xf numFmtId="169" fontId="34" fillId="0" borderId="0" xfId="0" applyNumberFormat="1" applyFont="1" applyAlignment="1">
      <alignment horizontal="center" vertical="center"/>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168" fontId="0" fillId="0" borderId="11"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173" fontId="47" fillId="0" borderId="90" xfId="0" applyNumberFormat="1" applyFont="1" applyBorder="1"/>
    <xf numFmtId="0" fontId="44" fillId="0" borderId="69" xfId="0" applyFont="1" applyBorder="1"/>
    <xf numFmtId="0" fontId="0" fillId="0" borderId="0" xfId="0" applyBorder="1"/>
    <xf numFmtId="0" fontId="44" fillId="0" borderId="0" xfId="0" applyFont="1" applyBorder="1"/>
    <xf numFmtId="0" fontId="47" fillId="0" borderId="0" xfId="0" applyFont="1" applyBorder="1"/>
    <xf numFmtId="0" fontId="0" fillId="0" borderId="0" xfId="0" applyFill="1" applyBorder="1"/>
    <xf numFmtId="0" fontId="44" fillId="0" borderId="0" xfId="0" applyFont="1" applyFill="1" applyBorder="1"/>
    <xf numFmtId="0" fontId="22" fillId="24" borderId="15" xfId="0" applyFont="1" applyFill="1" applyBorder="1"/>
    <xf numFmtId="0" fontId="59" fillId="24" borderId="15" xfId="0" applyFont="1" applyFill="1" applyBorder="1"/>
    <xf numFmtId="0" fontId="22" fillId="24" borderId="15" xfId="0" applyFont="1" applyFill="1" applyBorder="1" applyAlignment="1">
      <alignment horizontal="center" wrapText="1"/>
    </xf>
    <xf numFmtId="0" fontId="22" fillId="24" borderId="56" xfId="0" applyFont="1" applyFill="1" applyBorder="1"/>
    <xf numFmtId="9" fontId="22" fillId="0" borderId="21" xfId="51" applyFont="1" applyFill="1" applyBorder="1" applyAlignment="1">
      <alignment vertical="center"/>
    </xf>
    <xf numFmtId="0" fontId="59" fillId="24" borderId="21" xfId="0" applyFont="1" applyFill="1" applyBorder="1"/>
    <xf numFmtId="2" fontId="22" fillId="24" borderId="21" xfId="0" applyNumberFormat="1" applyFont="1" applyFill="1" applyBorder="1"/>
    <xf numFmtId="165" fontId="22" fillId="0" borderId="11" xfId="29" applyNumberFormat="1" applyFont="1" applyFill="1" applyBorder="1" applyAlignment="1">
      <alignment vertical="center"/>
    </xf>
    <xf numFmtId="165" fontId="22" fillId="24" borderId="21" xfId="0" applyNumberFormat="1" applyFont="1" applyFill="1" applyBorder="1"/>
    <xf numFmtId="10" fontId="41" fillId="0" borderId="13" xfId="51" applyNumberFormat="1" applyFont="1" applyFill="1" applyBorder="1" applyAlignment="1">
      <alignment vertical="center"/>
    </xf>
    <xf numFmtId="0" fontId="22" fillId="24" borderId="21" xfId="0" applyFont="1" applyFill="1" applyBorder="1"/>
    <xf numFmtId="10" fontId="41" fillId="0" borderId="30" xfId="51" applyNumberFormat="1" applyFont="1" applyFill="1" applyBorder="1" applyAlignment="1">
      <alignment vertical="center"/>
    </xf>
    <xf numFmtId="0" fontId="22" fillId="24" borderId="0" xfId="0" applyFont="1" applyFill="1" applyAlignment="1">
      <alignment horizontal="center"/>
    </xf>
    <xf numFmtId="43" fontId="41" fillId="0" borderId="0" xfId="0" applyNumberFormat="1" applyFont="1"/>
    <xf numFmtId="0" fontId="0" fillId="0" borderId="62" xfId="0" applyFill="1" applyBorder="1"/>
    <xf numFmtId="0" fontId="56" fillId="0" borderId="11" xfId="0" applyFont="1" applyBorder="1" applyAlignment="1">
      <alignment horizontal="left" vertical="center"/>
    </xf>
    <xf numFmtId="2" fontId="26" fillId="24" borderId="10" xfId="0" applyNumberFormat="1" applyFont="1" applyFill="1" applyBorder="1" applyAlignment="1" applyProtection="1">
      <alignment horizontal="right"/>
      <protection locked="0"/>
    </xf>
    <xf numFmtId="0" fontId="56" fillId="0" borderId="11" xfId="0" applyFont="1" applyBorder="1" applyAlignment="1">
      <alignment horizontal="left" vertical="center"/>
    </xf>
    <xf numFmtId="43" fontId="41" fillId="0" borderId="0" xfId="0" applyNumberFormat="1" applyFont="1" applyAlignment="1">
      <alignment wrapText="1"/>
    </xf>
    <xf numFmtId="10" fontId="41" fillId="0" borderId="0" xfId="51" applyNumberFormat="1" applyFont="1"/>
    <xf numFmtId="183" fontId="41" fillId="0" borderId="0" xfId="0" applyNumberFormat="1" applyFont="1"/>
    <xf numFmtId="179" fontId="42" fillId="31" borderId="14" xfId="57" applyNumberFormat="1" applyFont="1" applyFill="1" applyBorder="1" applyAlignment="1">
      <alignment horizontal="center" vertical="center" wrapText="1"/>
    </xf>
    <xf numFmtId="179" fontId="42" fillId="31" borderId="11" xfId="57" applyNumberFormat="1" applyFont="1" applyFill="1" applyBorder="1" applyAlignment="1">
      <alignment horizontal="center" vertical="center" wrapText="1"/>
    </xf>
    <xf numFmtId="171" fontId="37" fillId="0" borderId="11" xfId="0" applyNumberFormat="1" applyFont="1" applyBorder="1" applyAlignment="1">
      <alignment horizontal="center" vertical="center" wrapText="1"/>
    </xf>
    <xf numFmtId="4" fontId="37" fillId="0" borderId="11" xfId="0" applyNumberFormat="1" applyFont="1" applyBorder="1" applyAlignment="1">
      <alignment horizontal="center" vertical="center" wrapText="1"/>
    </xf>
    <xf numFmtId="168"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2" fontId="37" fillId="0" borderId="11" xfId="0" applyNumberFormat="1"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0" fontId="37" fillId="0" borderId="11" xfId="0" applyFont="1" applyBorder="1" applyAlignment="1">
      <alignment horizontal="center" vertical="center" wrapText="1"/>
    </xf>
    <xf numFmtId="167" fontId="32" fillId="35" borderId="88" xfId="28" applyNumberFormat="1" applyFont="1" applyFill="1" applyBorder="1" applyAlignment="1" applyProtection="1">
      <alignment horizontal="center"/>
    </xf>
    <xf numFmtId="167" fontId="32" fillId="35" borderId="89" xfId="28" applyNumberFormat="1" applyFont="1" applyFill="1" applyBorder="1" applyAlignment="1" applyProtection="1">
      <alignment horizontal="center"/>
    </xf>
    <xf numFmtId="167" fontId="32" fillId="35" borderId="87" xfId="28" applyNumberFormat="1" applyFont="1" applyFill="1" applyBorder="1" applyAlignment="1" applyProtection="1">
      <alignment horizontal="center"/>
    </xf>
    <xf numFmtId="167" fontId="32" fillId="35" borderId="30" xfId="28" applyNumberFormat="1" applyFont="1" applyFill="1" applyBorder="1" applyAlignment="1" applyProtection="1">
      <alignment horizontal="center"/>
    </xf>
    <xf numFmtId="167" fontId="32" fillId="35" borderId="61" xfId="28" applyNumberFormat="1" applyFont="1" applyFill="1" applyBorder="1" applyAlignment="1" applyProtection="1">
      <alignment horizontal="center"/>
    </xf>
    <xf numFmtId="167" fontId="32" fillId="35" borderId="16" xfId="28" applyNumberFormat="1" applyFont="1" applyFill="1" applyBorder="1" applyAlignment="1" applyProtection="1">
      <alignment horizontal="center"/>
    </xf>
    <xf numFmtId="169" fontId="34" fillId="0" borderId="0" xfId="0" applyNumberFormat="1" applyFont="1" applyAlignment="1">
      <alignment horizontal="center" vertical="justify" wrapText="1"/>
    </xf>
    <xf numFmtId="167" fontId="32" fillId="0" borderId="13" xfId="28" applyNumberFormat="1" applyFont="1" applyFill="1" applyBorder="1" applyAlignment="1" applyProtection="1">
      <alignment horizontal="center"/>
    </xf>
    <xf numFmtId="167" fontId="32" fillId="0" borderId="20" xfId="28" applyNumberFormat="1" applyFont="1" applyFill="1" applyBorder="1" applyAlignment="1" applyProtection="1">
      <alignment horizontal="center"/>
    </xf>
    <xf numFmtId="167" fontId="32" fillId="27" borderId="88" xfId="28" applyNumberFormat="1" applyFont="1" applyFill="1" applyBorder="1" applyAlignment="1" applyProtection="1">
      <alignment horizontal="center"/>
    </xf>
    <xf numFmtId="167" fontId="32" fillId="27" borderId="89" xfId="28" applyNumberFormat="1" applyFont="1" applyFill="1" applyBorder="1" applyAlignment="1" applyProtection="1">
      <alignment horizontal="center"/>
    </xf>
    <xf numFmtId="167" fontId="32" fillId="27" borderId="87"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0" fontId="39" fillId="4" borderId="86"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86"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79" fontId="42" fillId="37" borderId="86" xfId="57" applyNumberFormat="1" applyFont="1" applyFill="1" applyBorder="1" applyAlignment="1">
      <alignment horizontal="center" vertical="center" wrapText="1"/>
    </xf>
    <xf numFmtId="179" fontId="42" fillId="37" borderId="62" xfId="57" applyNumberFormat="1" applyFont="1" applyFill="1" applyBorder="1" applyAlignment="1">
      <alignment horizontal="center" vertical="center" wrapText="1"/>
    </xf>
    <xf numFmtId="179" fontId="42" fillId="37" borderId="17" xfId="57" applyNumberFormat="1" applyFont="1" applyFill="1" applyBorder="1" applyAlignment="1">
      <alignment horizontal="center" vertical="center" wrapText="1"/>
    </xf>
    <xf numFmtId="179" fontId="42" fillId="26" borderId="86" xfId="57" applyNumberFormat="1" applyFont="1" applyFill="1" applyBorder="1" applyAlignment="1">
      <alignment horizontal="center" vertical="center" wrapText="1"/>
    </xf>
    <xf numFmtId="179" fontId="42" fillId="26" borderId="62" xfId="57" applyNumberFormat="1" applyFont="1" applyFill="1" applyBorder="1" applyAlignment="1">
      <alignment horizontal="center" vertical="center" wrapText="1"/>
    </xf>
    <xf numFmtId="179" fontId="42" fillId="26" borderId="17" xfId="57"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6" xfId="0" applyFont="1" applyBorder="1" applyAlignment="1">
      <alignment horizontal="center" vertical="center" wrapText="1"/>
    </xf>
    <xf numFmtId="179" fontId="42" fillId="22" borderId="14" xfId="29" applyNumberFormat="1" applyFont="1" applyFill="1" applyBorder="1" applyAlignment="1">
      <alignment horizontal="center" vertical="center" wrapText="1"/>
    </xf>
    <xf numFmtId="179" fontId="42" fillId="22" borderId="62" xfId="29" applyNumberFormat="1" applyFont="1" applyFill="1" applyBorder="1" applyAlignment="1">
      <alignment horizontal="center" vertical="center" wrapText="1"/>
    </xf>
    <xf numFmtId="179" fontId="42" fillId="22" borderId="17" xfId="29" applyNumberFormat="1" applyFont="1" applyFill="1" applyBorder="1" applyAlignment="1">
      <alignment horizontal="center" vertical="center" wrapText="1"/>
    </xf>
    <xf numFmtId="179" fontId="42" fillId="25" borderId="11" xfId="29" applyNumberFormat="1" applyFont="1" applyFill="1" applyBorder="1" applyAlignment="1">
      <alignment horizontal="center" vertical="center" wrapText="1"/>
    </xf>
    <xf numFmtId="179" fontId="42" fillId="25" borderId="14" xfId="29" applyNumberFormat="1" applyFont="1" applyFill="1" applyBorder="1" applyAlignment="1">
      <alignment horizontal="center" vertical="center" wrapText="1"/>
    </xf>
    <xf numFmtId="179" fontId="42" fillId="0" borderId="11" xfId="29" applyNumberFormat="1" applyFont="1" applyFill="1" applyBorder="1" applyAlignment="1">
      <alignment horizontal="center" vertical="center" wrapText="1"/>
    </xf>
    <xf numFmtId="179" fontId="42" fillId="0" borderId="14" xfId="29" applyNumberFormat="1" applyFont="1" applyFill="1" applyBorder="1" applyAlignment="1">
      <alignment horizontal="center" vertical="center" wrapText="1"/>
    </xf>
    <xf numFmtId="179" fontId="42" fillId="4" borderId="58" xfId="29" applyNumberFormat="1" applyFont="1" applyFill="1" applyBorder="1" applyAlignment="1">
      <alignment horizontal="center" vertical="center" wrapText="1"/>
    </xf>
    <xf numFmtId="179" fontId="42" fillId="4" borderId="31" xfId="29" applyNumberFormat="1" applyFont="1" applyFill="1" applyBorder="1" applyAlignment="1">
      <alignment horizontal="center" vertical="center" wrapText="1"/>
    </xf>
    <xf numFmtId="179" fontId="42" fillId="4" borderId="30" xfId="29" applyNumberFormat="1" applyFont="1" applyFill="1" applyBorder="1" applyAlignment="1">
      <alignment horizontal="center" vertical="center" wrapText="1"/>
    </xf>
    <xf numFmtId="179" fontId="42" fillId="4" borderId="16" xfId="29" applyNumberFormat="1" applyFont="1" applyFill="1" applyBorder="1" applyAlignment="1">
      <alignment horizontal="center" vertical="center" wrapText="1"/>
    </xf>
    <xf numFmtId="0" fontId="42" fillId="0" borderId="14" xfId="0" applyFont="1" applyBorder="1" applyAlignment="1">
      <alignment horizontal="center" vertical="center" wrapText="1"/>
    </xf>
    <xf numFmtId="179" fontId="43" fillId="25" borderId="11" xfId="29" applyNumberFormat="1" applyFont="1" applyFill="1" applyBorder="1" applyAlignment="1">
      <alignment horizontal="center"/>
    </xf>
    <xf numFmtId="179" fontId="42" fillId="4" borderId="11"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79" fontId="42" fillId="37" borderId="58" xfId="57" applyNumberFormat="1" applyFont="1" applyFill="1" applyBorder="1" applyAlignment="1">
      <alignment horizontal="center" vertical="center" wrapText="1"/>
    </xf>
    <xf numFmtId="179" fontId="42" fillId="37" borderId="31" xfId="57" applyNumberFormat="1" applyFont="1" applyFill="1" applyBorder="1" applyAlignment="1">
      <alignment horizontal="center" vertical="center" wrapText="1"/>
    </xf>
    <xf numFmtId="179" fontId="42" fillId="26" borderId="14" xfId="29" applyNumberFormat="1" applyFont="1" applyFill="1" applyBorder="1" applyAlignment="1">
      <alignment horizontal="center" vertical="center" wrapText="1"/>
    </xf>
    <xf numFmtId="179" fontId="42" fillId="26" borderId="62" xfId="29" applyNumberFormat="1" applyFont="1" applyFill="1" applyBorder="1" applyAlignment="1">
      <alignment horizontal="center" vertical="center" wrapText="1"/>
    </xf>
    <xf numFmtId="179" fontId="42" fillId="26" borderId="17" xfId="29" applyNumberFormat="1" applyFont="1" applyFill="1" applyBorder="1" applyAlignment="1">
      <alignment horizontal="center" vertical="center" wrapText="1"/>
    </xf>
    <xf numFmtId="179" fontId="42" fillId="0" borderId="62" xfId="29"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0" fontId="42" fillId="0" borderId="62" xfId="0" applyFont="1" applyBorder="1" applyAlignment="1">
      <alignment horizontal="center" vertical="center" wrapText="1"/>
    </xf>
    <xf numFmtId="179" fontId="42" fillId="25" borderId="62" xfId="29" applyNumberFormat="1" applyFont="1" applyFill="1" applyBorder="1" applyAlignment="1">
      <alignment horizontal="center" vertical="center" wrapText="1"/>
    </xf>
    <xf numFmtId="166" fontId="42" fillId="25" borderId="14" xfId="51" applyNumberFormat="1" applyFont="1" applyFill="1" applyBorder="1" applyAlignment="1">
      <alignment horizontal="center" vertical="center" wrapText="1"/>
    </xf>
    <xf numFmtId="166" fontId="42" fillId="25" borderId="62" xfId="51" applyNumberFormat="1" applyFont="1" applyFill="1" applyBorder="1" applyAlignment="1">
      <alignment horizontal="center" vertical="center" wrapText="1"/>
    </xf>
    <xf numFmtId="166" fontId="42" fillId="25" borderId="17" xfId="51" applyNumberFormat="1" applyFont="1" applyFill="1" applyBorder="1" applyAlignment="1">
      <alignment horizontal="center" vertical="center" wrapText="1"/>
    </xf>
    <xf numFmtId="0" fontId="42" fillId="0" borderId="17" xfId="0" applyFont="1" applyBorder="1" applyAlignment="1">
      <alignment horizontal="center" vertical="center" wrapText="1"/>
    </xf>
    <xf numFmtId="179" fontId="42" fillId="0" borderId="13" xfId="29" applyNumberFormat="1" applyFont="1" applyFill="1" applyBorder="1" applyAlignment="1">
      <alignment horizontal="center" vertical="center" wrapText="1"/>
    </xf>
    <xf numFmtId="179" fontId="42" fillId="0" borderId="20" xfId="29" applyNumberFormat="1" applyFont="1" applyFill="1" applyBorder="1" applyAlignment="1">
      <alignment horizontal="center" vertical="center" wrapText="1"/>
    </xf>
    <xf numFmtId="179" fontId="42" fillId="0" borderId="19" xfId="29" applyNumberFormat="1" applyFont="1" applyFill="1" applyBorder="1" applyAlignment="1">
      <alignment horizontal="center" vertical="center" wrapText="1"/>
    </xf>
    <xf numFmtId="179" fontId="42" fillId="31" borderId="13" xfId="57" applyNumberFormat="1" applyFont="1" applyFill="1" applyBorder="1" applyAlignment="1">
      <alignment horizontal="center" vertical="center" wrapText="1"/>
    </xf>
    <xf numFmtId="179" fontId="42" fillId="31" borderId="19" xfId="57"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8" fontId="42" fillId="0" borderId="58" xfId="0" applyNumberFormat="1" applyFont="1" applyBorder="1" applyAlignment="1">
      <alignment horizontal="center" vertical="center"/>
    </xf>
    <xf numFmtId="178"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8" fontId="42" fillId="0" borderId="30" xfId="0" applyNumberFormat="1" applyFont="1" applyBorder="1" applyAlignment="1">
      <alignment horizontal="center" vertical="center"/>
    </xf>
    <xf numFmtId="178"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0" fontId="49" fillId="22" borderId="11" xfId="0" applyFont="1" applyFill="1" applyBorder="1" applyAlignment="1">
      <alignment horizontal="center"/>
    </xf>
    <xf numFmtId="179" fontId="42" fillId="26" borderId="13" xfId="57" applyNumberFormat="1" applyFont="1" applyFill="1" applyBorder="1" applyAlignment="1">
      <alignment horizontal="center" vertical="center" wrapText="1"/>
    </xf>
    <xf numFmtId="179" fontId="42" fillId="26" borderId="19" xfId="57" applyNumberFormat="1" applyFont="1" applyFill="1" applyBorder="1" applyAlignment="1">
      <alignment horizontal="center" vertical="center" wrapText="1"/>
    </xf>
    <xf numFmtId="179" fontId="42" fillId="0" borderId="13" xfId="29" applyNumberFormat="1" applyFont="1" applyFill="1" applyBorder="1" applyAlignment="1">
      <alignment horizontal="right"/>
    </xf>
    <xf numFmtId="179" fontId="42" fillId="0" borderId="19" xfId="29" applyNumberFormat="1" applyFont="1" applyFill="1" applyBorder="1" applyAlignment="1">
      <alignment horizontal="right"/>
    </xf>
    <xf numFmtId="0" fontId="53" fillId="0" borderId="77" xfId="41" applyFont="1" applyBorder="1" applyAlignment="1">
      <alignment horizontal="center"/>
    </xf>
    <xf numFmtId="0" fontId="53" fillId="0" borderId="78" xfId="41" applyFont="1" applyBorder="1" applyAlignment="1">
      <alignment horizontal="center"/>
    </xf>
    <xf numFmtId="0" fontId="53" fillId="0" borderId="22" xfId="41" applyFont="1" applyBorder="1" applyAlignment="1">
      <alignment horizontal="center"/>
    </xf>
    <xf numFmtId="0" fontId="53" fillId="0" borderId="44" xfId="41" applyFont="1" applyBorder="1" applyAlignment="1">
      <alignment horizontal="center" vertical="center"/>
    </xf>
    <xf numFmtId="0" fontId="53" fillId="0" borderId="76" xfId="41" applyFont="1" applyBorder="1" applyAlignment="1">
      <alignment horizontal="center" vertical="center"/>
    </xf>
    <xf numFmtId="0" fontId="53" fillId="0" borderId="46" xfId="41" applyFont="1" applyBorder="1" applyAlignment="1">
      <alignment horizontal="center" vertical="center"/>
    </xf>
    <xf numFmtId="0" fontId="53" fillId="0" borderId="54" xfId="41" applyFont="1" applyBorder="1" applyAlignment="1">
      <alignment horizontal="center" vertical="center"/>
    </xf>
    <xf numFmtId="0" fontId="53" fillId="0" borderId="62" xfId="41" applyFont="1" applyBorder="1" applyAlignment="1">
      <alignment horizontal="center" vertical="center"/>
    </xf>
    <xf numFmtId="0" fontId="53" fillId="0" borderId="29" xfId="41" applyFont="1" applyBorder="1" applyAlignment="1">
      <alignment horizontal="center" vertical="center"/>
    </xf>
    <xf numFmtId="0" fontId="53" fillId="11" borderId="54" xfId="41" applyFont="1" applyFill="1" applyBorder="1" applyAlignment="1">
      <alignment horizontal="center" vertical="center" wrapText="1"/>
    </xf>
    <xf numFmtId="0" fontId="53" fillId="11" borderId="62" xfId="41" applyFont="1" applyFill="1" applyBorder="1" applyAlignment="1">
      <alignment horizontal="center" vertical="center" wrapText="1"/>
    </xf>
    <xf numFmtId="0" fontId="53" fillId="11" borderId="29" xfId="41" applyFont="1" applyFill="1" applyBorder="1" applyAlignment="1">
      <alignment horizontal="center" vertical="center" wrapText="1"/>
    </xf>
    <xf numFmtId="0" fontId="27" fillId="0" borderId="54" xfId="0" applyFont="1" applyBorder="1" applyAlignment="1">
      <alignment horizontal="center" vertical="center" wrapText="1"/>
    </xf>
    <xf numFmtId="0" fontId="27" fillId="0" borderId="62" xfId="0" applyFont="1" applyBorder="1" applyAlignment="1">
      <alignment horizontal="center" vertical="center" wrapText="1"/>
    </xf>
    <xf numFmtId="0" fontId="27" fillId="0" borderId="29" xfId="0" applyFont="1" applyBorder="1" applyAlignment="1">
      <alignment horizontal="center" vertical="center" wrapText="1"/>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2" fontId="27" fillId="0" borderId="11" xfId="28" applyNumberFormat="1" applyFont="1"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82" xfId="0" applyFont="1" applyBorder="1" applyAlignment="1">
      <alignment horizontal="center" vertical="center"/>
    </xf>
    <xf numFmtId="0" fontId="27" fillId="0" borderId="17" xfId="0" applyFont="1" applyBorder="1" applyAlignment="1">
      <alignment horizontal="center" vertical="center"/>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0" fillId="0" borderId="11" xfId="0"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10" fontId="59" fillId="27" borderId="11" xfId="0" applyNumberFormat="1" applyFont="1" applyFill="1" applyBorder="1" applyAlignment="1">
      <alignment horizontal="center" vertical="center"/>
    </xf>
    <xf numFmtId="0" fontId="59" fillId="27" borderId="11" xfId="0" applyFont="1" applyFill="1" applyBorder="1" applyAlignment="1">
      <alignment horizontal="center" vertical="center"/>
    </xf>
    <xf numFmtId="10" fontId="56" fillId="0" borderId="86" xfId="51" applyNumberFormat="1" applyFont="1" applyFill="1" applyBorder="1" applyAlignment="1">
      <alignment horizontal="center" vertical="center"/>
    </xf>
    <xf numFmtId="10" fontId="56" fillId="0" borderId="17" xfId="51" applyNumberFormat="1" applyFont="1" applyFill="1" applyBorder="1" applyAlignment="1">
      <alignment horizontal="center" vertical="center"/>
    </xf>
    <xf numFmtId="0" fontId="56" fillId="27" borderId="11" xfId="0" applyFont="1" applyFill="1" applyBorder="1" applyAlignment="1">
      <alignment horizontal="center"/>
    </xf>
    <xf numFmtId="0" fontId="56" fillId="0" borderId="11" xfId="0" applyFont="1" applyBorder="1" applyAlignment="1">
      <alignment horizontal="center" vertical="center"/>
    </xf>
    <xf numFmtId="10" fontId="1" fillId="0" borderId="86" xfId="51" applyNumberFormat="1" applyFont="1" applyFill="1" applyBorder="1" applyAlignment="1">
      <alignment horizontal="center" vertical="center"/>
    </xf>
    <xf numFmtId="10" fontId="1" fillId="0" borderId="17" xfId="51" applyNumberFormat="1" applyFont="1" applyFill="1" applyBorder="1" applyAlignment="1">
      <alignment horizontal="center" vertical="center"/>
    </xf>
    <xf numFmtId="0" fontId="56" fillId="0" borderId="86" xfId="0" applyFont="1" applyBorder="1" applyAlignment="1">
      <alignment horizontal="left" vertical="center"/>
    </xf>
    <xf numFmtId="0" fontId="56" fillId="0" borderId="17" xfId="0" applyFont="1" applyBorder="1" applyAlignment="1">
      <alignment horizontal="left" vertical="center"/>
    </xf>
    <xf numFmtId="10" fontId="1" fillId="0" borderId="11" xfId="51" applyNumberFormat="1" applyFont="1" applyFill="1" applyBorder="1" applyAlignment="1">
      <alignment horizontal="center" vertical="center"/>
    </xf>
    <xf numFmtId="10" fontId="57" fillId="0" borderId="11" xfId="0" applyNumberFormat="1" applyFont="1" applyBorder="1" applyAlignment="1">
      <alignment horizontal="center" vertical="center"/>
    </xf>
    <xf numFmtId="0" fontId="56" fillId="0" borderId="11" xfId="0" applyFont="1" applyBorder="1" applyAlignment="1">
      <alignment horizontal="left" vertical="center"/>
    </xf>
    <xf numFmtId="10" fontId="58" fillId="0" borderId="11" xfId="0" applyNumberFormat="1" applyFont="1" applyBorder="1" applyAlignment="1">
      <alignment horizontal="center" vertical="center"/>
    </xf>
    <xf numFmtId="0" fontId="58" fillId="0" borderId="11" xfId="0" applyFont="1" applyBorder="1" applyAlignment="1">
      <alignment horizontal="center" vertical="center"/>
    </xf>
    <xf numFmtId="0" fontId="56" fillId="0" borderId="86" xfId="0" applyFont="1" applyBorder="1" applyAlignment="1">
      <alignment horizontal="center" vertical="center"/>
    </xf>
    <xf numFmtId="0" fontId="56" fillId="0" borderId="62" xfId="0" applyFont="1" applyBorder="1" applyAlignment="1">
      <alignment horizontal="center" vertical="center"/>
    </xf>
    <xf numFmtId="0" fontId="56" fillId="0" borderId="62" xfId="0" applyFont="1" applyBorder="1" applyAlignment="1">
      <alignment horizontal="left" vertical="center"/>
    </xf>
    <xf numFmtId="10" fontId="1" fillId="0" borderId="62" xfId="51" applyNumberFormat="1" applyFont="1" applyFill="1" applyBorder="1" applyAlignment="1">
      <alignment horizontal="center" vertical="center"/>
    </xf>
    <xf numFmtId="10" fontId="56" fillId="0" borderId="11" xfId="0" applyNumberFormat="1" applyFont="1" applyBorder="1" applyAlignment="1">
      <alignment horizontal="center" vertical="center"/>
    </xf>
    <xf numFmtId="0" fontId="56" fillId="27" borderId="11" xfId="0" applyFont="1" applyFill="1" applyBorder="1" applyAlignment="1">
      <alignment horizontal="center" vertical="top" wrapText="1"/>
    </xf>
    <xf numFmtId="0" fontId="56" fillId="27" borderId="11" xfId="0" applyFont="1" applyFill="1" applyBorder="1" applyAlignment="1">
      <alignment horizontal="center" vertical="center"/>
    </xf>
    <xf numFmtId="0" fontId="56" fillId="27" borderId="86" xfId="0" applyFont="1" applyFill="1" applyBorder="1" applyAlignment="1">
      <alignment horizontal="center" vertical="center" wrapText="1"/>
    </xf>
    <xf numFmtId="0" fontId="56" fillId="27" borderId="17" xfId="0" applyFont="1" applyFill="1" applyBorder="1" applyAlignment="1">
      <alignment horizontal="center" vertical="center" wrapText="1"/>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77" xfId="0" applyFont="1" applyFill="1" applyBorder="1" applyAlignment="1">
      <alignment horizontal="center"/>
    </xf>
    <xf numFmtId="0" fontId="26" fillId="24" borderId="22"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2" fillId="24" borderId="77" xfId="0" applyFont="1" applyFill="1" applyBorder="1" applyAlignment="1">
      <alignment horizontal="center"/>
    </xf>
    <xf numFmtId="0" fontId="22" fillId="24" borderId="22"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26"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44" fillId="0" borderId="76" xfId="0" applyFont="1" applyBorder="1" applyAlignment="1" applyProtection="1">
      <alignment horizontal="center" vertical="center" textRotation="180" wrapText="1"/>
      <protection locked="0"/>
    </xf>
    <xf numFmtId="0" fontId="44" fillId="0" borderId="46" xfId="0" applyFont="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76" xfId="0" applyBorder="1" applyAlignment="1" applyProtection="1">
      <alignment horizontal="center" vertical="center" textRotation="180" wrapText="1"/>
      <protection locked="0"/>
    </xf>
    <xf numFmtId="0" fontId="0" fillId="0" borderId="46" xfId="0"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45" fillId="24" borderId="27" xfId="0" applyFont="1" applyFill="1" applyBorder="1" applyAlignment="1">
      <alignment horizontal="center"/>
    </xf>
    <xf numFmtId="0" fontId="26" fillId="24" borderId="76"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_April_3" xfId="43"/>
    <cellStyle name="Normal_DES 11_1" xfId="56"/>
    <cellStyle name="Normal_Juli_37" xfId="44"/>
    <cellStyle name="Normal_Juni" xfId="45"/>
    <cellStyle name="Normal_Juni_4" xfId="46"/>
    <cellStyle name="Normal_Mar_18" xfId="47"/>
    <cellStyle name="Normal_Mar_6" xfId="48"/>
    <cellStyle name="Note" xfId="49" builtinId="10" customBuiltin="1"/>
    <cellStyle name="Output" xfId="50" builtinId="21" customBuiltin="1"/>
    <cellStyle name="Percent" xfId="51" builtinId="5"/>
    <cellStyle name="Percent_Okt_6" xfId="52"/>
    <cellStyle name="Title" xfId="53" builtinId="15" customBuiltin="1"/>
    <cellStyle name="Total" xfId="54" builtinId="25" customBuiltin="1"/>
    <cellStyle name="Warning Text" xfId="55" builtinId="11" customBuiltin="1"/>
  </cellStyles>
  <dxfs count="332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[2]Report1!$A$9:$A$39</c:f>
              <c:numCache>
                <c:formatCode>General</c:formatCode>
                <c:ptCount val="31"/>
                <c:pt idx="0">
                  <c:v>45444</c:v>
                </c:pt>
                <c:pt idx="1">
                  <c:v>45445</c:v>
                </c:pt>
                <c:pt idx="2">
                  <c:v>45446</c:v>
                </c:pt>
                <c:pt idx="3">
                  <c:v>45447</c:v>
                </c:pt>
                <c:pt idx="4">
                  <c:v>45448</c:v>
                </c:pt>
                <c:pt idx="5">
                  <c:v>45449</c:v>
                </c:pt>
                <c:pt idx="6">
                  <c:v>45450</c:v>
                </c:pt>
                <c:pt idx="7">
                  <c:v>45451</c:v>
                </c:pt>
                <c:pt idx="8">
                  <c:v>45452</c:v>
                </c:pt>
                <c:pt idx="9">
                  <c:v>45453</c:v>
                </c:pt>
                <c:pt idx="10">
                  <c:v>45454</c:v>
                </c:pt>
                <c:pt idx="11">
                  <c:v>45455</c:v>
                </c:pt>
                <c:pt idx="12">
                  <c:v>45456</c:v>
                </c:pt>
                <c:pt idx="13">
                  <c:v>45457</c:v>
                </c:pt>
                <c:pt idx="14">
                  <c:v>45458</c:v>
                </c:pt>
                <c:pt idx="15">
                  <c:v>45459</c:v>
                </c:pt>
                <c:pt idx="16">
                  <c:v>45460</c:v>
                </c:pt>
                <c:pt idx="17">
                  <c:v>45461</c:v>
                </c:pt>
                <c:pt idx="18">
                  <c:v>45462</c:v>
                </c:pt>
                <c:pt idx="19">
                  <c:v>45463</c:v>
                </c:pt>
                <c:pt idx="20">
                  <c:v>45464</c:v>
                </c:pt>
                <c:pt idx="21">
                  <c:v>45465</c:v>
                </c:pt>
                <c:pt idx="22">
                  <c:v>45466</c:v>
                </c:pt>
                <c:pt idx="23">
                  <c:v>45467</c:v>
                </c:pt>
                <c:pt idx="24">
                  <c:v>45468</c:v>
                </c:pt>
                <c:pt idx="25">
                  <c:v>45469</c:v>
                </c:pt>
                <c:pt idx="26">
                  <c:v>45470</c:v>
                </c:pt>
                <c:pt idx="27">
                  <c:v>45471</c:v>
                </c:pt>
                <c:pt idx="28">
                  <c:v>45472</c:v>
                </c:pt>
                <c:pt idx="29">
                  <c:v>45473</c:v>
                </c:pt>
                <c:pt idx="30">
                  <c:v>45474</c:v>
                </c:pt>
              </c:numCache>
            </c:numRef>
          </c:cat>
          <c:val>
            <c:numRef>
              <c:f>Report1!$R$9:$R$39</c:f>
              <c:numCache>
                <c:formatCode>#,##0.000</c:formatCode>
                <c:ptCount val="31"/>
                <c:pt idx="0">
                  <c:v>44.228000000000002</c:v>
                </c:pt>
                <c:pt idx="1">
                  <c:v>46.393999999999998</c:v>
                </c:pt>
                <c:pt idx="2">
                  <c:v>43.02</c:v>
                </c:pt>
                <c:pt idx="3">
                  <c:v>47.914000000000001</c:v>
                </c:pt>
                <c:pt idx="4">
                  <c:v>48.494999999999997</c:v>
                </c:pt>
                <c:pt idx="5">
                  <c:v>13.914999999999999</c:v>
                </c:pt>
                <c:pt idx="6">
                  <c:v>38.475000000000001</c:v>
                </c:pt>
                <c:pt idx="7">
                  <c:v>43.527000000000001</c:v>
                </c:pt>
                <c:pt idx="8">
                  <c:v>50.356000000000002</c:v>
                </c:pt>
                <c:pt idx="9">
                  <c:v>35.656999999999996</c:v>
                </c:pt>
                <c:pt idx="10">
                  <c:v>52.124000000000002</c:v>
                </c:pt>
                <c:pt idx="11">
                  <c:v>52.847999999999999</c:v>
                </c:pt>
                <c:pt idx="12">
                  <c:v>42.447000000000003</c:v>
                </c:pt>
                <c:pt idx="13">
                  <c:v>50.981000000000002</c:v>
                </c:pt>
                <c:pt idx="14">
                  <c:v>53.661999999999999</c:v>
                </c:pt>
                <c:pt idx="15">
                  <c:v>49.744</c:v>
                </c:pt>
                <c:pt idx="16">
                  <c:v>51.39</c:v>
                </c:pt>
                <c:pt idx="17">
                  <c:v>50.365000000000002</c:v>
                </c:pt>
                <c:pt idx="18">
                  <c:v>50.515999999999998</c:v>
                </c:pt>
                <c:pt idx="19">
                  <c:v>54.661000000000001</c:v>
                </c:pt>
                <c:pt idx="20">
                  <c:v>50.985999999999997</c:v>
                </c:pt>
                <c:pt idx="21">
                  <c:v>48.567</c:v>
                </c:pt>
                <c:pt idx="22">
                  <c:v>45.709000000000003</c:v>
                </c:pt>
                <c:pt idx="23">
                  <c:v>41.923000000000002</c:v>
                </c:pt>
                <c:pt idx="24">
                  <c:v>34.215000000000003</c:v>
                </c:pt>
                <c:pt idx="25">
                  <c:v>38.465000000000003</c:v>
                </c:pt>
                <c:pt idx="26">
                  <c:v>34.753</c:v>
                </c:pt>
                <c:pt idx="27">
                  <c:v>33.441000000000003</c:v>
                </c:pt>
                <c:pt idx="28">
                  <c:v>35.091999999999999</c:v>
                </c:pt>
                <c:pt idx="29">
                  <c:v>45.441000000000003</c:v>
                </c:pt>
                <c:pt idx="30">
                  <c:v>2.919</c:v>
                </c:pt>
              </c:numCache>
            </c:numRef>
          </c:val>
          <c:smooth val="0"/>
          <c:extLst xmlns:c16r2="http://schemas.microsoft.com/office/drawing/2015/06/chart">
            <c:ext xmlns:c16="http://schemas.microsoft.com/office/drawing/2014/chart" uri="{C3380CC4-5D6E-409C-BE32-E72D297353CC}">
              <c16:uniqueId val="{00000000-E896-48BC-A61D-8D23180890A5}"/>
            </c:ext>
          </c:extLst>
        </c:ser>
        <c:dLbls>
          <c:showLegendKey val="0"/>
          <c:showVal val="0"/>
          <c:showCatName val="0"/>
          <c:showSerName val="0"/>
          <c:showPercent val="0"/>
          <c:showBubbleSize val="0"/>
        </c:dLbls>
        <c:marker val="1"/>
        <c:smooth val="0"/>
        <c:axId val="525956352"/>
        <c:axId val="525954392"/>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E896-48BC-A61D-8D23180890A5}"/>
              </c:ext>
            </c:extLst>
          </c:dPt>
          <c:cat>
            <c:numRef>
              <c:f>[2]Report1!$A$9</c:f>
              <c:numCache>
                <c:formatCode>General</c:formatCode>
                <c:ptCount val="1"/>
                <c:pt idx="0">
                  <c:v>45444</c:v>
                </c:pt>
              </c:numCache>
            </c:numRef>
          </c:cat>
          <c:val>
            <c:numRef>
              <c:f>Report1!$J$9:$J$39</c:f>
              <c:numCache>
                <c:formatCode>0.00%</c:formatCode>
                <c:ptCount val="31"/>
                <c:pt idx="0">
                  <c:v>0.80407708966905955</c:v>
                </c:pt>
                <c:pt idx="1">
                  <c:v>0.8428772457953152</c:v>
                </c:pt>
                <c:pt idx="2">
                  <c:v>0.78157906440734748</c:v>
                </c:pt>
                <c:pt idx="3">
                  <c:v>0.87693646703316508</c:v>
                </c:pt>
                <c:pt idx="4">
                  <c:v>0.9169862600616735</c:v>
                </c:pt>
                <c:pt idx="5">
                  <c:v>0.27067354026434548</c:v>
                </c:pt>
                <c:pt idx="6">
                  <c:v>0.74549342410421804</c:v>
                </c:pt>
                <c:pt idx="7">
                  <c:v>0.80092416256322629</c:v>
                </c:pt>
                <c:pt idx="8">
                  <c:v>0.93790256419215656</c:v>
                </c:pt>
                <c:pt idx="9">
                  <c:v>0.69074210799255309</c:v>
                </c:pt>
                <c:pt idx="10">
                  <c:v>0.96115831710627253</c:v>
                </c:pt>
                <c:pt idx="11">
                  <c:v>0.97246329252895347</c:v>
                </c:pt>
                <c:pt idx="12">
                  <c:v>0.78774374949149717</c:v>
                </c:pt>
                <c:pt idx="13">
                  <c:v>0.94585187708396878</c:v>
                </c:pt>
                <c:pt idx="14">
                  <c:v>0.96809702322020086</c:v>
                </c:pt>
                <c:pt idx="15">
                  <c:v>0.89796734160075609</c:v>
                </c:pt>
                <c:pt idx="16">
                  <c:v>0.9300051344179695</c:v>
                </c:pt>
                <c:pt idx="17">
                  <c:v>0.93143981179529378</c:v>
                </c:pt>
                <c:pt idx="18">
                  <c:v>0.95476788324925643</c:v>
                </c:pt>
                <c:pt idx="19">
                  <c:v>0.98795933484839349</c:v>
                </c:pt>
                <c:pt idx="20">
                  <c:v>0.93541317286663883</c:v>
                </c:pt>
                <c:pt idx="21">
                  <c:v>0.94571857422918626</c:v>
                </c:pt>
                <c:pt idx="22">
                  <c:v>0.90487851529879448</c:v>
                </c:pt>
                <c:pt idx="23">
                  <c:v>0.78806224402120106</c:v>
                </c:pt>
                <c:pt idx="24">
                  <c:v>0.63429219451223562</c:v>
                </c:pt>
                <c:pt idx="25">
                  <c:v>0.7032715727713883</c:v>
                </c:pt>
                <c:pt idx="26">
                  <c:v>0.63262510485925405</c:v>
                </c:pt>
                <c:pt idx="27">
                  <c:v>0.60874215554335787</c:v>
                </c:pt>
                <c:pt idx="28">
                  <c:v>0.6364731854927933</c:v>
                </c:pt>
                <c:pt idx="29">
                  <c:v>0.82686522419796304</c:v>
                </c:pt>
                <c:pt idx="30">
                  <c:v>5.313592153437581E-2</c:v>
                </c:pt>
              </c:numCache>
            </c:numRef>
          </c:val>
          <c:smooth val="0"/>
          <c:extLst xmlns:c16r2="http://schemas.microsoft.com/office/drawing/2015/06/chart">
            <c:ext xmlns:c16="http://schemas.microsoft.com/office/drawing/2014/chart" uri="{C3380CC4-5D6E-409C-BE32-E72D297353CC}">
              <c16:uniqueId val="{00000002-E896-48BC-A61D-8D23180890A5}"/>
            </c:ext>
          </c:extLst>
        </c:ser>
        <c:ser>
          <c:idx val="1"/>
          <c:order val="2"/>
          <c:tx>
            <c:v>EFF TARGET TODATE</c:v>
          </c:tx>
          <c:marker>
            <c:symbol val="square"/>
            <c:size val="5"/>
          </c:marker>
          <c:cat>
            <c:numRef>
              <c:f>[2]Report1!$A$9</c:f>
              <c:numCache>
                <c:formatCode>General</c:formatCode>
                <c:ptCount val="1"/>
                <c:pt idx="0">
                  <c:v>45444</c:v>
                </c:pt>
              </c:numCache>
            </c:numRef>
          </c:cat>
          <c:val>
            <c:numRef>
              <c:f>Report1!$K$9:$K$39</c:f>
              <c:numCache>
                <c:formatCode>0.00%</c:formatCode>
                <c:ptCount val="31"/>
                <c:pt idx="0">
                  <c:v>0.80407708966905955</c:v>
                </c:pt>
                <c:pt idx="1">
                  <c:v>0.82348382082965399</c:v>
                </c:pt>
                <c:pt idx="2">
                  <c:v>0.80951237552232824</c:v>
                </c:pt>
                <c:pt idx="3">
                  <c:v>0.8262782069023118</c:v>
                </c:pt>
                <c:pt idx="4">
                  <c:v>0.84387501858670522</c:v>
                </c:pt>
                <c:pt idx="5">
                  <c:v>0.75293166490613217</c:v>
                </c:pt>
                <c:pt idx="6">
                  <c:v>0.75190968352688348</c:v>
                </c:pt>
                <c:pt idx="7">
                  <c:v>0.75810475014105561</c:v>
                </c:pt>
                <c:pt idx="8">
                  <c:v>0.77806339151657067</c:v>
                </c:pt>
                <c:pt idx="9">
                  <c:v>0.76964244702864082</c:v>
                </c:pt>
                <c:pt idx="10">
                  <c:v>0.78726016300178048</c:v>
                </c:pt>
                <c:pt idx="11">
                  <c:v>0.80289198947296092</c:v>
                </c:pt>
                <c:pt idx="12">
                  <c:v>0.80172215171813133</c:v>
                </c:pt>
                <c:pt idx="13">
                  <c:v>0.81205748645936238</c:v>
                </c:pt>
                <c:pt idx="14">
                  <c:v>0.82277433657093313</c:v>
                </c:pt>
                <c:pt idx="15">
                  <c:v>0.8276039405421971</c:v>
                </c:pt>
                <c:pt idx="16">
                  <c:v>0.83376964156905997</c:v>
                </c:pt>
                <c:pt idx="17">
                  <c:v>0.83920411234531656</c:v>
                </c:pt>
                <c:pt idx="18">
                  <c:v>0.84517103605544597</c:v>
                </c:pt>
                <c:pt idx="19">
                  <c:v>0.85248564465198007</c:v>
                </c:pt>
                <c:pt idx="20">
                  <c:v>0.8564696851009812</c:v>
                </c:pt>
                <c:pt idx="21">
                  <c:v>0.86033454335582715</c:v>
                </c:pt>
                <c:pt idx="22">
                  <c:v>0.86215439491810431</c:v>
                </c:pt>
                <c:pt idx="23">
                  <c:v>0.8590980340577451</c:v>
                </c:pt>
                <c:pt idx="24">
                  <c:v>0.8500723670206729</c:v>
                </c:pt>
                <c:pt idx="25">
                  <c:v>0.84433005962682717</c:v>
                </c:pt>
                <c:pt idx="26">
                  <c:v>0.8363269955139252</c:v>
                </c:pt>
                <c:pt idx="27">
                  <c:v>0.82803701103957694</c:v>
                </c:pt>
                <c:pt idx="28">
                  <c:v>0.82128066232452379</c:v>
                </c:pt>
                <c:pt idx="29">
                  <c:v>0.82147031873985998</c:v>
                </c:pt>
                <c:pt idx="30">
                  <c:v>0.79624347980899668</c:v>
                </c:pt>
              </c:numCache>
            </c:numRef>
          </c:val>
          <c:smooth val="0"/>
          <c:extLst xmlns:c16r2="http://schemas.microsoft.com/office/drawing/2015/06/chart">
            <c:ext xmlns:c16="http://schemas.microsoft.com/office/drawing/2014/chart" uri="{C3380CC4-5D6E-409C-BE32-E72D297353CC}">
              <c16:uniqueId val="{00000003-E896-48BC-A61D-8D23180890A5}"/>
            </c:ext>
          </c:extLst>
        </c:ser>
        <c:dLbls>
          <c:showLegendKey val="0"/>
          <c:showVal val="0"/>
          <c:showCatName val="0"/>
          <c:showSerName val="0"/>
          <c:showPercent val="0"/>
          <c:showBubbleSize val="0"/>
        </c:dLbls>
        <c:marker val="1"/>
        <c:smooth val="0"/>
        <c:axId val="525952432"/>
        <c:axId val="525951648"/>
      </c:lineChart>
      <c:catAx>
        <c:axId val="525956352"/>
        <c:scaling>
          <c:orientation val="minMax"/>
        </c:scaling>
        <c:delete val="0"/>
        <c:axPos val="b"/>
        <c:numFmt formatCode="General" sourceLinked="1"/>
        <c:majorTickMark val="out"/>
        <c:minorTickMark val="none"/>
        <c:tickLblPos val="nextTo"/>
        <c:crossAx val="525954392"/>
        <c:crosses val="autoZero"/>
        <c:auto val="1"/>
        <c:lblAlgn val="ctr"/>
        <c:lblOffset val="100"/>
        <c:noMultiLvlLbl val="0"/>
      </c:catAx>
      <c:valAx>
        <c:axId val="525954392"/>
        <c:scaling>
          <c:orientation val="minMax"/>
        </c:scaling>
        <c:delete val="0"/>
        <c:axPos val="l"/>
        <c:majorGridlines/>
        <c:numFmt formatCode="#,##0.000" sourceLinked="1"/>
        <c:majorTickMark val="out"/>
        <c:minorTickMark val="none"/>
        <c:tickLblPos val="nextTo"/>
        <c:crossAx val="525956352"/>
        <c:crosses val="autoZero"/>
        <c:crossBetween val="between"/>
      </c:valAx>
      <c:valAx>
        <c:axId val="525951648"/>
        <c:scaling>
          <c:orientation val="minMax"/>
        </c:scaling>
        <c:delete val="0"/>
        <c:axPos val="r"/>
        <c:numFmt formatCode="0.00%" sourceLinked="1"/>
        <c:majorTickMark val="out"/>
        <c:minorTickMark val="none"/>
        <c:tickLblPos val="nextTo"/>
        <c:crossAx val="525952432"/>
        <c:crosses val="max"/>
        <c:crossBetween val="between"/>
      </c:valAx>
      <c:catAx>
        <c:axId val="525952432"/>
        <c:scaling>
          <c:orientation val="minMax"/>
        </c:scaling>
        <c:delete val="1"/>
        <c:axPos val="b"/>
        <c:numFmt formatCode="General" sourceLinked="1"/>
        <c:majorTickMark val="out"/>
        <c:minorTickMark val="none"/>
        <c:tickLblPos val="none"/>
        <c:crossAx val="525951648"/>
        <c:crosses val="autoZero"/>
        <c:auto val="1"/>
        <c:lblAlgn val="ctr"/>
        <c:lblOffset val="100"/>
        <c:noMultiLvlLbl val="0"/>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504824</xdr:colOff>
      <xdr:row>26</xdr:row>
      <xdr:rowOff>95249</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JANUARI%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0120-P-PRD-DI\1.%20JANUARI\Users\win7\Documents\PM%2012\5.%20MEI\DAILY%20REPORT%20PM%20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8"/>
      <sheetName val="29"/>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AY9">
            <v>4609.7933803828882</v>
          </cell>
        </row>
        <row r="10">
          <cell r="AY10">
            <v>5215.6722276402515</v>
          </cell>
        </row>
        <row r="11">
          <cell r="AY11">
            <v>4809.8780033999492</v>
          </cell>
        </row>
        <row r="12">
          <cell r="AY12">
            <v>4954.3705482401765</v>
          </cell>
        </row>
        <row r="13">
          <cell r="AY13">
            <v>5248.7084387651821</v>
          </cell>
        </row>
        <row r="14">
          <cell r="AY14">
            <v>2262.5317017006114</v>
          </cell>
        </row>
        <row r="15">
          <cell r="AY15">
            <v>4833.6882305745858</v>
          </cell>
        </row>
        <row r="16">
          <cell r="AY16">
            <v>5031.5806380985978</v>
          </cell>
        </row>
        <row r="17">
          <cell r="AY17">
            <v>3875.8599820681407</v>
          </cell>
        </row>
        <row r="18">
          <cell r="AY18">
            <v>4629.3169974049761</v>
          </cell>
        </row>
        <row r="19">
          <cell r="AY19">
            <v>5245.5837875362877</v>
          </cell>
        </row>
        <row r="20">
          <cell r="AY20">
            <v>5839.2933742552796</v>
          </cell>
        </row>
        <row r="21">
          <cell r="AY21">
            <v>5336.2658096908835</v>
          </cell>
        </row>
        <row r="22">
          <cell r="AY22">
            <v>5765.3370909396826</v>
          </cell>
        </row>
        <row r="23">
          <cell r="AY23">
            <v>5606.3907590350254</v>
          </cell>
        </row>
        <row r="24">
          <cell r="AY24">
            <v>5828.2339932904706</v>
          </cell>
        </row>
        <row r="25">
          <cell r="AY25">
            <v>5210.2065198914606</v>
          </cell>
        </row>
        <row r="26">
          <cell r="AY26">
            <v>5381.9622978592333</v>
          </cell>
        </row>
        <row r="27">
          <cell r="AY27">
            <v>5813.3922723056248</v>
          </cell>
        </row>
        <row r="28">
          <cell r="AY28">
            <v>5792.7104294867731</v>
          </cell>
        </row>
        <row r="29">
          <cell r="AY29">
            <v>5439.9797719945491</v>
          </cell>
        </row>
        <row r="30">
          <cell r="AY30">
            <v>5708.1952845600254</v>
          </cell>
        </row>
        <row r="31">
          <cell r="AY31">
            <v>4071.2316094896742</v>
          </cell>
        </row>
        <row r="32">
          <cell r="AY32">
            <v>3332.6079795251853</v>
          </cell>
        </row>
        <row r="33">
          <cell r="AY33">
            <v>0</v>
          </cell>
        </row>
        <row r="34">
          <cell r="AY34">
            <v>733.07004137967488</v>
          </cell>
        </row>
        <row r="35">
          <cell r="AY35">
            <v>548.90238635136598</v>
          </cell>
        </row>
        <row r="36">
          <cell r="AY36">
            <v>751.71565911139305</v>
          </cell>
        </row>
        <row r="37">
          <cell r="AY37">
            <v>741.47128343354757</v>
          </cell>
        </row>
        <row r="38">
          <cell r="AY38">
            <v>3507.0011595211181</v>
          </cell>
        </row>
        <row r="39">
          <cell r="AY39">
            <v>50.039888432354616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sheetName val="master"/>
      <sheetName val="VERSI PAK VENTJE"/>
      <sheetName val="Report1"/>
      <sheetName val="GRAFIK"/>
      <sheetName val="Listrik"/>
      <sheetName val="Trim Rwd"/>
      <sheetName val="Efficiency1"/>
      <sheetName val="Efficiency2"/>
      <sheetName val="Efficiency"/>
      <sheetName val="Problem"/>
      <sheetName val="prod"/>
      <sheetName val="BB"/>
      <sheetName val="Chem"/>
      <sheetName val="RBP"/>
      <sheetName val="Sheet1"/>
      <sheetName val="summary"/>
      <sheetName val="1"/>
      <sheetName val="2"/>
      <sheetName val="3"/>
      <sheetName val="4"/>
      <sheetName val="5"/>
      <sheetName val="29"/>
      <sheetName val="30"/>
      <sheetName val="31"/>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s>
    <sheetDataSet>
      <sheetData sheetId="0"/>
      <sheetData sheetId="1"/>
      <sheetData sheetId="2"/>
      <sheetData sheetId="3">
        <row r="9">
          <cell r="A9">
            <v>45444</v>
          </cell>
        </row>
        <row r="10">
          <cell r="A10">
            <v>45445</v>
          </cell>
        </row>
        <row r="11">
          <cell r="A11">
            <v>45446</v>
          </cell>
        </row>
        <row r="12">
          <cell r="A12">
            <v>45447</v>
          </cell>
        </row>
        <row r="13">
          <cell r="A13">
            <v>45448</v>
          </cell>
        </row>
        <row r="14">
          <cell r="A14">
            <v>45449</v>
          </cell>
        </row>
        <row r="15">
          <cell r="A15">
            <v>45450</v>
          </cell>
        </row>
        <row r="16">
          <cell r="A16">
            <v>45451</v>
          </cell>
        </row>
        <row r="17">
          <cell r="A17">
            <v>45452</v>
          </cell>
        </row>
        <row r="18">
          <cell r="A18">
            <v>45453</v>
          </cell>
        </row>
        <row r="19">
          <cell r="A19">
            <v>45454</v>
          </cell>
        </row>
        <row r="20">
          <cell r="A20">
            <v>45455</v>
          </cell>
        </row>
        <row r="21">
          <cell r="A21">
            <v>45456</v>
          </cell>
        </row>
        <row r="22">
          <cell r="A22">
            <v>45457</v>
          </cell>
        </row>
        <row r="23">
          <cell r="A23">
            <v>45458</v>
          </cell>
        </row>
        <row r="24">
          <cell r="A24">
            <v>45459</v>
          </cell>
        </row>
        <row r="25">
          <cell r="A25">
            <v>45460</v>
          </cell>
        </row>
        <row r="26">
          <cell r="A26">
            <v>45461</v>
          </cell>
        </row>
        <row r="27">
          <cell r="A27">
            <v>45462</v>
          </cell>
        </row>
        <row r="28">
          <cell r="A28">
            <v>45463</v>
          </cell>
        </row>
        <row r="29">
          <cell r="A29">
            <v>45464</v>
          </cell>
        </row>
        <row r="30">
          <cell r="A30">
            <v>45465</v>
          </cell>
        </row>
        <row r="31">
          <cell r="A31">
            <v>45466</v>
          </cell>
        </row>
        <row r="32">
          <cell r="A32">
            <v>45467</v>
          </cell>
        </row>
        <row r="33">
          <cell r="A33">
            <v>45468</v>
          </cell>
        </row>
        <row r="34">
          <cell r="A34">
            <v>45469</v>
          </cell>
        </row>
        <row r="35">
          <cell r="A35">
            <v>45470</v>
          </cell>
        </row>
        <row r="36">
          <cell r="A36">
            <v>45471</v>
          </cell>
        </row>
        <row r="37">
          <cell r="A37">
            <v>45472</v>
          </cell>
        </row>
        <row r="38">
          <cell r="A38">
            <v>45473</v>
          </cell>
        </row>
        <row r="39">
          <cell r="A39">
            <v>45474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s>
    <sheetDataSet>
      <sheetData sheetId="0" refreshError="1"/>
      <sheetData sheetId="1">
        <row r="7">
          <cell r="D7">
            <v>0</v>
          </cell>
          <cell r="AL7">
            <v>27960.639999999999</v>
          </cell>
          <cell r="AM7">
            <v>9800.64</v>
          </cell>
          <cell r="AN7">
            <v>610.00000000001364</v>
          </cell>
          <cell r="BM7">
            <v>25319.999999999956</v>
          </cell>
          <cell r="BQ7">
            <v>139.79999999998836</v>
          </cell>
        </row>
        <row r="8">
          <cell r="AL8">
            <v>31985.4</v>
          </cell>
          <cell r="AM8">
            <v>10825.4</v>
          </cell>
          <cell r="AN8">
            <v>800.00000000006821</v>
          </cell>
          <cell r="BM8">
            <v>26779.999999999956</v>
          </cell>
          <cell r="BQ8">
            <v>1120.1000000000058</v>
          </cell>
        </row>
        <row r="9">
          <cell r="AL9">
            <v>28478.28</v>
          </cell>
          <cell r="AM9">
            <v>10318.280000000001</v>
          </cell>
          <cell r="AN9">
            <v>599.99999999990905</v>
          </cell>
          <cell r="BM9">
            <v>25570.000000000044</v>
          </cell>
          <cell r="BQ9">
            <v>1200.1000000000058</v>
          </cell>
        </row>
        <row r="10">
          <cell r="AL10">
            <v>30403.5</v>
          </cell>
          <cell r="AM10">
            <v>11243.5</v>
          </cell>
          <cell r="AN10">
            <v>570.00000000005002</v>
          </cell>
          <cell r="BM10">
            <v>25340.000000000044</v>
          </cell>
          <cell r="BQ10">
            <v>1259.7999999999884</v>
          </cell>
        </row>
        <row r="11">
          <cell r="AL11">
            <v>30623.89</v>
          </cell>
          <cell r="AM11">
            <v>10463.89</v>
          </cell>
          <cell r="AN11">
            <v>690.00000000005457</v>
          </cell>
          <cell r="BM11">
            <v>28129.999999999956</v>
          </cell>
          <cell r="BQ11">
            <v>1210.1000000000058</v>
          </cell>
        </row>
        <row r="12">
          <cell r="AL12">
            <v>13809.19</v>
          </cell>
          <cell r="AM12">
            <v>8649.19</v>
          </cell>
          <cell r="AN12">
            <v>209.99999999992269</v>
          </cell>
          <cell r="BM12">
            <v>16920.000000000044</v>
          </cell>
          <cell r="BQ12">
            <v>1130.1000000000058</v>
          </cell>
        </row>
        <row r="13">
          <cell r="AL13">
            <v>25408.720000000001</v>
          </cell>
          <cell r="AM13">
            <v>12248.72</v>
          </cell>
          <cell r="AN13">
            <v>320.00000000005002</v>
          </cell>
          <cell r="BM13">
            <v>24940.000000000044</v>
          </cell>
          <cell r="BQ13">
            <v>1230.0999999999767</v>
          </cell>
        </row>
        <row r="14">
          <cell r="AL14">
            <v>24964.57</v>
          </cell>
          <cell r="AM14">
            <v>10804.57</v>
          </cell>
          <cell r="AN14">
            <v>669.99999999995907</v>
          </cell>
          <cell r="BM14">
            <v>25470</v>
          </cell>
          <cell r="BQ14">
            <v>1210.1000000000058</v>
          </cell>
        </row>
        <row r="15">
          <cell r="AL15">
            <v>27856.18</v>
          </cell>
          <cell r="AM15">
            <v>10696.18</v>
          </cell>
          <cell r="AN15">
            <v>750</v>
          </cell>
          <cell r="BM15">
            <v>24740</v>
          </cell>
          <cell r="BQ15">
            <v>1299.6000000000058</v>
          </cell>
        </row>
        <row r="16">
          <cell r="AL16">
            <v>27904.23</v>
          </cell>
          <cell r="AM16">
            <v>9744.23</v>
          </cell>
          <cell r="AN16">
            <v>450.00000000004547</v>
          </cell>
          <cell r="BM16">
            <v>22579.999999999862</v>
          </cell>
          <cell r="BQ16">
            <v>1250.1000000000058</v>
          </cell>
        </row>
        <row r="17">
          <cell r="AL17">
            <v>31142.17</v>
          </cell>
          <cell r="AM17">
            <v>11982.17</v>
          </cell>
          <cell r="AN17">
            <v>569.99999999993634</v>
          </cell>
          <cell r="BM17">
            <v>28170.000000000091</v>
          </cell>
          <cell r="BQ17">
            <v>1260.1000000000058</v>
          </cell>
        </row>
        <row r="18">
          <cell r="AL18">
            <v>31626.44</v>
          </cell>
          <cell r="AM18">
            <v>10466.44</v>
          </cell>
          <cell r="AN18">
            <v>580.00000000004093</v>
          </cell>
          <cell r="BM18">
            <v>25953.200000000023</v>
          </cell>
          <cell r="BQ18">
            <v>1419.7999999999884</v>
          </cell>
        </row>
        <row r="19">
          <cell r="AL19">
            <v>29994.43</v>
          </cell>
          <cell r="AM19">
            <v>10834.43</v>
          </cell>
          <cell r="AN19">
            <v>460.00000000003638</v>
          </cell>
          <cell r="BM19">
            <v>22009.5</v>
          </cell>
          <cell r="BQ19">
            <v>1430.1000000000058</v>
          </cell>
        </row>
        <row r="20">
          <cell r="AL20">
            <v>31075.19</v>
          </cell>
          <cell r="AM20">
            <v>10915.19</v>
          </cell>
          <cell r="AN20">
            <v>599.99999999990905</v>
          </cell>
          <cell r="BM20">
            <v>25272.300000000389</v>
          </cell>
          <cell r="BQ20">
            <v>1416.5999999999767</v>
          </cell>
        </row>
        <row r="21">
          <cell r="AL21">
            <v>31786.76</v>
          </cell>
          <cell r="AM21">
            <v>11626.76</v>
          </cell>
          <cell r="AN21">
            <v>640.00000000010004</v>
          </cell>
          <cell r="BM21">
            <v>24513.94999999932</v>
          </cell>
          <cell r="BQ21">
            <v>1436.8000000000175</v>
          </cell>
        </row>
        <row r="22">
          <cell r="AL22">
            <v>32460.89</v>
          </cell>
          <cell r="AM22">
            <v>10300.89</v>
          </cell>
          <cell r="AN22">
            <v>529.99999999997272</v>
          </cell>
          <cell r="BM22">
            <v>24911.2560000005</v>
          </cell>
          <cell r="BQ22">
            <v>1424.0000000000291</v>
          </cell>
        </row>
        <row r="23">
          <cell r="AL23">
            <v>26630.12</v>
          </cell>
          <cell r="AM23">
            <v>10470.120000000001</v>
          </cell>
          <cell r="AN23">
            <v>779.99999999997272</v>
          </cell>
          <cell r="BM23">
            <v>25366.652000000144</v>
          </cell>
          <cell r="BQ23">
            <v>1452.3999999999942</v>
          </cell>
        </row>
        <row r="24">
          <cell r="AL24">
            <v>29526.01</v>
          </cell>
          <cell r="AM24">
            <v>11366.01</v>
          </cell>
          <cell r="AN24">
            <v>620.00000000000455</v>
          </cell>
          <cell r="BM24">
            <v>24979.086000000065</v>
          </cell>
          <cell r="BQ24">
            <v>1359.7999999999884</v>
          </cell>
        </row>
        <row r="25">
          <cell r="AL25">
            <v>31926.49</v>
          </cell>
          <cell r="AM25">
            <v>9766.49</v>
          </cell>
          <cell r="AN25">
            <v>509.99999999999091</v>
          </cell>
          <cell r="BM25">
            <v>24339.090999999822</v>
          </cell>
          <cell r="BQ25">
            <v>1436.3999999999942</v>
          </cell>
        </row>
        <row r="26">
          <cell r="AL26">
            <v>32382.66</v>
          </cell>
          <cell r="AM26">
            <v>11222.66</v>
          </cell>
          <cell r="AN26">
            <v>460.00000000003638</v>
          </cell>
          <cell r="BM26">
            <v>22682.857999999804</v>
          </cell>
          <cell r="BQ26">
            <v>1374.1000000000058</v>
          </cell>
        </row>
        <row r="27">
          <cell r="AL27">
            <v>31012.69</v>
          </cell>
          <cell r="AM27">
            <v>10852.69</v>
          </cell>
          <cell r="AN27">
            <v>629.99999999999545</v>
          </cell>
          <cell r="BM27">
            <v>26164.900000000063</v>
          </cell>
          <cell r="BQ27">
            <v>1419.7999999999884</v>
          </cell>
        </row>
        <row r="28">
          <cell r="AL28">
            <v>35336.17</v>
          </cell>
          <cell r="AM28">
            <v>11176.17</v>
          </cell>
          <cell r="AN28">
            <v>819.99999999993634</v>
          </cell>
          <cell r="BM28">
            <v>20303.999999999956</v>
          </cell>
          <cell r="BQ28">
            <v>1410.1000000000058</v>
          </cell>
        </row>
        <row r="29">
          <cell r="AL29">
            <v>31284.84</v>
          </cell>
          <cell r="AM29">
            <v>11124.84</v>
          </cell>
          <cell r="AN29">
            <v>860.00000000001364</v>
          </cell>
          <cell r="BM29">
            <v>20654.99999999996</v>
          </cell>
          <cell r="BQ29">
            <v>1400.1000000000058</v>
          </cell>
        </row>
        <row r="30">
          <cell r="AL30">
            <v>30535.45</v>
          </cell>
          <cell r="AM30">
            <v>10375.450000000001</v>
          </cell>
          <cell r="AN30">
            <v>570.00000000005002</v>
          </cell>
          <cell r="BM30">
            <v>17617.10000000006</v>
          </cell>
          <cell r="BQ30">
            <v>1370.0999999999767</v>
          </cell>
        </row>
        <row r="31">
          <cell r="AL31">
            <v>26355.8</v>
          </cell>
          <cell r="AM31">
            <v>10195.799999999999</v>
          </cell>
          <cell r="AN31">
            <v>500</v>
          </cell>
          <cell r="BM31">
            <v>17101.979999999683</v>
          </cell>
          <cell r="BQ31">
            <v>1322.2000000000116</v>
          </cell>
        </row>
        <row r="32">
          <cell r="AL32">
            <v>24850.13</v>
          </cell>
          <cell r="AM32">
            <v>10690.13</v>
          </cell>
          <cell r="AN32">
            <v>429.99999999994998</v>
          </cell>
          <cell r="BM32">
            <v>19674.360000000219</v>
          </cell>
          <cell r="BQ32">
            <v>1397.6000000000058</v>
          </cell>
        </row>
        <row r="33">
          <cell r="AL33">
            <v>25031.51</v>
          </cell>
          <cell r="AM33">
            <v>11871.51</v>
          </cell>
          <cell r="AN33">
            <v>500</v>
          </cell>
          <cell r="BM33">
            <v>18813.8</v>
          </cell>
          <cell r="BQ33">
            <v>1329.8999999999942</v>
          </cell>
        </row>
        <row r="34">
          <cell r="AL34">
            <v>26311.59</v>
          </cell>
          <cell r="AM34">
            <v>11151.59</v>
          </cell>
          <cell r="AN34">
            <v>480.00000000001819</v>
          </cell>
          <cell r="BM34">
            <v>19380.000000000033</v>
          </cell>
          <cell r="BQ34">
            <v>300.10000000000582</v>
          </cell>
        </row>
        <row r="35">
          <cell r="AL35">
            <v>24355.37</v>
          </cell>
          <cell r="AM35">
            <v>10195.370000000001</v>
          </cell>
          <cell r="AN35">
            <v>509.99999999999091</v>
          </cell>
          <cell r="BM35">
            <v>20064</v>
          </cell>
          <cell r="BQ35">
            <v>1320.1000000000058</v>
          </cell>
        </row>
        <row r="36">
          <cell r="AL36">
            <v>27914.87</v>
          </cell>
          <cell r="AM36">
            <v>10754.87</v>
          </cell>
          <cell r="AN36">
            <v>450.00000000004547</v>
          </cell>
          <cell r="BM36">
            <v>26404.799999999999</v>
          </cell>
          <cell r="BQ36">
            <v>1729.7999999999884</v>
          </cell>
        </row>
        <row r="37">
          <cell r="AL37">
            <v>4632.51</v>
          </cell>
          <cell r="AM37">
            <v>5472.51</v>
          </cell>
          <cell r="AN37">
            <v>339.99999999991815</v>
          </cell>
          <cell r="BM37">
            <v>0</v>
          </cell>
          <cell r="BQ37">
            <v>1430.1000000000058</v>
          </cell>
        </row>
      </sheetData>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O65536"/>
  <sheetViews>
    <sheetView zoomScaleNormal="100" workbookViewId="0">
      <pane xSplit="3" ySplit="8" topLeftCell="P12" activePane="bottomRight" state="frozen"/>
      <selection pane="topRight" activeCell="E1" sqref="E1"/>
      <selection pane="bottomLeft" activeCell="A9" sqref="A9"/>
      <selection pane="bottomRight" activeCell="AC17" sqref="AC17"/>
    </sheetView>
  </sheetViews>
  <sheetFormatPr defaultColWidth="9.140625" defaultRowHeight="12.75"/>
  <cols>
    <col min="1" max="1" width="7.42578125" style="289" bestFit="1" customWidth="1"/>
    <col min="2" max="2" width="10.42578125" style="288" bestFit="1" customWidth="1"/>
    <col min="3" max="3" width="12.28515625" style="288" bestFit="1" customWidth="1"/>
    <col min="4" max="5" width="8.42578125" style="288" customWidth="1"/>
    <col min="6" max="6" width="6.28515625" style="288" customWidth="1"/>
    <col min="7" max="7" width="8.28515625" style="288" customWidth="1"/>
    <col min="8" max="8" width="10.42578125" style="288" customWidth="1"/>
    <col min="9" max="9" width="12.28515625" style="288" customWidth="1"/>
    <col min="10" max="11" width="10.5703125" style="288" customWidth="1"/>
    <col min="12" max="12" width="10" style="290" bestFit="1" customWidth="1"/>
    <col min="13" max="15" width="9.42578125" style="291" customWidth="1"/>
    <col min="16" max="16" width="10.28515625" style="290" bestFit="1" customWidth="1"/>
    <col min="17" max="17" width="8.140625" style="291" customWidth="1"/>
    <col min="18" max="18" width="10.28515625" style="290" bestFit="1" customWidth="1"/>
    <col min="19" max="19" width="8.28515625" style="292" bestFit="1" customWidth="1"/>
    <col min="20" max="20" width="9" style="292" hidden="1" customWidth="1"/>
    <col min="21" max="21" width="7.28515625" style="292" hidden="1" customWidth="1"/>
    <col min="22" max="22" width="8.28515625" style="293" hidden="1" customWidth="1"/>
    <col min="23" max="23" width="7.28515625" style="294" hidden="1" customWidth="1"/>
    <col min="24" max="24" width="6.85546875" style="292" hidden="1" customWidth="1"/>
    <col min="25" max="25" width="6.28515625" style="292" hidden="1" customWidth="1"/>
    <col min="26" max="26" width="10" style="295" hidden="1" customWidth="1"/>
    <col min="27" max="27" width="7.140625" style="292" hidden="1" customWidth="1"/>
    <col min="28" max="28" width="11.140625" style="291" customWidth="1"/>
    <col min="29" max="29" width="10.140625" style="291" customWidth="1"/>
    <col min="30" max="30" width="7.5703125" style="291" customWidth="1"/>
    <col min="31" max="31" width="7.140625" style="291" customWidth="1"/>
    <col min="32" max="32" width="6.5703125" style="296" customWidth="1"/>
    <col min="33" max="33" width="6.85546875" style="294" customWidth="1"/>
    <col min="34" max="34" width="9.28515625" style="292" bestFit="1" customWidth="1"/>
    <col min="35" max="35" width="7.85546875" style="292" customWidth="1"/>
    <col min="36" max="36" width="8.7109375" style="295" bestFit="1" customWidth="1"/>
    <col min="37" max="37" width="6.85546875" style="295" bestFit="1" customWidth="1"/>
    <col min="38" max="38" width="8.140625" style="292" bestFit="1" customWidth="1"/>
    <col min="39" max="39" width="7.5703125" style="295" bestFit="1" customWidth="1"/>
    <col min="40" max="45" width="7.5703125" style="295" customWidth="1"/>
    <col min="46" max="47" width="10.7109375" style="292" bestFit="1" customWidth="1"/>
    <col min="48" max="51" width="7.5703125" style="295" customWidth="1"/>
    <col min="58" max="58" width="8.85546875" style="292" customWidth="1"/>
    <col min="59" max="59" width="11.140625" style="292" customWidth="1"/>
    <col min="60" max="63" width="7.5703125" style="295" customWidth="1"/>
    <col min="64" max="64" width="8.7109375" style="290" customWidth="1"/>
    <col min="65" max="65" width="8.7109375" style="291" customWidth="1"/>
    <col min="66" max="67" width="8.7109375" style="288" customWidth="1"/>
  </cols>
  <sheetData>
    <row r="1" spans="1:67" ht="12.75" customHeight="1">
      <c r="A1" s="287"/>
    </row>
    <row r="2" spans="1:67">
      <c r="A2" s="287"/>
    </row>
    <row r="3" spans="1:67" ht="12.75" customHeight="1">
      <c r="A3" s="454" t="s">
        <v>388</v>
      </c>
      <c r="B3" s="454"/>
      <c r="C3" s="454"/>
      <c r="D3" s="454"/>
      <c r="E3" s="454"/>
      <c r="F3" s="454"/>
      <c r="G3" s="454"/>
      <c r="H3" s="454"/>
      <c r="I3" s="454"/>
      <c r="J3" s="454"/>
      <c r="K3" s="454"/>
      <c r="L3" s="454"/>
      <c r="M3" s="454"/>
      <c r="N3" s="454"/>
      <c r="O3" s="454"/>
      <c r="P3" s="454"/>
      <c r="Q3" s="454"/>
      <c r="R3" s="454"/>
      <c r="S3" s="454"/>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54"/>
      <c r="AW3" s="454"/>
      <c r="AX3" s="454"/>
      <c r="AY3" s="454"/>
      <c r="AZ3" s="454"/>
      <c r="BA3" s="454"/>
      <c r="BB3" s="454"/>
      <c r="BC3" s="454"/>
      <c r="BF3" s="586"/>
      <c r="BG3" s="586"/>
      <c r="BH3" s="586"/>
      <c r="BI3" s="586"/>
      <c r="BJ3" s="586"/>
      <c r="BK3" s="586"/>
      <c r="BL3"/>
      <c r="BM3"/>
      <c r="BN3"/>
      <c r="BO3"/>
    </row>
    <row r="4" spans="1:67" ht="12.75" customHeight="1">
      <c r="A4" s="454"/>
      <c r="B4" s="454"/>
      <c r="C4" s="454"/>
      <c r="D4" s="454"/>
      <c r="E4" s="454"/>
      <c r="F4" s="454"/>
      <c r="G4" s="454"/>
      <c r="H4" s="454"/>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54"/>
      <c r="AW4" s="454"/>
      <c r="AX4" s="454"/>
      <c r="AY4" s="454"/>
      <c r="AZ4" s="454"/>
      <c r="BA4" s="454"/>
      <c r="BB4" s="454"/>
      <c r="BC4" s="454"/>
      <c r="BF4" s="586"/>
      <c r="BG4" s="586"/>
      <c r="BH4" s="586"/>
      <c r="BI4" s="586"/>
      <c r="BJ4" s="586"/>
      <c r="BK4" s="586"/>
      <c r="BL4"/>
      <c r="BM4"/>
      <c r="BN4"/>
      <c r="BO4"/>
    </row>
    <row r="5" spans="1:67">
      <c r="BN5" s="291"/>
      <c r="BO5" s="291"/>
    </row>
    <row r="6" spans="1:67" ht="22.7" customHeight="1">
      <c r="A6" s="632" t="s">
        <v>30</v>
      </c>
      <c r="B6" s="635" t="s">
        <v>6</v>
      </c>
      <c r="C6" s="635" t="s">
        <v>7</v>
      </c>
      <c r="D6" s="635" t="s">
        <v>188</v>
      </c>
      <c r="E6" s="635" t="s">
        <v>189</v>
      </c>
      <c r="F6" s="635" t="s">
        <v>190</v>
      </c>
      <c r="G6" s="635" t="s">
        <v>195</v>
      </c>
      <c r="H6" s="635" t="s">
        <v>191</v>
      </c>
      <c r="I6" s="635" t="s">
        <v>192</v>
      </c>
      <c r="J6" s="627" t="s">
        <v>193</v>
      </c>
      <c r="K6" s="628"/>
      <c r="L6" s="624" t="s">
        <v>194</v>
      </c>
      <c r="M6" s="624"/>
      <c r="N6" s="624" t="s">
        <v>196</v>
      </c>
      <c r="O6" s="624"/>
      <c r="P6" s="625" t="s">
        <v>31</v>
      </c>
      <c r="Q6" s="625"/>
      <c r="R6" s="626" t="s">
        <v>24</v>
      </c>
      <c r="S6" s="626"/>
      <c r="T6" s="626" t="s">
        <v>32</v>
      </c>
      <c r="U6" s="626"/>
      <c r="V6" s="626" t="s">
        <v>33</v>
      </c>
      <c r="W6" s="626"/>
      <c r="X6" s="626" t="s">
        <v>34</v>
      </c>
      <c r="Y6" s="626"/>
      <c r="Z6" s="626"/>
      <c r="AA6" s="626"/>
      <c r="AB6" s="626" t="s">
        <v>35</v>
      </c>
      <c r="AC6" s="626"/>
      <c r="AD6" s="626"/>
      <c r="AE6" s="626"/>
      <c r="AF6" s="626"/>
      <c r="AG6" s="626"/>
      <c r="AH6" s="626" t="s">
        <v>36</v>
      </c>
      <c r="AI6" s="626"/>
      <c r="AJ6" s="626"/>
      <c r="AK6" s="626"/>
      <c r="AL6" s="626"/>
      <c r="AM6" s="626"/>
      <c r="AN6" s="626" t="s">
        <v>186</v>
      </c>
      <c r="AO6" s="626"/>
      <c r="AP6" s="626"/>
      <c r="AQ6" s="626"/>
      <c r="AR6" s="626"/>
      <c r="AS6" s="626"/>
      <c r="AT6" s="626" t="s">
        <v>37</v>
      </c>
      <c r="AU6" s="626"/>
      <c r="AV6" s="626"/>
      <c r="AW6" s="626"/>
      <c r="AX6" s="626"/>
      <c r="AY6" s="626"/>
      <c r="AZ6" s="626" t="s">
        <v>185</v>
      </c>
      <c r="BA6" s="626"/>
      <c r="BB6" s="626"/>
      <c r="BC6" s="626"/>
      <c r="BD6" s="626"/>
      <c r="BE6" s="626"/>
      <c r="BF6" s="626" t="s">
        <v>432</v>
      </c>
      <c r="BG6" s="626"/>
      <c r="BH6" s="626"/>
      <c r="BI6" s="626"/>
      <c r="BJ6" s="626"/>
      <c r="BK6" s="626"/>
      <c r="BL6" s="624" t="s">
        <v>362</v>
      </c>
      <c r="BM6" s="624"/>
      <c r="BN6" s="627" t="s">
        <v>363</v>
      </c>
      <c r="BO6" s="628"/>
    </row>
    <row r="7" spans="1:67" ht="22.7" customHeight="1">
      <c r="A7" s="633"/>
      <c r="B7" s="635"/>
      <c r="C7" s="635"/>
      <c r="D7" s="635"/>
      <c r="E7" s="635"/>
      <c r="F7" s="635"/>
      <c r="G7" s="635"/>
      <c r="H7" s="635"/>
      <c r="I7" s="635"/>
      <c r="J7" s="629"/>
      <c r="K7" s="630"/>
      <c r="L7" s="624"/>
      <c r="M7" s="624"/>
      <c r="N7" s="624"/>
      <c r="O7" s="624"/>
      <c r="P7" s="625"/>
      <c r="Q7" s="625"/>
      <c r="R7" s="626"/>
      <c r="S7" s="626"/>
      <c r="T7" s="626"/>
      <c r="U7" s="626"/>
      <c r="V7" s="626"/>
      <c r="W7" s="626"/>
      <c r="X7" s="626" t="s">
        <v>40</v>
      </c>
      <c r="Y7" s="626"/>
      <c r="Z7" s="626" t="s">
        <v>39</v>
      </c>
      <c r="AA7" s="626"/>
      <c r="AB7" s="626" t="s">
        <v>40</v>
      </c>
      <c r="AC7" s="626"/>
      <c r="AD7" s="626" t="s">
        <v>38</v>
      </c>
      <c r="AE7" s="626"/>
      <c r="AF7" s="626" t="s">
        <v>39</v>
      </c>
      <c r="AG7" s="626"/>
      <c r="AH7" s="626" t="s">
        <v>40</v>
      </c>
      <c r="AI7" s="626"/>
      <c r="AJ7" s="631" t="s">
        <v>38</v>
      </c>
      <c r="AK7" s="631"/>
      <c r="AL7" s="626" t="s">
        <v>39</v>
      </c>
      <c r="AM7" s="626"/>
      <c r="AN7" s="626" t="s">
        <v>40</v>
      </c>
      <c r="AO7" s="626"/>
      <c r="AP7" s="631" t="s">
        <v>38</v>
      </c>
      <c r="AQ7" s="631"/>
      <c r="AR7" s="626" t="s">
        <v>39</v>
      </c>
      <c r="AS7" s="626"/>
      <c r="AT7" s="626" t="s">
        <v>40</v>
      </c>
      <c r="AU7" s="626"/>
      <c r="AV7" s="626" t="s">
        <v>27</v>
      </c>
      <c r="AW7" s="626"/>
      <c r="AX7" s="626" t="s">
        <v>28</v>
      </c>
      <c r="AY7" s="626"/>
      <c r="AZ7" s="626" t="s">
        <v>40</v>
      </c>
      <c r="BA7" s="626"/>
      <c r="BB7" s="626" t="s">
        <v>27</v>
      </c>
      <c r="BC7" s="626"/>
      <c r="BD7" s="626" t="s">
        <v>28</v>
      </c>
      <c r="BE7" s="626"/>
      <c r="BF7" s="626" t="s">
        <v>40</v>
      </c>
      <c r="BG7" s="626"/>
      <c r="BH7" s="626" t="s">
        <v>27</v>
      </c>
      <c r="BI7" s="626"/>
      <c r="BJ7" s="626" t="s">
        <v>28</v>
      </c>
      <c r="BK7" s="626"/>
      <c r="BL7" s="624"/>
      <c r="BM7" s="624"/>
      <c r="BN7" s="629"/>
      <c r="BO7" s="630"/>
    </row>
    <row r="8" spans="1:67" s="1" customFormat="1">
      <c r="A8" s="634"/>
      <c r="B8" s="635"/>
      <c r="C8" s="635"/>
      <c r="D8" s="635"/>
      <c r="E8" s="635"/>
      <c r="F8" s="635"/>
      <c r="G8" s="635"/>
      <c r="H8" s="635"/>
      <c r="I8" s="635"/>
      <c r="J8" s="460" t="s">
        <v>41</v>
      </c>
      <c r="K8" s="458" t="s">
        <v>42</v>
      </c>
      <c r="L8" s="297" t="s">
        <v>41</v>
      </c>
      <c r="M8" s="298" t="s">
        <v>42</v>
      </c>
      <c r="N8" s="297" t="s">
        <v>41</v>
      </c>
      <c r="O8" s="298" t="s">
        <v>42</v>
      </c>
      <c r="P8" s="297" t="s">
        <v>41</v>
      </c>
      <c r="Q8" s="298" t="s">
        <v>42</v>
      </c>
      <c r="R8" s="297" t="s">
        <v>41</v>
      </c>
      <c r="S8" s="299" t="s">
        <v>42</v>
      </c>
      <c r="T8" s="300" t="s">
        <v>41</v>
      </c>
      <c r="U8" s="299" t="s">
        <v>42</v>
      </c>
      <c r="V8" s="301" t="s">
        <v>41</v>
      </c>
      <c r="W8" s="298" t="s">
        <v>42</v>
      </c>
      <c r="X8" s="300" t="s">
        <v>41</v>
      </c>
      <c r="Y8" s="299" t="s">
        <v>42</v>
      </c>
      <c r="Z8" s="302" t="s">
        <v>41</v>
      </c>
      <c r="AA8" s="299" t="s">
        <v>42</v>
      </c>
      <c r="AB8" s="303" t="s">
        <v>41</v>
      </c>
      <c r="AC8" s="298" t="s">
        <v>42</v>
      </c>
      <c r="AD8" s="304" t="s">
        <v>41</v>
      </c>
      <c r="AE8" s="298" t="s">
        <v>42</v>
      </c>
      <c r="AF8" s="304" t="s">
        <v>41</v>
      </c>
      <c r="AG8" s="298" t="s">
        <v>42</v>
      </c>
      <c r="AH8" s="300" t="s">
        <v>41</v>
      </c>
      <c r="AI8" s="299" t="s">
        <v>42</v>
      </c>
      <c r="AJ8" s="302" t="s">
        <v>41</v>
      </c>
      <c r="AK8" s="305" t="s">
        <v>42</v>
      </c>
      <c r="AL8" s="300" t="s">
        <v>41</v>
      </c>
      <c r="AM8" s="305" t="s">
        <v>42</v>
      </c>
      <c r="AN8" s="300" t="s">
        <v>41</v>
      </c>
      <c r="AO8" s="299" t="s">
        <v>42</v>
      </c>
      <c r="AP8" s="302" t="s">
        <v>41</v>
      </c>
      <c r="AQ8" s="305" t="s">
        <v>42</v>
      </c>
      <c r="AR8" s="300" t="s">
        <v>41</v>
      </c>
      <c r="AS8" s="305" t="s">
        <v>42</v>
      </c>
      <c r="AT8" s="300" t="s">
        <v>41</v>
      </c>
      <c r="AU8" s="299" t="s">
        <v>42</v>
      </c>
      <c r="AV8" s="302" t="s">
        <v>41</v>
      </c>
      <c r="AW8" s="305" t="s">
        <v>42</v>
      </c>
      <c r="AX8" s="302" t="s">
        <v>41</v>
      </c>
      <c r="AY8" s="305" t="s">
        <v>42</v>
      </c>
      <c r="AZ8" s="300" t="s">
        <v>41</v>
      </c>
      <c r="BA8" s="299" t="s">
        <v>42</v>
      </c>
      <c r="BB8" s="302" t="s">
        <v>41</v>
      </c>
      <c r="BC8" s="305" t="s">
        <v>42</v>
      </c>
      <c r="BD8" s="302" t="s">
        <v>41</v>
      </c>
      <c r="BE8" s="305" t="s">
        <v>42</v>
      </c>
      <c r="BF8" s="300" t="s">
        <v>41</v>
      </c>
      <c r="BG8" s="299" t="s">
        <v>42</v>
      </c>
      <c r="BH8" s="302" t="s">
        <v>41</v>
      </c>
      <c r="BI8" s="305" t="s">
        <v>42</v>
      </c>
      <c r="BJ8" s="302" t="s">
        <v>41</v>
      </c>
      <c r="BK8" s="305" t="s">
        <v>42</v>
      </c>
      <c r="BL8" s="297" t="s">
        <v>41</v>
      </c>
      <c r="BM8" s="298" t="s">
        <v>42</v>
      </c>
      <c r="BN8" s="460" t="s">
        <v>41</v>
      </c>
      <c r="BO8" s="458" t="s">
        <v>42</v>
      </c>
    </row>
    <row r="9" spans="1:67">
      <c r="A9" s="18">
        <v>46023</v>
      </c>
      <c r="B9" s="440" t="s">
        <v>417</v>
      </c>
      <c r="C9" s="441" t="s">
        <v>418</v>
      </c>
      <c r="D9" s="445">
        <f>+'1'!F42</f>
        <v>1226.3498098859316</v>
      </c>
      <c r="E9" s="445">
        <f>+'1'!G42</f>
        <v>963.19391634980991</v>
      </c>
      <c r="F9" s="50">
        <f t="shared" ref="F9:F39" si="0">1-(E9/D9)</f>
        <v>0.21458468979629797</v>
      </c>
      <c r="G9" s="450">
        <f>+P9/N9</f>
        <v>0.86663364171390911</v>
      </c>
      <c r="H9" s="448">
        <f>+P9/L9</f>
        <v>0.81129465782946952</v>
      </c>
      <c r="I9" s="448">
        <f>+R9/P9</f>
        <v>0.9911036414565827</v>
      </c>
      <c r="J9" s="452">
        <f>+R9/L9</f>
        <v>0.80407708966905955</v>
      </c>
      <c r="K9" s="452">
        <f>+S9/M9</f>
        <v>0.80407708966905955</v>
      </c>
      <c r="L9" s="311">
        <f>+Efficiency1!K6</f>
        <v>55.00467625337177</v>
      </c>
      <c r="M9" s="306">
        <f>L9</f>
        <v>55.00467625337177</v>
      </c>
      <c r="N9" s="311">
        <f>+Efficiency1!C6</f>
        <v>51.492346768060834</v>
      </c>
      <c r="O9" s="306">
        <f>N9</f>
        <v>51.492346768060834</v>
      </c>
      <c r="P9" s="307">
        <f>'1'!I38</f>
        <v>44.625</v>
      </c>
      <c r="Q9" s="306">
        <f>P9</f>
        <v>44.625</v>
      </c>
      <c r="R9" s="16">
        <f>'1'!I40</f>
        <v>44.228000000000002</v>
      </c>
      <c r="S9" s="308">
        <f>R9</f>
        <v>44.228000000000002</v>
      </c>
      <c r="T9" s="8">
        <f t="shared" ref="T9:T38" si="1">R9/P9</f>
        <v>0.9911036414565827</v>
      </c>
      <c r="U9" s="8">
        <f t="shared" ref="U9:U38" si="2">S9/Q9</f>
        <v>0.9911036414565827</v>
      </c>
      <c r="V9" s="309">
        <f t="shared" ref="V9:V38" si="3">R9/L9</f>
        <v>0.80407708966905955</v>
      </c>
      <c r="W9" s="310">
        <f t="shared" ref="W9:W38" si="4">S9/M9</f>
        <v>0.80407708966905955</v>
      </c>
      <c r="X9" s="308"/>
      <c r="Y9" s="308"/>
      <c r="Z9" s="7"/>
      <c r="AA9" s="308"/>
      <c r="AB9" s="102">
        <f>+[1]Report1!AY9</f>
        <v>4609.7933803828882</v>
      </c>
      <c r="AC9" s="306">
        <f>AB9</f>
        <v>4609.7933803828882</v>
      </c>
      <c r="AD9" s="306">
        <f t="shared" ref="AD9:AD39" si="5">AB9/P9</f>
        <v>103.30069199737565</v>
      </c>
      <c r="AE9" s="306">
        <f t="shared" ref="AE9:AE39" si="6">AC9/Q9</f>
        <v>103.30069199737565</v>
      </c>
      <c r="AF9" s="312">
        <f t="shared" ref="AF9:AF39" si="7">IF(AND(R9&gt;0,AB9&gt;0),(AB9/(R9*1000))*1000,0)</f>
        <v>104.22794113192748</v>
      </c>
      <c r="AG9" s="306">
        <f t="shared" ref="AG9:AG39" si="8">IF(AND(S9&gt;0,AC9&gt;0),AC9/S9,0)</f>
        <v>104.22794113192747</v>
      </c>
      <c r="AH9" s="553">
        <v>62.5</v>
      </c>
      <c r="AI9" s="313">
        <f>AH9</f>
        <v>62.5</v>
      </c>
      <c r="AJ9" s="314">
        <f t="shared" ref="AJ9:AJ39" si="9">AH9/(P9)</f>
        <v>1.4005602240896358</v>
      </c>
      <c r="AK9" s="314">
        <f t="shared" ref="AK9:AK39" si="10">AI9/(Q9)</f>
        <v>1.4005602240896358</v>
      </c>
      <c r="AL9" s="311">
        <f t="shared" ref="AL9:AL39" si="11">IF(AND(R9&gt;0,AH9&gt;0),AH9/(R9),0)</f>
        <v>1.4131319526092068</v>
      </c>
      <c r="AM9" s="314">
        <f t="shared" ref="AM9:AM39" si="12">IF(AND(S9&gt;0,AI9&gt;0),AI9/(S9),0)</f>
        <v>1.4131319526092068</v>
      </c>
      <c r="AN9" s="102">
        <v>4.9000000000000004</v>
      </c>
      <c r="AO9" s="313">
        <f>AN9</f>
        <v>4.9000000000000004</v>
      </c>
      <c r="AP9" s="314">
        <f>AN9/(P9)</f>
        <v>0.10980392156862746</v>
      </c>
      <c r="AQ9" s="314">
        <f>AO9/(Q9)</f>
        <v>0.10980392156862746</v>
      </c>
      <c r="AR9" s="311">
        <f>IF(AND(R9&gt;0,AN9&gt;0),AN9/(R9),0)</f>
        <v>0.11078954508456182</v>
      </c>
      <c r="AS9" s="314">
        <f>IF(AND(S9&gt;0,AO9&gt;0),AO9/(S9),0)</f>
        <v>0.11078954508456182</v>
      </c>
      <c r="AT9" s="313">
        <f>'1'!I46</f>
        <v>38371.280000000013</v>
      </c>
      <c r="AU9" s="313">
        <f>AT9</f>
        <v>38371.280000000013</v>
      </c>
      <c r="AV9" s="314">
        <f t="shared" ref="AV9:AV39" si="13">IF(AND(L9&gt;0,AT9&gt;0),(AT9/(P9*1000)*1000),0)</f>
        <v>859.86061624649892</v>
      </c>
      <c r="AW9" s="314">
        <f t="shared" ref="AW9:AW39" si="14">IF(AND(M9&gt;0,AU9&gt;0),(AU9/(Q9*1000)*1000),0)</f>
        <v>859.86061624649892</v>
      </c>
      <c r="AX9" s="314">
        <f t="shared" ref="AX9:AX39" si="15">IF(AND(R9&gt;0,AT9&gt;0),(AT9/(R9*1000)*1000),0)</f>
        <v>867.57890928823394</v>
      </c>
      <c r="AY9" s="314">
        <f t="shared" ref="AY9:AY39" si="16">IF(AND(S9&gt;0,AU9&gt;0),(AU9/(S9*1000)*1000),0)</f>
        <v>867.57890928823394</v>
      </c>
      <c r="AZ9" s="313">
        <f>+Listrik!S8</f>
        <v>25319.999999999956</v>
      </c>
      <c r="BA9" s="313">
        <f>AZ9</f>
        <v>25319.999999999956</v>
      </c>
      <c r="BB9" s="314">
        <f t="shared" ref="BB9:BB39" si="17">IF(AND(L9&gt;0,AZ9&gt;0),(AZ9/(P9*1000)*1000),0)</f>
        <v>567.39495798319228</v>
      </c>
      <c r="BC9" s="314">
        <f>IF(AND(M9&gt;0,BA9&gt;0),(BA9/(Q9*1000)*1000),0)</f>
        <v>567.39495798319228</v>
      </c>
      <c r="BD9" s="314">
        <f t="shared" ref="BD9:BD39" si="18">IF(AND(R9&gt;0,AZ9&gt;0),(AZ9/(R9*1000)*1000),0)</f>
        <v>572.48801664104087</v>
      </c>
      <c r="BE9" s="314">
        <f t="shared" ref="BE9:BE39" si="19">IF(AND(S9&gt;0,BA9&gt;0),(BA9/(S9*1000)*1000),0)</f>
        <v>572.48801664104087</v>
      </c>
      <c r="BF9" s="587">
        <f>+Listrik!V8</f>
        <v>139.79999999998836</v>
      </c>
      <c r="BG9" s="587">
        <f>BF9</f>
        <v>139.79999999998836</v>
      </c>
      <c r="BH9" s="588">
        <f>IF(AND(L9&gt;0,BF9&gt;0),(BF9/(P9*1000)*1000),0)</f>
        <v>3.1327731092434363</v>
      </c>
      <c r="BI9" s="588">
        <f>IF(AND(M9&gt;0,BG9&gt;0),(BG9/(Q9*1000)*1000),0)</f>
        <v>3.1327731092434363</v>
      </c>
      <c r="BJ9" s="588">
        <f>IF(AND(R9&gt;0,BF9&gt;0),(BF9/(R9*1000)*1000),0)</f>
        <v>3.1608935515960108</v>
      </c>
      <c r="BK9" s="588">
        <f>IF(AND(S9&gt;0,BG9&gt;0),(BG9/(S9*1000)*1000),0)</f>
        <v>3.1608935515960108</v>
      </c>
      <c r="BL9" s="543">
        <f>+Efficiency2!K6</f>
        <v>55.00467625337177</v>
      </c>
      <c r="BM9" s="544">
        <f>BL9</f>
        <v>55.00467625337177</v>
      </c>
      <c r="BN9" s="545">
        <f t="shared" ref="BN9:BN39" si="20">+R9/BL9</f>
        <v>0.80407708966905955</v>
      </c>
      <c r="BO9" s="545">
        <f t="shared" ref="BO9:BO39" si="21">+S9/BM9</f>
        <v>0.80407708966905955</v>
      </c>
    </row>
    <row r="10" spans="1:67">
      <c r="A10" s="18">
        <f t="shared" ref="A10:A38" si="22">A9+1</f>
        <v>46024</v>
      </c>
      <c r="B10" s="440" t="s">
        <v>417</v>
      </c>
      <c r="C10" s="441" t="s">
        <v>418</v>
      </c>
      <c r="D10" s="445">
        <f>+'2'!F42</f>
        <v>1250</v>
      </c>
      <c r="E10" s="445">
        <f>+'2'!G42</f>
        <v>975</v>
      </c>
      <c r="F10" s="50">
        <f t="shared" si="0"/>
        <v>0.21999999999999997</v>
      </c>
      <c r="G10" s="450">
        <f t="shared" ref="G10:G41" si="23">+P10/N10</f>
        <v>0.95373487966080561</v>
      </c>
      <c r="H10" s="448">
        <f t="shared" ref="H10:H39" si="24">+P10/L10</f>
        <v>0.90315802998182337</v>
      </c>
      <c r="I10" s="448">
        <f t="shared" ref="I10:I41" si="25">+R10/P10</f>
        <v>0.93325555197940124</v>
      </c>
      <c r="J10" s="452">
        <f t="shared" ref="J10:J41" si="26">+R10/L10</f>
        <v>0.8428772457953152</v>
      </c>
      <c r="K10" s="452">
        <f t="shared" ref="K10:K40" si="27">+S10/M10</f>
        <v>0.82348382082965399</v>
      </c>
      <c r="L10" s="311">
        <f>+Efficiency1!K12</f>
        <v>55.04241600000001</v>
      </c>
      <c r="M10" s="14">
        <f t="shared" ref="M10:O38" si="28">M9+L10</f>
        <v>110.04709225337177</v>
      </c>
      <c r="N10" s="311">
        <f>+Efficiency1!C12</f>
        <v>52.1235</v>
      </c>
      <c r="O10" s="14">
        <f t="shared" si="28"/>
        <v>103.61584676806083</v>
      </c>
      <c r="P10" s="307">
        <f>'2'!I38</f>
        <v>49.712000000000003</v>
      </c>
      <c r="Q10" s="14">
        <f t="shared" ref="Q10:Q38" si="29">Q9+P10</f>
        <v>94.337000000000003</v>
      </c>
      <c r="R10" s="16">
        <f>'2'!I40</f>
        <v>46.393999999999998</v>
      </c>
      <c r="S10" s="308">
        <f t="shared" ref="S10:S38" si="30">S9+R10</f>
        <v>90.622</v>
      </c>
      <c r="T10" s="8">
        <f t="shared" si="1"/>
        <v>0.93325555197940124</v>
      </c>
      <c r="U10" s="8">
        <f t="shared" si="2"/>
        <v>0.96061990523336549</v>
      </c>
      <c r="V10" s="309">
        <f t="shared" si="3"/>
        <v>0.8428772457953152</v>
      </c>
      <c r="W10" s="310">
        <f t="shared" si="4"/>
        <v>0.82348382082965399</v>
      </c>
      <c r="X10" s="308"/>
      <c r="Y10" s="308"/>
      <c r="Z10" s="7"/>
      <c r="AA10" s="308"/>
      <c r="AB10" s="102">
        <f>+[1]Report1!AY10</f>
        <v>5215.6722276402515</v>
      </c>
      <c r="AC10" s="14">
        <f t="shared" ref="AC10:AC38" si="31">AB10+AC9</f>
        <v>9825.4656080231398</v>
      </c>
      <c r="AD10" s="306">
        <f t="shared" si="5"/>
        <v>104.91777091326543</v>
      </c>
      <c r="AE10" s="306">
        <f t="shared" si="6"/>
        <v>104.15283089374412</v>
      </c>
      <c r="AF10" s="312">
        <f t="shared" si="7"/>
        <v>112.42126627667913</v>
      </c>
      <c r="AG10" s="306">
        <f t="shared" si="8"/>
        <v>108.42252000643487</v>
      </c>
      <c r="AH10" s="553">
        <v>65.400000000000006</v>
      </c>
      <c r="AI10" s="308">
        <f t="shared" ref="AI10:AI38" si="32">AH10+AI9</f>
        <v>127.9</v>
      </c>
      <c r="AJ10" s="314">
        <f t="shared" si="9"/>
        <v>1.315577727711619</v>
      </c>
      <c r="AK10" s="314">
        <f t="shared" si="10"/>
        <v>1.3557776906197991</v>
      </c>
      <c r="AL10" s="311">
        <f t="shared" si="11"/>
        <v>1.4096650428934778</v>
      </c>
      <c r="AM10" s="314">
        <f t="shared" si="12"/>
        <v>1.4113570656132066</v>
      </c>
      <c r="AN10" s="102">
        <v>4.0999999999999996</v>
      </c>
      <c r="AO10" s="308">
        <f t="shared" ref="AO10:AO38" si="33">AN10+AO9</f>
        <v>9</v>
      </c>
      <c r="AP10" s="314">
        <f t="shared" ref="AP10:AP39" si="34">AN10/(P10)</f>
        <v>8.2475056324428697E-2</v>
      </c>
      <c r="AQ10" s="314">
        <f t="shared" ref="AQ10:AQ39" si="35">AO10/(Q10)</f>
        <v>9.540265219373098E-2</v>
      </c>
      <c r="AR10" s="311">
        <f t="shared" ref="AR10:AR39" si="36">IF(AND(R10&gt;0,AN10&gt;0),AN10/(R10),0)</f>
        <v>8.8373496572832694E-2</v>
      </c>
      <c r="AS10" s="314">
        <f t="shared" ref="AS10:AS39" si="37">IF(AND(S10&gt;0,AO10&gt;0),AO10/(S10),0)</f>
        <v>9.931363245128115E-2</v>
      </c>
      <c r="AT10" s="313">
        <f>'2'!I46</f>
        <v>43610.800000000068</v>
      </c>
      <c r="AU10" s="308">
        <f t="shared" ref="AU10:AU38" si="38">AT10+AU9</f>
        <v>81982.080000000075</v>
      </c>
      <c r="AV10" s="314">
        <f t="shared" si="13"/>
        <v>877.26906984229299</v>
      </c>
      <c r="AW10" s="314">
        <f t="shared" si="14"/>
        <v>869.03420715095956</v>
      </c>
      <c r="AX10" s="314">
        <f t="shared" si="15"/>
        <v>940.00948398499952</v>
      </c>
      <c r="AY10" s="314">
        <f t="shared" si="16"/>
        <v>904.65979563461497</v>
      </c>
      <c r="AZ10" s="313">
        <f>+Listrik!S9</f>
        <v>26779.999999999956</v>
      </c>
      <c r="BA10" s="308">
        <f t="shared" ref="BA10:BA38" si="39">AZ10+BA9</f>
        <v>52099.999999999913</v>
      </c>
      <c r="BB10" s="314">
        <f t="shared" si="17"/>
        <v>538.702928870292</v>
      </c>
      <c r="BC10" s="314">
        <f t="shared" ref="BC10:BC39" si="40">IF(AND(M10&gt;0,BA10&gt;0),(BA10/(Q10*1000)*1000),0)</f>
        <v>552.27535325481961</v>
      </c>
      <c r="BD10" s="314">
        <f t="shared" si="18"/>
        <v>577.22981420011115</v>
      </c>
      <c r="BE10" s="314">
        <f t="shared" si="19"/>
        <v>574.91558341241546</v>
      </c>
      <c r="BF10" s="587">
        <f>+Listrik!V9</f>
        <v>1120.1000000000058</v>
      </c>
      <c r="BG10" s="589">
        <f t="shared" ref="BG10:BG39" si="41">BF10+BG9</f>
        <v>1259.8999999999942</v>
      </c>
      <c r="BH10" s="588">
        <f>IF(AND(L10&gt;0,BF10&gt;0),(BF10/(P10*1000)*1000),0)</f>
        <v>22.531783070486117</v>
      </c>
      <c r="BI10" s="588">
        <f>IF(AND(M10&gt;0,BG10&gt;0),(BG10/(Q10*1000)*1000),0)</f>
        <v>13.355311277653458</v>
      </c>
      <c r="BJ10" s="588">
        <f t="shared" ref="BJ10:BK38" si="42">IF(AND(R10&gt;0,BF10&gt;0),(BF10/(R10*1000)*1000),0)</f>
        <v>24.143208173470835</v>
      </c>
      <c r="BK10" s="588">
        <f t="shared" si="42"/>
        <v>13.902805058374282</v>
      </c>
      <c r="BL10" s="543">
        <f>+Efficiency2!K12</f>
        <v>55.04241600000001</v>
      </c>
      <c r="BM10" s="544">
        <f t="shared" ref="BM10:BM38" si="43">BM9+BL10</f>
        <v>110.04709225337177</v>
      </c>
      <c r="BN10" s="545">
        <f t="shared" si="20"/>
        <v>0.8428772457953152</v>
      </c>
      <c r="BO10" s="545">
        <f t="shared" si="21"/>
        <v>0.82348382082965399</v>
      </c>
    </row>
    <row r="11" spans="1:67">
      <c r="A11" s="18">
        <f t="shared" si="22"/>
        <v>46025</v>
      </c>
      <c r="B11" s="440" t="s">
        <v>417</v>
      </c>
      <c r="C11" s="441" t="s">
        <v>418</v>
      </c>
      <c r="D11" s="445">
        <f>+'3'!F42</f>
        <v>1260</v>
      </c>
      <c r="E11" s="445">
        <f>+'3'!G42</f>
        <v>982.8</v>
      </c>
      <c r="F11" s="50">
        <f t="shared" si="0"/>
        <v>0.22000000000000008</v>
      </c>
      <c r="G11" s="450">
        <f t="shared" si="23"/>
        <v>0.81649412925133091</v>
      </c>
      <c r="H11" s="448">
        <f t="shared" si="24"/>
        <v>0.77938075973990695</v>
      </c>
      <c r="I11" s="448">
        <f t="shared" si="25"/>
        <v>1.0028205785682651</v>
      </c>
      <c r="J11" s="452">
        <f t="shared" si="26"/>
        <v>0.78157906440734748</v>
      </c>
      <c r="K11" s="452">
        <f t="shared" si="27"/>
        <v>0.80951237552232824</v>
      </c>
      <c r="L11" s="311">
        <f>+Efficiency1!K17</f>
        <v>55.042415999999989</v>
      </c>
      <c r="M11" s="14">
        <f t="shared" si="28"/>
        <v>165.08950825337178</v>
      </c>
      <c r="N11" s="311">
        <f>+Efficiency1!C17</f>
        <v>52.540488000000003</v>
      </c>
      <c r="O11" s="14">
        <f t="shared" si="28"/>
        <v>156.15633476806084</v>
      </c>
      <c r="P11" s="307">
        <f>'3'!I38</f>
        <v>42.899000000000001</v>
      </c>
      <c r="Q11" s="14">
        <f t="shared" si="29"/>
        <v>137.23599999999999</v>
      </c>
      <c r="R11" s="16">
        <f>'3'!I40</f>
        <v>43.02</v>
      </c>
      <c r="S11" s="308">
        <f t="shared" si="30"/>
        <v>133.642</v>
      </c>
      <c r="T11" s="8">
        <f t="shared" si="1"/>
        <v>1.0028205785682651</v>
      </c>
      <c r="U11" s="8">
        <f t="shared" si="2"/>
        <v>0.9738115363315748</v>
      </c>
      <c r="V11" s="309">
        <f t="shared" si="3"/>
        <v>0.78157906440734748</v>
      </c>
      <c r="W11" s="310">
        <f t="shared" si="4"/>
        <v>0.80951237552232824</v>
      </c>
      <c r="X11" s="308"/>
      <c r="Y11" s="308"/>
      <c r="Z11" s="7"/>
      <c r="AA11" s="308"/>
      <c r="AB11" s="102">
        <f>+[1]Report1!AY11</f>
        <v>4809.8780033999492</v>
      </c>
      <c r="AC11" s="14">
        <f t="shared" si="31"/>
        <v>14635.34361142309</v>
      </c>
      <c r="AD11" s="306">
        <f t="shared" si="5"/>
        <v>112.1209819203233</v>
      </c>
      <c r="AE11" s="306">
        <f t="shared" si="6"/>
        <v>106.64361837581313</v>
      </c>
      <c r="AF11" s="312">
        <f t="shared" si="7"/>
        <v>111.80562536959437</v>
      </c>
      <c r="AG11" s="306">
        <f t="shared" si="8"/>
        <v>109.51155782929835</v>
      </c>
      <c r="AH11" s="553">
        <v>62.2</v>
      </c>
      <c r="AI11" s="308">
        <f t="shared" si="32"/>
        <v>190.10000000000002</v>
      </c>
      <c r="AJ11" s="314">
        <f t="shared" si="9"/>
        <v>1.4499172474882864</v>
      </c>
      <c r="AK11" s="314">
        <f t="shared" si="10"/>
        <v>1.385205048238072</v>
      </c>
      <c r="AL11" s="311">
        <f t="shared" si="11"/>
        <v>1.4458391445839145</v>
      </c>
      <c r="AM11" s="314">
        <f t="shared" si="12"/>
        <v>1.4224570120171804</v>
      </c>
      <c r="AN11" s="102">
        <v>0</v>
      </c>
      <c r="AO11" s="308">
        <f t="shared" si="33"/>
        <v>9</v>
      </c>
      <c r="AP11" s="314">
        <f t="shared" si="34"/>
        <v>0</v>
      </c>
      <c r="AQ11" s="314">
        <f t="shared" si="35"/>
        <v>6.5580459937625707E-2</v>
      </c>
      <c r="AR11" s="311">
        <f t="shared" si="36"/>
        <v>0</v>
      </c>
      <c r="AS11" s="314">
        <f t="shared" si="37"/>
        <v>6.7344098412175812E-2</v>
      </c>
      <c r="AT11" s="313">
        <f>'3'!I46</f>
        <v>39396.55999999991</v>
      </c>
      <c r="AU11" s="308">
        <f t="shared" si="38"/>
        <v>121378.63999999998</v>
      </c>
      <c r="AV11" s="314">
        <f t="shared" si="13"/>
        <v>918.35613883773306</v>
      </c>
      <c r="AW11" s="314">
        <f t="shared" si="14"/>
        <v>884.45189308927672</v>
      </c>
      <c r="AX11" s="314">
        <f t="shared" si="15"/>
        <v>915.77312877731072</v>
      </c>
      <c r="AY11" s="314">
        <f t="shared" si="16"/>
        <v>908.23723081067317</v>
      </c>
      <c r="AZ11" s="313">
        <f>+Listrik!S10</f>
        <v>25570.000000000044</v>
      </c>
      <c r="BA11" s="308">
        <f t="shared" si="39"/>
        <v>77669.999999999956</v>
      </c>
      <c r="BB11" s="314">
        <f t="shared" si="17"/>
        <v>596.05119000443005</v>
      </c>
      <c r="BC11" s="314">
        <f t="shared" si="40"/>
        <v>565.95936926170941</v>
      </c>
      <c r="BD11" s="314">
        <f t="shared" si="18"/>
        <v>594.37470943747189</v>
      </c>
      <c r="BE11" s="314">
        <f t="shared" si="19"/>
        <v>581.17956929707691</v>
      </c>
      <c r="BF11" s="587">
        <f>+Listrik!V10</f>
        <v>1200.1000000000058</v>
      </c>
      <c r="BG11" s="589">
        <f t="shared" si="41"/>
        <v>2460</v>
      </c>
      <c r="BH11" s="588">
        <f t="shared" ref="BH11:BI39" si="44">IF(AND(L11&gt;0,BF11&gt;0),(BF11/(P11*1000)*1000),0)</f>
        <v>27.975011072519308</v>
      </c>
      <c r="BI11" s="588">
        <f t="shared" si="44"/>
        <v>17.925325716284355</v>
      </c>
      <c r="BJ11" s="588">
        <f t="shared" si="42"/>
        <v>27.896327289632865</v>
      </c>
      <c r="BK11" s="588">
        <f t="shared" si="42"/>
        <v>18.407386899328053</v>
      </c>
      <c r="BL11" s="543">
        <f>+Efficiency2!K17</f>
        <v>55.042415999999989</v>
      </c>
      <c r="BM11" s="544">
        <f t="shared" si="43"/>
        <v>165.08950825337178</v>
      </c>
      <c r="BN11" s="545">
        <f t="shared" si="20"/>
        <v>0.78157906440734748</v>
      </c>
      <c r="BO11" s="545">
        <f t="shared" si="21"/>
        <v>0.80951237552232824</v>
      </c>
    </row>
    <row r="12" spans="1:67">
      <c r="A12" s="18">
        <f t="shared" si="22"/>
        <v>46026</v>
      </c>
      <c r="B12" s="440" t="s">
        <v>417</v>
      </c>
      <c r="C12" s="441" t="s">
        <v>455</v>
      </c>
      <c r="D12" s="445">
        <f>+'4'!F42</f>
        <v>1225.1152737752161</v>
      </c>
      <c r="E12" s="445">
        <f>+'4'!G42</f>
        <v>964.61585014409229</v>
      </c>
      <c r="F12" s="50">
        <f t="shared" si="0"/>
        <v>0.21263258177199107</v>
      </c>
      <c r="G12" s="450">
        <f t="shared" si="23"/>
        <v>0.90082656892201873</v>
      </c>
      <c r="H12" s="448">
        <f t="shared" si="24"/>
        <v>0.85521163532701738</v>
      </c>
      <c r="I12" s="448">
        <f t="shared" si="25"/>
        <v>1.0254028720011985</v>
      </c>
      <c r="J12" s="452">
        <f t="shared" si="26"/>
        <v>0.87693646703316508</v>
      </c>
      <c r="K12" s="452">
        <f t="shared" si="27"/>
        <v>0.8262782069023118</v>
      </c>
      <c r="L12" s="311">
        <f>+SUM(Efficiency1!K23:K24)</f>
        <v>54.637937640000011</v>
      </c>
      <c r="M12" s="14">
        <f t="shared" si="28"/>
        <v>219.72744589337179</v>
      </c>
      <c r="N12" s="311">
        <f>+SUM(Efficiency1!C23:C24)</f>
        <v>51.871249818837207</v>
      </c>
      <c r="O12" s="14">
        <f t="shared" si="28"/>
        <v>208.02758458689806</v>
      </c>
      <c r="P12" s="307">
        <f>'4'!I38</f>
        <v>46.727000000000004</v>
      </c>
      <c r="Q12" s="14">
        <f t="shared" si="29"/>
        <v>183.96299999999999</v>
      </c>
      <c r="R12" s="16">
        <f>'4'!I40</f>
        <v>47.914000000000001</v>
      </c>
      <c r="S12" s="308">
        <f t="shared" si="30"/>
        <v>181.55599999999998</v>
      </c>
      <c r="T12" s="8">
        <f t="shared" si="1"/>
        <v>1.0254028720011985</v>
      </c>
      <c r="U12" s="8">
        <f t="shared" si="2"/>
        <v>0.98691584720840597</v>
      </c>
      <c r="V12" s="309">
        <f t="shared" si="3"/>
        <v>0.87693646703316508</v>
      </c>
      <c r="W12" s="310">
        <f t="shared" si="4"/>
        <v>0.8262782069023118</v>
      </c>
      <c r="X12" s="308"/>
      <c r="Y12" s="308"/>
      <c r="Z12" s="7"/>
      <c r="AA12" s="308"/>
      <c r="AB12" s="102">
        <f>+[1]Report1!AY12</f>
        <v>4954.3705482401765</v>
      </c>
      <c r="AC12" s="14">
        <f t="shared" si="31"/>
        <v>19589.714159663265</v>
      </c>
      <c r="AD12" s="306">
        <f t="shared" si="5"/>
        <v>106.02800411411339</v>
      </c>
      <c r="AE12" s="306">
        <f t="shared" si="6"/>
        <v>106.48725102147316</v>
      </c>
      <c r="AF12" s="312">
        <f t="shared" si="7"/>
        <v>103.40131377551815</v>
      </c>
      <c r="AG12" s="306">
        <f t="shared" si="8"/>
        <v>107.89901826248247</v>
      </c>
      <c r="AH12" s="553">
        <v>66.5</v>
      </c>
      <c r="AI12" s="308">
        <f t="shared" si="32"/>
        <v>256.60000000000002</v>
      </c>
      <c r="AJ12" s="314">
        <f t="shared" si="9"/>
        <v>1.4231600573544203</v>
      </c>
      <c r="AK12" s="314">
        <f t="shared" si="10"/>
        <v>1.3948457026684715</v>
      </c>
      <c r="AL12" s="311">
        <f t="shared" si="11"/>
        <v>1.387903326793839</v>
      </c>
      <c r="AM12" s="314">
        <f t="shared" si="12"/>
        <v>1.4133380334442269</v>
      </c>
      <c r="AN12" s="102">
        <v>0</v>
      </c>
      <c r="AO12" s="308">
        <f t="shared" si="33"/>
        <v>9</v>
      </c>
      <c r="AP12" s="314">
        <f t="shared" si="34"/>
        <v>0</v>
      </c>
      <c r="AQ12" s="314">
        <f t="shared" si="35"/>
        <v>4.8922881231552001E-2</v>
      </c>
      <c r="AR12" s="311">
        <f t="shared" si="36"/>
        <v>0</v>
      </c>
      <c r="AS12" s="314">
        <f t="shared" si="37"/>
        <v>4.9571482077155261E-2</v>
      </c>
      <c r="AT12" s="313">
        <f>'4'!I46</f>
        <v>42217.000000000051</v>
      </c>
      <c r="AU12" s="308">
        <f t="shared" si="38"/>
        <v>163595.64000000004</v>
      </c>
      <c r="AV12" s="314">
        <f t="shared" si="13"/>
        <v>903.48192693731767</v>
      </c>
      <c r="AW12" s="314">
        <f t="shared" si="14"/>
        <v>889.2855628577488</v>
      </c>
      <c r="AX12" s="314">
        <f t="shared" si="15"/>
        <v>881.09946988354238</v>
      </c>
      <c r="AY12" s="314">
        <f t="shared" si="16"/>
        <v>901.07537068452746</v>
      </c>
      <c r="AZ12" s="313">
        <f>+Listrik!S11</f>
        <v>25340.000000000044</v>
      </c>
      <c r="BA12" s="308">
        <f t="shared" si="39"/>
        <v>103010</v>
      </c>
      <c r="BB12" s="314">
        <f t="shared" si="17"/>
        <v>542.2988850129484</v>
      </c>
      <c r="BC12" s="314">
        <f t="shared" si="40"/>
        <v>559.94955507357463</v>
      </c>
      <c r="BD12" s="314">
        <f t="shared" si="18"/>
        <v>528.86421505196904</v>
      </c>
      <c r="BE12" s="314">
        <f t="shared" si="19"/>
        <v>567.3731520853072</v>
      </c>
      <c r="BF12" s="587">
        <f>+Listrik!V11</f>
        <v>1259.7999999999884</v>
      </c>
      <c r="BG12" s="589">
        <f t="shared" si="41"/>
        <v>3719.7999999999884</v>
      </c>
      <c r="BH12" s="588">
        <f t="shared" si="44"/>
        <v>26.96085774819672</v>
      </c>
      <c r="BI12" s="588">
        <f t="shared" si="44"/>
        <v>20.220370400569617</v>
      </c>
      <c r="BJ12" s="588">
        <f t="shared" si="42"/>
        <v>26.29294152022349</v>
      </c>
      <c r="BK12" s="588">
        <f t="shared" si="42"/>
        <v>20.488444336733512</v>
      </c>
      <c r="BL12" s="543">
        <f>+SUM(Efficiency2!K23:K24)</f>
        <v>54.637937640000011</v>
      </c>
      <c r="BM12" s="544">
        <f t="shared" si="43"/>
        <v>219.72744589337179</v>
      </c>
      <c r="BN12" s="545">
        <f t="shared" si="20"/>
        <v>0.87693646703316508</v>
      </c>
      <c r="BO12" s="545">
        <f t="shared" si="21"/>
        <v>0.8262782069023118</v>
      </c>
    </row>
    <row r="13" spans="1:67">
      <c r="A13" s="18">
        <f t="shared" si="22"/>
        <v>46027</v>
      </c>
      <c r="B13" s="440" t="s">
        <v>417</v>
      </c>
      <c r="C13" s="441" t="s">
        <v>474</v>
      </c>
      <c r="D13" s="445">
        <f>+'5'!F42</f>
        <v>1136.6666666666667</v>
      </c>
      <c r="E13" s="445">
        <f>+'5'!G42</f>
        <v>932.06666666666672</v>
      </c>
      <c r="F13" s="50">
        <f t="shared" si="0"/>
        <v>0.18000000000000005</v>
      </c>
      <c r="G13" s="450">
        <f t="shared" si="23"/>
        <v>0.99313920611420436</v>
      </c>
      <c r="H13" s="448">
        <f t="shared" si="24"/>
        <v>0.96484464183744623</v>
      </c>
      <c r="I13" s="448">
        <f t="shared" si="25"/>
        <v>0.95039783639713071</v>
      </c>
      <c r="J13" s="452">
        <f t="shared" si="26"/>
        <v>0.9169862600616735</v>
      </c>
      <c r="K13" s="452">
        <f t="shared" si="27"/>
        <v>0.84387501858670522</v>
      </c>
      <c r="L13" s="311">
        <f>+Efficiency1!K29</f>
        <v>52.885198080000002</v>
      </c>
      <c r="M13" s="14">
        <f t="shared" si="28"/>
        <v>272.6126439733718</v>
      </c>
      <c r="N13" s="311">
        <f>+Efficiency1!C29</f>
        <v>51.378497279999998</v>
      </c>
      <c r="O13" s="14">
        <f t="shared" si="28"/>
        <v>259.40608186689803</v>
      </c>
      <c r="P13" s="307">
        <f>'5'!I38</f>
        <v>51.026000000000003</v>
      </c>
      <c r="Q13" s="14">
        <f t="shared" si="29"/>
        <v>234.989</v>
      </c>
      <c r="R13" s="16">
        <f>'5'!I40</f>
        <v>48.494999999999997</v>
      </c>
      <c r="S13" s="308">
        <f t="shared" si="30"/>
        <v>230.05099999999999</v>
      </c>
      <c r="T13" s="8">
        <f t="shared" si="1"/>
        <v>0.95039783639713071</v>
      </c>
      <c r="U13" s="8">
        <f t="shared" si="2"/>
        <v>0.97898625042023235</v>
      </c>
      <c r="V13" s="309">
        <f t="shared" si="3"/>
        <v>0.9169862600616735</v>
      </c>
      <c r="W13" s="310">
        <f t="shared" si="4"/>
        <v>0.84387501858670522</v>
      </c>
      <c r="X13" s="308"/>
      <c r="Y13" s="308"/>
      <c r="Z13" s="7"/>
      <c r="AA13" s="308"/>
      <c r="AB13" s="102">
        <f>+[1]Report1!AY13</f>
        <v>5248.7084387651821</v>
      </c>
      <c r="AC13" s="14">
        <f t="shared" si="31"/>
        <v>24838.422598428446</v>
      </c>
      <c r="AD13" s="306">
        <f t="shared" si="5"/>
        <v>102.86341156988951</v>
      </c>
      <c r="AE13" s="306">
        <f t="shared" si="6"/>
        <v>105.70036298902691</v>
      </c>
      <c r="AF13" s="312">
        <f t="shared" si="7"/>
        <v>108.2319504848991</v>
      </c>
      <c r="AG13" s="306">
        <f t="shared" si="8"/>
        <v>107.96920073561274</v>
      </c>
      <c r="AH13" s="553">
        <v>68.2</v>
      </c>
      <c r="AI13" s="308">
        <f t="shared" si="32"/>
        <v>324.8</v>
      </c>
      <c r="AJ13" s="314">
        <f t="shared" si="9"/>
        <v>1.3365735115431348</v>
      </c>
      <c r="AK13" s="314">
        <f t="shared" si="10"/>
        <v>1.3821923579401589</v>
      </c>
      <c r="AL13" s="311">
        <f t="shared" si="11"/>
        <v>1.40633054954119</v>
      </c>
      <c r="AM13" s="314">
        <f t="shared" si="12"/>
        <v>1.4118608482466932</v>
      </c>
      <c r="AN13" s="102">
        <v>0</v>
      </c>
      <c r="AO13" s="308">
        <f t="shared" si="33"/>
        <v>9</v>
      </c>
      <c r="AP13" s="314">
        <f t="shared" si="34"/>
        <v>0</v>
      </c>
      <c r="AQ13" s="314">
        <f t="shared" si="35"/>
        <v>3.829966509070637E-2</v>
      </c>
      <c r="AR13" s="311">
        <f t="shared" si="36"/>
        <v>0</v>
      </c>
      <c r="AS13" s="314">
        <f t="shared" si="37"/>
        <v>3.912175995757463E-2</v>
      </c>
      <c r="AT13" s="313">
        <f>'5'!I46</f>
        <v>41777.780000000057</v>
      </c>
      <c r="AU13" s="308">
        <f t="shared" si="38"/>
        <v>205373.4200000001</v>
      </c>
      <c r="AV13" s="314">
        <f t="shared" si="13"/>
        <v>818.75475247912948</v>
      </c>
      <c r="AW13" s="314">
        <f t="shared" si="14"/>
        <v>873.97035605922019</v>
      </c>
      <c r="AX13" s="314">
        <f t="shared" si="15"/>
        <v>861.48633879781528</v>
      </c>
      <c r="AY13" s="314">
        <f t="shared" si="16"/>
        <v>892.72995987846218</v>
      </c>
      <c r="AZ13" s="313">
        <f>+Listrik!S12</f>
        <v>28129.999999999956</v>
      </c>
      <c r="BA13" s="308">
        <f t="shared" si="39"/>
        <v>131139.99999999994</v>
      </c>
      <c r="BB13" s="314">
        <f t="shared" si="17"/>
        <v>551.28757888135374</v>
      </c>
      <c r="BC13" s="314">
        <f t="shared" si="40"/>
        <v>558.06867555502572</v>
      </c>
      <c r="BD13" s="314">
        <f t="shared" si="18"/>
        <v>580.05979997937845</v>
      </c>
      <c r="BE13" s="314">
        <f t="shared" si="19"/>
        <v>570.04751120403705</v>
      </c>
      <c r="BF13" s="587">
        <f>+Listrik!V12</f>
        <v>1210.1000000000058</v>
      </c>
      <c r="BG13" s="589">
        <f t="shared" si="41"/>
        <v>4929.8999999999942</v>
      </c>
      <c r="BH13" s="588">
        <f t="shared" si="44"/>
        <v>23.715360796456821</v>
      </c>
      <c r="BI13" s="588">
        <f t="shared" si="44"/>
        <v>20.979279881185903</v>
      </c>
      <c r="BJ13" s="588">
        <f t="shared" si="42"/>
        <v>24.953087947211174</v>
      </c>
      <c r="BK13" s="588">
        <f t="shared" si="42"/>
        <v>21.429596046094105</v>
      </c>
      <c r="BL13" s="543">
        <f>+Efficiency2!K29</f>
        <v>52.885198080000002</v>
      </c>
      <c r="BM13" s="544">
        <f t="shared" si="43"/>
        <v>272.6126439733718</v>
      </c>
      <c r="BN13" s="545">
        <f t="shared" si="20"/>
        <v>0.9169862600616735</v>
      </c>
      <c r="BO13" s="545">
        <f t="shared" si="21"/>
        <v>0.84387501858670522</v>
      </c>
    </row>
    <row r="14" spans="1:67">
      <c r="A14" s="18">
        <f t="shared" si="22"/>
        <v>46028</v>
      </c>
      <c r="B14" s="440" t="s">
        <v>503</v>
      </c>
      <c r="C14" s="441" t="s">
        <v>504</v>
      </c>
      <c r="D14" s="445">
        <f>+'6'!F42</f>
        <v>782.19081272084804</v>
      </c>
      <c r="E14" s="445">
        <f>+'6'!G42</f>
        <v>644.07314487632516</v>
      </c>
      <c r="F14" s="50">
        <f t="shared" si="0"/>
        <v>0.17657797253342955</v>
      </c>
      <c r="G14" s="450">
        <f t="shared" si="23"/>
        <v>0.33172945784872615</v>
      </c>
      <c r="H14" s="448">
        <f t="shared" si="24"/>
        <v>0.28524303229869652</v>
      </c>
      <c r="I14" s="448">
        <f t="shared" si="25"/>
        <v>0.94892253136933979</v>
      </c>
      <c r="J14" s="452">
        <f t="shared" si="26"/>
        <v>0.27067354026434548</v>
      </c>
      <c r="K14" s="452">
        <f t="shared" si="27"/>
        <v>0.75293166490613217</v>
      </c>
      <c r="L14" s="311">
        <f>+SUM(Efficiency1!K35:K37)</f>
        <v>51.408792992511636</v>
      </c>
      <c r="M14" s="14">
        <f t="shared" si="28"/>
        <v>324.02143696588342</v>
      </c>
      <c r="N14" s="311">
        <f>+SUM(Efficiency1!C35:C37)</f>
        <v>44.204696487</v>
      </c>
      <c r="O14" s="14">
        <f t="shared" si="28"/>
        <v>303.61077835389801</v>
      </c>
      <c r="P14" s="307">
        <f>'6'!I38</f>
        <v>14.664</v>
      </c>
      <c r="Q14" s="14">
        <f t="shared" si="29"/>
        <v>249.65299999999999</v>
      </c>
      <c r="R14" s="16">
        <f>'6'!I40</f>
        <v>13.914999999999999</v>
      </c>
      <c r="S14" s="308">
        <f t="shared" si="30"/>
        <v>243.96599999999998</v>
      </c>
      <c r="T14" s="8">
        <f t="shared" si="1"/>
        <v>0.94892253136933979</v>
      </c>
      <c r="U14" s="8">
        <f t="shared" si="2"/>
        <v>0.97722038189006333</v>
      </c>
      <c r="V14" s="309">
        <f t="shared" si="3"/>
        <v>0.27067354026434548</v>
      </c>
      <c r="W14" s="310">
        <f t="shared" si="4"/>
        <v>0.75293166490613217</v>
      </c>
      <c r="X14" s="308"/>
      <c r="Y14" s="308"/>
      <c r="Z14" s="7"/>
      <c r="AA14" s="308"/>
      <c r="AB14" s="102">
        <f>+[1]Report1!AY14</f>
        <v>2262.5317017006114</v>
      </c>
      <c r="AC14" s="14">
        <f t="shared" si="31"/>
        <v>27100.954300129059</v>
      </c>
      <c r="AD14" s="306">
        <f t="shared" si="5"/>
        <v>154.29157813015627</v>
      </c>
      <c r="AE14" s="306">
        <f t="shared" si="6"/>
        <v>108.55449083379354</v>
      </c>
      <c r="AF14" s="312">
        <f t="shared" si="7"/>
        <v>162.59660091272809</v>
      </c>
      <c r="AG14" s="306">
        <f t="shared" si="8"/>
        <v>111.0849638889397</v>
      </c>
      <c r="AH14" s="553">
        <v>31</v>
      </c>
      <c r="AI14" s="308">
        <f t="shared" si="32"/>
        <v>355.8</v>
      </c>
      <c r="AJ14" s="314">
        <f t="shared" si="9"/>
        <v>2.1140207310420078</v>
      </c>
      <c r="AK14" s="314">
        <f t="shared" si="10"/>
        <v>1.4251781472684086</v>
      </c>
      <c r="AL14" s="311">
        <f t="shared" si="11"/>
        <v>2.2278117139777218</v>
      </c>
      <c r="AM14" s="314">
        <f t="shared" si="12"/>
        <v>1.4583999409753821</v>
      </c>
      <c r="AN14" s="102">
        <v>0</v>
      </c>
      <c r="AO14" s="308">
        <f t="shared" si="33"/>
        <v>9</v>
      </c>
      <c r="AP14" s="314">
        <f t="shared" si="34"/>
        <v>0</v>
      </c>
      <c r="AQ14" s="314">
        <f t="shared" si="35"/>
        <v>3.6050037451983354E-2</v>
      </c>
      <c r="AR14" s="311">
        <f t="shared" si="36"/>
        <v>0</v>
      </c>
      <c r="AS14" s="314">
        <f t="shared" si="37"/>
        <v>3.6890386365313201E-2</v>
      </c>
      <c r="AT14" s="313">
        <f>'6'!I46</f>
        <v>22668.379999999925</v>
      </c>
      <c r="AU14" s="308">
        <f t="shared" si="38"/>
        <v>228041.80000000002</v>
      </c>
      <c r="AV14" s="314">
        <f t="shared" si="13"/>
        <v>1545.8524277141248</v>
      </c>
      <c r="AW14" s="314">
        <f t="shared" si="14"/>
        <v>913.43504784641095</v>
      </c>
      <c r="AX14" s="314">
        <f t="shared" si="15"/>
        <v>1629.0607258354239</v>
      </c>
      <c r="AY14" s="314">
        <f t="shared" si="16"/>
        <v>934.72778993794236</v>
      </c>
      <c r="AZ14" s="313">
        <f>+Listrik!S13</f>
        <v>16920.000000000044</v>
      </c>
      <c r="BA14" s="308">
        <f t="shared" si="39"/>
        <v>148060</v>
      </c>
      <c r="BB14" s="314">
        <f t="shared" si="17"/>
        <v>1153.8461538461568</v>
      </c>
      <c r="BC14" s="314">
        <f t="shared" si="40"/>
        <v>593.06317168229509</v>
      </c>
      <c r="BD14" s="314">
        <f t="shared" si="18"/>
        <v>1215.9540064678436</v>
      </c>
      <c r="BE14" s="314">
        <f t="shared" si="19"/>
        <v>606.88784502758585</v>
      </c>
      <c r="BF14" s="587">
        <f>+Listrik!V13</f>
        <v>1130.1000000000058</v>
      </c>
      <c r="BG14" s="589">
        <f t="shared" si="41"/>
        <v>6060</v>
      </c>
      <c r="BH14" s="588">
        <f t="shared" si="44"/>
        <v>77.066284779051131</v>
      </c>
      <c r="BI14" s="588">
        <f t="shared" si="44"/>
        <v>24.273691884335459</v>
      </c>
      <c r="BJ14" s="588">
        <f t="shared" si="42"/>
        <v>81.214516708588278</v>
      </c>
      <c r="BK14" s="588">
        <f t="shared" si="42"/>
        <v>24.83952681931089</v>
      </c>
      <c r="BL14" s="543">
        <f>+SUM(Efficiency2!K35:K37)</f>
        <v>34.261562792511626</v>
      </c>
      <c r="BM14" s="544">
        <f t="shared" si="43"/>
        <v>306.8742067658834</v>
      </c>
      <c r="BN14" s="545">
        <f t="shared" si="20"/>
        <v>0.4061402593999982</v>
      </c>
      <c r="BO14" s="545">
        <f t="shared" si="21"/>
        <v>0.79500327698157913</v>
      </c>
    </row>
    <row r="15" spans="1:67">
      <c r="A15" s="18">
        <f t="shared" si="22"/>
        <v>46029</v>
      </c>
      <c r="B15" s="440" t="s">
        <v>505</v>
      </c>
      <c r="C15" s="441" t="s">
        <v>520</v>
      </c>
      <c r="D15" s="445">
        <f>+'7'!F42</f>
        <v>791.73611111111109</v>
      </c>
      <c r="E15" s="445">
        <f>+'7'!G42</f>
        <v>652.42284722222212</v>
      </c>
      <c r="F15" s="50">
        <f t="shared" si="0"/>
        <v>0.17595921410402604</v>
      </c>
      <c r="G15" s="450">
        <f t="shared" si="23"/>
        <v>0.99741490552863066</v>
      </c>
      <c r="H15" s="448">
        <f t="shared" si="24"/>
        <v>0.88858553422792563</v>
      </c>
      <c r="I15" s="448">
        <f t="shared" si="25"/>
        <v>0.83896641953772355</v>
      </c>
      <c r="J15" s="452">
        <f t="shared" si="26"/>
        <v>0.74549342410421804</v>
      </c>
      <c r="K15" s="452">
        <f t="shared" si="27"/>
        <v>0.75190968352688348</v>
      </c>
      <c r="L15" s="311">
        <f>+SUM(Efficiency1!K42:K45)</f>
        <v>51.610113189437463</v>
      </c>
      <c r="M15" s="14">
        <f t="shared" si="28"/>
        <v>375.63155015532089</v>
      </c>
      <c r="N15" s="311">
        <f>+SUM(Efficiency1!C42:C45)</f>
        <v>45.978859695999994</v>
      </c>
      <c r="O15" s="14">
        <f t="shared" si="28"/>
        <v>349.58963804989799</v>
      </c>
      <c r="P15" s="307">
        <f>'7'!I38</f>
        <v>45.86</v>
      </c>
      <c r="Q15" s="14">
        <f t="shared" si="29"/>
        <v>295.51299999999998</v>
      </c>
      <c r="R15" s="16">
        <f>'7'!I40</f>
        <v>38.475000000000001</v>
      </c>
      <c r="S15" s="308">
        <f t="shared" si="30"/>
        <v>282.44099999999997</v>
      </c>
      <c r="T15" s="8">
        <f t="shared" si="1"/>
        <v>0.83896641953772355</v>
      </c>
      <c r="U15" s="8">
        <f t="shared" si="2"/>
        <v>0.95576505940516998</v>
      </c>
      <c r="V15" s="309">
        <f t="shared" si="3"/>
        <v>0.74549342410421804</v>
      </c>
      <c r="W15" s="310">
        <f t="shared" si="4"/>
        <v>0.75190968352688348</v>
      </c>
      <c r="X15" s="308"/>
      <c r="Y15" s="308"/>
      <c r="Z15" s="7"/>
      <c r="AA15" s="308"/>
      <c r="AB15" s="102">
        <f>+[1]Report1!AY15</f>
        <v>4833.6882305745858</v>
      </c>
      <c r="AC15" s="14">
        <f t="shared" si="31"/>
        <v>31934.642530703644</v>
      </c>
      <c r="AD15" s="306">
        <f t="shared" si="5"/>
        <v>105.4009644695723</v>
      </c>
      <c r="AE15" s="306">
        <f t="shared" si="6"/>
        <v>108.06510214678761</v>
      </c>
      <c r="AF15" s="312">
        <f t="shared" si="7"/>
        <v>125.63192282195155</v>
      </c>
      <c r="AG15" s="306">
        <f t="shared" si="8"/>
        <v>113.06659631818202</v>
      </c>
      <c r="AH15" s="553">
        <v>59.5</v>
      </c>
      <c r="AI15" s="308">
        <f t="shared" si="32"/>
        <v>415.3</v>
      </c>
      <c r="AJ15" s="314">
        <f t="shared" si="9"/>
        <v>1.2974269515918011</v>
      </c>
      <c r="AK15" s="314">
        <f t="shared" si="10"/>
        <v>1.4053527255992124</v>
      </c>
      <c r="AL15" s="311">
        <f t="shared" si="11"/>
        <v>1.5464587394411955</v>
      </c>
      <c r="AM15" s="314">
        <f t="shared" si="12"/>
        <v>1.4703955870429579</v>
      </c>
      <c r="AN15" s="102">
        <v>0</v>
      </c>
      <c r="AO15" s="308">
        <f t="shared" si="33"/>
        <v>9</v>
      </c>
      <c r="AP15" s="314">
        <f t="shared" si="34"/>
        <v>0</v>
      </c>
      <c r="AQ15" s="314">
        <f t="shared" si="35"/>
        <v>3.045551295543682E-2</v>
      </c>
      <c r="AR15" s="311">
        <f t="shared" si="36"/>
        <v>0</v>
      </c>
      <c r="AS15" s="314">
        <f t="shared" si="37"/>
        <v>3.1865062083762628E-2</v>
      </c>
      <c r="AT15" s="313">
        <f>'7'!I46</f>
        <v>37977.440000000053</v>
      </c>
      <c r="AU15" s="308">
        <f t="shared" si="38"/>
        <v>266019.24000000005</v>
      </c>
      <c r="AV15" s="314">
        <f t="shared" si="13"/>
        <v>828.1168774531194</v>
      </c>
      <c r="AW15" s="314">
        <f t="shared" si="14"/>
        <v>900.19471224616188</v>
      </c>
      <c r="AX15" s="314">
        <f t="shared" si="15"/>
        <v>987.0679662118273</v>
      </c>
      <c r="AY15" s="314">
        <f t="shared" si="16"/>
        <v>941.85773311948356</v>
      </c>
      <c r="AZ15" s="313">
        <f>+Listrik!S14</f>
        <v>24940.000000000044</v>
      </c>
      <c r="BA15" s="308">
        <f t="shared" si="39"/>
        <v>173000.00000000006</v>
      </c>
      <c r="BB15" s="314">
        <f t="shared" si="17"/>
        <v>543.82904491932061</v>
      </c>
      <c r="BC15" s="314">
        <f t="shared" si="40"/>
        <v>585.42263792117456</v>
      </c>
      <c r="BD15" s="314">
        <f t="shared" si="18"/>
        <v>648.21312540610893</v>
      </c>
      <c r="BE15" s="314">
        <f t="shared" si="19"/>
        <v>612.51730449899287</v>
      </c>
      <c r="BF15" s="587">
        <f>+Listrik!V14</f>
        <v>1230.0999999999767</v>
      </c>
      <c r="BG15" s="589">
        <f t="shared" si="41"/>
        <v>7290.0999999999767</v>
      </c>
      <c r="BH15" s="588">
        <f t="shared" si="44"/>
        <v>26.822939380723437</v>
      </c>
      <c r="BI15" s="588">
        <f t="shared" si="44"/>
        <v>24.669303888492138</v>
      </c>
      <c r="BJ15" s="588">
        <f t="shared" si="42"/>
        <v>31.97141000649712</v>
      </c>
      <c r="BK15" s="588">
        <f t="shared" si="42"/>
        <v>25.811054344093023</v>
      </c>
      <c r="BL15" s="543">
        <f>+SUM(Efficiency2!K42:K45)</f>
        <v>51.610113189437463</v>
      </c>
      <c r="BM15" s="544">
        <f t="shared" si="43"/>
        <v>358.48431995532087</v>
      </c>
      <c r="BN15" s="545">
        <f t="shared" si="20"/>
        <v>0.74549342410421804</v>
      </c>
      <c r="BO15" s="545">
        <f t="shared" si="21"/>
        <v>0.78787546421891352</v>
      </c>
    </row>
    <row r="16" spans="1:67">
      <c r="A16" s="18">
        <f t="shared" si="22"/>
        <v>46030</v>
      </c>
      <c r="B16" s="440" t="s">
        <v>536</v>
      </c>
      <c r="C16" s="441" t="s">
        <v>535</v>
      </c>
      <c r="D16" s="445">
        <f>+'8'!F42</f>
        <v>795.625</v>
      </c>
      <c r="E16" s="445">
        <f>+'8'!G42</f>
        <v>683.36236111111111</v>
      </c>
      <c r="F16" s="50">
        <f t="shared" si="0"/>
        <v>0.14109993890198136</v>
      </c>
      <c r="G16" s="450">
        <f t="shared" si="23"/>
        <v>0.96692511378327872</v>
      </c>
      <c r="H16" s="448">
        <f t="shared" si="24"/>
        <v>0.92428197692727321</v>
      </c>
      <c r="I16" s="448">
        <f t="shared" si="25"/>
        <v>0.86653660090382434</v>
      </c>
      <c r="J16" s="452">
        <f t="shared" si="26"/>
        <v>0.80092416256322629</v>
      </c>
      <c r="K16" s="452">
        <f t="shared" si="27"/>
        <v>0.75810475014105561</v>
      </c>
      <c r="L16" s="311">
        <f>+SUM(Efficiency1!K47:K50)</f>
        <v>54.345969362066668</v>
      </c>
      <c r="M16" s="14">
        <f t="shared" si="28"/>
        <v>429.97751951738758</v>
      </c>
      <c r="N16" s="311">
        <f>+SUM(Efficiency1!C47:C50)</f>
        <v>51.949214353800002</v>
      </c>
      <c r="O16" s="14">
        <f t="shared" si="28"/>
        <v>401.538852403698</v>
      </c>
      <c r="P16" s="307">
        <f>'8'!I38</f>
        <v>50.231000000000002</v>
      </c>
      <c r="Q16" s="14">
        <f t="shared" si="29"/>
        <v>345.74399999999997</v>
      </c>
      <c r="R16" s="16">
        <f>'8'!I40</f>
        <v>43.527000000000001</v>
      </c>
      <c r="S16" s="308">
        <f t="shared" si="30"/>
        <v>325.96799999999996</v>
      </c>
      <c r="T16" s="8">
        <f t="shared" si="1"/>
        <v>0.86653660090382434</v>
      </c>
      <c r="U16" s="8">
        <f t="shared" si="2"/>
        <v>0.94280161044009436</v>
      </c>
      <c r="V16" s="309">
        <f t="shared" si="3"/>
        <v>0.80092416256322629</v>
      </c>
      <c r="W16" s="310">
        <f t="shared" si="4"/>
        <v>0.75810475014105561</v>
      </c>
      <c r="X16" s="308"/>
      <c r="Y16" s="308"/>
      <c r="Z16" s="7"/>
      <c r="AA16" s="308"/>
      <c r="AB16" s="102">
        <f>+[1]Report1!AY16</f>
        <v>5031.5806380985978</v>
      </c>
      <c r="AC16" s="14">
        <f t="shared" si="31"/>
        <v>36966.223168802244</v>
      </c>
      <c r="AD16" s="306">
        <f t="shared" si="5"/>
        <v>100.16883275464549</v>
      </c>
      <c r="AE16" s="306">
        <f t="shared" si="6"/>
        <v>106.91790217271232</v>
      </c>
      <c r="AF16" s="312">
        <f t="shared" si="7"/>
        <v>115.59677069631717</v>
      </c>
      <c r="AG16" s="306">
        <f t="shared" si="8"/>
        <v>113.40445432926622</v>
      </c>
      <c r="AH16" s="553">
        <v>62.8</v>
      </c>
      <c r="AI16" s="308">
        <f t="shared" si="32"/>
        <v>478.1</v>
      </c>
      <c r="AJ16" s="314">
        <f t="shared" si="9"/>
        <v>1.2502239652804044</v>
      </c>
      <c r="AK16" s="314">
        <f t="shared" si="10"/>
        <v>1.3828150307742146</v>
      </c>
      <c r="AL16" s="311">
        <f t="shared" si="11"/>
        <v>1.4427826406598203</v>
      </c>
      <c r="AM16" s="314">
        <f t="shared" si="12"/>
        <v>1.466708388553478</v>
      </c>
      <c r="AN16" s="102">
        <v>0</v>
      </c>
      <c r="AO16" s="308">
        <f t="shared" si="33"/>
        <v>9</v>
      </c>
      <c r="AP16" s="314">
        <f t="shared" si="34"/>
        <v>0</v>
      </c>
      <c r="AQ16" s="314">
        <f t="shared" si="35"/>
        <v>2.6030820491461892E-2</v>
      </c>
      <c r="AR16" s="311">
        <f t="shared" si="36"/>
        <v>0</v>
      </c>
      <c r="AS16" s="314">
        <f t="shared" si="37"/>
        <v>2.7610072154321898E-2</v>
      </c>
      <c r="AT16" s="313">
        <f>'8'!I46</f>
        <v>36439.139999999956</v>
      </c>
      <c r="AU16" s="308">
        <f t="shared" si="38"/>
        <v>302458.38</v>
      </c>
      <c r="AV16" s="314">
        <f t="shared" si="13"/>
        <v>725.43130735999591</v>
      </c>
      <c r="AW16" s="314">
        <f t="shared" si="14"/>
        <v>874.80442176870758</v>
      </c>
      <c r="AX16" s="314">
        <f t="shared" si="15"/>
        <v>837.16176166517232</v>
      </c>
      <c r="AY16" s="314">
        <f t="shared" si="16"/>
        <v>927.87752171992361</v>
      </c>
      <c r="AZ16" s="313">
        <f>+Listrik!S15</f>
        <v>25470</v>
      </c>
      <c r="BA16" s="308">
        <f t="shared" si="39"/>
        <v>198470.00000000006</v>
      </c>
      <c r="BB16" s="314">
        <f t="shared" si="17"/>
        <v>507.0573948358583</v>
      </c>
      <c r="BC16" s="314">
        <f t="shared" si="40"/>
        <v>574.03743810449373</v>
      </c>
      <c r="BD16" s="314">
        <f t="shared" si="18"/>
        <v>585.15404231856098</v>
      </c>
      <c r="BE16" s="314">
        <f t="shared" si="19"/>
        <v>608.86344671869665</v>
      </c>
      <c r="BF16" s="587">
        <f>+Listrik!V15</f>
        <v>1210.1000000000058</v>
      </c>
      <c r="BG16" s="589">
        <f t="shared" si="41"/>
        <v>8500.1999999999825</v>
      </c>
      <c r="BH16" s="588">
        <f t="shared" si="44"/>
        <v>24.090700961557719</v>
      </c>
      <c r="BI16" s="588">
        <f t="shared" si="44"/>
        <v>24.585242260169323</v>
      </c>
      <c r="BJ16" s="588">
        <f t="shared" si="42"/>
        <v>27.80113492774613</v>
      </c>
      <c r="BK16" s="588">
        <f t="shared" si="42"/>
        <v>26.076792814018503</v>
      </c>
      <c r="BL16" s="311">
        <f>+SUM(Efficiency2!K47:K50)</f>
        <v>54.345969362066668</v>
      </c>
      <c r="BM16" s="544">
        <f t="shared" si="43"/>
        <v>412.83028931738755</v>
      </c>
      <c r="BN16" s="545">
        <f t="shared" si="20"/>
        <v>0.80092416256322629</v>
      </c>
      <c r="BO16" s="545">
        <f t="shared" si="21"/>
        <v>0.78959322616319194</v>
      </c>
    </row>
    <row r="17" spans="1:67">
      <c r="A17" s="18">
        <f t="shared" si="22"/>
        <v>46031</v>
      </c>
      <c r="B17" s="440" t="s">
        <v>568</v>
      </c>
      <c r="C17" s="441" t="s">
        <v>567</v>
      </c>
      <c r="D17" s="445">
        <f>+'9'!F42</f>
        <v>955.11805555555554</v>
      </c>
      <c r="E17" s="445">
        <f>+'9'!G42</f>
        <v>814.25812499999995</v>
      </c>
      <c r="F17" s="50">
        <f t="shared" si="0"/>
        <v>0.14747907835709673</v>
      </c>
      <c r="G17" s="450">
        <f t="shared" si="23"/>
        <v>1.0030258800813743</v>
      </c>
      <c r="H17" s="448">
        <f t="shared" si="24"/>
        <v>0.86094225369803501</v>
      </c>
      <c r="I17" s="448">
        <f t="shared" si="25"/>
        <v>1.0893907926618207</v>
      </c>
      <c r="J17" s="452">
        <f t="shared" si="26"/>
        <v>0.93790256419215656</v>
      </c>
      <c r="K17" s="452">
        <f t="shared" si="27"/>
        <v>0.77806339151657067</v>
      </c>
      <c r="L17" s="311">
        <f>+SUM(Efficiency1!K52:K54)</f>
        <v>53.690012078571428</v>
      </c>
      <c r="M17" s="14">
        <f t="shared" si="28"/>
        <v>483.66753159595902</v>
      </c>
      <c r="N17" s="311">
        <f>+SUM(Efficiency1!C52:C54)</f>
        <v>46.084553667000002</v>
      </c>
      <c r="O17" s="14">
        <f t="shared" si="28"/>
        <v>447.62340607069802</v>
      </c>
      <c r="P17" s="307">
        <f>'9'!I38</f>
        <v>46.224000000000004</v>
      </c>
      <c r="Q17" s="14">
        <f t="shared" si="29"/>
        <v>391.96799999999996</v>
      </c>
      <c r="R17" s="16">
        <f>'9'!I40</f>
        <v>50.356000000000002</v>
      </c>
      <c r="S17" s="308">
        <f t="shared" si="30"/>
        <v>376.32399999999996</v>
      </c>
      <c r="T17" s="8">
        <f t="shared" si="1"/>
        <v>1.0893907926618207</v>
      </c>
      <c r="U17" s="8">
        <f t="shared" si="2"/>
        <v>0.96008857865948238</v>
      </c>
      <c r="V17" s="309">
        <f t="shared" si="3"/>
        <v>0.93790256419215656</v>
      </c>
      <c r="W17" s="310">
        <f t="shared" si="4"/>
        <v>0.77806339151657067</v>
      </c>
      <c r="X17" s="308"/>
      <c r="Y17" s="308"/>
      <c r="Z17" s="7"/>
      <c r="AA17" s="308"/>
      <c r="AB17" s="102">
        <f>+[1]Report1!AY17</f>
        <v>3875.8599820681407</v>
      </c>
      <c r="AC17" s="14">
        <f t="shared" si="31"/>
        <v>40842.083150870385</v>
      </c>
      <c r="AD17" s="306">
        <f t="shared" si="5"/>
        <v>83.849515015319753</v>
      </c>
      <c r="AE17" s="306">
        <f t="shared" si="6"/>
        <v>104.19749354761203</v>
      </c>
      <c r="AF17" s="312">
        <f t="shared" si="7"/>
        <v>76.969179086268568</v>
      </c>
      <c r="AG17" s="306">
        <f t="shared" si="8"/>
        <v>108.52904186517573</v>
      </c>
      <c r="AH17" s="553">
        <v>68</v>
      </c>
      <c r="AI17" s="308">
        <f t="shared" si="32"/>
        <v>546.1</v>
      </c>
      <c r="AJ17" s="314">
        <f t="shared" si="9"/>
        <v>1.4710972654897887</v>
      </c>
      <c r="AK17" s="314">
        <f t="shared" si="10"/>
        <v>1.3932259776308271</v>
      </c>
      <c r="AL17" s="311">
        <f t="shared" si="11"/>
        <v>1.3503852569703709</v>
      </c>
      <c r="AM17" s="314">
        <f t="shared" si="12"/>
        <v>1.4511431638694319</v>
      </c>
      <c r="AN17" s="102">
        <v>0</v>
      </c>
      <c r="AO17" s="308">
        <f t="shared" si="33"/>
        <v>9</v>
      </c>
      <c r="AP17" s="314">
        <f t="shared" si="34"/>
        <v>0</v>
      </c>
      <c r="AQ17" s="314">
        <f t="shared" si="35"/>
        <v>2.296105804555474E-2</v>
      </c>
      <c r="AR17" s="311">
        <f t="shared" si="36"/>
        <v>0</v>
      </c>
      <c r="AS17" s="314">
        <f t="shared" si="37"/>
        <v>2.3915562122001258E-2</v>
      </c>
      <c r="AT17" s="313">
        <f>'9'!I46</f>
        <v>39302.36</v>
      </c>
      <c r="AU17" s="308">
        <f t="shared" si="38"/>
        <v>341760.74</v>
      </c>
      <c r="AV17" s="314">
        <f t="shared" si="13"/>
        <v>850.25874004845957</v>
      </c>
      <c r="AW17" s="314">
        <f t="shared" si="14"/>
        <v>871.90979875908249</v>
      </c>
      <c r="AX17" s="314">
        <f t="shared" si="15"/>
        <v>780.49011041385336</v>
      </c>
      <c r="AY17" s="314">
        <f t="shared" si="16"/>
        <v>908.15557870345776</v>
      </c>
      <c r="AZ17" s="313">
        <f>+Listrik!S16</f>
        <v>24740</v>
      </c>
      <c r="BA17" s="308">
        <f t="shared" si="39"/>
        <v>223210.00000000006</v>
      </c>
      <c r="BB17" s="314">
        <f t="shared" si="17"/>
        <v>535.21979923849074</v>
      </c>
      <c r="BC17" s="314">
        <f t="shared" si="40"/>
        <v>569.45975181647498</v>
      </c>
      <c r="BD17" s="314">
        <f t="shared" si="18"/>
        <v>491.3019302565732</v>
      </c>
      <c r="BE17" s="314">
        <f t="shared" si="19"/>
        <v>593.13251347243352</v>
      </c>
      <c r="BF17" s="587">
        <f>+Listrik!V16</f>
        <v>1299.6000000000058</v>
      </c>
      <c r="BG17" s="589">
        <f t="shared" si="41"/>
        <v>9799.7999999999884</v>
      </c>
      <c r="BH17" s="588">
        <f t="shared" si="44"/>
        <v>28.115264797507912</v>
      </c>
      <c r="BI17" s="588">
        <f t="shared" si="44"/>
        <v>25.001530737203012</v>
      </c>
      <c r="BJ17" s="588">
        <f t="shared" si="42"/>
        <v>25.808245293510325</v>
      </c>
      <c r="BK17" s="588">
        <f t="shared" si="42"/>
        <v>26.040858409243075</v>
      </c>
      <c r="BL17" s="311">
        <f>+SUM(Efficiency2!K52:K54)</f>
        <v>46.084553667000002</v>
      </c>
      <c r="BM17" s="544">
        <f t="shared" si="43"/>
        <v>458.91484298438758</v>
      </c>
      <c r="BN17" s="545">
        <f t="shared" si="20"/>
        <v>1.0926871585621687</v>
      </c>
      <c r="BO17" s="545">
        <f t="shared" si="21"/>
        <v>0.82003013359235066</v>
      </c>
    </row>
    <row r="18" spans="1:67">
      <c r="A18" s="18">
        <f t="shared" si="22"/>
        <v>46032</v>
      </c>
      <c r="B18" s="440" t="s">
        <v>417</v>
      </c>
      <c r="C18" s="441" t="s">
        <v>593</v>
      </c>
      <c r="D18" s="445">
        <f>+'10'!F42</f>
        <v>1097.4452554744526</v>
      </c>
      <c r="E18" s="445">
        <f>+'10'!G42</f>
        <v>917.35669099756694</v>
      </c>
      <c r="F18" s="50">
        <f t="shared" si="0"/>
        <v>0.16409799357055754</v>
      </c>
      <c r="G18" s="450">
        <f t="shared" si="23"/>
        <v>0.79890826786505831</v>
      </c>
      <c r="H18" s="448">
        <f t="shared" si="24"/>
        <v>0.71555744973017721</v>
      </c>
      <c r="I18" s="448">
        <f t="shared" si="25"/>
        <v>0.96532026639233293</v>
      </c>
      <c r="J18" s="452">
        <f t="shared" si="26"/>
        <v>0.69074210799255309</v>
      </c>
      <c r="K18" s="452">
        <f t="shared" si="27"/>
        <v>0.76964244702864082</v>
      </c>
      <c r="L18" s="311">
        <f>+SUM(Efficiency1!K58:K59)</f>
        <v>51.621291922722072</v>
      </c>
      <c r="M18" s="14">
        <f t="shared" si="28"/>
        <v>535.28882351868106</v>
      </c>
      <c r="N18" s="311">
        <f>+SUM(Efficiency1!C58:C59)</f>
        <v>46.235596107561015</v>
      </c>
      <c r="O18" s="14">
        <f t="shared" si="28"/>
        <v>493.85900217825906</v>
      </c>
      <c r="P18" s="307">
        <f>'10'!I38</f>
        <v>36.938000000000002</v>
      </c>
      <c r="Q18" s="14">
        <f t="shared" si="29"/>
        <v>428.90599999999995</v>
      </c>
      <c r="R18" s="16">
        <f>'10'!I40</f>
        <v>35.656999999999996</v>
      </c>
      <c r="S18" s="308">
        <f t="shared" si="30"/>
        <v>411.98099999999994</v>
      </c>
      <c r="T18" s="8">
        <f t="shared" si="1"/>
        <v>0.96532026639233293</v>
      </c>
      <c r="U18" s="8">
        <f t="shared" si="2"/>
        <v>0.96053913911206645</v>
      </c>
      <c r="V18" s="309">
        <f t="shared" si="3"/>
        <v>0.69074210799255309</v>
      </c>
      <c r="W18" s="310">
        <f t="shared" si="4"/>
        <v>0.76964244702864082</v>
      </c>
      <c r="X18" s="308"/>
      <c r="Y18" s="308"/>
      <c r="Z18" s="7"/>
      <c r="AA18" s="308"/>
      <c r="AB18" s="102">
        <f>+[1]Report1!AY18</f>
        <v>4629.3169974049761</v>
      </c>
      <c r="AC18" s="14">
        <f t="shared" si="31"/>
        <v>45471.400148275359</v>
      </c>
      <c r="AD18" s="306">
        <f t="shared" si="5"/>
        <v>125.32668247888287</v>
      </c>
      <c r="AE18" s="306">
        <f t="shared" si="6"/>
        <v>106.01716960890117</v>
      </c>
      <c r="AF18" s="312">
        <f t="shared" si="7"/>
        <v>129.82912183876871</v>
      </c>
      <c r="AG18" s="306">
        <f t="shared" si="8"/>
        <v>110.37256608502665</v>
      </c>
      <c r="AH18" s="553">
        <v>61.2</v>
      </c>
      <c r="AI18" s="308">
        <f t="shared" si="32"/>
        <v>607.30000000000007</v>
      </c>
      <c r="AJ18" s="314">
        <f t="shared" si="9"/>
        <v>1.6568303643943905</v>
      </c>
      <c r="AK18" s="314">
        <f t="shared" si="10"/>
        <v>1.4159279655682133</v>
      </c>
      <c r="AL18" s="311">
        <f t="shared" si="11"/>
        <v>1.7163530302605381</v>
      </c>
      <c r="AM18" s="314">
        <f t="shared" si="12"/>
        <v>1.4740971064199566</v>
      </c>
      <c r="AN18" s="102">
        <v>0</v>
      </c>
      <c r="AO18" s="308">
        <f t="shared" si="33"/>
        <v>9</v>
      </c>
      <c r="AP18" s="314">
        <f t="shared" si="34"/>
        <v>0</v>
      </c>
      <c r="AQ18" s="314">
        <f t="shared" si="35"/>
        <v>2.0983618788265962E-2</v>
      </c>
      <c r="AR18" s="311">
        <f t="shared" si="36"/>
        <v>0</v>
      </c>
      <c r="AS18" s="314">
        <f t="shared" si="37"/>
        <v>2.1845667640012528E-2</v>
      </c>
      <c r="AT18" s="313">
        <f>'10'!I46</f>
        <v>38098.460000000043</v>
      </c>
      <c r="AU18" s="308">
        <f t="shared" si="38"/>
        <v>379859.20000000001</v>
      </c>
      <c r="AV18" s="314">
        <f t="shared" si="13"/>
        <v>1031.416427527209</v>
      </c>
      <c r="AW18" s="314">
        <f t="shared" si="14"/>
        <v>885.64673844618642</v>
      </c>
      <c r="AX18" s="314">
        <f t="shared" si="15"/>
        <v>1068.4707070140519</v>
      </c>
      <c r="AY18" s="314">
        <f t="shared" si="16"/>
        <v>922.03087035567194</v>
      </c>
      <c r="AZ18" s="313">
        <f>+Listrik!S17</f>
        <v>22579.999999999862</v>
      </c>
      <c r="BA18" s="308">
        <f t="shared" si="39"/>
        <v>245789.99999999991</v>
      </c>
      <c r="BB18" s="314">
        <f t="shared" si="17"/>
        <v>611.29460176511623</v>
      </c>
      <c r="BC18" s="314">
        <f t="shared" si="40"/>
        <v>573.06262910754322</v>
      </c>
      <c r="BD18" s="314">
        <f t="shared" si="18"/>
        <v>633.25574221050169</v>
      </c>
      <c r="BE18" s="314">
        <f t="shared" si="19"/>
        <v>596.60518324874192</v>
      </c>
      <c r="BF18" s="587">
        <f>+Listrik!V17</f>
        <v>1250.1000000000058</v>
      </c>
      <c r="BG18" s="589">
        <f t="shared" si="41"/>
        <v>11049.899999999994</v>
      </c>
      <c r="BH18" s="588">
        <f t="shared" si="44"/>
        <v>33.843196707997343</v>
      </c>
      <c r="BI18" s="588">
        <f t="shared" si="44"/>
        <v>25.762987694273328</v>
      </c>
      <c r="BJ18" s="588">
        <f t="shared" si="42"/>
        <v>35.059034691645564</v>
      </c>
      <c r="BK18" s="588">
        <f t="shared" si="42"/>
        <v>26.821382539486034</v>
      </c>
      <c r="BL18" s="311">
        <f>+SUM(Efficiency2!K58:K59)</f>
        <v>43.474620411455668</v>
      </c>
      <c r="BM18" s="544">
        <f t="shared" si="43"/>
        <v>502.38946339584322</v>
      </c>
      <c r="BN18" s="545">
        <f t="shared" si="20"/>
        <v>0.82017967408415349</v>
      </c>
      <c r="BO18" s="545">
        <f t="shared" si="21"/>
        <v>0.82004307418245248</v>
      </c>
    </row>
    <row r="19" spans="1:67">
      <c r="A19" s="18">
        <f t="shared" si="22"/>
        <v>46033</v>
      </c>
      <c r="B19" s="440" t="s">
        <v>417</v>
      </c>
      <c r="C19" s="441" t="s">
        <v>594</v>
      </c>
      <c r="D19" s="445">
        <f>+'11'!F42</f>
        <v>1166.6666666666667</v>
      </c>
      <c r="E19" s="445">
        <f>+'11'!G42</f>
        <v>933.33333333333337</v>
      </c>
      <c r="F19" s="50">
        <f t="shared" si="0"/>
        <v>0.20000000000000007</v>
      </c>
      <c r="G19" s="450">
        <f t="shared" si="23"/>
        <v>1.0119047619047619</v>
      </c>
      <c r="H19" s="448">
        <f t="shared" si="24"/>
        <v>1.0119047619047619</v>
      </c>
      <c r="I19" s="448">
        <f t="shared" si="25"/>
        <v>0.94985057219913982</v>
      </c>
      <c r="J19" s="452">
        <f t="shared" si="26"/>
        <v>0.96115831710627253</v>
      </c>
      <c r="K19" s="452">
        <f t="shared" si="27"/>
        <v>0.78726016300178048</v>
      </c>
      <c r="L19" s="311">
        <f>+Efficiency1!K66</f>
        <v>54.230400000000003</v>
      </c>
      <c r="M19" s="14">
        <f t="shared" si="28"/>
        <v>589.51922351868109</v>
      </c>
      <c r="N19" s="311">
        <f>+Efficiency1!C66</f>
        <v>54.230400000000003</v>
      </c>
      <c r="O19" s="14">
        <f t="shared" si="28"/>
        <v>548.08940217825909</v>
      </c>
      <c r="P19" s="307">
        <f>'11'!I38</f>
        <v>54.876000000000005</v>
      </c>
      <c r="Q19" s="14">
        <f t="shared" si="29"/>
        <v>483.78199999999993</v>
      </c>
      <c r="R19" s="16">
        <f>'11'!I40</f>
        <v>52.124000000000002</v>
      </c>
      <c r="S19" s="308">
        <f t="shared" si="30"/>
        <v>464.10499999999996</v>
      </c>
      <c r="T19" s="8">
        <f t="shared" si="1"/>
        <v>0.94985057219913982</v>
      </c>
      <c r="U19" s="8">
        <f t="shared" si="2"/>
        <v>0.9593267215398672</v>
      </c>
      <c r="V19" s="309">
        <f t="shared" si="3"/>
        <v>0.96115831710627253</v>
      </c>
      <c r="W19" s="310">
        <f t="shared" si="4"/>
        <v>0.78726016300178048</v>
      </c>
      <c r="X19" s="308"/>
      <c r="Y19" s="308"/>
      <c r="Z19" s="7"/>
      <c r="AA19" s="308"/>
      <c r="AB19" s="102">
        <f>+[1]Report1!AY19</f>
        <v>5245.5837875362877</v>
      </c>
      <c r="AC19" s="14">
        <f t="shared" si="31"/>
        <v>50716.983935811644</v>
      </c>
      <c r="AD19" s="306">
        <f t="shared" si="5"/>
        <v>95.589762146225809</v>
      </c>
      <c r="AE19" s="306">
        <f t="shared" si="6"/>
        <v>104.83437568121933</v>
      </c>
      <c r="AF19" s="312">
        <f t="shared" si="7"/>
        <v>100.63663163871321</v>
      </c>
      <c r="AG19" s="306">
        <f t="shared" si="8"/>
        <v>109.27911557904278</v>
      </c>
      <c r="AH19" s="553">
        <v>67.8</v>
      </c>
      <c r="AI19" s="308">
        <f t="shared" si="32"/>
        <v>675.1</v>
      </c>
      <c r="AJ19" s="314">
        <f t="shared" si="9"/>
        <v>1.2355127924775857</v>
      </c>
      <c r="AK19" s="314">
        <f t="shared" si="10"/>
        <v>1.3954632458421359</v>
      </c>
      <c r="AL19" s="311">
        <f t="shared" si="11"/>
        <v>1.3007443787890414</v>
      </c>
      <c r="AM19" s="314">
        <f t="shared" si="12"/>
        <v>1.454627724329624</v>
      </c>
      <c r="AN19" s="102">
        <v>0</v>
      </c>
      <c r="AO19" s="308">
        <f t="shared" si="33"/>
        <v>9</v>
      </c>
      <c r="AP19" s="314">
        <f t="shared" si="34"/>
        <v>0</v>
      </c>
      <c r="AQ19" s="314">
        <f t="shared" si="35"/>
        <v>1.8603420548924932E-2</v>
      </c>
      <c r="AR19" s="311">
        <f t="shared" si="36"/>
        <v>0</v>
      </c>
      <c r="AS19" s="314">
        <f t="shared" si="37"/>
        <v>1.9392163411297014E-2</v>
      </c>
      <c r="AT19" s="313">
        <f>'11'!I46</f>
        <v>43694.339999999931</v>
      </c>
      <c r="AU19" s="308">
        <f t="shared" si="38"/>
        <v>423553.53999999992</v>
      </c>
      <c r="AV19" s="314">
        <f t="shared" si="13"/>
        <v>796.23769954078148</v>
      </c>
      <c r="AW19" s="314">
        <f t="shared" si="14"/>
        <v>875.50495884509962</v>
      </c>
      <c r="AX19" s="314">
        <f t="shared" si="15"/>
        <v>838.27680147340823</v>
      </c>
      <c r="AY19" s="314">
        <f t="shared" si="16"/>
        <v>912.62438456814721</v>
      </c>
      <c r="AZ19" s="313">
        <f>+Listrik!S18</f>
        <v>28170.000000000091</v>
      </c>
      <c r="BA19" s="308">
        <f t="shared" si="39"/>
        <v>273960</v>
      </c>
      <c r="BB19" s="314">
        <f t="shared" si="17"/>
        <v>513.33916466214896</v>
      </c>
      <c r="BC19" s="314">
        <f t="shared" si="40"/>
        <v>566.2881215092749</v>
      </c>
      <c r="BD19" s="314">
        <f t="shared" si="18"/>
        <v>540.44202286854602</v>
      </c>
      <c r="BE19" s="314">
        <f t="shared" si="19"/>
        <v>590.29745423988106</v>
      </c>
      <c r="BF19" s="587">
        <f>+Listrik!V18</f>
        <v>1260.1000000000058</v>
      </c>
      <c r="BG19" s="589">
        <f t="shared" si="41"/>
        <v>12310</v>
      </c>
      <c r="BH19" s="588">
        <f t="shared" si="44"/>
        <v>22.962679495590159</v>
      </c>
      <c r="BI19" s="588">
        <f t="shared" si="44"/>
        <v>25.445345217473989</v>
      </c>
      <c r="BJ19" s="588">
        <f t="shared" si="42"/>
        <v>24.175044125546886</v>
      </c>
      <c r="BK19" s="588">
        <f t="shared" si="42"/>
        <v>26.52417017700736</v>
      </c>
      <c r="BL19" s="543">
        <f>+Efficiency2!K66</f>
        <v>54.230400000000003</v>
      </c>
      <c r="BM19" s="544">
        <f t="shared" si="43"/>
        <v>556.61986339584325</v>
      </c>
      <c r="BN19" s="545">
        <f t="shared" si="20"/>
        <v>0.96115831710627253</v>
      </c>
      <c r="BO19" s="545">
        <f t="shared" si="21"/>
        <v>0.83379166019799256</v>
      </c>
    </row>
    <row r="20" spans="1:67">
      <c r="A20" s="18">
        <f t="shared" si="22"/>
        <v>46034</v>
      </c>
      <c r="B20" s="440" t="s">
        <v>417</v>
      </c>
      <c r="C20" s="441" t="s">
        <v>620</v>
      </c>
      <c r="D20" s="445">
        <f>+'12'!F42</f>
        <v>1223.625</v>
      </c>
      <c r="E20" s="445">
        <f>+'12'!G42</f>
        <v>959.51375000000007</v>
      </c>
      <c r="F20" s="50">
        <f t="shared" si="0"/>
        <v>0.21584329349269582</v>
      </c>
      <c r="G20" s="450">
        <f t="shared" si="23"/>
        <v>0.9718839310792835</v>
      </c>
      <c r="H20" s="448">
        <f t="shared" si="24"/>
        <v>0.95012431211095949</v>
      </c>
      <c r="I20" s="448">
        <f t="shared" si="25"/>
        <v>1.0235116396173063</v>
      </c>
      <c r="J20" s="452">
        <f t="shared" si="26"/>
        <v>0.97246329252895347</v>
      </c>
      <c r="K20" s="452">
        <f t="shared" si="27"/>
        <v>0.80289198947296092</v>
      </c>
      <c r="L20" s="311">
        <f>+SUM(Efficiency1!K71:K72)</f>
        <v>54.344467710000004</v>
      </c>
      <c r="M20" s="14">
        <f t="shared" si="28"/>
        <v>643.86369122868109</v>
      </c>
      <c r="N20" s="311">
        <f>+SUM(Efficiency1!C71:C72)</f>
        <v>53.127743292000005</v>
      </c>
      <c r="O20" s="14">
        <f t="shared" si="28"/>
        <v>601.21714547025908</v>
      </c>
      <c r="P20" s="307">
        <f>'12'!I38</f>
        <v>51.634</v>
      </c>
      <c r="Q20" s="14">
        <f t="shared" si="29"/>
        <v>535.41599999999994</v>
      </c>
      <c r="R20" s="16">
        <f>'12'!I40</f>
        <v>52.847999999999999</v>
      </c>
      <c r="S20" s="308">
        <f t="shared" si="30"/>
        <v>516.95299999999997</v>
      </c>
      <c r="T20" s="8">
        <f t="shared" si="1"/>
        <v>1.0235116396173063</v>
      </c>
      <c r="U20" s="8">
        <f t="shared" si="2"/>
        <v>0.96551653293887374</v>
      </c>
      <c r="V20" s="309">
        <f t="shared" si="3"/>
        <v>0.97246329252895347</v>
      </c>
      <c r="W20" s="310">
        <f t="shared" si="4"/>
        <v>0.80289198947296092</v>
      </c>
      <c r="X20" s="308"/>
      <c r="Y20" s="308"/>
      <c r="Z20" s="7"/>
      <c r="AA20" s="308"/>
      <c r="AB20" s="102">
        <f>+[1]Report1!AY20</f>
        <v>5839.2933742552796</v>
      </c>
      <c r="AC20" s="14">
        <f t="shared" si="31"/>
        <v>56556.277310066922</v>
      </c>
      <c r="AD20" s="306">
        <f t="shared" si="5"/>
        <v>113.09008355454313</v>
      </c>
      <c r="AE20" s="306">
        <f t="shared" si="6"/>
        <v>105.63053272608015</v>
      </c>
      <c r="AF20" s="312">
        <f t="shared" si="7"/>
        <v>110.49223006084013</v>
      </c>
      <c r="AG20" s="306">
        <f t="shared" si="8"/>
        <v>109.40313202567144</v>
      </c>
      <c r="AH20" s="553">
        <v>64.8</v>
      </c>
      <c r="AI20" s="308">
        <f t="shared" si="32"/>
        <v>739.9</v>
      </c>
      <c r="AJ20" s="314">
        <f t="shared" si="9"/>
        <v>1.2549870240539178</v>
      </c>
      <c r="AK20" s="314">
        <f t="shared" si="10"/>
        <v>1.3819161175609247</v>
      </c>
      <c r="AL20" s="311">
        <f t="shared" si="11"/>
        <v>1.2261580381471389</v>
      </c>
      <c r="AM20" s="314">
        <f t="shared" si="12"/>
        <v>1.4312713148003784</v>
      </c>
      <c r="AN20" s="102">
        <v>0</v>
      </c>
      <c r="AO20" s="308">
        <f t="shared" si="33"/>
        <v>9</v>
      </c>
      <c r="AP20" s="314">
        <f t="shared" si="34"/>
        <v>0</v>
      </c>
      <c r="AQ20" s="314">
        <f t="shared" si="35"/>
        <v>1.6809359451342508E-2</v>
      </c>
      <c r="AR20" s="311">
        <f t="shared" si="36"/>
        <v>0</v>
      </c>
      <c r="AS20" s="314">
        <f t="shared" si="37"/>
        <v>1.740970649169267E-2</v>
      </c>
      <c r="AT20" s="313">
        <f>'12'!I46</f>
        <v>42672.880000000041</v>
      </c>
      <c r="AU20" s="308">
        <f t="shared" si="38"/>
        <v>466226.42</v>
      </c>
      <c r="AV20" s="314">
        <f t="shared" si="13"/>
        <v>826.44923887361119</v>
      </c>
      <c r="AW20" s="314">
        <f t="shared" si="14"/>
        <v>870.77416438806472</v>
      </c>
      <c r="AX20" s="314">
        <f t="shared" si="15"/>
        <v>807.46442627914098</v>
      </c>
      <c r="AY20" s="314">
        <f t="shared" si="16"/>
        <v>901.87390343029256</v>
      </c>
      <c r="AZ20" s="313">
        <f>+Listrik!S19</f>
        <v>25953.200000000023</v>
      </c>
      <c r="BA20" s="308">
        <f t="shared" si="39"/>
        <v>299913.2</v>
      </c>
      <c r="BB20" s="314">
        <f t="shared" si="17"/>
        <v>502.63779680055819</v>
      </c>
      <c r="BC20" s="314">
        <f t="shared" si="40"/>
        <v>560.14986477804189</v>
      </c>
      <c r="BD20" s="314">
        <f t="shared" si="18"/>
        <v>491.09143203148699</v>
      </c>
      <c r="BE20" s="314">
        <f t="shared" si="19"/>
        <v>580.15564277603573</v>
      </c>
      <c r="BF20" s="587">
        <f>+Listrik!V19</f>
        <v>1419.7999999999884</v>
      </c>
      <c r="BG20" s="589">
        <f t="shared" si="41"/>
        <v>13729.799999999988</v>
      </c>
      <c r="BH20" s="588">
        <f t="shared" si="44"/>
        <v>27.497385443699663</v>
      </c>
      <c r="BI20" s="588">
        <f t="shared" si="44"/>
        <v>25.643238155004692</v>
      </c>
      <c r="BJ20" s="588">
        <f t="shared" si="42"/>
        <v>26.865728125945893</v>
      </c>
      <c r="BK20" s="588">
        <f t="shared" si="42"/>
        <v>26.559087576626865</v>
      </c>
      <c r="BL20" s="543">
        <f>+SUM(Efficiency2!K71:K72)</f>
        <v>54.344467710000004</v>
      </c>
      <c r="BM20" s="544">
        <f t="shared" si="43"/>
        <v>610.96433110584326</v>
      </c>
      <c r="BN20" s="545">
        <f t="shared" si="20"/>
        <v>0.97246329252895347</v>
      </c>
      <c r="BO20" s="545">
        <f t="shared" si="21"/>
        <v>0.84612631815071249</v>
      </c>
    </row>
    <row r="21" spans="1:67">
      <c r="A21" s="18">
        <f t="shared" si="22"/>
        <v>46035</v>
      </c>
      <c r="B21" s="440" t="s">
        <v>417</v>
      </c>
      <c r="C21" s="441" t="s">
        <v>632</v>
      </c>
      <c r="D21" s="445">
        <f>+'13'!F42</f>
        <v>1181.0546875</v>
      </c>
      <c r="E21" s="445">
        <f>+'13'!G42</f>
        <v>921.22265625</v>
      </c>
      <c r="F21" s="50">
        <f t="shared" si="0"/>
        <v>0.21999999999999997</v>
      </c>
      <c r="G21" s="450">
        <f t="shared" si="23"/>
        <v>0.8247889250310465</v>
      </c>
      <c r="H21" s="448">
        <f t="shared" si="24"/>
        <v>0.80925280797998034</v>
      </c>
      <c r="I21" s="448">
        <f t="shared" si="25"/>
        <v>0.97342108884098522</v>
      </c>
      <c r="J21" s="452">
        <f t="shared" si="26"/>
        <v>0.78774374949149717</v>
      </c>
      <c r="K21" s="452">
        <f t="shared" si="27"/>
        <v>0.80172215171813133</v>
      </c>
      <c r="L21" s="311">
        <f>+SUM(Efficiency1!K76:K77)</f>
        <v>53.884273949999994</v>
      </c>
      <c r="M21" s="14">
        <f t="shared" si="28"/>
        <v>697.74796517868106</v>
      </c>
      <c r="N21" s="311">
        <f>+SUM(Efficiency1!C76:C77)</f>
        <v>52.869284100000002</v>
      </c>
      <c r="O21" s="14">
        <f t="shared" si="28"/>
        <v>654.08642957025904</v>
      </c>
      <c r="P21" s="307">
        <f>'13'!I38</f>
        <v>43.606000000000002</v>
      </c>
      <c r="Q21" s="14">
        <f t="shared" si="29"/>
        <v>579.02199999999993</v>
      </c>
      <c r="R21" s="16">
        <f>'13'!I40</f>
        <v>42.447000000000003</v>
      </c>
      <c r="S21" s="308">
        <f t="shared" si="30"/>
        <v>559.4</v>
      </c>
      <c r="T21" s="8">
        <f t="shared" si="1"/>
        <v>0.97342108884098522</v>
      </c>
      <c r="U21" s="8">
        <f t="shared" si="2"/>
        <v>0.96611182303953913</v>
      </c>
      <c r="V21" s="309">
        <f t="shared" si="3"/>
        <v>0.78774374949149717</v>
      </c>
      <c r="W21" s="310">
        <f t="shared" si="4"/>
        <v>0.80172215171813133</v>
      </c>
      <c r="X21" s="308"/>
      <c r="Y21" s="308"/>
      <c r="Z21" s="7"/>
      <c r="AA21" s="308"/>
      <c r="AB21" s="102">
        <f>+[1]Report1!AY21</f>
        <v>5336.2658096908835</v>
      </c>
      <c r="AC21" s="14">
        <f t="shared" si="31"/>
        <v>61892.543119757807</v>
      </c>
      <c r="AD21" s="306">
        <f t="shared" si="5"/>
        <v>122.37457711532549</v>
      </c>
      <c r="AE21" s="306">
        <f t="shared" si="6"/>
        <v>106.89152246332232</v>
      </c>
      <c r="AF21" s="312">
        <f t="shared" si="7"/>
        <v>125.71597073269922</v>
      </c>
      <c r="AG21" s="306">
        <f t="shared" si="8"/>
        <v>110.64094229488346</v>
      </c>
      <c r="AH21" s="553">
        <v>62</v>
      </c>
      <c r="AI21" s="308">
        <f t="shared" si="32"/>
        <v>801.9</v>
      </c>
      <c r="AJ21" s="314">
        <f t="shared" si="9"/>
        <v>1.421822684951612</v>
      </c>
      <c r="AK21" s="314">
        <f t="shared" si="10"/>
        <v>1.3849214710321889</v>
      </c>
      <c r="AL21" s="311">
        <f t="shared" si="11"/>
        <v>1.4606450396965627</v>
      </c>
      <c r="AM21" s="314">
        <f t="shared" si="12"/>
        <v>1.4335001787629604</v>
      </c>
      <c r="AN21" s="102">
        <v>0</v>
      </c>
      <c r="AO21" s="308">
        <f t="shared" si="33"/>
        <v>9</v>
      </c>
      <c r="AP21" s="314">
        <f t="shared" si="34"/>
        <v>0</v>
      </c>
      <c r="AQ21" s="314">
        <f t="shared" si="35"/>
        <v>1.5543450853335453E-2</v>
      </c>
      <c r="AR21" s="311">
        <f t="shared" si="36"/>
        <v>0</v>
      </c>
      <c r="AS21" s="314">
        <f t="shared" si="37"/>
        <v>1.6088666428316054E-2</v>
      </c>
      <c r="AT21" s="313">
        <f>'13'!I46</f>
        <v>41288.860000000037</v>
      </c>
      <c r="AU21" s="308">
        <f t="shared" si="38"/>
        <v>507515.28</v>
      </c>
      <c r="AV21" s="314">
        <f t="shared" si="13"/>
        <v>946.86189973856892</v>
      </c>
      <c r="AW21" s="314">
        <f t="shared" si="14"/>
        <v>876.50431244408696</v>
      </c>
      <c r="AX21" s="314">
        <f t="shared" si="15"/>
        <v>972.7156218342883</v>
      </c>
      <c r="AY21" s="314">
        <f t="shared" si="16"/>
        <v>907.24933857704696</v>
      </c>
      <c r="AZ21" s="313">
        <f>+Listrik!S20</f>
        <v>22009.5</v>
      </c>
      <c r="BA21" s="308">
        <f t="shared" si="39"/>
        <v>321922.7</v>
      </c>
      <c r="BB21" s="314">
        <f t="shared" si="17"/>
        <v>504.73558684584685</v>
      </c>
      <c r="BC21" s="314">
        <f t="shared" si="40"/>
        <v>555.97662955811711</v>
      </c>
      <c r="BD21" s="314">
        <f t="shared" si="18"/>
        <v>518.51720969679843</v>
      </c>
      <c r="BE21" s="314">
        <f t="shared" si="19"/>
        <v>575.47854844476228</v>
      </c>
      <c r="BF21" s="587">
        <f>+Listrik!V20</f>
        <v>1430.1000000000058</v>
      </c>
      <c r="BG21" s="589">
        <f t="shared" si="41"/>
        <v>15159.899999999994</v>
      </c>
      <c r="BH21" s="588">
        <f t="shared" si="44"/>
        <v>32.795945512085623</v>
      </c>
      <c r="BI21" s="588">
        <f t="shared" si="44"/>
        <v>26.181906732386672</v>
      </c>
      <c r="BJ21" s="588">
        <f t="shared" si="42"/>
        <v>33.691426955968758</v>
      </c>
      <c r="BK21" s="588">
        <f t="shared" si="42"/>
        <v>27.100286020736494</v>
      </c>
      <c r="BL21" s="543">
        <f>+SUM(Efficiency2!K76:K77)</f>
        <v>53.884273949999994</v>
      </c>
      <c r="BM21" s="544">
        <f t="shared" si="43"/>
        <v>664.84860505584322</v>
      </c>
      <c r="BN21" s="545">
        <f t="shared" si="20"/>
        <v>0.78774374949149717</v>
      </c>
      <c r="BO21" s="545">
        <f t="shared" si="21"/>
        <v>0.84139456072561636</v>
      </c>
    </row>
    <row r="22" spans="1:67">
      <c r="A22" s="18">
        <f t="shared" si="22"/>
        <v>46036</v>
      </c>
      <c r="B22" s="440" t="s">
        <v>417</v>
      </c>
      <c r="C22" s="441" t="s">
        <v>594</v>
      </c>
      <c r="D22" s="445">
        <f>+'14'!F42</f>
        <v>1163.3333333333333</v>
      </c>
      <c r="E22" s="445">
        <f>+'14'!G42</f>
        <v>907.4</v>
      </c>
      <c r="F22" s="50">
        <f t="shared" si="0"/>
        <v>0.21999999999999997</v>
      </c>
      <c r="G22" s="450">
        <f t="shared" si="23"/>
        <v>1.0054627533137561</v>
      </c>
      <c r="H22" s="448">
        <f t="shared" si="24"/>
        <v>1.0054627533137561</v>
      </c>
      <c r="I22" s="448">
        <f t="shared" si="25"/>
        <v>0.94071299405838282</v>
      </c>
      <c r="J22" s="452">
        <f t="shared" si="26"/>
        <v>0.94585187708396878</v>
      </c>
      <c r="K22" s="452">
        <f t="shared" si="27"/>
        <v>0.81205748645936238</v>
      </c>
      <c r="L22" s="311">
        <f>+Efficiency1!K82</f>
        <v>53.899560000000001</v>
      </c>
      <c r="M22" s="14">
        <f t="shared" si="28"/>
        <v>751.64752517868101</v>
      </c>
      <c r="N22" s="311">
        <f>+Efficiency1!C82</f>
        <v>53.899560000000001</v>
      </c>
      <c r="O22" s="14">
        <f t="shared" si="28"/>
        <v>707.98598957025899</v>
      </c>
      <c r="P22" s="307">
        <f>'14'!I38</f>
        <v>54.194000000000003</v>
      </c>
      <c r="Q22" s="14">
        <f t="shared" si="29"/>
        <v>633.21599999999989</v>
      </c>
      <c r="R22" s="16">
        <f>'14'!I40</f>
        <v>50.981000000000002</v>
      </c>
      <c r="S22" s="308">
        <f t="shared" si="30"/>
        <v>610.38099999999997</v>
      </c>
      <c r="T22" s="8">
        <f t="shared" si="1"/>
        <v>0.94071299405838282</v>
      </c>
      <c r="U22" s="8">
        <f t="shared" si="2"/>
        <v>0.96393805589246018</v>
      </c>
      <c r="V22" s="309">
        <f t="shared" si="3"/>
        <v>0.94585187708396878</v>
      </c>
      <c r="W22" s="310">
        <f t="shared" si="4"/>
        <v>0.81205748645936238</v>
      </c>
      <c r="X22" s="308"/>
      <c r="Y22" s="308"/>
      <c r="Z22" s="7"/>
      <c r="AA22" s="308"/>
      <c r="AB22" s="102">
        <f>+[1]Report1!AY22</f>
        <v>5765.3370909396826</v>
      </c>
      <c r="AC22" s="14">
        <f t="shared" si="31"/>
        <v>67657.880210697491</v>
      </c>
      <c r="AD22" s="306">
        <f t="shared" si="5"/>
        <v>106.38330979332919</v>
      </c>
      <c r="AE22" s="306">
        <f t="shared" si="6"/>
        <v>106.84802691450864</v>
      </c>
      <c r="AF22" s="312">
        <f t="shared" si="7"/>
        <v>113.08795611972465</v>
      </c>
      <c r="AG22" s="306">
        <f t="shared" si="8"/>
        <v>110.84532482285243</v>
      </c>
      <c r="AH22" s="553">
        <v>67.7</v>
      </c>
      <c r="AI22" s="308">
        <f t="shared" si="32"/>
        <v>869.6</v>
      </c>
      <c r="AJ22" s="314">
        <f t="shared" si="9"/>
        <v>1.2492157803446875</v>
      </c>
      <c r="AK22" s="314">
        <f t="shared" si="10"/>
        <v>1.3733070547806754</v>
      </c>
      <c r="AL22" s="311">
        <f t="shared" si="11"/>
        <v>1.327945705262745</v>
      </c>
      <c r="AM22" s="314">
        <f t="shared" si="12"/>
        <v>1.424683926924331</v>
      </c>
      <c r="AN22" s="102">
        <v>0</v>
      </c>
      <c r="AO22" s="308">
        <f t="shared" si="33"/>
        <v>9</v>
      </c>
      <c r="AP22" s="314">
        <f t="shared" si="34"/>
        <v>0</v>
      </c>
      <c r="AQ22" s="314">
        <f t="shared" si="35"/>
        <v>1.4213159490600365E-2</v>
      </c>
      <c r="AR22" s="311">
        <f t="shared" si="36"/>
        <v>0</v>
      </c>
      <c r="AS22" s="314">
        <f t="shared" si="37"/>
        <v>1.47448888481129E-2</v>
      </c>
      <c r="AT22" s="313">
        <f>'14'!I46</f>
        <v>42590.379999999903</v>
      </c>
      <c r="AU22" s="308">
        <f t="shared" si="38"/>
        <v>550105.65999999992</v>
      </c>
      <c r="AV22" s="314">
        <f t="shared" si="13"/>
        <v>785.88736760526808</v>
      </c>
      <c r="AW22" s="314">
        <f t="shared" si="14"/>
        <v>868.74883136244193</v>
      </c>
      <c r="AX22" s="314">
        <f t="shared" si="15"/>
        <v>835.41672387752112</v>
      </c>
      <c r="AY22" s="314">
        <f t="shared" si="16"/>
        <v>901.24964571308726</v>
      </c>
      <c r="AZ22" s="313">
        <f>+Listrik!S21</f>
        <v>25272.300000000389</v>
      </c>
      <c r="BA22" s="308">
        <f t="shared" si="39"/>
        <v>347195.00000000041</v>
      </c>
      <c r="BB22" s="314">
        <f t="shared" si="17"/>
        <v>466.33022105768885</v>
      </c>
      <c r="BC22" s="314">
        <f t="shared" si="40"/>
        <v>548.30421214877776</v>
      </c>
      <c r="BD22" s="314">
        <f t="shared" si="18"/>
        <v>495.71997410800867</v>
      </c>
      <c r="BE22" s="314">
        <f t="shared" si="19"/>
        <v>568.81685373561834</v>
      </c>
      <c r="BF22" s="587">
        <f>+Listrik!V21</f>
        <v>1416.5999999999767</v>
      </c>
      <c r="BG22" s="589">
        <f t="shared" si="41"/>
        <v>16576.499999999971</v>
      </c>
      <c r="BH22" s="588">
        <f t="shared" si="44"/>
        <v>26.139425028600524</v>
      </c>
      <c r="BI22" s="588">
        <f t="shared" si="44"/>
        <v>26.178270921770729</v>
      </c>
      <c r="BJ22" s="588">
        <f t="shared" si="42"/>
        <v>27.786822541730778</v>
      </c>
      <c r="BK22" s="588">
        <f t="shared" si="42"/>
        <v>27.157627776749226</v>
      </c>
      <c r="BL22" s="543">
        <f>+Efficiency2!K82</f>
        <v>53.899560000000001</v>
      </c>
      <c r="BM22" s="544">
        <f t="shared" si="43"/>
        <v>718.74816505584317</v>
      </c>
      <c r="BN22" s="545">
        <f t="shared" si="20"/>
        <v>0.94585187708396878</v>
      </c>
      <c r="BO22" s="545">
        <f t="shared" si="21"/>
        <v>0.84922790718022412</v>
      </c>
    </row>
    <row r="23" spans="1:67">
      <c r="A23" s="18">
        <f t="shared" si="22"/>
        <v>46037</v>
      </c>
      <c r="B23" s="440" t="s">
        <v>417</v>
      </c>
      <c r="C23" s="441" t="s">
        <v>594</v>
      </c>
      <c r="D23" s="445">
        <f>+'15'!F42</f>
        <v>1170</v>
      </c>
      <c r="E23" s="445">
        <f>+'15'!G42</f>
        <v>936</v>
      </c>
      <c r="F23" s="50">
        <f t="shared" si="0"/>
        <v>0.19999999999999996</v>
      </c>
      <c r="G23" s="450">
        <f t="shared" si="23"/>
        <v>0.97139846102067973</v>
      </c>
      <c r="H23" s="448">
        <f t="shared" si="24"/>
        <v>0.97139846102067973</v>
      </c>
      <c r="I23" s="448">
        <f t="shared" si="25"/>
        <v>0.99660135574333741</v>
      </c>
      <c r="J23" s="452">
        <f t="shared" si="26"/>
        <v>0.96809702322020086</v>
      </c>
      <c r="K23" s="452">
        <f t="shared" si="27"/>
        <v>0.82277433657093313</v>
      </c>
      <c r="L23" s="311">
        <f>+Efficiency1!K87</f>
        <v>55.430394591549302</v>
      </c>
      <c r="M23" s="14">
        <f t="shared" si="28"/>
        <v>807.07791977023032</v>
      </c>
      <c r="N23" s="311">
        <f>+Efficiency1!C87</f>
        <v>55.430394591549302</v>
      </c>
      <c r="O23" s="14">
        <f t="shared" si="28"/>
        <v>763.41638416180831</v>
      </c>
      <c r="P23" s="307">
        <f>'15'!I38</f>
        <v>53.844999999999999</v>
      </c>
      <c r="Q23" s="14">
        <f t="shared" si="29"/>
        <v>687.06099999999992</v>
      </c>
      <c r="R23" s="16">
        <f>'15'!I40</f>
        <v>53.661999999999999</v>
      </c>
      <c r="S23" s="308">
        <f t="shared" si="30"/>
        <v>664.04300000000001</v>
      </c>
      <c r="T23" s="8">
        <f t="shared" si="1"/>
        <v>0.99660135574333741</v>
      </c>
      <c r="U23" s="8">
        <f t="shared" si="2"/>
        <v>0.96649788010089366</v>
      </c>
      <c r="V23" s="309">
        <f t="shared" si="3"/>
        <v>0.96809702322020086</v>
      </c>
      <c r="W23" s="310">
        <f t="shared" si="4"/>
        <v>0.82277433657093313</v>
      </c>
      <c r="X23" s="308"/>
      <c r="Y23" s="308"/>
      <c r="Z23" s="7"/>
      <c r="AA23" s="308"/>
      <c r="AB23" s="102">
        <f>+[1]Report1!AY23</f>
        <v>5606.3907590350254</v>
      </c>
      <c r="AC23" s="14">
        <f t="shared" si="31"/>
        <v>73264.270969732519</v>
      </c>
      <c r="AD23" s="306">
        <f t="shared" si="5"/>
        <v>104.12091668743663</v>
      </c>
      <c r="AE23" s="306">
        <f t="shared" si="6"/>
        <v>106.63430316919826</v>
      </c>
      <c r="AF23" s="312">
        <f t="shared" si="7"/>
        <v>104.47599342244094</v>
      </c>
      <c r="AG23" s="306">
        <f t="shared" si="8"/>
        <v>110.33061258040898</v>
      </c>
      <c r="AH23" s="553">
        <v>67.7</v>
      </c>
      <c r="AI23" s="308">
        <f t="shared" si="32"/>
        <v>937.30000000000007</v>
      </c>
      <c r="AJ23" s="314">
        <f t="shared" si="9"/>
        <v>1.2573126566997865</v>
      </c>
      <c r="AK23" s="314">
        <f t="shared" si="10"/>
        <v>1.3642165688344996</v>
      </c>
      <c r="AL23" s="311">
        <f t="shared" si="11"/>
        <v>1.2616003876113451</v>
      </c>
      <c r="AM23" s="314">
        <f t="shared" si="12"/>
        <v>1.4115049778402906</v>
      </c>
      <c r="AN23" s="102">
        <v>0</v>
      </c>
      <c r="AO23" s="308">
        <f t="shared" si="33"/>
        <v>9</v>
      </c>
      <c r="AP23" s="314">
        <f t="shared" si="34"/>
        <v>0</v>
      </c>
      <c r="AQ23" s="314">
        <f t="shared" si="35"/>
        <v>1.3099273572506663E-2</v>
      </c>
      <c r="AR23" s="311">
        <f t="shared" si="36"/>
        <v>0</v>
      </c>
      <c r="AS23" s="314">
        <f t="shared" si="37"/>
        <v>1.355333916628893E-2</v>
      </c>
      <c r="AT23" s="313">
        <f>'15'!I46</f>
        <v>44053.520000000099</v>
      </c>
      <c r="AU23" s="308">
        <f t="shared" si="38"/>
        <v>594159.18000000005</v>
      </c>
      <c r="AV23" s="314">
        <f t="shared" si="13"/>
        <v>818.15433187854217</v>
      </c>
      <c r="AW23" s="314">
        <f t="shared" si="14"/>
        <v>864.78373827069231</v>
      </c>
      <c r="AX23" s="314">
        <f t="shared" si="15"/>
        <v>820.94442995043221</v>
      </c>
      <c r="AY23" s="314">
        <f t="shared" si="16"/>
        <v>894.76009836712387</v>
      </c>
      <c r="AZ23" s="313">
        <f>+Listrik!S22</f>
        <v>24513.94999999932</v>
      </c>
      <c r="BA23" s="308">
        <f t="shared" si="39"/>
        <v>371708.94999999972</v>
      </c>
      <c r="BB23" s="314">
        <f t="shared" si="17"/>
        <v>455.2688271891414</v>
      </c>
      <c r="BC23" s="314">
        <f t="shared" si="40"/>
        <v>541.01302504435535</v>
      </c>
      <c r="BD23" s="314">
        <f t="shared" si="18"/>
        <v>456.82140061867466</v>
      </c>
      <c r="BE23" s="314">
        <f t="shared" si="19"/>
        <v>559.76638561057007</v>
      </c>
      <c r="BF23" s="587">
        <f>+Listrik!V22</f>
        <v>1436.8000000000175</v>
      </c>
      <c r="BG23" s="589">
        <f t="shared" si="41"/>
        <v>18013.299999999988</v>
      </c>
      <c r="BH23" s="588">
        <f t="shared" si="44"/>
        <v>26.684000371436856</v>
      </c>
      <c r="BI23" s="588">
        <f t="shared" si="44"/>
        <v>26.217904960403796</v>
      </c>
      <c r="BJ23" s="588">
        <f t="shared" si="42"/>
        <v>26.774999068242284</v>
      </c>
      <c r="BK23" s="588">
        <f t="shared" si="42"/>
        <v>27.126707156012472</v>
      </c>
      <c r="BL23" s="543">
        <f>+Efficiency2!K87</f>
        <v>55.430394591549302</v>
      </c>
      <c r="BM23" s="544">
        <f t="shared" si="43"/>
        <v>774.17855964739249</v>
      </c>
      <c r="BN23" s="545">
        <f t="shared" si="20"/>
        <v>0.96809702322020086</v>
      </c>
      <c r="BO23" s="545">
        <f t="shared" si="21"/>
        <v>0.85773881454744128</v>
      </c>
    </row>
    <row r="24" spans="1:67">
      <c r="A24" s="18">
        <f t="shared" si="22"/>
        <v>46038</v>
      </c>
      <c r="B24" s="440" t="s">
        <v>417</v>
      </c>
      <c r="C24" s="441" t="s">
        <v>594</v>
      </c>
      <c r="D24" s="445">
        <f>+'16'!F42</f>
        <v>1170</v>
      </c>
      <c r="E24" s="445">
        <f>+'16'!G42</f>
        <v>936</v>
      </c>
      <c r="F24" s="50">
        <f t="shared" si="0"/>
        <v>0.19999999999999996</v>
      </c>
      <c r="G24" s="450">
        <f t="shared" si="23"/>
        <v>0.9825218411998623</v>
      </c>
      <c r="H24" s="448">
        <f t="shared" si="24"/>
        <v>0.9825218411998623</v>
      </c>
      <c r="I24" s="448">
        <f t="shared" si="25"/>
        <v>0.91394135371499963</v>
      </c>
      <c r="J24" s="452">
        <f t="shared" si="26"/>
        <v>0.89796734160075609</v>
      </c>
      <c r="K24" s="452">
        <f t="shared" si="27"/>
        <v>0.8276039405421971</v>
      </c>
      <c r="L24" s="311">
        <f>+Efficiency1!K92</f>
        <v>55.396223999999997</v>
      </c>
      <c r="M24" s="14">
        <f t="shared" si="28"/>
        <v>862.47414377023028</v>
      </c>
      <c r="N24" s="311">
        <f>+Efficiency1!C92</f>
        <v>55.396223999999997</v>
      </c>
      <c r="O24" s="14">
        <f t="shared" si="28"/>
        <v>818.81260816180827</v>
      </c>
      <c r="P24" s="307">
        <f>'16'!I38</f>
        <v>54.427999999999997</v>
      </c>
      <c r="Q24" s="14">
        <f t="shared" si="29"/>
        <v>741.48899999999992</v>
      </c>
      <c r="R24" s="16">
        <f>'16'!I40</f>
        <v>49.744</v>
      </c>
      <c r="S24" s="308">
        <f t="shared" si="30"/>
        <v>713.78700000000003</v>
      </c>
      <c r="T24" s="8">
        <f t="shared" si="1"/>
        <v>0.91394135371499963</v>
      </c>
      <c r="U24" s="8">
        <f t="shared" si="2"/>
        <v>0.96264003916443819</v>
      </c>
      <c r="V24" s="309">
        <f t="shared" si="3"/>
        <v>0.89796734160075609</v>
      </c>
      <c r="W24" s="310">
        <f t="shared" si="4"/>
        <v>0.8276039405421971</v>
      </c>
      <c r="X24" s="308"/>
      <c r="Y24" s="308"/>
      <c r="Z24" s="7"/>
      <c r="AA24" s="308"/>
      <c r="AB24" s="102">
        <f>+[1]Report1!AY24</f>
        <v>5828.2339932904706</v>
      </c>
      <c r="AC24" s="14">
        <f t="shared" si="31"/>
        <v>79092.504963022991</v>
      </c>
      <c r="AD24" s="306">
        <f t="shared" si="5"/>
        <v>107.0815387905209</v>
      </c>
      <c r="AE24" s="306">
        <f t="shared" si="6"/>
        <v>106.6671318967955</v>
      </c>
      <c r="AF24" s="312">
        <f t="shared" si="7"/>
        <v>117.16456242542759</v>
      </c>
      <c r="AG24" s="306">
        <f t="shared" si="8"/>
        <v>110.80687230647656</v>
      </c>
      <c r="AH24" s="553">
        <v>69</v>
      </c>
      <c r="AI24" s="308">
        <f t="shared" si="32"/>
        <v>1006.3000000000001</v>
      </c>
      <c r="AJ24" s="314">
        <f t="shared" si="9"/>
        <v>1.2677298449327552</v>
      </c>
      <c r="AK24" s="314">
        <f t="shared" si="10"/>
        <v>1.3571340909979785</v>
      </c>
      <c r="AL24" s="311">
        <f t="shared" si="11"/>
        <v>1.3871019620456739</v>
      </c>
      <c r="AM24" s="314">
        <f t="shared" si="12"/>
        <v>1.4098043253799803</v>
      </c>
      <c r="AN24" s="102">
        <v>0</v>
      </c>
      <c r="AO24" s="308">
        <f t="shared" si="33"/>
        <v>9</v>
      </c>
      <c r="AP24" s="314">
        <f t="shared" si="34"/>
        <v>0</v>
      </c>
      <c r="AQ24" s="314">
        <f t="shared" si="35"/>
        <v>1.2137739062885627E-2</v>
      </c>
      <c r="AR24" s="311">
        <f t="shared" si="36"/>
        <v>0</v>
      </c>
      <c r="AS24" s="314">
        <f t="shared" si="37"/>
        <v>1.2608803466580366E-2</v>
      </c>
      <c r="AT24" s="313">
        <f>'16'!I46</f>
        <v>43291.77999999997</v>
      </c>
      <c r="AU24" s="308">
        <f t="shared" si="38"/>
        <v>637450.96</v>
      </c>
      <c r="AV24" s="314">
        <f t="shared" si="13"/>
        <v>795.39538472844811</v>
      </c>
      <c r="AW24" s="314">
        <f t="shared" si="14"/>
        <v>859.69037976288269</v>
      </c>
      <c r="AX24" s="314">
        <f t="shared" si="15"/>
        <v>870.29149244129894</v>
      </c>
      <c r="AY24" s="314">
        <f t="shared" si="16"/>
        <v>893.05487491366466</v>
      </c>
      <c r="AZ24" s="313">
        <f>+Listrik!S23</f>
        <v>24911.2560000005</v>
      </c>
      <c r="BA24" s="308">
        <f t="shared" si="39"/>
        <v>396620.20600000024</v>
      </c>
      <c r="BB24" s="314">
        <f t="shared" si="17"/>
        <v>457.69192327479425</v>
      </c>
      <c r="BC24" s="314">
        <f t="shared" si="40"/>
        <v>534.89695194399428</v>
      </c>
      <c r="BD24" s="314">
        <f t="shared" si="18"/>
        <v>500.78916050177912</v>
      </c>
      <c r="BE24" s="314">
        <f t="shared" si="19"/>
        <v>555.65624759206912</v>
      </c>
      <c r="BF24" s="587">
        <f>+Listrik!V23</f>
        <v>1424.0000000000291</v>
      </c>
      <c r="BG24" s="589">
        <f t="shared" si="41"/>
        <v>19437.300000000017</v>
      </c>
      <c r="BH24" s="588">
        <f t="shared" si="44"/>
        <v>26.163004336004061</v>
      </c>
      <c r="BI24" s="588">
        <f t="shared" si="44"/>
        <v>26.213875054114112</v>
      </c>
      <c r="BJ24" s="588">
        <f t="shared" si="42"/>
        <v>28.626568028305506</v>
      </c>
      <c r="BK24" s="588">
        <f t="shared" si="42"/>
        <v>27.231232846773644</v>
      </c>
      <c r="BL24" s="543">
        <f>+Efficiency2!K92</f>
        <v>55.396223999999997</v>
      </c>
      <c r="BM24" s="544">
        <f t="shared" si="43"/>
        <v>829.57478364739245</v>
      </c>
      <c r="BN24" s="545">
        <f t="shared" si="20"/>
        <v>0.89796734160075609</v>
      </c>
      <c r="BO24" s="545">
        <f t="shared" si="21"/>
        <v>0.86042514077114529</v>
      </c>
    </row>
    <row r="25" spans="1:67">
      <c r="A25" s="18">
        <f t="shared" si="22"/>
        <v>46039</v>
      </c>
      <c r="B25" s="440" t="s">
        <v>417</v>
      </c>
      <c r="C25" s="441" t="s">
        <v>671</v>
      </c>
      <c r="D25" s="445">
        <f>+'17'!F42</f>
        <v>1069.0412075298439</v>
      </c>
      <c r="E25" s="445">
        <f>+'17'!G42</f>
        <v>880.42734274563816</v>
      </c>
      <c r="F25" s="50">
        <f t="shared" si="0"/>
        <v>0.17643273566602924</v>
      </c>
      <c r="G25" s="450">
        <f t="shared" si="23"/>
        <v>0.8675885609871935</v>
      </c>
      <c r="H25" s="448">
        <f t="shared" si="24"/>
        <v>0.8675885609871935</v>
      </c>
      <c r="I25" s="448">
        <f t="shared" si="25"/>
        <v>1.0719425961077156</v>
      </c>
      <c r="J25" s="452">
        <f t="shared" si="26"/>
        <v>0.9300051344179695</v>
      </c>
      <c r="K25" s="452">
        <f t="shared" si="27"/>
        <v>0.83376964156905997</v>
      </c>
      <c r="L25" s="311">
        <f>+SUM(Efficiency1!K97:K99)</f>
        <v>55.257759444695651</v>
      </c>
      <c r="M25" s="14">
        <f t="shared" si="28"/>
        <v>917.73190321492598</v>
      </c>
      <c r="N25" s="311">
        <f>+SUM(Efficiency1!C97:C99)</f>
        <v>55.257759444695651</v>
      </c>
      <c r="O25" s="14">
        <f t="shared" si="28"/>
        <v>874.07036760650396</v>
      </c>
      <c r="P25" s="307">
        <f>'17'!I38</f>
        <v>47.941000000000003</v>
      </c>
      <c r="Q25" s="14">
        <f t="shared" si="29"/>
        <v>789.43</v>
      </c>
      <c r="R25" s="16">
        <f>'17'!I40</f>
        <v>51.39</v>
      </c>
      <c r="S25" s="308">
        <f t="shared" si="30"/>
        <v>765.17700000000002</v>
      </c>
      <c r="T25" s="8">
        <f t="shared" si="1"/>
        <v>1.0719425961077156</v>
      </c>
      <c r="U25" s="8">
        <f t="shared" si="2"/>
        <v>0.96927783337344675</v>
      </c>
      <c r="V25" s="309">
        <f t="shared" si="3"/>
        <v>0.9300051344179695</v>
      </c>
      <c r="W25" s="310">
        <f t="shared" si="4"/>
        <v>0.83376964156905997</v>
      </c>
      <c r="X25" s="308"/>
      <c r="Y25" s="308"/>
      <c r="Z25" s="7"/>
      <c r="AA25" s="308"/>
      <c r="AB25" s="102">
        <f>+[1]Report1!AY25</f>
        <v>5210.2065198914606</v>
      </c>
      <c r="AC25" s="14">
        <f t="shared" si="31"/>
        <v>84302.711482914456</v>
      </c>
      <c r="AD25" s="306">
        <f t="shared" si="5"/>
        <v>108.67955445008366</v>
      </c>
      <c r="AE25" s="306">
        <f t="shared" si="6"/>
        <v>106.78934355536838</v>
      </c>
      <c r="AF25" s="312">
        <f t="shared" si="7"/>
        <v>101.38561042793269</v>
      </c>
      <c r="AG25" s="306">
        <f t="shared" si="8"/>
        <v>110.17413158382237</v>
      </c>
      <c r="AH25" s="553">
        <v>63.8</v>
      </c>
      <c r="AI25" s="308">
        <f t="shared" si="32"/>
        <v>1070.1000000000001</v>
      </c>
      <c r="AJ25" s="314">
        <f t="shared" si="9"/>
        <v>1.3308024446715754</v>
      </c>
      <c r="AK25" s="314">
        <f t="shared" si="10"/>
        <v>1.3555350062703473</v>
      </c>
      <c r="AL25" s="311">
        <f t="shared" si="11"/>
        <v>1.2414866705584744</v>
      </c>
      <c r="AM25" s="314">
        <f t="shared" si="12"/>
        <v>1.3984999549123929</v>
      </c>
      <c r="AN25" s="102">
        <v>0</v>
      </c>
      <c r="AO25" s="308">
        <f t="shared" si="33"/>
        <v>9</v>
      </c>
      <c r="AP25" s="314">
        <f t="shared" si="34"/>
        <v>0</v>
      </c>
      <c r="AQ25" s="314">
        <f t="shared" si="35"/>
        <v>1.1400630834906198E-2</v>
      </c>
      <c r="AR25" s="311">
        <f t="shared" si="36"/>
        <v>0</v>
      </c>
      <c r="AS25" s="314">
        <f t="shared" si="37"/>
        <v>1.1761984482021806E-2</v>
      </c>
      <c r="AT25" s="313">
        <f>'17'!I46</f>
        <v>37880.239999999969</v>
      </c>
      <c r="AU25" s="308">
        <f t="shared" si="38"/>
        <v>675331.2</v>
      </c>
      <c r="AV25" s="314">
        <f t="shared" si="13"/>
        <v>790.1428839615354</v>
      </c>
      <c r="AW25" s="314">
        <f t="shared" si="14"/>
        <v>855.46685583268936</v>
      </c>
      <c r="AX25" s="314">
        <f t="shared" si="15"/>
        <v>737.11305701498281</v>
      </c>
      <c r="AY25" s="314">
        <f t="shared" si="16"/>
        <v>882.58167718057393</v>
      </c>
      <c r="AZ25" s="313">
        <f>+Listrik!S24</f>
        <v>25366.652000000144</v>
      </c>
      <c r="BA25" s="308">
        <f t="shared" si="39"/>
        <v>421986.85800000036</v>
      </c>
      <c r="BB25" s="314">
        <f t="shared" si="17"/>
        <v>529.12229615569436</v>
      </c>
      <c r="BC25" s="314">
        <f t="shared" si="40"/>
        <v>534.5462650266652</v>
      </c>
      <c r="BD25" s="314">
        <f t="shared" si="18"/>
        <v>493.61066355322328</v>
      </c>
      <c r="BE25" s="314">
        <f t="shared" si="19"/>
        <v>551.48920837923822</v>
      </c>
      <c r="BF25" s="587">
        <f>+Listrik!V24</f>
        <v>1452.3999999999942</v>
      </c>
      <c r="BG25" s="589">
        <f t="shared" si="41"/>
        <v>20889.700000000012</v>
      </c>
      <c r="BH25" s="588">
        <f t="shared" si="44"/>
        <v>30.295571640140885</v>
      </c>
      <c r="BI25" s="588">
        <f t="shared" si="44"/>
        <v>26.461750883548902</v>
      </c>
      <c r="BJ25" s="588">
        <f t="shared" si="42"/>
        <v>28.262307841992495</v>
      </c>
      <c r="BK25" s="588">
        <f t="shared" si="42"/>
        <v>27.300480803787895</v>
      </c>
      <c r="BL25" s="543">
        <f>+SUM(Efficiency2!K97:K99)</f>
        <v>55.257759444695651</v>
      </c>
      <c r="BM25" s="544">
        <f t="shared" si="43"/>
        <v>884.83254309208814</v>
      </c>
      <c r="BN25" s="545">
        <f t="shared" si="20"/>
        <v>0.9300051344179695</v>
      </c>
      <c r="BO25" s="545">
        <f t="shared" si="21"/>
        <v>0.8647704087895024</v>
      </c>
    </row>
    <row r="26" spans="1:67">
      <c r="A26" s="18">
        <f t="shared" si="22"/>
        <v>46040</v>
      </c>
      <c r="B26" s="440" t="s">
        <v>417</v>
      </c>
      <c r="C26" s="441" t="s">
        <v>672</v>
      </c>
      <c r="D26" s="445">
        <f>+'18'!F42</f>
        <v>1081.6111111111111</v>
      </c>
      <c r="E26" s="445">
        <f>+'18'!G42</f>
        <v>882.54055555555544</v>
      </c>
      <c r="F26" s="50">
        <f t="shared" si="0"/>
        <v>0.18405002825003858</v>
      </c>
      <c r="G26" s="450">
        <f t="shared" si="23"/>
        <v>0.97419745787631662</v>
      </c>
      <c r="H26" s="448">
        <f t="shared" si="24"/>
        <v>0.97419745787631662</v>
      </c>
      <c r="I26" s="448">
        <f t="shared" si="25"/>
        <v>0.95610987717599716</v>
      </c>
      <c r="J26" s="452">
        <f t="shared" si="26"/>
        <v>0.93143981179529378</v>
      </c>
      <c r="K26" s="452">
        <f t="shared" si="27"/>
        <v>0.83920411234531656</v>
      </c>
      <c r="L26" s="311">
        <f>+SUM(Efficiency1!K103:K105)</f>
        <v>54.072200223999999</v>
      </c>
      <c r="M26" s="14">
        <f t="shared" si="28"/>
        <v>971.80410343892595</v>
      </c>
      <c r="N26" s="311">
        <f>+SUM(Efficiency1!C103:C105)</f>
        <v>54.072200223999999</v>
      </c>
      <c r="O26" s="14">
        <f t="shared" si="28"/>
        <v>928.14256783050394</v>
      </c>
      <c r="P26" s="307">
        <f>'18'!I38</f>
        <v>52.677</v>
      </c>
      <c r="Q26" s="14">
        <f t="shared" si="29"/>
        <v>842.10699999999997</v>
      </c>
      <c r="R26" s="16">
        <f>'18'!I40</f>
        <v>50.365000000000002</v>
      </c>
      <c r="S26" s="308">
        <f t="shared" si="30"/>
        <v>815.54200000000003</v>
      </c>
      <c r="T26" s="8">
        <f t="shared" si="1"/>
        <v>0.95610987717599716</v>
      </c>
      <c r="U26" s="8">
        <f t="shared" si="2"/>
        <v>0.96845412756336202</v>
      </c>
      <c r="V26" s="309">
        <f t="shared" si="3"/>
        <v>0.93143981179529378</v>
      </c>
      <c r="W26" s="310">
        <f t="shared" si="4"/>
        <v>0.83920411234531656</v>
      </c>
      <c r="X26" s="308"/>
      <c r="Y26" s="308"/>
      <c r="Z26" s="7"/>
      <c r="AA26" s="308"/>
      <c r="AB26" s="102">
        <f>+[1]Report1!AY26</f>
        <v>5381.9622978592333</v>
      </c>
      <c r="AC26" s="14">
        <f t="shared" si="31"/>
        <v>89684.673780773694</v>
      </c>
      <c r="AD26" s="306">
        <f t="shared" si="5"/>
        <v>102.1691117159146</v>
      </c>
      <c r="AE26" s="306">
        <f t="shared" si="6"/>
        <v>106.50033045773719</v>
      </c>
      <c r="AF26" s="312">
        <f t="shared" si="7"/>
        <v>106.85917398707899</v>
      </c>
      <c r="AG26" s="306">
        <f t="shared" si="8"/>
        <v>109.96941148435481</v>
      </c>
      <c r="AH26" s="553">
        <v>65.7</v>
      </c>
      <c r="AI26" s="308">
        <f t="shared" si="32"/>
        <v>1135.8000000000002</v>
      </c>
      <c r="AJ26" s="314">
        <f t="shared" si="9"/>
        <v>1.2472236459935078</v>
      </c>
      <c r="AK26" s="314">
        <f t="shared" si="10"/>
        <v>1.3487597181830815</v>
      </c>
      <c r="AL26" s="311">
        <f t="shared" si="11"/>
        <v>1.3044773155961482</v>
      </c>
      <c r="AM26" s="314">
        <f t="shared" si="12"/>
        <v>1.3926934480382374</v>
      </c>
      <c r="AN26" s="102">
        <v>0</v>
      </c>
      <c r="AO26" s="308">
        <f t="shared" si="33"/>
        <v>9</v>
      </c>
      <c r="AP26" s="314">
        <f t="shared" si="34"/>
        <v>0</v>
      </c>
      <c r="AQ26" s="314">
        <f t="shared" si="35"/>
        <v>1.0687477957076714E-2</v>
      </c>
      <c r="AR26" s="311">
        <f t="shared" si="36"/>
        <v>0</v>
      </c>
      <c r="AS26" s="314">
        <f t="shared" si="37"/>
        <v>1.1035605768924225E-2</v>
      </c>
      <c r="AT26" s="313">
        <f>'18'!I46</f>
        <v>41512.020000000004</v>
      </c>
      <c r="AU26" s="308">
        <f t="shared" si="38"/>
        <v>716843.22</v>
      </c>
      <c r="AV26" s="314">
        <f t="shared" si="13"/>
        <v>788.04829432200017</v>
      </c>
      <c r="AW26" s="314">
        <f t="shared" si="14"/>
        <v>851.24956804776582</v>
      </c>
      <c r="AX26" s="314">
        <f t="shared" si="15"/>
        <v>824.22356795393637</v>
      </c>
      <c r="AY26" s="314">
        <f t="shared" si="16"/>
        <v>878.97768600513518</v>
      </c>
      <c r="AZ26" s="313">
        <f>+Listrik!S25</f>
        <v>24979.086000000065</v>
      </c>
      <c r="BA26" s="308">
        <f t="shared" si="39"/>
        <v>446965.94400000043</v>
      </c>
      <c r="BB26" s="314">
        <f t="shared" si="17"/>
        <v>474.19340509140733</v>
      </c>
      <c r="BC26" s="314">
        <f t="shared" si="40"/>
        <v>530.77096378488773</v>
      </c>
      <c r="BD26" s="314">
        <f t="shared" si="18"/>
        <v>495.96120321652069</v>
      </c>
      <c r="BE26" s="314">
        <f t="shared" si="19"/>
        <v>548.05999445767407</v>
      </c>
      <c r="BF26" s="587">
        <f>+Listrik!V25</f>
        <v>1359.7999999999884</v>
      </c>
      <c r="BG26" s="589">
        <f t="shared" si="41"/>
        <v>22249.5</v>
      </c>
      <c r="BH26" s="588">
        <f t="shared" si="44"/>
        <v>25.813922584809088</v>
      </c>
      <c r="BI26" s="588">
        <f t="shared" si="44"/>
        <v>26.421226756219816</v>
      </c>
      <c r="BJ26" s="588">
        <f t="shared" si="42"/>
        <v>26.998907971805586</v>
      </c>
      <c r="BK26" s="588">
        <f t="shared" si="42"/>
        <v>27.281856728408837</v>
      </c>
      <c r="BL26" s="543">
        <f>+SUM(Efficiency2!K103:K105)</f>
        <v>54.072200223999999</v>
      </c>
      <c r="BM26" s="544">
        <f t="shared" si="43"/>
        <v>938.90474331608812</v>
      </c>
      <c r="BN26" s="545">
        <f t="shared" si="20"/>
        <v>0.93143981179529378</v>
      </c>
      <c r="BO26" s="545">
        <f t="shared" si="21"/>
        <v>0.8686099477137722</v>
      </c>
    </row>
    <row r="27" spans="1:67">
      <c r="A27" s="18">
        <f t="shared" si="22"/>
        <v>46041</v>
      </c>
      <c r="B27" s="440" t="s">
        <v>417</v>
      </c>
      <c r="C27" s="441" t="s">
        <v>632</v>
      </c>
      <c r="D27" s="445">
        <f>+'19'!F42</f>
        <v>1185.1527777777778</v>
      </c>
      <c r="E27" s="445">
        <f>+'19'!G42</f>
        <v>948.12222222222226</v>
      </c>
      <c r="F27" s="50">
        <f t="shared" si="0"/>
        <v>0.19999999999999996</v>
      </c>
      <c r="G27" s="450">
        <f t="shared" si="23"/>
        <v>0.96722318523399908</v>
      </c>
      <c r="H27" s="448">
        <f t="shared" si="24"/>
        <v>0.96722318523399908</v>
      </c>
      <c r="I27" s="448">
        <f t="shared" si="25"/>
        <v>0.98712261846604787</v>
      </c>
      <c r="J27" s="452">
        <f t="shared" si="26"/>
        <v>0.95476788324925643</v>
      </c>
      <c r="K27" s="452">
        <f t="shared" si="27"/>
        <v>0.84517103605544597</v>
      </c>
      <c r="L27" s="311">
        <f>+SUM(Efficiency1!K108:K109)</f>
        <v>52.909194880000001</v>
      </c>
      <c r="M27" s="14">
        <f t="shared" si="28"/>
        <v>1024.713298318926</v>
      </c>
      <c r="N27" s="311">
        <f>+SUM(Efficiency1!C108:C109)</f>
        <v>52.909194880000001</v>
      </c>
      <c r="O27" s="14">
        <f t="shared" si="28"/>
        <v>981.05176271050391</v>
      </c>
      <c r="P27" s="307">
        <f>'19'!I38</f>
        <v>51.174999999999997</v>
      </c>
      <c r="Q27" s="14">
        <f t="shared" si="29"/>
        <v>893.28199999999993</v>
      </c>
      <c r="R27" s="16">
        <f>'19'!I40</f>
        <v>50.515999999999998</v>
      </c>
      <c r="S27" s="308">
        <f t="shared" si="30"/>
        <v>866.05799999999999</v>
      </c>
      <c r="T27" s="8">
        <f t="shared" si="1"/>
        <v>0.98712261846604787</v>
      </c>
      <c r="U27" s="8">
        <f t="shared" si="2"/>
        <v>0.96952362187976482</v>
      </c>
      <c r="V27" s="309">
        <f t="shared" si="3"/>
        <v>0.95476788324925643</v>
      </c>
      <c r="W27" s="310">
        <f t="shared" si="4"/>
        <v>0.84517103605544597</v>
      </c>
      <c r="X27" s="308"/>
      <c r="Y27" s="308"/>
      <c r="Z27" s="7"/>
      <c r="AA27" s="308"/>
      <c r="AB27" s="102">
        <f>+[1]Report1!AY27</f>
        <v>5813.3922723056248</v>
      </c>
      <c r="AC27" s="14">
        <f t="shared" si="31"/>
        <v>95498.066053079325</v>
      </c>
      <c r="AD27" s="306">
        <f t="shared" si="5"/>
        <v>113.59828573142404</v>
      </c>
      <c r="AE27" s="306">
        <f t="shared" si="6"/>
        <v>106.90696336999888</v>
      </c>
      <c r="AF27" s="312">
        <f t="shared" si="7"/>
        <v>115.08021760047558</v>
      </c>
      <c r="AG27" s="306">
        <f t="shared" si="8"/>
        <v>110.26751794115327</v>
      </c>
      <c r="AH27" s="553">
        <v>65.099999999999994</v>
      </c>
      <c r="AI27" s="308">
        <f t="shared" si="32"/>
        <v>1200.9000000000001</v>
      </c>
      <c r="AJ27" s="314">
        <f t="shared" si="9"/>
        <v>1.2721055202735709</v>
      </c>
      <c r="AK27" s="314">
        <f t="shared" si="10"/>
        <v>1.3443682957901315</v>
      </c>
      <c r="AL27" s="311">
        <f t="shared" si="11"/>
        <v>1.2887006097078153</v>
      </c>
      <c r="AM27" s="314">
        <f t="shared" si="12"/>
        <v>1.3866276854437003</v>
      </c>
      <c r="AN27" s="102">
        <v>0</v>
      </c>
      <c r="AO27" s="308">
        <f t="shared" si="33"/>
        <v>9</v>
      </c>
      <c r="AP27" s="314">
        <f t="shared" si="34"/>
        <v>0</v>
      </c>
      <c r="AQ27" s="314">
        <f t="shared" si="35"/>
        <v>1.0075205814065435E-2</v>
      </c>
      <c r="AR27" s="311">
        <f t="shared" si="36"/>
        <v>0</v>
      </c>
      <c r="AS27" s="314">
        <f t="shared" si="37"/>
        <v>1.0391913705548589E-2</v>
      </c>
      <c r="AT27" s="313">
        <f>'19'!I46</f>
        <v>42202.979999999996</v>
      </c>
      <c r="AU27" s="308">
        <f t="shared" si="38"/>
        <v>759046.2</v>
      </c>
      <c r="AV27" s="314">
        <f t="shared" si="13"/>
        <v>824.67962872496321</v>
      </c>
      <c r="AW27" s="314">
        <f t="shared" si="14"/>
        <v>849.727409709364</v>
      </c>
      <c r="AX27" s="314">
        <f t="shared" si="15"/>
        <v>835.43788106738452</v>
      </c>
      <c r="AY27" s="314">
        <f t="shared" si="16"/>
        <v>876.43806765828617</v>
      </c>
      <c r="AZ27" s="313">
        <f>+Listrik!S26</f>
        <v>24339.090999999822</v>
      </c>
      <c r="BA27" s="308">
        <f t="shared" si="39"/>
        <v>471305.03500000027</v>
      </c>
      <c r="BB27" s="314">
        <f t="shared" si="17"/>
        <v>475.60510014655245</v>
      </c>
      <c r="BC27" s="314">
        <f t="shared" si="40"/>
        <v>527.61058098114631</v>
      </c>
      <c r="BD27" s="314">
        <f t="shared" si="18"/>
        <v>481.80954549053411</v>
      </c>
      <c r="BE27" s="314">
        <f t="shared" si="19"/>
        <v>544.19569474561774</v>
      </c>
      <c r="BF27" s="587">
        <f>+Listrik!V26</f>
        <v>1436.3999999999942</v>
      </c>
      <c r="BG27" s="589">
        <f t="shared" si="41"/>
        <v>23685.899999999994</v>
      </c>
      <c r="BH27" s="588">
        <f t="shared" si="44"/>
        <v>28.068392769907067</v>
      </c>
      <c r="BI27" s="588">
        <f t="shared" si="44"/>
        <v>26.515590821263608</v>
      </c>
      <c r="BJ27" s="588">
        <f t="shared" si="42"/>
        <v>28.434555388391679</v>
      </c>
      <c r="BK27" s="588">
        <f t="shared" si="42"/>
        <v>27.349092093139252</v>
      </c>
      <c r="BL27" s="543">
        <f>+SUM(Efficiency2!K108:K109)</f>
        <v>52.909194880000001</v>
      </c>
      <c r="BM27" s="544">
        <f t="shared" si="43"/>
        <v>991.81393819608809</v>
      </c>
      <c r="BN27" s="545">
        <f t="shared" si="20"/>
        <v>0.95476788324925643</v>
      </c>
      <c r="BO27" s="545">
        <f t="shared" si="21"/>
        <v>0.87320611925981495</v>
      </c>
    </row>
    <row r="28" spans="1:67">
      <c r="A28" s="18">
        <f t="shared" si="22"/>
        <v>46042</v>
      </c>
      <c r="B28" s="440" t="s">
        <v>417</v>
      </c>
      <c r="C28" s="449" t="s">
        <v>594</v>
      </c>
      <c r="D28" s="445">
        <f>+'20'!F42</f>
        <v>1183.3333333333333</v>
      </c>
      <c r="E28" s="445">
        <f>+'20'!G42</f>
        <v>934.83333333333337</v>
      </c>
      <c r="F28" s="50">
        <f t="shared" si="0"/>
        <v>0.20999999999999996</v>
      </c>
      <c r="G28" s="450">
        <f t="shared" si="23"/>
        <v>0.99636388454021219</v>
      </c>
      <c r="H28" s="448">
        <f t="shared" si="24"/>
        <v>0.99636388454021219</v>
      </c>
      <c r="I28" s="448">
        <f t="shared" si="25"/>
        <v>0.99156477887022465</v>
      </c>
      <c r="J28" s="452">
        <f t="shared" si="26"/>
        <v>0.98795933484839349</v>
      </c>
      <c r="K28" s="452">
        <f t="shared" si="27"/>
        <v>0.85248564465198007</v>
      </c>
      <c r="L28" s="311">
        <f>+Efficiency1!K113</f>
        <v>55.327176000000001</v>
      </c>
      <c r="M28" s="14">
        <f t="shared" si="28"/>
        <v>1080.040474318926</v>
      </c>
      <c r="N28" s="311">
        <f>+Efficiency1!C113</f>
        <v>55.327176000000001</v>
      </c>
      <c r="O28" s="14">
        <f t="shared" si="28"/>
        <v>1036.3789387105039</v>
      </c>
      <c r="P28" s="307">
        <f>'20'!I38</f>
        <v>55.125999999999998</v>
      </c>
      <c r="Q28" s="14">
        <f t="shared" si="29"/>
        <v>948.4079999999999</v>
      </c>
      <c r="R28" s="16">
        <f>'20'!I40</f>
        <v>54.661000000000001</v>
      </c>
      <c r="S28" s="308">
        <f t="shared" si="30"/>
        <v>920.71900000000005</v>
      </c>
      <c r="T28" s="8">
        <f t="shared" si="1"/>
        <v>0.99156477887022465</v>
      </c>
      <c r="U28" s="8">
        <f t="shared" si="2"/>
        <v>0.97080475913320019</v>
      </c>
      <c r="V28" s="309">
        <f t="shared" si="3"/>
        <v>0.98795933484839349</v>
      </c>
      <c r="W28" s="310">
        <f t="shared" si="4"/>
        <v>0.85248564465198007</v>
      </c>
      <c r="X28" s="308"/>
      <c r="Y28" s="308"/>
      <c r="Z28" s="7"/>
      <c r="AA28" s="308"/>
      <c r="AB28" s="102">
        <f>+[1]Report1!AY28</f>
        <v>5792.7104294867731</v>
      </c>
      <c r="AC28" s="14">
        <f t="shared" si="31"/>
        <v>101290.7764825661</v>
      </c>
      <c r="AD28" s="306">
        <f t="shared" si="5"/>
        <v>105.0812761580157</v>
      </c>
      <c r="AE28" s="306">
        <f t="shared" si="6"/>
        <v>106.80084571467776</v>
      </c>
      <c r="AF28" s="312">
        <f t="shared" si="7"/>
        <v>105.97520040772713</v>
      </c>
      <c r="AG28" s="306">
        <f t="shared" si="8"/>
        <v>110.01269277875888</v>
      </c>
      <c r="AH28" s="553">
        <v>67.099999999999994</v>
      </c>
      <c r="AI28" s="308">
        <f t="shared" si="32"/>
        <v>1268</v>
      </c>
      <c r="AJ28" s="314">
        <f t="shared" si="9"/>
        <v>1.2172114791568407</v>
      </c>
      <c r="AK28" s="314">
        <f t="shared" si="10"/>
        <v>1.3369773346492229</v>
      </c>
      <c r="AL28" s="311">
        <f t="shared" si="11"/>
        <v>1.2275662721135727</v>
      </c>
      <c r="AM28" s="314">
        <f t="shared" si="12"/>
        <v>1.3771845698850571</v>
      </c>
      <c r="AN28" s="102">
        <v>0</v>
      </c>
      <c r="AO28" s="308">
        <f t="shared" si="33"/>
        <v>9</v>
      </c>
      <c r="AP28" s="314">
        <f t="shared" si="34"/>
        <v>0</v>
      </c>
      <c r="AQ28" s="314">
        <f t="shared" si="35"/>
        <v>9.4895867601285534E-3</v>
      </c>
      <c r="AR28" s="311">
        <f t="shared" si="36"/>
        <v>0</v>
      </c>
      <c r="AS28" s="314">
        <f t="shared" si="37"/>
        <v>9.7749693446100277E-3</v>
      </c>
      <c r="AT28" s="313">
        <f>'20'!I46</f>
        <v>44065.320000000036</v>
      </c>
      <c r="AU28" s="308">
        <f t="shared" si="38"/>
        <v>803111.52</v>
      </c>
      <c r="AV28" s="314">
        <f t="shared" si="13"/>
        <v>799.35638355766855</v>
      </c>
      <c r="AW28" s="314">
        <f t="shared" si="14"/>
        <v>846.79960523319085</v>
      </c>
      <c r="AX28" s="314">
        <f t="shared" si="15"/>
        <v>806.15649183147093</v>
      </c>
      <c r="AY28" s="314">
        <f t="shared" si="16"/>
        <v>872.26560981146258</v>
      </c>
      <c r="AZ28" s="313">
        <f>+Listrik!S27</f>
        <v>22682.857999999804</v>
      </c>
      <c r="BA28" s="308">
        <f t="shared" si="39"/>
        <v>493987.89300000004</v>
      </c>
      <c r="BB28" s="314">
        <f t="shared" si="17"/>
        <v>411.47295287159966</v>
      </c>
      <c r="BC28" s="314">
        <f t="shared" si="40"/>
        <v>520.86010767517791</v>
      </c>
      <c r="BD28" s="314">
        <f t="shared" si="18"/>
        <v>414.97334479793278</v>
      </c>
      <c r="BE28" s="314">
        <f t="shared" si="19"/>
        <v>536.52405674261092</v>
      </c>
      <c r="BF28" s="587">
        <f>+Listrik!V27</f>
        <v>1374.1000000000058</v>
      </c>
      <c r="BG28" s="589">
        <f t="shared" si="41"/>
        <v>25060</v>
      </c>
      <c r="BH28" s="588">
        <f t="shared" si="44"/>
        <v>24.926531944998835</v>
      </c>
      <c r="BI28" s="588">
        <f t="shared" si="44"/>
        <v>26.423227134313507</v>
      </c>
      <c r="BJ28" s="588">
        <f t="shared" si="42"/>
        <v>25.138581438319932</v>
      </c>
      <c r="BK28" s="588">
        <f t="shared" si="42"/>
        <v>27.217859086214144</v>
      </c>
      <c r="BL28" s="543">
        <f>+Efficiency2!K113</f>
        <v>55.327176000000001</v>
      </c>
      <c r="BM28" s="544">
        <f t="shared" si="43"/>
        <v>1047.141114196088</v>
      </c>
      <c r="BN28" s="545">
        <f t="shared" si="20"/>
        <v>0.98795933484839349</v>
      </c>
      <c r="BO28" s="545">
        <f t="shared" si="21"/>
        <v>0.87926926707185515</v>
      </c>
    </row>
    <row r="29" spans="1:67" ht="12.2" customHeight="1">
      <c r="A29" s="18">
        <f t="shared" si="22"/>
        <v>46043</v>
      </c>
      <c r="B29" s="440" t="s">
        <v>417</v>
      </c>
      <c r="C29" s="449" t="s">
        <v>708</v>
      </c>
      <c r="D29" s="445">
        <f>+'21'!F42</f>
        <v>1189.0277777777778</v>
      </c>
      <c r="E29" s="445">
        <f>+'21'!G42</f>
        <v>939.33194444444439</v>
      </c>
      <c r="F29" s="50">
        <f t="shared" si="0"/>
        <v>0.21000000000000008</v>
      </c>
      <c r="G29" s="450">
        <f t="shared" si="23"/>
        <v>0.9826708702011</v>
      </c>
      <c r="H29" s="448">
        <f t="shared" si="24"/>
        <v>0.96623524422771756</v>
      </c>
      <c r="I29" s="448">
        <f t="shared" si="25"/>
        <v>0.96810086203622814</v>
      </c>
      <c r="J29" s="452">
        <f t="shared" si="26"/>
        <v>0.93541317286663883</v>
      </c>
      <c r="K29" s="452">
        <f t="shared" si="27"/>
        <v>0.8564696851009812</v>
      </c>
      <c r="L29" s="311">
        <f>+SUM(Efficiency1!K118:K120)</f>
        <v>54.506395119228273</v>
      </c>
      <c r="M29" s="14">
        <f t="shared" si="28"/>
        <v>1134.5468694381543</v>
      </c>
      <c r="N29" s="311">
        <f>+SUM(Efficiency1!C118:C120)</f>
        <v>53.594750385978266</v>
      </c>
      <c r="O29" s="14">
        <f t="shared" si="28"/>
        <v>1089.9736890964821</v>
      </c>
      <c r="P29" s="307">
        <f>'21'!I38</f>
        <v>52.666000000000004</v>
      </c>
      <c r="Q29" s="14">
        <f t="shared" si="29"/>
        <v>1001.074</v>
      </c>
      <c r="R29" s="16">
        <f>'21'!I40</f>
        <v>50.985999999999997</v>
      </c>
      <c r="S29" s="308">
        <f t="shared" si="30"/>
        <v>971.70500000000004</v>
      </c>
      <c r="T29" s="8">
        <f t="shared" si="1"/>
        <v>0.96810086203622814</v>
      </c>
      <c r="U29" s="8">
        <f t="shared" si="2"/>
        <v>0.97066250846590774</v>
      </c>
      <c r="V29" s="309">
        <f t="shared" si="3"/>
        <v>0.93541317286663883</v>
      </c>
      <c r="W29" s="310">
        <f t="shared" si="4"/>
        <v>0.8564696851009812</v>
      </c>
      <c r="X29" s="308"/>
      <c r="Y29" s="308"/>
      <c r="Z29" s="7"/>
      <c r="AA29" s="308"/>
      <c r="AB29" s="102">
        <f>+[1]Report1!AY29</f>
        <v>5439.9797719945491</v>
      </c>
      <c r="AC29" s="14">
        <f t="shared" si="31"/>
        <v>106730.75625456065</v>
      </c>
      <c r="AD29" s="306">
        <f t="shared" si="5"/>
        <v>103.29206265891749</v>
      </c>
      <c r="AE29" s="306">
        <f t="shared" si="6"/>
        <v>106.6162504016293</v>
      </c>
      <c r="AF29" s="312">
        <f t="shared" si="7"/>
        <v>106.69555901609363</v>
      </c>
      <c r="AG29" s="306">
        <f t="shared" si="8"/>
        <v>109.83864059005629</v>
      </c>
      <c r="AH29" s="553">
        <v>67.8</v>
      </c>
      <c r="AI29" s="308">
        <f t="shared" si="32"/>
        <v>1335.8</v>
      </c>
      <c r="AJ29" s="314">
        <f t="shared" si="9"/>
        <v>1.2873580678236431</v>
      </c>
      <c r="AK29" s="314">
        <f t="shared" si="10"/>
        <v>1.3343668899601828</v>
      </c>
      <c r="AL29" s="311">
        <f t="shared" si="11"/>
        <v>1.3297768014749147</v>
      </c>
      <c r="AM29" s="314">
        <f t="shared" si="12"/>
        <v>1.374697053117973</v>
      </c>
      <c r="AN29" s="102">
        <v>0</v>
      </c>
      <c r="AO29" s="308">
        <f t="shared" si="33"/>
        <v>9</v>
      </c>
      <c r="AP29" s="314">
        <f t="shared" si="34"/>
        <v>0</v>
      </c>
      <c r="AQ29" s="314">
        <f t="shared" si="35"/>
        <v>8.9903443701464629E-3</v>
      </c>
      <c r="AR29" s="311">
        <f t="shared" si="36"/>
        <v>0</v>
      </c>
      <c r="AS29" s="314">
        <f t="shared" si="37"/>
        <v>9.2620702785310358E-3</v>
      </c>
      <c r="AT29" s="313">
        <f>'21'!I46</f>
        <v>42495.37999999999</v>
      </c>
      <c r="AU29" s="308">
        <f t="shared" si="38"/>
        <v>845606.9</v>
      </c>
      <c r="AV29" s="314">
        <f t="shared" si="13"/>
        <v>806.88451752553806</v>
      </c>
      <c r="AW29" s="314">
        <f t="shared" si="14"/>
        <v>844.69969253022259</v>
      </c>
      <c r="AX29" s="314">
        <f t="shared" si="15"/>
        <v>833.47154120739003</v>
      </c>
      <c r="AY29" s="314">
        <f t="shared" si="16"/>
        <v>870.23005953452957</v>
      </c>
      <c r="AZ29" s="313">
        <f>+Listrik!S28</f>
        <v>26164.900000000063</v>
      </c>
      <c r="BA29" s="308">
        <f t="shared" si="39"/>
        <v>520152.79300000012</v>
      </c>
      <c r="BB29" s="314">
        <f t="shared" si="17"/>
        <v>496.80818744541182</v>
      </c>
      <c r="BC29" s="314">
        <f t="shared" si="40"/>
        <v>519.59474824039</v>
      </c>
      <c r="BD29" s="314">
        <f t="shared" si="18"/>
        <v>513.17812732907203</v>
      </c>
      <c r="BE29" s="314">
        <f t="shared" si="19"/>
        <v>535.29908048224524</v>
      </c>
      <c r="BF29" s="587">
        <f>+Listrik!V28</f>
        <v>1419.7999999999884</v>
      </c>
      <c r="BG29" s="589">
        <f t="shared" si="41"/>
        <v>26479.799999999988</v>
      </c>
      <c r="BH29" s="588">
        <f t="shared" si="44"/>
        <v>26.958569095811114</v>
      </c>
      <c r="BI29" s="588">
        <f t="shared" si="44"/>
        <v>26.45139120584491</v>
      </c>
      <c r="BJ29" s="588">
        <f t="shared" si="42"/>
        <v>27.846859922331394</v>
      </c>
      <c r="BK29" s="588">
        <f t="shared" si="42"/>
        <v>27.250863173494</v>
      </c>
      <c r="BL29" s="543">
        <f>+SUM(Efficiency2!K118:K120)</f>
        <v>54.506395119228273</v>
      </c>
      <c r="BM29" s="544">
        <f t="shared" si="43"/>
        <v>1101.6475093153163</v>
      </c>
      <c r="BN29" s="545">
        <f t="shared" si="20"/>
        <v>0.93541317286663883</v>
      </c>
      <c r="BO29" s="545">
        <f t="shared" si="21"/>
        <v>0.882047108338604</v>
      </c>
    </row>
    <row r="30" spans="1:67" ht="12.75" customHeight="1">
      <c r="A30" s="18">
        <f t="shared" si="22"/>
        <v>46044</v>
      </c>
      <c r="B30" s="440" t="s">
        <v>417</v>
      </c>
      <c r="C30" s="441" t="s">
        <v>715</v>
      </c>
      <c r="D30" s="445">
        <f>+'22'!F42</f>
        <v>1276.6666666666667</v>
      </c>
      <c r="E30" s="445">
        <f>+'22'!G42</f>
        <v>1008.5666666666667</v>
      </c>
      <c r="F30" s="50">
        <f t="shared" si="0"/>
        <v>0.20999999999999996</v>
      </c>
      <c r="G30" s="450">
        <f t="shared" si="23"/>
        <v>0.95839514045364316</v>
      </c>
      <c r="H30" s="448">
        <f t="shared" si="24"/>
        <v>0.95839514045364316</v>
      </c>
      <c r="I30" s="448">
        <f t="shared" si="25"/>
        <v>0.98677313178105575</v>
      </c>
      <c r="J30" s="452">
        <f t="shared" si="26"/>
        <v>0.94571857422918626</v>
      </c>
      <c r="K30" s="452">
        <f t="shared" si="27"/>
        <v>0.86033454335582715</v>
      </c>
      <c r="L30" s="311">
        <f>+Efficiency1!K123</f>
        <v>51.354600959999999</v>
      </c>
      <c r="M30" s="14">
        <f t="shared" si="28"/>
        <v>1185.9014703981543</v>
      </c>
      <c r="N30" s="311">
        <f>+Efficiency1!C123</f>
        <v>51.354600959999999</v>
      </c>
      <c r="O30" s="14">
        <f t="shared" si="28"/>
        <v>1141.328290056482</v>
      </c>
      <c r="P30" s="307">
        <f>'22'!I38</f>
        <v>49.217999999999996</v>
      </c>
      <c r="Q30" s="14">
        <f t="shared" si="29"/>
        <v>1050.2919999999999</v>
      </c>
      <c r="R30" s="16">
        <f>'22'!I40</f>
        <v>48.567</v>
      </c>
      <c r="S30" s="308">
        <f t="shared" si="30"/>
        <v>1020.272</v>
      </c>
      <c r="T30" s="8">
        <f t="shared" si="1"/>
        <v>0.98677313178105575</v>
      </c>
      <c r="U30" s="8">
        <f t="shared" si="2"/>
        <v>0.97141747247432153</v>
      </c>
      <c r="V30" s="309">
        <f t="shared" si="3"/>
        <v>0.94571857422918626</v>
      </c>
      <c r="W30" s="310">
        <f t="shared" si="4"/>
        <v>0.86033454335582715</v>
      </c>
      <c r="X30" s="308"/>
      <c r="Y30" s="308"/>
      <c r="Z30" s="7"/>
      <c r="AA30" s="308"/>
      <c r="AB30" s="102">
        <f>+[1]Report1!AY30</f>
        <v>5708.1952845600254</v>
      </c>
      <c r="AC30" s="14">
        <f t="shared" si="31"/>
        <v>112438.95153912068</v>
      </c>
      <c r="AD30" s="306">
        <f t="shared" si="5"/>
        <v>115.97779845910085</v>
      </c>
      <c r="AE30" s="306">
        <f t="shared" si="6"/>
        <v>107.05494428132432</v>
      </c>
      <c r="AF30" s="312">
        <f t="shared" si="7"/>
        <v>117.53238381123036</v>
      </c>
      <c r="AG30" s="306">
        <f t="shared" si="8"/>
        <v>110.20487824729157</v>
      </c>
      <c r="AH30" s="553">
        <v>66.8</v>
      </c>
      <c r="AI30" s="308">
        <f t="shared" si="32"/>
        <v>1402.6</v>
      </c>
      <c r="AJ30" s="314">
        <f t="shared" si="9"/>
        <v>1.3572270307611036</v>
      </c>
      <c r="AK30" s="314">
        <f t="shared" si="10"/>
        <v>1.3354381448206785</v>
      </c>
      <c r="AL30" s="311">
        <f t="shared" si="11"/>
        <v>1.3754195235447937</v>
      </c>
      <c r="AM30" s="314">
        <f t="shared" si="12"/>
        <v>1.3747314441639091</v>
      </c>
      <c r="AN30" s="102">
        <v>0</v>
      </c>
      <c r="AO30" s="308">
        <f t="shared" si="33"/>
        <v>9</v>
      </c>
      <c r="AP30" s="314">
        <f t="shared" si="34"/>
        <v>0</v>
      </c>
      <c r="AQ30" s="314">
        <f t="shared" si="35"/>
        <v>8.5690455606631313E-3</v>
      </c>
      <c r="AR30" s="311">
        <f t="shared" si="36"/>
        <v>0</v>
      </c>
      <c r="AS30" s="314">
        <f t="shared" si="37"/>
        <v>8.8211770978719392E-3</v>
      </c>
      <c r="AT30" s="313">
        <f>'22'!I46</f>
        <v>47332.339999999931</v>
      </c>
      <c r="AU30" s="308">
        <f t="shared" si="38"/>
        <v>892939.24</v>
      </c>
      <c r="AV30" s="314">
        <f t="shared" si="13"/>
        <v>961.68759396968449</v>
      </c>
      <c r="AW30" s="314">
        <f t="shared" si="14"/>
        <v>850.18189227376763</v>
      </c>
      <c r="AX30" s="314">
        <f t="shared" si="15"/>
        <v>974.57821154281578</v>
      </c>
      <c r="AY30" s="314">
        <f t="shared" si="16"/>
        <v>875.1972415199084</v>
      </c>
      <c r="AZ30" s="313">
        <f>+Listrik!S29</f>
        <v>20303.999999999956</v>
      </c>
      <c r="BA30" s="308">
        <f t="shared" si="39"/>
        <v>540456.79300000006</v>
      </c>
      <c r="BB30" s="314">
        <f t="shared" si="17"/>
        <v>412.53200048762562</v>
      </c>
      <c r="BC30" s="314">
        <f t="shared" si="40"/>
        <v>514.57765364298689</v>
      </c>
      <c r="BD30" s="314">
        <f t="shared" si="18"/>
        <v>418.06164679720706</v>
      </c>
      <c r="BE30" s="314">
        <f t="shared" si="19"/>
        <v>529.71834275565732</v>
      </c>
      <c r="BF30" s="587">
        <f>+Listrik!V29</f>
        <v>1410.1000000000058</v>
      </c>
      <c r="BG30" s="589">
        <f t="shared" si="41"/>
        <v>27889.899999999994</v>
      </c>
      <c r="BH30" s="588">
        <f t="shared" si="44"/>
        <v>28.65008736641078</v>
      </c>
      <c r="BI30" s="588">
        <f t="shared" si="44"/>
        <v>26.554424864704288</v>
      </c>
      <c r="BJ30" s="588">
        <f t="shared" si="42"/>
        <v>29.034117816624576</v>
      </c>
      <c r="BK30" s="588">
        <f t="shared" si="42"/>
        <v>27.335749682437619</v>
      </c>
      <c r="BL30" s="543">
        <f>+Efficiency2!K123</f>
        <v>51.354600959999999</v>
      </c>
      <c r="BM30" s="544">
        <f t="shared" si="43"/>
        <v>1153.0021102753162</v>
      </c>
      <c r="BN30" s="545">
        <f t="shared" si="20"/>
        <v>0.94571857422918626</v>
      </c>
      <c r="BO30" s="545">
        <f t="shared" si="21"/>
        <v>0.8848830291874985</v>
      </c>
    </row>
    <row r="31" spans="1:67">
      <c r="A31" s="18">
        <f t="shared" si="22"/>
        <v>46045</v>
      </c>
      <c r="B31" s="440" t="s">
        <v>417</v>
      </c>
      <c r="C31" s="441" t="s">
        <v>728</v>
      </c>
      <c r="D31" s="445">
        <f>+'23'!F42</f>
        <v>1162.3472222222222</v>
      </c>
      <c r="E31" s="445">
        <f>+'23'!G42</f>
        <v>918.25430555555556</v>
      </c>
      <c r="F31" s="50">
        <f t="shared" si="0"/>
        <v>0.20999999999999996</v>
      </c>
      <c r="G31" s="450">
        <f t="shared" si="23"/>
        <v>0.98417311059393886</v>
      </c>
      <c r="H31" s="448">
        <f t="shared" si="24"/>
        <v>0.90091921400014952</v>
      </c>
      <c r="I31" s="448">
        <f t="shared" si="25"/>
        <v>1.0043947351073415</v>
      </c>
      <c r="J31" s="452">
        <f t="shared" si="26"/>
        <v>0.90487851529879448</v>
      </c>
      <c r="K31" s="452">
        <f t="shared" si="27"/>
        <v>0.86215439491810431</v>
      </c>
      <c r="L31" s="311">
        <f>+SUM(Efficiency1!K128:K129)</f>
        <v>50.51396317538461</v>
      </c>
      <c r="M31" s="14">
        <f t="shared" si="28"/>
        <v>1236.4154335735388</v>
      </c>
      <c r="N31" s="311">
        <f>+SUM(Efficiency1!C128:C129)</f>
        <v>46.240848799999995</v>
      </c>
      <c r="O31" s="14">
        <f t="shared" si="28"/>
        <v>1187.5691388564821</v>
      </c>
      <c r="P31" s="307">
        <f>'23'!I38</f>
        <v>45.509</v>
      </c>
      <c r="Q31" s="14">
        <f t="shared" si="29"/>
        <v>1095.8009999999999</v>
      </c>
      <c r="R31" s="16">
        <f>'23'!I40</f>
        <v>45.709000000000003</v>
      </c>
      <c r="S31" s="308">
        <f t="shared" si="30"/>
        <v>1065.981</v>
      </c>
      <c r="T31" s="8">
        <f t="shared" si="1"/>
        <v>1.0043947351073415</v>
      </c>
      <c r="U31" s="8">
        <f t="shared" si="2"/>
        <v>0.97278702976179077</v>
      </c>
      <c r="V31" s="309">
        <f t="shared" si="3"/>
        <v>0.90487851529879448</v>
      </c>
      <c r="W31" s="310">
        <f t="shared" si="4"/>
        <v>0.86215439491810431</v>
      </c>
      <c r="X31" s="308"/>
      <c r="Y31" s="308"/>
      <c r="Z31" s="7"/>
      <c r="AA31" s="308"/>
      <c r="AB31" s="102">
        <f>+[1]Report1!AY31</f>
        <v>4071.2316094896742</v>
      </c>
      <c r="AC31" s="14">
        <f t="shared" si="31"/>
        <v>116510.18314861035</v>
      </c>
      <c r="AD31" s="306">
        <f t="shared" si="5"/>
        <v>89.459922421711624</v>
      </c>
      <c r="AE31" s="306">
        <f t="shared" si="6"/>
        <v>106.32421685014921</v>
      </c>
      <c r="AF31" s="312">
        <f t="shared" si="7"/>
        <v>89.068490001743072</v>
      </c>
      <c r="AG31" s="306">
        <f t="shared" si="8"/>
        <v>109.29855517932342</v>
      </c>
      <c r="AH31" s="553">
        <v>70.5</v>
      </c>
      <c r="AI31" s="308">
        <f t="shared" si="32"/>
        <v>1473.1</v>
      </c>
      <c r="AJ31" s="314">
        <f t="shared" si="9"/>
        <v>1.5491441253378453</v>
      </c>
      <c r="AK31" s="314">
        <f t="shared" si="10"/>
        <v>1.3443134291719026</v>
      </c>
      <c r="AL31" s="311">
        <f t="shared" si="11"/>
        <v>1.5423658360497932</v>
      </c>
      <c r="AM31" s="314">
        <f t="shared" si="12"/>
        <v>1.3819195651704861</v>
      </c>
      <c r="AN31" s="102">
        <v>0</v>
      </c>
      <c r="AO31" s="308">
        <f t="shared" si="33"/>
        <v>9</v>
      </c>
      <c r="AP31" s="314">
        <f t="shared" si="34"/>
        <v>0</v>
      </c>
      <c r="AQ31" s="314">
        <f t="shared" si="35"/>
        <v>8.2131700920148824E-3</v>
      </c>
      <c r="AR31" s="311">
        <f t="shared" si="36"/>
        <v>0</v>
      </c>
      <c r="AS31" s="314">
        <f t="shared" si="37"/>
        <v>8.4429272191530614E-3</v>
      </c>
      <c r="AT31" s="313">
        <f>'23'!I46</f>
        <v>43269.680000000015</v>
      </c>
      <c r="AU31" s="308">
        <f t="shared" si="38"/>
        <v>936208.92</v>
      </c>
      <c r="AV31" s="314">
        <f t="shared" si="13"/>
        <v>950.79390889714159</v>
      </c>
      <c r="AW31" s="314">
        <f t="shared" si="14"/>
        <v>854.36034462461703</v>
      </c>
      <c r="AX31" s="314">
        <f t="shared" si="15"/>
        <v>946.63370452208574</v>
      </c>
      <c r="AY31" s="314">
        <f t="shared" si="16"/>
        <v>878.26041927576568</v>
      </c>
      <c r="AZ31" s="313">
        <f>+Listrik!S30</f>
        <v>20654.99999999996</v>
      </c>
      <c r="BA31" s="308">
        <f t="shared" si="39"/>
        <v>561111.79300000006</v>
      </c>
      <c r="BB31" s="314">
        <f t="shared" si="17"/>
        <v>453.86626821068273</v>
      </c>
      <c r="BC31" s="314">
        <f t="shared" si="40"/>
        <v>512.05628850493849</v>
      </c>
      <c r="BD31" s="314">
        <f t="shared" si="18"/>
        <v>451.88037366820447</v>
      </c>
      <c r="BE31" s="314">
        <f t="shared" si="19"/>
        <v>526.38067001194213</v>
      </c>
      <c r="BF31" s="587">
        <f>+Listrik!V30</f>
        <v>1400.1000000000058</v>
      </c>
      <c r="BG31" s="589">
        <f t="shared" si="41"/>
        <v>29290</v>
      </c>
      <c r="BH31" s="588">
        <f t="shared" si="44"/>
        <v>30.765343118943633</v>
      </c>
      <c r="BI31" s="588">
        <f t="shared" si="44"/>
        <v>26.729305777235101</v>
      </c>
      <c r="BJ31" s="588">
        <f t="shared" si="42"/>
        <v>30.630729178061344</v>
      </c>
      <c r="BK31" s="588">
        <f t="shared" si="42"/>
        <v>27.477037583221463</v>
      </c>
      <c r="BL31" s="543">
        <f>+SUM(Efficiency2!K128:K129)</f>
        <v>46.240848799999995</v>
      </c>
      <c r="BM31" s="544">
        <f t="shared" si="43"/>
        <v>1199.2429590753163</v>
      </c>
      <c r="BN31" s="545">
        <f t="shared" si="20"/>
        <v>0.98849829071476747</v>
      </c>
      <c r="BO31" s="545">
        <f t="shared" si="21"/>
        <v>0.88887826435264727</v>
      </c>
    </row>
    <row r="32" spans="1:67">
      <c r="A32" s="18">
        <f t="shared" si="22"/>
        <v>46046</v>
      </c>
      <c r="B32" s="440" t="s">
        <v>417</v>
      </c>
      <c r="C32" s="441" t="s">
        <v>418</v>
      </c>
      <c r="D32" s="445">
        <f>+'24'!F42</f>
        <v>1210.8365019011408</v>
      </c>
      <c r="E32" s="445">
        <f>+'24'!G42</f>
        <v>956.56083650190112</v>
      </c>
      <c r="F32" s="50">
        <f t="shared" si="0"/>
        <v>0.21000000000000008</v>
      </c>
      <c r="G32" s="450">
        <f t="shared" si="23"/>
        <v>0.84194703249163771</v>
      </c>
      <c r="H32" s="448">
        <f t="shared" si="24"/>
        <v>0.80272456662064617</v>
      </c>
      <c r="I32" s="448">
        <f t="shared" si="25"/>
        <v>0.98173430438142517</v>
      </c>
      <c r="J32" s="452">
        <f t="shared" si="26"/>
        <v>0.78806224402120106</v>
      </c>
      <c r="K32" s="452">
        <f t="shared" si="27"/>
        <v>0.8590980340577451</v>
      </c>
      <c r="L32" s="311">
        <f>+Efficiency1!K134</f>
        <v>53.197574580000001</v>
      </c>
      <c r="M32" s="14">
        <f t="shared" si="28"/>
        <v>1289.6130081535389</v>
      </c>
      <c r="N32" s="311">
        <f>+Efficiency1!C134</f>
        <v>50.719342609505702</v>
      </c>
      <c r="O32" s="14">
        <f t="shared" si="28"/>
        <v>1238.2884814659878</v>
      </c>
      <c r="P32" s="307">
        <f>'24'!I38</f>
        <v>42.703000000000003</v>
      </c>
      <c r="Q32" s="14">
        <f t="shared" si="29"/>
        <v>1138.5039999999999</v>
      </c>
      <c r="R32" s="16">
        <f>'24'!I40</f>
        <v>41.923000000000002</v>
      </c>
      <c r="S32" s="308">
        <f t="shared" si="30"/>
        <v>1107.904</v>
      </c>
      <c r="T32" s="8">
        <f t="shared" si="1"/>
        <v>0.98173430438142517</v>
      </c>
      <c r="U32" s="8">
        <f t="shared" si="2"/>
        <v>0.97312262407510219</v>
      </c>
      <c r="V32" s="309">
        <f t="shared" si="3"/>
        <v>0.78806224402120106</v>
      </c>
      <c r="W32" s="310">
        <f t="shared" si="4"/>
        <v>0.8590980340577451</v>
      </c>
      <c r="X32" s="308"/>
      <c r="Y32" s="308"/>
      <c r="Z32" s="7"/>
      <c r="AA32" s="308"/>
      <c r="AB32" s="102">
        <f>+[1]Report1!AY32</f>
        <v>3332.6079795251853</v>
      </c>
      <c r="AC32" s="14">
        <f t="shared" si="31"/>
        <v>119842.79112813553</v>
      </c>
      <c r="AD32" s="306">
        <f t="shared" si="5"/>
        <v>78.041542269282843</v>
      </c>
      <c r="AE32" s="306">
        <f t="shared" si="6"/>
        <v>105.26339049150073</v>
      </c>
      <c r="AF32" s="312">
        <f t="shared" si="7"/>
        <v>79.493547206191948</v>
      </c>
      <c r="AG32" s="306">
        <f t="shared" si="8"/>
        <v>108.1707360277926</v>
      </c>
      <c r="AH32" s="553">
        <v>65.7</v>
      </c>
      <c r="AI32" s="308">
        <f t="shared" si="32"/>
        <v>1538.8</v>
      </c>
      <c r="AJ32" s="314">
        <f t="shared" si="9"/>
        <v>1.5385335924876471</v>
      </c>
      <c r="AK32" s="314">
        <f t="shared" si="10"/>
        <v>1.3515982376873512</v>
      </c>
      <c r="AL32" s="311">
        <f t="shared" si="11"/>
        <v>1.5671588388235576</v>
      </c>
      <c r="AM32" s="314">
        <f t="shared" si="12"/>
        <v>1.3889290046791056</v>
      </c>
      <c r="AN32" s="102">
        <v>0</v>
      </c>
      <c r="AO32" s="308">
        <f t="shared" si="33"/>
        <v>9</v>
      </c>
      <c r="AP32" s="314">
        <f t="shared" si="34"/>
        <v>0</v>
      </c>
      <c r="AQ32" s="314">
        <f t="shared" si="35"/>
        <v>7.9051105661464525E-3</v>
      </c>
      <c r="AR32" s="311">
        <f t="shared" si="36"/>
        <v>0</v>
      </c>
      <c r="AS32" s="314">
        <f t="shared" si="37"/>
        <v>8.1234475189186067E-3</v>
      </c>
      <c r="AT32" s="313">
        <f>+'24'!I46</f>
        <v>41480.900000000052</v>
      </c>
      <c r="AU32" s="308">
        <f t="shared" si="38"/>
        <v>977689.82000000007</v>
      </c>
      <c r="AV32" s="314">
        <f t="shared" si="13"/>
        <v>971.38140177505215</v>
      </c>
      <c r="AW32" s="314">
        <f t="shared" si="14"/>
        <v>858.74956961064697</v>
      </c>
      <c r="AX32" s="314">
        <f t="shared" si="15"/>
        <v>989.45447606326013</v>
      </c>
      <c r="AY32" s="314">
        <f t="shared" si="16"/>
        <v>882.46799361677552</v>
      </c>
      <c r="AZ32" s="313">
        <f>+Listrik!S31</f>
        <v>17617.10000000006</v>
      </c>
      <c r="BA32" s="308">
        <f t="shared" si="39"/>
        <v>578728.89300000016</v>
      </c>
      <c r="BB32" s="314">
        <f t="shared" si="17"/>
        <v>412.5494695923017</v>
      </c>
      <c r="BC32" s="314">
        <f t="shared" si="40"/>
        <v>508.32398744317118</v>
      </c>
      <c r="BD32" s="314">
        <f t="shared" si="18"/>
        <v>420.2251747250927</v>
      </c>
      <c r="BE32" s="314">
        <f t="shared" si="19"/>
        <v>522.36375444081818</v>
      </c>
      <c r="BF32" s="587">
        <f>+Listrik!V31</f>
        <v>1370.0999999999767</v>
      </c>
      <c r="BG32" s="589">
        <f t="shared" si="41"/>
        <v>30660.099999999977</v>
      </c>
      <c r="BH32" s="588">
        <f t="shared" si="44"/>
        <v>32.084396880780666</v>
      </c>
      <c r="BI32" s="588">
        <f t="shared" si="44"/>
        <v>26.930164496567404</v>
      </c>
      <c r="BJ32" s="588">
        <f t="shared" si="42"/>
        <v>32.681344369438655</v>
      </c>
      <c r="BK32" s="588">
        <f t="shared" si="42"/>
        <v>27.673968141644021</v>
      </c>
      <c r="BL32" s="543">
        <f>+Efficiency2!K134</f>
        <v>46.316621896874999</v>
      </c>
      <c r="BM32" s="544">
        <f t="shared" si="43"/>
        <v>1245.5595809721913</v>
      </c>
      <c r="BN32" s="545">
        <f t="shared" si="20"/>
        <v>0.90513941395256559</v>
      </c>
      <c r="BO32" s="545">
        <f t="shared" si="21"/>
        <v>0.88948294158297303</v>
      </c>
    </row>
    <row r="33" spans="1:67">
      <c r="A33" s="18">
        <f t="shared" si="22"/>
        <v>46047</v>
      </c>
      <c r="B33" s="440" t="s">
        <v>417</v>
      </c>
      <c r="C33" s="441" t="s">
        <v>753</v>
      </c>
      <c r="D33" s="445">
        <f>+'25'!F42</f>
        <v>1216.6902237926972</v>
      </c>
      <c r="E33" s="445">
        <f>+'25'!G42</f>
        <v>961.18527679623094</v>
      </c>
      <c r="F33" s="50">
        <f t="shared" si="0"/>
        <v>0.20999999999999985</v>
      </c>
      <c r="G33" s="450">
        <f t="shared" si="23"/>
        <v>0.76927400553556657</v>
      </c>
      <c r="H33" s="448">
        <f t="shared" si="24"/>
        <v>0.73597545293396915</v>
      </c>
      <c r="I33" s="448">
        <f t="shared" si="25"/>
        <v>0.8618387909319899</v>
      </c>
      <c r="J33" s="452">
        <f t="shared" si="26"/>
        <v>0.63429219451223562</v>
      </c>
      <c r="K33" s="452">
        <f t="shared" si="27"/>
        <v>0.8500723670206729</v>
      </c>
      <c r="L33" s="311">
        <f>+SUM(Efficiency1!K141:K142)</f>
        <v>53.942016465000009</v>
      </c>
      <c r="M33" s="14">
        <f t="shared" si="28"/>
        <v>1343.5550246185389</v>
      </c>
      <c r="N33" s="311">
        <f>+SUM(Efficiency1!C141:C142)</f>
        <v>51.60709930964191</v>
      </c>
      <c r="O33" s="14">
        <f t="shared" si="28"/>
        <v>1289.8955807756297</v>
      </c>
      <c r="P33" s="307">
        <f>'25'!I38</f>
        <v>39.700000000000003</v>
      </c>
      <c r="Q33" s="14">
        <f t="shared" si="29"/>
        <v>1178.204</v>
      </c>
      <c r="R33" s="16">
        <f>'25'!I40</f>
        <v>34.215000000000003</v>
      </c>
      <c r="S33" s="308">
        <f t="shared" si="30"/>
        <v>1142.1189999999999</v>
      </c>
      <c r="T33" s="8">
        <f t="shared" si="1"/>
        <v>0.8618387909319899</v>
      </c>
      <c r="U33" s="8">
        <f t="shared" si="2"/>
        <v>0.96937287600449495</v>
      </c>
      <c r="V33" s="309">
        <f t="shared" si="3"/>
        <v>0.63429219451223562</v>
      </c>
      <c r="W33" s="310">
        <f t="shared" si="4"/>
        <v>0.8500723670206729</v>
      </c>
      <c r="X33" s="308"/>
      <c r="Y33" s="308"/>
      <c r="Z33" s="7"/>
      <c r="AA33" s="308"/>
      <c r="AB33" s="102">
        <f>+[1]Report1!AY33</f>
        <v>0</v>
      </c>
      <c r="AC33" s="14">
        <f t="shared" si="31"/>
        <v>119842.79112813553</v>
      </c>
      <c r="AD33" s="306">
        <f t="shared" si="5"/>
        <v>0</v>
      </c>
      <c r="AE33" s="306">
        <f t="shared" si="6"/>
        <v>101.71650336286037</v>
      </c>
      <c r="AF33" s="312">
        <f t="shared" si="7"/>
        <v>0</v>
      </c>
      <c r="AG33" s="306">
        <f t="shared" si="8"/>
        <v>104.93021403911111</v>
      </c>
      <c r="AH33" s="553">
        <v>57.9</v>
      </c>
      <c r="AI33" s="308">
        <f t="shared" si="32"/>
        <v>1596.7</v>
      </c>
      <c r="AJ33" s="314">
        <f t="shared" si="9"/>
        <v>1.4584382871536523</v>
      </c>
      <c r="AK33" s="314">
        <f t="shared" si="10"/>
        <v>1.3551982508971283</v>
      </c>
      <c r="AL33" s="311">
        <f t="shared" si="11"/>
        <v>1.6922402455063565</v>
      </c>
      <c r="AM33" s="314">
        <f t="shared" si="12"/>
        <v>1.3980154432243928</v>
      </c>
      <c r="AN33" s="102">
        <v>0</v>
      </c>
      <c r="AO33" s="308">
        <f t="shared" si="33"/>
        <v>9</v>
      </c>
      <c r="AP33" s="314">
        <f t="shared" si="34"/>
        <v>0</v>
      </c>
      <c r="AQ33" s="314">
        <f t="shared" si="35"/>
        <v>7.6387450730094281E-3</v>
      </c>
      <c r="AR33" s="311">
        <f t="shared" si="36"/>
        <v>0</v>
      </c>
      <c r="AS33" s="314">
        <f t="shared" si="37"/>
        <v>7.8800895528399403E-3</v>
      </c>
      <c r="AT33" s="313">
        <f>+'25'!I46</f>
        <v>37051.599999999999</v>
      </c>
      <c r="AU33" s="308">
        <f t="shared" si="38"/>
        <v>1014741.42</v>
      </c>
      <c r="AV33" s="314">
        <f t="shared" si="13"/>
        <v>933.28967254408053</v>
      </c>
      <c r="AW33" s="314">
        <f t="shared" si="14"/>
        <v>861.26122471151007</v>
      </c>
      <c r="AX33" s="314">
        <f t="shared" si="15"/>
        <v>1082.9051585561888</v>
      </c>
      <c r="AY33" s="314">
        <f t="shared" si="16"/>
        <v>888.4725847306629</v>
      </c>
      <c r="AZ33" s="313">
        <f>+Listrik!S32</f>
        <v>17101.979999999683</v>
      </c>
      <c r="BA33" s="308">
        <f t="shared" si="39"/>
        <v>595830.87299999979</v>
      </c>
      <c r="BB33" s="314">
        <f t="shared" si="17"/>
        <v>430.78035264482827</v>
      </c>
      <c r="BC33" s="314">
        <f t="shared" si="40"/>
        <v>505.71112727507273</v>
      </c>
      <c r="BD33" s="314">
        <f t="shared" si="18"/>
        <v>499.83866725119634</v>
      </c>
      <c r="BE33" s="314">
        <f t="shared" si="19"/>
        <v>521.6889597318667</v>
      </c>
      <c r="BF33" s="587">
        <f>+Listrik!V32</f>
        <v>1322.2000000000116</v>
      </c>
      <c r="BG33" s="589">
        <f t="shared" si="41"/>
        <v>31982.299999999988</v>
      </c>
      <c r="BH33" s="588">
        <f t="shared" si="44"/>
        <v>33.304785894206844</v>
      </c>
      <c r="BI33" s="588">
        <f t="shared" si="44"/>
        <v>27.144959616501037</v>
      </c>
      <c r="BJ33" s="588">
        <f t="shared" si="42"/>
        <v>38.643869647815627</v>
      </c>
      <c r="BK33" s="588">
        <f t="shared" si="42"/>
        <v>28.002598678421418</v>
      </c>
      <c r="BL33" s="543">
        <f>+SUM(Efficiency2!K141:K142)</f>
        <v>51.607099309641924</v>
      </c>
      <c r="BM33" s="544">
        <f t="shared" si="43"/>
        <v>1297.1666802818331</v>
      </c>
      <c r="BN33" s="545">
        <f t="shared" si="20"/>
        <v>0.66299017882618139</v>
      </c>
      <c r="BO33" s="545">
        <f t="shared" si="21"/>
        <v>0.88047204523620182</v>
      </c>
    </row>
    <row r="34" spans="1:67">
      <c r="A34" s="18">
        <f t="shared" si="22"/>
        <v>46048</v>
      </c>
      <c r="B34" s="440" t="s">
        <v>417</v>
      </c>
      <c r="C34" s="441" t="s">
        <v>764</v>
      </c>
      <c r="D34" s="445">
        <f>+'26'!F42</f>
        <v>917.19759579263712</v>
      </c>
      <c r="E34" s="445">
        <f>+'26'!G42</f>
        <v>718.63568745304292</v>
      </c>
      <c r="F34" s="50">
        <f t="shared" si="0"/>
        <v>0.21648760229032005</v>
      </c>
      <c r="G34" s="450">
        <f t="shared" si="23"/>
        <v>0.86353482943321824</v>
      </c>
      <c r="H34" s="448">
        <f t="shared" si="24"/>
        <v>0.62364729877114389</v>
      </c>
      <c r="I34" s="448">
        <f t="shared" si="25"/>
        <v>1.1276751685722664</v>
      </c>
      <c r="J34" s="452">
        <f t="shared" si="26"/>
        <v>0.7032715727713883</v>
      </c>
      <c r="K34" s="452">
        <f t="shared" si="27"/>
        <v>0.84433005962682717</v>
      </c>
      <c r="L34" s="311">
        <f>+Efficiency1!K149</f>
        <v>54.694376239922015</v>
      </c>
      <c r="M34" s="14">
        <f t="shared" si="28"/>
        <v>1398.2494008584611</v>
      </c>
      <c r="N34" s="311">
        <f>+Efficiency1!C149</f>
        <v>39.500433378452293</v>
      </c>
      <c r="O34" s="14">
        <f t="shared" si="28"/>
        <v>1329.396014154082</v>
      </c>
      <c r="P34" s="307">
        <f>'26'!I38</f>
        <v>34.11</v>
      </c>
      <c r="Q34" s="14">
        <f t="shared" si="29"/>
        <v>1212.3139999999999</v>
      </c>
      <c r="R34" s="16">
        <f>'26'!I40</f>
        <v>38.465000000000003</v>
      </c>
      <c r="S34" s="308">
        <f t="shared" si="30"/>
        <v>1180.5839999999998</v>
      </c>
      <c r="T34" s="8">
        <f t="shared" si="1"/>
        <v>1.1276751685722664</v>
      </c>
      <c r="U34" s="8">
        <f t="shared" si="2"/>
        <v>0.9738269128295145</v>
      </c>
      <c r="V34" s="309">
        <f t="shared" si="3"/>
        <v>0.7032715727713883</v>
      </c>
      <c r="W34" s="310">
        <f t="shared" si="4"/>
        <v>0.84433005962682717</v>
      </c>
      <c r="X34" s="308"/>
      <c r="Y34" s="308"/>
      <c r="Z34" s="7"/>
      <c r="AA34" s="308"/>
      <c r="AB34" s="102">
        <f>+[1]Report1!AY34</f>
        <v>733.07004137967488</v>
      </c>
      <c r="AC34" s="14">
        <f t="shared" si="31"/>
        <v>120575.86116951521</v>
      </c>
      <c r="AD34" s="306">
        <f t="shared" si="5"/>
        <v>21.491352722945614</v>
      </c>
      <c r="AE34" s="306">
        <f t="shared" si="6"/>
        <v>99.459266468518237</v>
      </c>
      <c r="AF34" s="312">
        <f t="shared" si="7"/>
        <v>19.058105846345374</v>
      </c>
      <c r="AG34" s="306">
        <f t="shared" si="8"/>
        <v>102.13238631856372</v>
      </c>
      <c r="AH34" s="553">
        <v>70.8</v>
      </c>
      <c r="AI34" s="308">
        <f t="shared" si="32"/>
        <v>1667.5</v>
      </c>
      <c r="AJ34" s="314">
        <f t="shared" si="9"/>
        <v>2.0756376429199648</v>
      </c>
      <c r="AK34" s="314">
        <f t="shared" si="10"/>
        <v>1.3754687316982235</v>
      </c>
      <c r="AL34" s="311">
        <f t="shared" si="11"/>
        <v>1.8406343429091379</v>
      </c>
      <c r="AM34" s="314">
        <f t="shared" si="12"/>
        <v>1.4124365568227253</v>
      </c>
      <c r="AN34" s="102">
        <v>0</v>
      </c>
      <c r="AO34" s="308">
        <f t="shared" si="33"/>
        <v>9</v>
      </c>
      <c r="AP34" s="314">
        <f t="shared" si="34"/>
        <v>0</v>
      </c>
      <c r="AQ34" s="314">
        <f t="shared" si="35"/>
        <v>7.4238192415496326E-3</v>
      </c>
      <c r="AR34" s="311">
        <f t="shared" si="36"/>
        <v>0</v>
      </c>
      <c r="AS34" s="314">
        <f t="shared" si="37"/>
        <v>7.6233457339757284E-3</v>
      </c>
      <c r="AT34" s="313">
        <f>'26'!I46</f>
        <v>35970.259999999951</v>
      </c>
      <c r="AU34" s="308">
        <f t="shared" si="38"/>
        <v>1050711.68</v>
      </c>
      <c r="AV34" s="314">
        <f t="shared" si="13"/>
        <v>1054.5370858985621</v>
      </c>
      <c r="AW34" s="314">
        <f t="shared" si="14"/>
        <v>866.69928747832671</v>
      </c>
      <c r="AX34" s="314">
        <f t="shared" si="15"/>
        <v>935.14259716625384</v>
      </c>
      <c r="AY34" s="314">
        <f t="shared" si="16"/>
        <v>889.99315592960784</v>
      </c>
      <c r="AZ34" s="313">
        <f>+Listrik!S33</f>
        <v>19674.360000000219</v>
      </c>
      <c r="BA34" s="308">
        <f t="shared" si="39"/>
        <v>615505.23300000001</v>
      </c>
      <c r="BB34" s="314">
        <f t="shared" si="17"/>
        <v>576.79155672823856</v>
      </c>
      <c r="BC34" s="314">
        <f t="shared" si="40"/>
        <v>507.71106577998779</v>
      </c>
      <c r="BD34" s="314">
        <f t="shared" si="18"/>
        <v>511.48732614065307</v>
      </c>
      <c r="BE34" s="314">
        <f t="shared" si="19"/>
        <v>521.35657691447636</v>
      </c>
      <c r="BF34" s="587">
        <f>+Listrik!V33</f>
        <v>1397.6000000000058</v>
      </c>
      <c r="BG34" s="589">
        <f t="shared" si="41"/>
        <v>33379.899999999994</v>
      </c>
      <c r="BH34" s="588">
        <f t="shared" si="44"/>
        <v>40.973321606567154</v>
      </c>
      <c r="BI34" s="588">
        <f t="shared" si="44"/>
        <v>27.534038211222505</v>
      </c>
      <c r="BJ34" s="588">
        <f t="shared" si="42"/>
        <v>36.33432991030822</v>
      </c>
      <c r="BK34" s="588">
        <f t="shared" si="42"/>
        <v>28.274057585059598</v>
      </c>
      <c r="BL34" s="543">
        <f>+Efficiency2!K149</f>
        <v>36.510470018555559</v>
      </c>
      <c r="BM34" s="544">
        <f t="shared" si="43"/>
        <v>1333.6771503003886</v>
      </c>
      <c r="BN34" s="545">
        <f t="shared" si="20"/>
        <v>1.0535334105655474</v>
      </c>
      <c r="BO34" s="545">
        <f t="shared" si="21"/>
        <v>0.88520973740465825</v>
      </c>
    </row>
    <row r="35" spans="1:67">
      <c r="A35" s="18">
        <f t="shared" si="22"/>
        <v>46049</v>
      </c>
      <c r="B35" s="440" t="s">
        <v>417</v>
      </c>
      <c r="C35" s="441" t="s">
        <v>764</v>
      </c>
      <c r="D35" s="445">
        <f>+'27'!F42</f>
        <v>896.55555555555554</v>
      </c>
      <c r="E35" s="445">
        <f>+'27'!G42</f>
        <v>699.31333333333328</v>
      </c>
      <c r="F35" s="50">
        <f t="shared" si="0"/>
        <v>0.22000000000000008</v>
      </c>
      <c r="G35" s="450">
        <f t="shared" si="23"/>
        <v>0.90861906250032209</v>
      </c>
      <c r="H35" s="448">
        <f t="shared" si="24"/>
        <v>0.63892350460262304</v>
      </c>
      <c r="I35" s="448">
        <f t="shared" si="25"/>
        <v>0.99014216929257248</v>
      </c>
      <c r="J35" s="452">
        <f t="shared" si="26"/>
        <v>0.63262510485925405</v>
      </c>
      <c r="K35" s="452">
        <f t="shared" si="27"/>
        <v>0.8363269955139252</v>
      </c>
      <c r="L35" s="311">
        <f>+Efficiency1!K157</f>
        <v>54.934588799999993</v>
      </c>
      <c r="M35" s="14">
        <f t="shared" si="28"/>
        <v>1453.1839896584611</v>
      </c>
      <c r="N35" s="311">
        <f>+Efficiency1!C157</f>
        <v>38.628949631999994</v>
      </c>
      <c r="O35" s="14">
        <f t="shared" si="28"/>
        <v>1368.024963786082</v>
      </c>
      <c r="P35" s="307">
        <f>'27'!I38</f>
        <v>35.098999999999997</v>
      </c>
      <c r="Q35" s="14">
        <f t="shared" si="29"/>
        <v>1247.4129999999998</v>
      </c>
      <c r="R35" s="16">
        <f>'27'!I40</f>
        <v>34.753</v>
      </c>
      <c r="S35" s="308">
        <f t="shared" si="30"/>
        <v>1215.3369999999998</v>
      </c>
      <c r="T35" s="8">
        <f t="shared" si="1"/>
        <v>0.99014216929257248</v>
      </c>
      <c r="U35" s="8">
        <f t="shared" si="2"/>
        <v>0.97428598226890373</v>
      </c>
      <c r="V35" s="309">
        <f t="shared" si="3"/>
        <v>0.63262510485925405</v>
      </c>
      <c r="W35" s="310">
        <f t="shared" si="4"/>
        <v>0.8363269955139252</v>
      </c>
      <c r="X35" s="308"/>
      <c r="Y35" s="308"/>
      <c r="Z35" s="7"/>
      <c r="AA35" s="308"/>
      <c r="AB35" s="102">
        <f>+[1]Report1!AY35</f>
        <v>548.90238635136598</v>
      </c>
      <c r="AC35" s="14">
        <f t="shared" si="31"/>
        <v>121124.76355586658</v>
      </c>
      <c r="AD35" s="306">
        <f t="shared" si="5"/>
        <v>15.638690172123594</v>
      </c>
      <c r="AE35" s="306">
        <f t="shared" si="6"/>
        <v>97.100770599526058</v>
      </c>
      <c r="AF35" s="312">
        <f t="shared" si="7"/>
        <v>15.794388580881245</v>
      </c>
      <c r="AG35" s="306">
        <f t="shared" si="8"/>
        <v>99.663520123115319</v>
      </c>
      <c r="AH35" s="553">
        <v>74.599999999999994</v>
      </c>
      <c r="AI35" s="308">
        <f t="shared" si="32"/>
        <v>1742.1</v>
      </c>
      <c r="AJ35" s="314">
        <f t="shared" si="9"/>
        <v>2.1254166785378503</v>
      </c>
      <c r="AK35" s="314">
        <f t="shared" si="10"/>
        <v>1.3965703419797615</v>
      </c>
      <c r="AL35" s="311">
        <f t="shared" si="11"/>
        <v>2.1465772739044109</v>
      </c>
      <c r="AM35" s="314">
        <f t="shared" si="12"/>
        <v>1.433429575500458</v>
      </c>
      <c r="AN35" s="102">
        <v>0</v>
      </c>
      <c r="AO35" s="308">
        <f t="shared" si="33"/>
        <v>9</v>
      </c>
      <c r="AP35" s="314">
        <f t="shared" si="34"/>
        <v>0</v>
      </c>
      <c r="AQ35" s="314">
        <f t="shared" si="35"/>
        <v>7.2149320233154549E-3</v>
      </c>
      <c r="AR35" s="311">
        <f t="shared" si="36"/>
        <v>0</v>
      </c>
      <c r="AS35" s="314">
        <f t="shared" si="37"/>
        <v>7.4053534122634317E-3</v>
      </c>
      <c r="AT35" s="313">
        <f>'27'!I46</f>
        <v>37403.019999999997</v>
      </c>
      <c r="AU35" s="308">
        <f t="shared" si="38"/>
        <v>1088114.7</v>
      </c>
      <c r="AV35" s="314">
        <f t="shared" si="13"/>
        <v>1065.6434656258011</v>
      </c>
      <c r="AW35" s="314">
        <f t="shared" si="14"/>
        <v>872.29706600780992</v>
      </c>
      <c r="AX35" s="314">
        <f t="shared" si="15"/>
        <v>1076.2529853537824</v>
      </c>
      <c r="AY35" s="314">
        <f t="shared" si="16"/>
        <v>895.31932295322213</v>
      </c>
      <c r="AZ35" s="313">
        <f>+Listrik!S34</f>
        <v>18813.8</v>
      </c>
      <c r="BA35" s="308">
        <f t="shared" si="39"/>
        <v>634319.03300000005</v>
      </c>
      <c r="BB35" s="314">
        <f t="shared" si="17"/>
        <v>536.02096925838339</v>
      </c>
      <c r="BC35" s="314">
        <f t="shared" si="40"/>
        <v>508.50763379891038</v>
      </c>
      <c r="BD35" s="314">
        <f t="shared" si="18"/>
        <v>541.35758064052015</v>
      </c>
      <c r="BE35" s="314">
        <f t="shared" si="19"/>
        <v>521.92851283224343</v>
      </c>
      <c r="BF35" s="587">
        <f>+Listrik!V34</f>
        <v>1329.8999999999942</v>
      </c>
      <c r="BG35" s="589">
        <f t="shared" si="41"/>
        <v>34709.799999999988</v>
      </c>
      <c r="BH35" s="588">
        <f>IF(AND(L35&gt;0,BF35&gt;0),(BF35/(P35*1000)*1000),0)</f>
        <v>37.889968375167221</v>
      </c>
      <c r="BI35" s="588">
        <f t="shared" si="44"/>
        <v>27.825427504763855</v>
      </c>
      <c r="BJ35" s="588">
        <f t="shared" si="42"/>
        <v>38.267199953960642</v>
      </c>
      <c r="BK35" s="588">
        <f t="shared" si="42"/>
        <v>28.559815096553461</v>
      </c>
      <c r="BL35" s="543">
        <f>+Efficiency2!K157</f>
        <v>38.628949631999994</v>
      </c>
      <c r="BM35" s="544">
        <f t="shared" si="43"/>
        <v>1372.3060999323886</v>
      </c>
      <c r="BN35" s="545">
        <f t="shared" si="20"/>
        <v>0.89966204960465246</v>
      </c>
      <c r="BO35" s="545">
        <f t="shared" si="21"/>
        <v>0.88561655454266186</v>
      </c>
    </row>
    <row r="36" spans="1:67">
      <c r="A36" s="18">
        <f t="shared" si="22"/>
        <v>46050</v>
      </c>
      <c r="B36" s="440" t="s">
        <v>417</v>
      </c>
      <c r="C36" s="441" t="s">
        <v>764</v>
      </c>
      <c r="D36" s="445">
        <f>+'28'!F42</f>
        <v>832.98611111111109</v>
      </c>
      <c r="E36" s="445">
        <f>+'28'!G42</f>
        <v>649.72916666666663</v>
      </c>
      <c r="F36" s="50">
        <f t="shared" si="0"/>
        <v>0.21999999999999997</v>
      </c>
      <c r="G36" s="450">
        <f t="shared" si="23"/>
        <v>0.98459181927658779</v>
      </c>
      <c r="H36" s="448">
        <f t="shared" si="24"/>
        <v>0.64325592985962254</v>
      </c>
      <c r="I36" s="448">
        <f t="shared" si="25"/>
        <v>0.94634519059342892</v>
      </c>
      <c r="J36" s="452">
        <f t="shared" si="26"/>
        <v>0.60874215554335787</v>
      </c>
      <c r="K36" s="452">
        <f t="shared" si="27"/>
        <v>0.82803701103957694</v>
      </c>
      <c r="L36" s="311">
        <f>+Efficiency1!K163</f>
        <v>54.9345888</v>
      </c>
      <c r="M36" s="14">
        <f t="shared" si="28"/>
        <v>1508.1185784584611</v>
      </c>
      <c r="N36" s="311">
        <f>+Efficiency1!C163</f>
        <v>35.889999599999996</v>
      </c>
      <c r="O36" s="14">
        <f t="shared" si="28"/>
        <v>1403.914963386082</v>
      </c>
      <c r="P36" s="307">
        <f>'28'!I38</f>
        <v>35.337000000000003</v>
      </c>
      <c r="Q36" s="14">
        <f t="shared" si="29"/>
        <v>1282.7499999999998</v>
      </c>
      <c r="R36" s="16">
        <f>'28'!I40</f>
        <v>33.441000000000003</v>
      </c>
      <c r="S36" s="308">
        <f t="shared" si="30"/>
        <v>1248.7779999999998</v>
      </c>
      <c r="T36" s="8">
        <f t="shared" si="1"/>
        <v>0.94634519059342892</v>
      </c>
      <c r="U36" s="8">
        <f t="shared" si="2"/>
        <v>0.97351627363087123</v>
      </c>
      <c r="V36" s="309">
        <f t="shared" si="3"/>
        <v>0.60874215554335787</v>
      </c>
      <c r="W36" s="310">
        <f t="shared" si="4"/>
        <v>0.82803701103957694</v>
      </c>
      <c r="X36" s="308"/>
      <c r="Y36" s="308"/>
      <c r="Z36" s="7"/>
      <c r="AA36" s="308"/>
      <c r="AB36" s="102">
        <f>+[1]Report1!AY36</f>
        <v>751.71565911139305</v>
      </c>
      <c r="AC36" s="14">
        <f t="shared" si="31"/>
        <v>121876.47921497797</v>
      </c>
      <c r="AD36" s="306">
        <f t="shared" si="5"/>
        <v>21.272763933310497</v>
      </c>
      <c r="AE36" s="306">
        <f t="shared" si="6"/>
        <v>95.011872317269919</v>
      </c>
      <c r="AF36" s="312">
        <f t="shared" si="7"/>
        <v>22.478863045704166</v>
      </c>
      <c r="AG36" s="306">
        <f t="shared" si="8"/>
        <v>97.596593802083305</v>
      </c>
      <c r="AH36" s="553">
        <v>73.2</v>
      </c>
      <c r="AI36" s="308">
        <f t="shared" si="32"/>
        <v>1815.3</v>
      </c>
      <c r="AJ36" s="314">
        <f t="shared" si="9"/>
        <v>2.07148314797521</v>
      </c>
      <c r="AK36" s="314">
        <f t="shared" si="10"/>
        <v>1.415162736308712</v>
      </c>
      <c r="AL36" s="311">
        <f t="shared" si="11"/>
        <v>2.1889297568852606</v>
      </c>
      <c r="AM36" s="314">
        <f t="shared" si="12"/>
        <v>1.453661099090471</v>
      </c>
      <c r="AN36" s="102">
        <v>0</v>
      </c>
      <c r="AO36" s="308">
        <f t="shared" si="33"/>
        <v>9</v>
      </c>
      <c r="AP36" s="314">
        <f t="shared" si="34"/>
        <v>0</v>
      </c>
      <c r="AQ36" s="314">
        <f t="shared" si="35"/>
        <v>7.0161761839797323E-3</v>
      </c>
      <c r="AR36" s="311">
        <f t="shared" si="36"/>
        <v>0</v>
      </c>
      <c r="AS36" s="314">
        <f t="shared" si="37"/>
        <v>7.2070456077861726E-3</v>
      </c>
      <c r="AT36" s="313">
        <f>'28'!I46</f>
        <v>37943.180000000022</v>
      </c>
      <c r="AU36" s="308">
        <f t="shared" si="38"/>
        <v>1126057.8799999999</v>
      </c>
      <c r="AV36" s="314">
        <f t="shared" si="13"/>
        <v>1073.7521577949465</v>
      </c>
      <c r="AW36" s="314">
        <f t="shared" si="14"/>
        <v>877.84671993763413</v>
      </c>
      <c r="AX36" s="314">
        <f t="shared" si="15"/>
        <v>1134.6305433449963</v>
      </c>
      <c r="AY36" s="314">
        <f t="shared" si="16"/>
        <v>901.7278331296676</v>
      </c>
      <c r="AZ36" s="313">
        <f>+Listrik!S35</f>
        <v>19380.000000000033</v>
      </c>
      <c r="BA36" s="308">
        <f t="shared" si="39"/>
        <v>653699.03300000005</v>
      </c>
      <c r="BB36" s="314">
        <f t="shared" si="17"/>
        <v>548.43365311147056</v>
      </c>
      <c r="BC36" s="314">
        <f t="shared" si="40"/>
        <v>509.60750964724247</v>
      </c>
      <c r="BD36" s="314">
        <f t="shared" si="18"/>
        <v>579.52812415896744</v>
      </c>
      <c r="BE36" s="314">
        <f t="shared" si="19"/>
        <v>523.47097162185764</v>
      </c>
      <c r="BF36" s="587">
        <f>+Listrik!V35</f>
        <v>300.10000000000582</v>
      </c>
      <c r="BG36" s="589">
        <f t="shared" si="41"/>
        <v>35009.899999999994</v>
      </c>
      <c r="BH36" s="588">
        <f t="shared" si="44"/>
        <v>8.4925149276963463</v>
      </c>
      <c r="BI36" s="588">
        <f t="shared" si="44"/>
        <v>27.292847398167996</v>
      </c>
      <c r="BJ36" s="588">
        <f t="shared" si="42"/>
        <v>8.9740139349901558</v>
      </c>
      <c r="BK36" s="588">
        <f t="shared" si="42"/>
        <v>28.035327336003679</v>
      </c>
      <c r="BL36" s="543">
        <f>+Efficiency2!K163</f>
        <v>35.889999599999996</v>
      </c>
      <c r="BM36" s="544">
        <f t="shared" si="43"/>
        <v>1408.1960995323886</v>
      </c>
      <c r="BN36" s="545">
        <f t="shared" si="20"/>
        <v>0.93176373287003345</v>
      </c>
      <c r="BO36" s="545">
        <f t="shared" si="21"/>
        <v>0.88679268492127916</v>
      </c>
    </row>
    <row r="37" spans="1:67">
      <c r="A37" s="18">
        <f t="shared" si="22"/>
        <v>46051</v>
      </c>
      <c r="B37" s="440" t="s">
        <v>417</v>
      </c>
      <c r="C37" s="441" t="s">
        <v>764</v>
      </c>
      <c r="D37" s="445">
        <f>+'29'!F42</f>
        <v>856.98611111111109</v>
      </c>
      <c r="E37" s="445">
        <f>+'29'!G42</f>
        <v>668.44916666666666</v>
      </c>
      <c r="F37" s="50">
        <f t="shared" si="0"/>
        <v>0.21999999999999997</v>
      </c>
      <c r="G37" s="450">
        <f t="shared" si="23"/>
        <v>0.95324131432586445</v>
      </c>
      <c r="H37" s="448">
        <f t="shared" si="24"/>
        <v>0.64071730738397403</v>
      </c>
      <c r="I37" s="448">
        <f t="shared" si="25"/>
        <v>0.99337598369472901</v>
      </c>
      <c r="J37" s="452">
        <f t="shared" si="26"/>
        <v>0.6364731854927933</v>
      </c>
      <c r="K37" s="452">
        <f t="shared" si="27"/>
        <v>0.82128066232452379</v>
      </c>
      <c r="L37" s="311">
        <f>+Efficiency1!K169</f>
        <v>55.135080000000002</v>
      </c>
      <c r="M37" s="14">
        <f t="shared" si="28"/>
        <v>1563.2536584584611</v>
      </c>
      <c r="N37" s="311">
        <f>+Efficiency1!C169</f>
        <v>37.058821800000004</v>
      </c>
      <c r="O37" s="14">
        <f t="shared" si="28"/>
        <v>1440.9737851860821</v>
      </c>
      <c r="P37" s="307">
        <f>'29'!I38</f>
        <v>35.326000000000001</v>
      </c>
      <c r="Q37" s="14">
        <f t="shared" si="29"/>
        <v>1318.0759999999998</v>
      </c>
      <c r="R37" s="16">
        <f>'29'!I40</f>
        <v>35.091999999999999</v>
      </c>
      <c r="S37" s="308">
        <f t="shared" si="30"/>
        <v>1283.8699999999999</v>
      </c>
      <c r="T37" s="8">
        <f t="shared" si="1"/>
        <v>0.99337598369472901</v>
      </c>
      <c r="U37" s="8">
        <f t="shared" si="2"/>
        <v>0.97404853741362418</v>
      </c>
      <c r="V37" s="309">
        <f t="shared" si="3"/>
        <v>0.6364731854927933</v>
      </c>
      <c r="W37" s="310">
        <f t="shared" si="4"/>
        <v>0.82128066232452379</v>
      </c>
      <c r="X37" s="308"/>
      <c r="Y37" s="308"/>
      <c r="Z37" s="7"/>
      <c r="AA37" s="308"/>
      <c r="AB37" s="102">
        <f>+[1]Report1!AY37</f>
        <v>741.47128343354757</v>
      </c>
      <c r="AC37" s="14">
        <f t="shared" si="31"/>
        <v>122617.95049841152</v>
      </c>
      <c r="AD37" s="306">
        <f t="shared" si="5"/>
        <v>20.989392612623778</v>
      </c>
      <c r="AE37" s="306">
        <f t="shared" si="6"/>
        <v>93.027982072666177</v>
      </c>
      <c r="AF37" s="312">
        <f t="shared" si="7"/>
        <v>21.129353796692911</v>
      </c>
      <c r="AG37" s="306">
        <f t="shared" si="8"/>
        <v>95.506515845382737</v>
      </c>
      <c r="AH37" s="553">
        <v>74.7</v>
      </c>
      <c r="AI37" s="308">
        <f t="shared" si="32"/>
        <v>1890</v>
      </c>
      <c r="AJ37" s="314">
        <f t="shared" si="9"/>
        <v>2.114589820528789</v>
      </c>
      <c r="AK37" s="314">
        <f t="shared" si="10"/>
        <v>1.4339082116660953</v>
      </c>
      <c r="AL37" s="311">
        <f t="shared" si="11"/>
        <v>2.1286902997834267</v>
      </c>
      <c r="AM37" s="314">
        <f t="shared" si="12"/>
        <v>1.4721116623957256</v>
      </c>
      <c r="AN37" s="102">
        <v>0</v>
      </c>
      <c r="AO37" s="308">
        <f t="shared" si="33"/>
        <v>9</v>
      </c>
      <c r="AP37" s="314">
        <f t="shared" si="34"/>
        <v>0</v>
      </c>
      <c r="AQ37" s="314">
        <f t="shared" si="35"/>
        <v>6.8281343412671209E-3</v>
      </c>
      <c r="AR37" s="311">
        <f t="shared" si="36"/>
        <v>0</v>
      </c>
      <c r="AS37" s="314">
        <f t="shared" si="37"/>
        <v>7.0100555352177411E-3</v>
      </c>
      <c r="AT37" s="313">
        <f>'29'!I46</f>
        <v>35060.739999999991</v>
      </c>
      <c r="AU37" s="308">
        <f t="shared" si="38"/>
        <v>1161118.6199999999</v>
      </c>
      <c r="AV37" s="314">
        <f t="shared" si="13"/>
        <v>992.49108305497339</v>
      </c>
      <c r="AW37" s="314">
        <f t="shared" si="14"/>
        <v>880.91932483407641</v>
      </c>
      <c r="AX37" s="314">
        <f t="shared" si="15"/>
        <v>999.10919867776101</v>
      </c>
      <c r="AY37" s="314">
        <f t="shared" si="16"/>
        <v>904.38955657504255</v>
      </c>
      <c r="AZ37" s="313">
        <f>+Listrik!S36</f>
        <v>20064</v>
      </c>
      <c r="BA37" s="308">
        <f t="shared" si="39"/>
        <v>673763.03300000005</v>
      </c>
      <c r="BB37" s="314">
        <f t="shared" si="17"/>
        <v>567.96693653399768</v>
      </c>
      <c r="BC37" s="314">
        <f t="shared" si="40"/>
        <v>511.17161150039925</v>
      </c>
      <c r="BD37" s="314">
        <f t="shared" si="18"/>
        <v>571.75424598199015</v>
      </c>
      <c r="BE37" s="314">
        <f t="shared" si="19"/>
        <v>524.79069765630481</v>
      </c>
      <c r="BF37" s="587">
        <f>+Listrik!V36</f>
        <v>1320.1000000000058</v>
      </c>
      <c r="BG37" s="589">
        <f t="shared" si="41"/>
        <v>36330</v>
      </c>
      <c r="BH37" s="588">
        <f t="shared" si="44"/>
        <v>37.3690766008041</v>
      </c>
      <c r="BI37" s="588">
        <f t="shared" si="44"/>
        <v>27.562902290914945</v>
      </c>
      <c r="BJ37" s="588">
        <f t="shared" si="42"/>
        <v>37.618260572210353</v>
      </c>
      <c r="BK37" s="588">
        <f t="shared" si="42"/>
        <v>28.297257510495612</v>
      </c>
      <c r="BL37" s="543">
        <f>+Efficiency2!K169</f>
        <v>37.058821800000004</v>
      </c>
      <c r="BM37" s="544">
        <f t="shared" si="43"/>
        <v>1445.2549213323887</v>
      </c>
      <c r="BN37" s="545">
        <f t="shared" si="20"/>
        <v>0.946927028316912</v>
      </c>
      <c r="BO37" s="545">
        <f t="shared" si="21"/>
        <v>0.88833463290780068</v>
      </c>
    </row>
    <row r="38" spans="1:67">
      <c r="A38" s="18">
        <f t="shared" si="22"/>
        <v>46052</v>
      </c>
      <c r="B38" s="440" t="s">
        <v>417</v>
      </c>
      <c r="C38" s="441" t="s">
        <v>632</v>
      </c>
      <c r="D38" s="445">
        <f>+'30'!F42</f>
        <v>1015.9007092198582</v>
      </c>
      <c r="E38" s="445">
        <f>+'30'!G42</f>
        <v>792.40255319148946</v>
      </c>
      <c r="F38" s="50">
        <f t="shared" si="0"/>
        <v>0.21999999999999997</v>
      </c>
      <c r="G38" s="450">
        <f t="shared" si="23"/>
        <v>1.0124070593850649</v>
      </c>
      <c r="H38" s="448">
        <f t="shared" si="24"/>
        <v>0.85856345312234528</v>
      </c>
      <c r="I38" s="448">
        <f t="shared" si="25"/>
        <v>0.96307992285357025</v>
      </c>
      <c r="J38" s="452">
        <f t="shared" si="26"/>
        <v>0.82686522419796304</v>
      </c>
      <c r="K38" s="452">
        <f t="shared" si="27"/>
        <v>0.82147031873985998</v>
      </c>
      <c r="L38" s="311">
        <f>+SUM(Efficiency1!K175:K176)</f>
        <v>54.955751759999998</v>
      </c>
      <c r="M38" s="14">
        <f t="shared" si="28"/>
        <v>1618.209410218461</v>
      </c>
      <c r="N38" s="311">
        <f>+SUM(Efficiency1!C175:C176)</f>
        <v>46.604771828298894</v>
      </c>
      <c r="O38" s="14">
        <f t="shared" si="28"/>
        <v>1487.578557014381</v>
      </c>
      <c r="P38" s="307">
        <f>'30'!I38</f>
        <v>47.183</v>
      </c>
      <c r="Q38" s="14">
        <f t="shared" si="29"/>
        <v>1365.2589999999998</v>
      </c>
      <c r="R38" s="16">
        <f>'30'!I40</f>
        <v>45.441000000000003</v>
      </c>
      <c r="S38" s="308">
        <f t="shared" si="30"/>
        <v>1329.3109999999999</v>
      </c>
      <c r="T38" s="8">
        <f t="shared" si="1"/>
        <v>0.96307992285357025</v>
      </c>
      <c r="U38" s="8">
        <f t="shared" si="2"/>
        <v>0.97366946491471595</v>
      </c>
      <c r="V38" s="309">
        <f t="shared" si="3"/>
        <v>0.82686522419796304</v>
      </c>
      <c r="W38" s="310">
        <f t="shared" si="4"/>
        <v>0.82147031873985998</v>
      </c>
      <c r="X38" s="308"/>
      <c r="Y38" s="308"/>
      <c r="Z38" s="7"/>
      <c r="AA38" s="308"/>
      <c r="AB38" s="102">
        <f>+[1]Report1!AY38</f>
        <v>3507.0011595211181</v>
      </c>
      <c r="AC38" s="14">
        <f t="shared" si="31"/>
        <v>126124.95165793263</v>
      </c>
      <c r="AD38" s="306">
        <f t="shared" si="5"/>
        <v>74.327642572984303</v>
      </c>
      <c r="AE38" s="306">
        <f t="shared" si="6"/>
        <v>92.381703147851539</v>
      </c>
      <c r="AF38" s="312">
        <f t="shared" si="7"/>
        <v>77.177024262694871</v>
      </c>
      <c r="AG38" s="306">
        <f t="shared" si="8"/>
        <v>94.879942810924334</v>
      </c>
      <c r="AH38" s="553">
        <v>69.3</v>
      </c>
      <c r="AI38" s="308">
        <f t="shared" si="32"/>
        <v>1959.3</v>
      </c>
      <c r="AJ38" s="314">
        <f t="shared" si="9"/>
        <v>1.4687493376851832</v>
      </c>
      <c r="AK38" s="314">
        <f t="shared" si="10"/>
        <v>1.4351123120228471</v>
      </c>
      <c r="AL38" s="311">
        <f t="shared" si="11"/>
        <v>1.5250544662309367</v>
      </c>
      <c r="AM38" s="314">
        <f t="shared" si="12"/>
        <v>1.4739214525419559</v>
      </c>
      <c r="AN38" s="102">
        <v>0</v>
      </c>
      <c r="AO38" s="308">
        <f t="shared" si="33"/>
        <v>9</v>
      </c>
      <c r="AP38" s="314">
        <f t="shared" si="34"/>
        <v>0</v>
      </c>
      <c r="AQ38" s="314">
        <f t="shared" si="35"/>
        <v>6.5921557741058668E-3</v>
      </c>
      <c r="AR38" s="311">
        <f t="shared" si="36"/>
        <v>0</v>
      </c>
      <c r="AS38" s="314">
        <f t="shared" si="37"/>
        <v>6.7704246786493161E-3</v>
      </c>
      <c r="AT38" s="313">
        <f>'30'!I46</f>
        <v>39119.740000000042</v>
      </c>
      <c r="AU38" s="308">
        <f t="shared" si="38"/>
        <v>1200238.3599999999</v>
      </c>
      <c r="AV38" s="314">
        <f t="shared" si="13"/>
        <v>829.10666977513176</v>
      </c>
      <c r="AW38" s="314">
        <f t="shared" si="14"/>
        <v>879.12869279748395</v>
      </c>
      <c r="AX38" s="314">
        <f t="shared" si="15"/>
        <v>860.89082546598979</v>
      </c>
      <c r="AY38" s="314">
        <f t="shared" si="16"/>
        <v>902.90260142284228</v>
      </c>
      <c r="AZ38" s="313">
        <f>+Listrik!S37</f>
        <v>26404.799999999999</v>
      </c>
      <c r="BA38" s="308">
        <f t="shared" si="39"/>
        <v>700167.8330000001</v>
      </c>
      <c r="BB38" s="314">
        <f t="shared" si="17"/>
        <v>559.62528876926012</v>
      </c>
      <c r="BC38" s="314">
        <f t="shared" si="40"/>
        <v>512.84615812823813</v>
      </c>
      <c r="BD38" s="314">
        <f t="shared" si="18"/>
        <v>581.07876147091827</v>
      </c>
      <c r="BE38" s="314">
        <f t="shared" si="19"/>
        <v>526.71484174884586</v>
      </c>
      <c r="BF38" s="587">
        <f>+Listrik!V37</f>
        <v>1729.7999999999884</v>
      </c>
      <c r="BG38" s="589">
        <f t="shared" si="41"/>
        <v>38059.799999999988</v>
      </c>
      <c r="BH38" s="588">
        <f t="shared" si="44"/>
        <v>36.66150944195978</v>
      </c>
      <c r="BI38" s="588">
        <f t="shared" si="44"/>
        <v>27.87734781459049</v>
      </c>
      <c r="BJ38" s="588">
        <f t="shared" si="42"/>
        <v>38.066943949296636</v>
      </c>
      <c r="BK38" s="588">
        <f t="shared" si="42"/>
        <v>28.631223242717457</v>
      </c>
      <c r="BL38" s="543">
        <f>+SUM(Efficiency2!K175:K176)</f>
        <v>46.604771828298894</v>
      </c>
      <c r="BM38" s="544">
        <f t="shared" si="43"/>
        <v>1491.8596931606876</v>
      </c>
      <c r="BN38" s="545">
        <f t="shared" si="20"/>
        <v>0.97502891264897817</v>
      </c>
      <c r="BO38" s="545">
        <f t="shared" si="21"/>
        <v>0.89104290845454215</v>
      </c>
    </row>
    <row r="39" spans="1:67">
      <c r="A39" s="18">
        <f>A38+1</f>
        <v>46053</v>
      </c>
      <c r="B39" s="440" t="s">
        <v>417</v>
      </c>
      <c r="C39" s="441" t="s">
        <v>594</v>
      </c>
      <c r="D39" s="445">
        <f>+'31'!F42</f>
        <v>0</v>
      </c>
      <c r="E39" s="445">
        <f>+'31'!G42</f>
        <v>0</v>
      </c>
      <c r="F39" s="50" t="e">
        <f t="shared" si="0"/>
        <v>#DIV/0!</v>
      </c>
      <c r="G39" s="450">
        <f t="shared" si="23"/>
        <v>0</v>
      </c>
      <c r="H39" s="448">
        <f t="shared" si="24"/>
        <v>0</v>
      </c>
      <c r="I39" s="448" t="e">
        <f t="shared" si="25"/>
        <v>#DIV/0!</v>
      </c>
      <c r="J39" s="452">
        <f t="shared" si="26"/>
        <v>5.313592153437581E-2</v>
      </c>
      <c r="K39" s="452">
        <f t="shared" si="27"/>
        <v>0.79624347980899668</v>
      </c>
      <c r="L39" s="311">
        <f>+Efficiency1!K182</f>
        <v>54.9345888</v>
      </c>
      <c r="M39" s="14">
        <f>M38+L39</f>
        <v>1673.143999018461</v>
      </c>
      <c r="N39" s="311">
        <f>+Efficiency1!C182</f>
        <v>47.165319758346584</v>
      </c>
      <c r="O39" s="14">
        <f>O38+N39</f>
        <v>1534.7438767727276</v>
      </c>
      <c r="P39" s="307">
        <f>'31'!I38</f>
        <v>0</v>
      </c>
      <c r="Q39" s="14">
        <f>Q38+P39</f>
        <v>1365.2589999999998</v>
      </c>
      <c r="R39" s="16">
        <f>'31'!I40</f>
        <v>2.919</v>
      </c>
      <c r="S39" s="308">
        <f>S38+R39</f>
        <v>1332.23</v>
      </c>
      <c r="T39" s="8" t="e">
        <f>R39/P39</f>
        <v>#DIV/0!</v>
      </c>
      <c r="U39" s="8">
        <f>S39/Q39</f>
        <v>0.97580752077078436</v>
      </c>
      <c r="V39" s="309">
        <f>R39/L39</f>
        <v>5.313592153437581E-2</v>
      </c>
      <c r="W39" s="310">
        <f>S39/M39</f>
        <v>0.79624347980899668</v>
      </c>
      <c r="X39" s="308"/>
      <c r="Y39" s="308"/>
      <c r="Z39" s="7"/>
      <c r="AA39" s="308"/>
      <c r="AB39" s="102">
        <f>+[1]Report1!AY39</f>
        <v>50.039888432354616</v>
      </c>
      <c r="AC39" s="14">
        <f>AB39+AC38</f>
        <v>126174.99154636498</v>
      </c>
      <c r="AD39" s="306" t="e">
        <f t="shared" si="5"/>
        <v>#DIV/0!</v>
      </c>
      <c r="AE39" s="306">
        <f t="shared" si="6"/>
        <v>92.41835545223654</v>
      </c>
      <c r="AF39" s="312">
        <f t="shared" si="7"/>
        <v>17.14281892166996</v>
      </c>
      <c r="AG39" s="306">
        <f t="shared" si="8"/>
        <v>94.709615866903604</v>
      </c>
      <c r="AH39" s="553">
        <v>18.399999999999999</v>
      </c>
      <c r="AI39" s="308">
        <f>AH39+AI38</f>
        <v>1977.7</v>
      </c>
      <c r="AJ39" s="314" t="e">
        <f t="shared" si="9"/>
        <v>#DIV/0!</v>
      </c>
      <c r="AK39" s="314">
        <f t="shared" si="10"/>
        <v>1.4485896082721303</v>
      </c>
      <c r="AL39" s="311">
        <f t="shared" si="11"/>
        <v>6.3035286056868784</v>
      </c>
      <c r="AM39" s="314">
        <f t="shared" si="12"/>
        <v>1.4845034265854995</v>
      </c>
      <c r="AN39" s="102">
        <v>0</v>
      </c>
      <c r="AO39" s="308">
        <f>AN39+AO38</f>
        <v>9</v>
      </c>
      <c r="AP39" s="314" t="e">
        <f t="shared" si="34"/>
        <v>#DIV/0!</v>
      </c>
      <c r="AQ39" s="314">
        <f t="shared" si="35"/>
        <v>6.5921557741058668E-3</v>
      </c>
      <c r="AR39" s="311">
        <f t="shared" si="36"/>
        <v>0</v>
      </c>
      <c r="AS39" s="314">
        <f t="shared" si="37"/>
        <v>6.7555902509326467E-3</v>
      </c>
      <c r="AT39" s="313">
        <f>'31'!I46</f>
        <v>10445.019999999919</v>
      </c>
      <c r="AU39" s="308">
        <f>AT39+AU38</f>
        <v>1210683.3799999999</v>
      </c>
      <c r="AV39" s="314" t="e">
        <f t="shared" si="13"/>
        <v>#DIV/0!</v>
      </c>
      <c r="AW39" s="314">
        <f t="shared" si="14"/>
        <v>886.77927045344518</v>
      </c>
      <c r="AX39" s="314">
        <f t="shared" si="15"/>
        <v>3578.2870846179922</v>
      </c>
      <c r="AY39" s="314">
        <f t="shared" si="16"/>
        <v>908.76453765490942</v>
      </c>
      <c r="AZ39" s="313">
        <f>+Listrik!S38</f>
        <v>0</v>
      </c>
      <c r="BA39" s="308">
        <f>AZ39+BA38</f>
        <v>700167.8330000001</v>
      </c>
      <c r="BB39" s="314">
        <f t="shared" si="17"/>
        <v>0</v>
      </c>
      <c r="BC39" s="314">
        <f t="shared" si="40"/>
        <v>512.84615812823813</v>
      </c>
      <c r="BD39" s="314">
        <f t="shared" si="18"/>
        <v>0</v>
      </c>
      <c r="BE39" s="314">
        <f t="shared" si="19"/>
        <v>525.56077629238212</v>
      </c>
      <c r="BF39" s="587">
        <f>+Listrik!V38</f>
        <v>1430.1000000000058</v>
      </c>
      <c r="BG39" s="589">
        <f t="shared" si="41"/>
        <v>39489.899999999994</v>
      </c>
      <c r="BH39" s="588" t="e">
        <f t="shared" si="44"/>
        <v>#DIV/0!</v>
      </c>
      <c r="BI39" s="588">
        <f t="shared" si="44"/>
        <v>28.924841367095915</v>
      </c>
      <c r="BJ39" s="588">
        <f t="shared" ref="BJ39:BK39" si="45">IF(AND(R39&gt;0,BF39&gt;0),(BF39/(R39*1000)*1000),0)</f>
        <v>489.92805755395887</v>
      </c>
      <c r="BK39" s="588">
        <f t="shared" si="45"/>
        <v>29.641953716700566</v>
      </c>
      <c r="BL39" s="543">
        <f>+Efficiency2!K182</f>
        <v>54.9345888</v>
      </c>
      <c r="BM39" s="544">
        <f>BM38+BL39</f>
        <v>1546.7942819606876</v>
      </c>
      <c r="BN39" s="545">
        <f t="shared" si="20"/>
        <v>5.313592153437581E-2</v>
      </c>
      <c r="BO39" s="545">
        <f t="shared" si="21"/>
        <v>0.86128453895710688</v>
      </c>
    </row>
    <row r="40" spans="1:67" ht="13.5" thickBot="1">
      <c r="A40" s="18"/>
      <c r="B40" s="315"/>
      <c r="C40" s="315"/>
      <c r="D40" s="446"/>
      <c r="E40" s="446"/>
      <c r="F40" s="315"/>
      <c r="G40" s="450"/>
      <c r="H40" s="448"/>
      <c r="I40" s="448"/>
      <c r="J40" s="452" t="e">
        <f t="shared" si="26"/>
        <v>#DIV/0!</v>
      </c>
      <c r="K40" s="452" t="e">
        <f t="shared" si="27"/>
        <v>#DIV/0!</v>
      </c>
      <c r="L40" s="323"/>
      <c r="M40" s="316"/>
      <c r="N40" s="316"/>
      <c r="O40" s="316"/>
      <c r="P40" s="317"/>
      <c r="Q40" s="316"/>
      <c r="R40" s="318"/>
      <c r="S40" s="319"/>
      <c r="T40" s="320"/>
      <c r="U40" s="320"/>
      <c r="V40" s="321"/>
      <c r="W40" s="322"/>
      <c r="X40" s="319"/>
      <c r="Y40" s="319"/>
      <c r="Z40" s="324"/>
      <c r="AA40" s="319"/>
      <c r="AB40" s="319"/>
      <c r="AC40" s="316"/>
      <c r="AD40" s="325"/>
      <c r="AE40" s="325"/>
      <c r="AF40" s="326"/>
      <c r="AG40" s="325"/>
      <c r="AH40" s="319"/>
      <c r="AI40" s="319"/>
      <c r="AJ40" s="314"/>
      <c r="AK40" s="327"/>
      <c r="AL40" s="323"/>
      <c r="AM40" s="327"/>
      <c r="AN40" s="319"/>
      <c r="AO40" s="319"/>
      <c r="AP40" s="327"/>
      <c r="AQ40" s="327"/>
      <c r="AR40" s="323"/>
      <c r="AS40" s="327"/>
      <c r="AT40" s="319"/>
      <c r="AU40" s="319"/>
      <c r="AV40" s="327"/>
      <c r="AW40" s="327"/>
      <c r="AX40" s="327"/>
      <c r="AY40" s="327"/>
      <c r="AZ40" s="319"/>
      <c r="BA40" s="319"/>
      <c r="BB40" s="327"/>
      <c r="BC40" s="327"/>
      <c r="BD40" s="327"/>
      <c r="BE40" s="327"/>
      <c r="BF40" s="590"/>
      <c r="BG40" s="590"/>
      <c r="BH40" s="591"/>
      <c r="BI40" s="591"/>
      <c r="BJ40" s="591"/>
      <c r="BK40" s="591"/>
      <c r="BL40" s="546"/>
      <c r="BM40" s="547"/>
      <c r="BN40" s="545"/>
      <c r="BO40" s="548"/>
    </row>
    <row r="41" spans="1:67" ht="14.25" thickTop="1" thickBot="1">
      <c r="A41" s="328"/>
      <c r="B41" s="329"/>
      <c r="C41" s="329"/>
      <c r="D41" s="447"/>
      <c r="E41" s="447"/>
      <c r="F41" s="329"/>
      <c r="G41" s="450">
        <f t="shared" si="23"/>
        <v>0.88956797330306214</v>
      </c>
      <c r="H41" s="448">
        <f>+P41/L41</f>
        <v>0.81598415964251736</v>
      </c>
      <c r="I41" s="448">
        <f t="shared" si="25"/>
        <v>0.97580752077078436</v>
      </c>
      <c r="J41" s="452">
        <f t="shared" si="26"/>
        <v>0.79624347980899668</v>
      </c>
      <c r="K41" s="459"/>
      <c r="L41" s="336">
        <f>SUM(L9:L39)</f>
        <v>1673.143999018461</v>
      </c>
      <c r="M41" s="330"/>
      <c r="N41" s="336">
        <f>SUM(N9:N39)</f>
        <v>1534.7438767727276</v>
      </c>
      <c r="O41" s="330"/>
      <c r="P41" s="330">
        <f>SUM(P9:P39)</f>
        <v>1365.2589999999998</v>
      </c>
      <c r="Q41" s="330"/>
      <c r="R41" s="330">
        <f>SUM(R9:R39)</f>
        <v>1332.23</v>
      </c>
      <c r="S41" s="330"/>
      <c r="T41" s="331">
        <f>R41/P41</f>
        <v>0.97580752077078436</v>
      </c>
      <c r="U41" s="332"/>
      <c r="V41" s="333">
        <f>(R41/L41)</f>
        <v>0.79624347980899668</v>
      </c>
      <c r="W41" s="334"/>
      <c r="X41" s="332"/>
      <c r="Y41" s="332">
        <f>Y38+X41</f>
        <v>0</v>
      </c>
      <c r="Z41" s="335">
        <f>IF(AND(R41&gt;0,X41&gt;0),X41/R41*1000,0)</f>
        <v>0</v>
      </c>
      <c r="AA41" s="332">
        <f>IF(AND(S41&gt;0,Y41&gt;0),Y41/S41*1000,0)</f>
        <v>0</v>
      </c>
      <c r="AB41" s="336">
        <f>SUM(AB9:AB39)</f>
        <v>126174.99154636498</v>
      </c>
      <c r="AC41" s="336"/>
      <c r="AD41" s="337">
        <f>AB41/P41</f>
        <v>92.41835545223654</v>
      </c>
      <c r="AE41" s="337"/>
      <c r="AF41" s="338">
        <f>AB41/R41</f>
        <v>94.709615866903604</v>
      </c>
      <c r="AG41" s="337"/>
      <c r="AH41" s="332">
        <f>SUM(AH9:AH40)</f>
        <v>1977.7</v>
      </c>
      <c r="AI41" s="332"/>
      <c r="AJ41" s="339">
        <f>AH41/P41</f>
        <v>1.4485896082721303</v>
      </c>
      <c r="AK41" s="339"/>
      <c r="AL41" s="340">
        <f>AH41/R41</f>
        <v>1.4845034265854995</v>
      </c>
      <c r="AM41" s="339"/>
      <c r="AN41" s="332">
        <f>SUM(AN9:AN40)</f>
        <v>9</v>
      </c>
      <c r="AO41" s="332"/>
      <c r="AP41" s="339">
        <f>AN41/P41</f>
        <v>6.5921557741058668E-3</v>
      </c>
      <c r="AQ41" s="339"/>
      <c r="AR41" s="340">
        <f>AN41/R41</f>
        <v>6.7555902509326467E-3</v>
      </c>
      <c r="AS41" s="339"/>
      <c r="AT41" s="332">
        <f>SUM(AT9:AT39)</f>
        <v>1210683.3799999999</v>
      </c>
      <c r="AU41" s="332"/>
      <c r="AV41" s="339">
        <f>AT41/P41</f>
        <v>886.77927045344518</v>
      </c>
      <c r="AW41" s="339"/>
      <c r="AX41" s="339">
        <f>AT41/R41</f>
        <v>908.7645376549093</v>
      </c>
      <c r="AY41" s="339"/>
      <c r="AZ41" s="332">
        <f>SUM(AZ9:AZ39)</f>
        <v>700167.8330000001</v>
      </c>
      <c r="BA41" s="332"/>
      <c r="BB41" s="339">
        <f>AZ41/V41</f>
        <v>879338.85897308285</v>
      </c>
      <c r="BC41" s="339"/>
      <c r="BD41" s="339">
        <f>AZ41/R41</f>
        <v>525.560776292382</v>
      </c>
      <c r="BE41" s="339"/>
      <c r="BF41" s="592">
        <f>SUM(BF9:BF39)</f>
        <v>39489.899999999994</v>
      </c>
      <c r="BG41" s="592"/>
      <c r="BH41" s="593">
        <f>BF41/AP41</f>
        <v>5990437.9315666649</v>
      </c>
      <c r="BI41" s="593"/>
      <c r="BJ41" s="593">
        <f>BF41/AR41</f>
        <v>5845514.3863333324</v>
      </c>
      <c r="BK41" s="593"/>
      <c r="BL41" s="549">
        <f>SUM(BL9:BL39)</f>
        <v>1546.7942819606876</v>
      </c>
      <c r="BM41" s="550"/>
      <c r="BN41" s="545">
        <f>+R41/BL41</f>
        <v>0.86128453895710688</v>
      </c>
      <c r="BO41" s="548"/>
    </row>
    <row r="42" spans="1:67" ht="13.5" thickTop="1">
      <c r="S42" s="291"/>
      <c r="T42" s="291"/>
      <c r="U42" s="291"/>
      <c r="X42" s="291"/>
      <c r="Z42" s="291"/>
      <c r="AA42" s="291"/>
      <c r="AH42" s="291"/>
      <c r="AI42" s="291"/>
      <c r="AL42" s="291"/>
      <c r="AT42" s="291"/>
      <c r="AU42" s="291"/>
      <c r="BF42" s="291"/>
      <c r="BG42" s="291"/>
    </row>
    <row r="43" spans="1:67">
      <c r="S43" s="291"/>
      <c r="T43" s="291"/>
      <c r="U43" s="291"/>
      <c r="X43" s="291"/>
      <c r="Z43" s="291"/>
      <c r="AA43" s="291"/>
      <c r="AH43" s="291"/>
      <c r="AI43" s="291"/>
      <c r="AL43" s="291"/>
      <c r="AT43" s="291"/>
      <c r="AU43" s="291"/>
      <c r="BF43" s="291"/>
      <c r="BG43" s="291"/>
    </row>
    <row r="44" spans="1:67">
      <c r="S44" s="291"/>
      <c r="T44" s="291"/>
      <c r="U44" s="291"/>
      <c r="X44" s="291"/>
      <c r="Z44" s="291"/>
      <c r="AA44" s="291"/>
      <c r="AG44" s="341"/>
      <c r="AH44" s="291"/>
      <c r="AI44" s="291"/>
      <c r="AL44" s="291"/>
      <c r="AT44" s="291"/>
      <c r="AU44" s="291"/>
      <c r="BF44" s="291"/>
      <c r="BG44" s="291"/>
    </row>
    <row r="45" spans="1:67">
      <c r="R45" s="342"/>
      <c r="S45" s="343"/>
      <c r="T45" s="343"/>
      <c r="U45" s="343"/>
      <c r="V45" s="344"/>
      <c r="W45" s="345"/>
      <c r="AG45" s="341"/>
    </row>
    <row r="46" spans="1:67">
      <c r="R46" s="346"/>
      <c r="AG46" s="341"/>
    </row>
    <row r="47" spans="1:67">
      <c r="R47" s="346"/>
      <c r="AG47" s="341"/>
    </row>
    <row r="48" spans="1:67">
      <c r="R48" s="346"/>
      <c r="AG48" s="341"/>
    </row>
    <row r="49" spans="18:67">
      <c r="R49" s="346"/>
      <c r="AG49" s="341"/>
      <c r="BN49"/>
      <c r="BO49"/>
    </row>
    <row r="50" spans="18:67">
      <c r="R50" s="346"/>
      <c r="AG50" s="341"/>
      <c r="BN50"/>
      <c r="BO50"/>
    </row>
    <row r="51" spans="18:67">
      <c r="R51" s="346"/>
      <c r="AG51" s="341"/>
      <c r="BN51"/>
      <c r="BO51"/>
    </row>
    <row r="52" spans="18:67">
      <c r="R52" s="346"/>
      <c r="AG52" s="341"/>
      <c r="BN52"/>
      <c r="BO52"/>
    </row>
    <row r="53" spans="18:67">
      <c r="R53" s="346"/>
      <c r="AG53" s="341"/>
      <c r="BN53"/>
      <c r="BO53"/>
    </row>
    <row r="54" spans="18:67">
      <c r="R54" s="346"/>
      <c r="BN54"/>
      <c r="BO54"/>
    </row>
    <row r="55" spans="18:67">
      <c r="R55" s="346"/>
      <c r="BN55"/>
      <c r="BO55"/>
    </row>
    <row r="56" spans="18:67">
      <c r="R56" s="346"/>
      <c r="BN56"/>
      <c r="BO56"/>
    </row>
    <row r="57" spans="18:67">
      <c r="R57" s="346"/>
      <c r="BN57"/>
      <c r="BO57"/>
    </row>
    <row r="58" spans="18:67">
      <c r="R58" s="346"/>
      <c r="BN58"/>
      <c r="BO58"/>
    </row>
    <row r="59" spans="18:67">
      <c r="R59" s="346"/>
      <c r="BN59"/>
      <c r="BO59"/>
    </row>
    <row r="60" spans="18:67">
      <c r="BN60"/>
      <c r="BO60"/>
    </row>
    <row r="65536" spans="3:65">
      <c r="C65536" s="347"/>
      <c r="BL65536"/>
      <c r="BM65536"/>
    </row>
  </sheetData>
  <mergeCells count="45">
    <mergeCell ref="AP7:AQ7"/>
    <mergeCell ref="AJ7:AK7"/>
    <mergeCell ref="L6:M7"/>
    <mergeCell ref="A6:A8"/>
    <mergeCell ref="B6:B8"/>
    <mergeCell ref="C6:C8"/>
    <mergeCell ref="D6:D8"/>
    <mergeCell ref="J6:K7"/>
    <mergeCell ref="E6:E8"/>
    <mergeCell ref="F6:F8"/>
    <mergeCell ref="G6:G8"/>
    <mergeCell ref="H6:H8"/>
    <mergeCell ref="I6:I8"/>
    <mergeCell ref="BN6:BO7"/>
    <mergeCell ref="N6:O7"/>
    <mergeCell ref="AH6:AM6"/>
    <mergeCell ref="BB7:BC7"/>
    <mergeCell ref="BD7:BE7"/>
    <mergeCell ref="AB6:AG6"/>
    <mergeCell ref="AR7:AS7"/>
    <mergeCell ref="AZ6:BE6"/>
    <mergeCell ref="AZ7:BA7"/>
    <mergeCell ref="AD7:AE7"/>
    <mergeCell ref="AT6:AY6"/>
    <mergeCell ref="AF7:AG7"/>
    <mergeCell ref="AX7:AY7"/>
    <mergeCell ref="AT7:AU7"/>
    <mergeCell ref="AL7:AM7"/>
    <mergeCell ref="AN7:AO7"/>
    <mergeCell ref="BL6:BM7"/>
    <mergeCell ref="P6:Q7"/>
    <mergeCell ref="R6:S7"/>
    <mergeCell ref="X7:Y7"/>
    <mergeCell ref="AB7:AC7"/>
    <mergeCell ref="T6:U7"/>
    <mergeCell ref="V6:W7"/>
    <mergeCell ref="X6:AA6"/>
    <mergeCell ref="Z7:AA7"/>
    <mergeCell ref="BF6:BK6"/>
    <mergeCell ref="BF7:BG7"/>
    <mergeCell ref="BH7:BI7"/>
    <mergeCell ref="BJ7:BK7"/>
    <mergeCell ref="AN6:AS6"/>
    <mergeCell ref="AV7:AW7"/>
    <mergeCell ref="AH7:AI7"/>
  </mergeCells>
  <phoneticPr fontId="30" type="noConversion"/>
  <pageMargins left="7.3611111111111113E-2" right="7.3611111111111113E-2" top="0.97847222222222219" bottom="0.70972222222222225" header="0" footer="0"/>
  <pageSetup paperSize="9" scale="78"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workbookViewId="0">
      <selection activeCell="A2" sqref="A2"/>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Z45"/>
  <sheetViews>
    <sheetView zoomScaleNormal="100" workbookViewId="0">
      <pane xSplit="3" ySplit="6" topLeftCell="D25" activePane="bottomRight" state="frozen"/>
      <selection pane="topRight" activeCell="D1" sqref="D1"/>
      <selection pane="bottomLeft" activeCell="A7" sqref="A7"/>
      <selection pane="bottomRight" activeCell="B38" sqref="B38"/>
    </sheetView>
  </sheetViews>
  <sheetFormatPr defaultColWidth="9.140625" defaultRowHeight="12.75"/>
  <cols>
    <col min="1" max="3" width="10.85546875" customWidth="1"/>
    <col min="4" max="4" width="12.85546875" bestFit="1" customWidth="1"/>
    <col min="5" max="5" width="13.28515625" bestFit="1" customWidth="1"/>
    <col min="6" max="6" width="14.5703125" bestFit="1" customWidth="1"/>
    <col min="7" max="7" width="15.5703125" bestFit="1" customWidth="1"/>
    <col min="8" max="9" width="12.85546875" customWidth="1"/>
    <col min="10" max="10" width="11.5703125" customWidth="1"/>
    <col min="11" max="11" width="12" customWidth="1"/>
    <col min="12" max="12" width="12.28515625" customWidth="1"/>
    <col min="13" max="13" width="13" customWidth="1"/>
    <col min="14" max="15" width="11" customWidth="1"/>
    <col min="16" max="16" width="13.85546875" bestFit="1" customWidth="1"/>
    <col min="17" max="18" width="10.85546875" bestFit="1" customWidth="1"/>
    <col min="19" max="24" width="10.85546875" customWidth="1"/>
  </cols>
  <sheetData>
    <row r="2" spans="1:26" ht="24.75" customHeight="1">
      <c r="A2" s="642" t="s">
        <v>22</v>
      </c>
      <c r="B2" s="642"/>
      <c r="C2" s="642"/>
      <c r="D2" s="642"/>
      <c r="E2" s="642"/>
      <c r="F2" s="642"/>
      <c r="G2" s="642"/>
      <c r="H2" s="642"/>
      <c r="I2" s="642"/>
      <c r="J2" s="642"/>
      <c r="K2" s="642"/>
      <c r="L2" s="642"/>
      <c r="M2" s="642"/>
      <c r="N2" s="642"/>
      <c r="O2" s="642"/>
      <c r="P2" s="642"/>
      <c r="Q2" s="348"/>
      <c r="R2" s="348"/>
      <c r="S2" s="348"/>
      <c r="T2" s="348"/>
      <c r="U2" s="348"/>
      <c r="V2" s="348"/>
      <c r="W2" s="348"/>
      <c r="X2" s="348"/>
    </row>
    <row r="3" spans="1:26" ht="12.75" customHeight="1">
      <c r="A3" s="566"/>
      <c r="B3" s="566"/>
      <c r="C3" s="566"/>
      <c r="D3" s="567"/>
      <c r="E3" s="567"/>
      <c r="F3" s="567"/>
      <c r="G3" s="568"/>
      <c r="H3" s="567"/>
      <c r="I3" s="569"/>
      <c r="J3" s="569"/>
      <c r="K3" s="569"/>
      <c r="L3" s="567"/>
      <c r="M3" s="569"/>
      <c r="N3" s="351"/>
      <c r="O3" s="351"/>
      <c r="P3" s="351"/>
      <c r="Q3" s="6"/>
      <c r="R3" s="6"/>
    </row>
    <row r="4" spans="1:26">
      <c r="A4" s="657" t="s">
        <v>9</v>
      </c>
      <c r="B4" s="660" t="s">
        <v>23</v>
      </c>
      <c r="C4" s="660" t="s">
        <v>24</v>
      </c>
      <c r="D4" s="643"/>
      <c r="E4" s="644"/>
      <c r="F4" s="644"/>
      <c r="G4" s="644"/>
      <c r="H4" s="644"/>
      <c r="I4" s="644"/>
      <c r="J4" s="644"/>
      <c r="K4" s="644"/>
      <c r="L4" s="644"/>
      <c r="M4" s="644"/>
      <c r="N4" s="644"/>
      <c r="O4" s="644"/>
      <c r="P4" s="645" t="s">
        <v>378</v>
      </c>
      <c r="Q4" s="646"/>
      <c r="R4" s="647"/>
      <c r="S4" s="636" t="s">
        <v>389</v>
      </c>
      <c r="T4" s="637"/>
      <c r="U4" s="638"/>
      <c r="V4" s="636" t="s">
        <v>431</v>
      </c>
      <c r="W4" s="637"/>
      <c r="X4" s="638"/>
    </row>
    <row r="5" spans="1:26" ht="14.25" customHeight="1">
      <c r="A5" s="658"/>
      <c r="B5" s="661"/>
      <c r="C5" s="661"/>
      <c r="D5" s="663" t="s">
        <v>390</v>
      </c>
      <c r="E5" s="664"/>
      <c r="F5" s="664"/>
      <c r="G5" s="665"/>
      <c r="H5" s="651" t="s">
        <v>391</v>
      </c>
      <c r="I5" s="652"/>
      <c r="J5" s="652"/>
      <c r="K5" s="653"/>
      <c r="L5" s="654" t="s">
        <v>392</v>
      </c>
      <c r="M5" s="655"/>
      <c r="N5" s="655"/>
      <c r="O5" s="656"/>
      <c r="P5" s="648"/>
      <c r="Q5" s="649"/>
      <c r="R5" s="650"/>
      <c r="S5" s="639"/>
      <c r="T5" s="640"/>
      <c r="U5" s="641"/>
      <c r="V5" s="639"/>
      <c r="W5" s="640"/>
      <c r="X5" s="641"/>
    </row>
    <row r="6" spans="1:26" ht="14.25" customHeight="1">
      <c r="A6" s="659"/>
      <c r="B6" s="662"/>
      <c r="C6" s="662"/>
      <c r="D6" s="564" t="s">
        <v>25</v>
      </c>
      <c r="E6" s="419" t="s">
        <v>26</v>
      </c>
      <c r="F6" s="420" t="s">
        <v>27</v>
      </c>
      <c r="G6" s="420" t="s">
        <v>28</v>
      </c>
      <c r="H6" s="565" t="s">
        <v>25</v>
      </c>
      <c r="I6" s="421" t="s">
        <v>26</v>
      </c>
      <c r="J6" s="422" t="s">
        <v>27</v>
      </c>
      <c r="K6" s="422" t="s">
        <v>28</v>
      </c>
      <c r="L6" s="563" t="s">
        <v>25</v>
      </c>
      <c r="M6" s="423" t="s">
        <v>26</v>
      </c>
      <c r="N6" s="424" t="s">
        <v>27</v>
      </c>
      <c r="O6" s="424" t="s">
        <v>28</v>
      </c>
      <c r="P6" s="425" t="s">
        <v>26</v>
      </c>
      <c r="Q6" s="426" t="s">
        <v>27</v>
      </c>
      <c r="R6" s="426" t="s">
        <v>28</v>
      </c>
      <c r="S6" s="570" t="s">
        <v>26</v>
      </c>
      <c r="T6" s="570" t="s">
        <v>27</v>
      </c>
      <c r="U6" s="570" t="s">
        <v>28</v>
      </c>
      <c r="V6" s="570" t="s">
        <v>26</v>
      </c>
      <c r="W6" s="570" t="s">
        <v>27</v>
      </c>
      <c r="X6" s="570" t="s">
        <v>28</v>
      </c>
    </row>
    <row r="7" spans="1:26">
      <c r="A7" s="353">
        <v>46022</v>
      </c>
      <c r="B7" s="354">
        <v>0</v>
      </c>
      <c r="C7" s="354">
        <v>0</v>
      </c>
      <c r="D7" s="105"/>
      <c r="E7" s="105"/>
      <c r="F7" s="105"/>
      <c r="G7" s="105"/>
      <c r="H7" s="105"/>
      <c r="I7" s="105"/>
      <c r="J7" s="105"/>
      <c r="K7" s="105"/>
      <c r="L7" s="105"/>
      <c r="M7" s="105"/>
      <c r="N7" s="105"/>
      <c r="O7" s="105"/>
      <c r="P7" s="356"/>
      <c r="Q7" s="105"/>
      <c r="R7" s="105"/>
      <c r="S7" s="105"/>
      <c r="T7" s="105"/>
      <c r="U7" s="105"/>
      <c r="V7" s="105"/>
      <c r="W7" s="105"/>
      <c r="X7" s="105"/>
    </row>
    <row r="8" spans="1:26" ht="15">
      <c r="A8" s="353">
        <v>46023</v>
      </c>
      <c r="B8" s="359">
        <f>+Report1!P9</f>
        <v>44.625</v>
      </c>
      <c r="C8" s="359">
        <f>+Report1!R9</f>
        <v>44.228000000000002</v>
      </c>
      <c r="D8" s="360">
        <f t="shared" ref="D8:D38" si="0">+D7+E8</f>
        <v>27960.639999999999</v>
      </c>
      <c r="E8" s="360">
        <f>+[3]DailyJan!AL7</f>
        <v>27960.639999999999</v>
      </c>
      <c r="F8" s="360">
        <f t="shared" ref="F8:F38" si="1">E8/B8</f>
        <v>626.56896358543418</v>
      </c>
      <c r="G8" s="360">
        <f t="shared" ref="G8:G38" si="2">E8/C8</f>
        <v>632.19318079044945</v>
      </c>
      <c r="H8" s="360">
        <f t="shared" ref="H8:H38" si="3">+H7+I8</f>
        <v>9800.64</v>
      </c>
      <c r="I8" s="360">
        <f>+[3]DailyJan!AM7</f>
        <v>9800.64</v>
      </c>
      <c r="J8" s="360">
        <f t="shared" ref="J8:J38" si="4">I8/B8</f>
        <v>219.62218487394958</v>
      </c>
      <c r="K8" s="360">
        <f t="shared" ref="K8:K38" si="5">I8/C8</f>
        <v>221.59356064031832</v>
      </c>
      <c r="L8" s="360">
        <f t="shared" ref="L8:L38" si="6">+L7+M8</f>
        <v>610.00000000001364</v>
      </c>
      <c r="M8" s="360">
        <f>+[3]DailyJan!AN7</f>
        <v>610.00000000001364</v>
      </c>
      <c r="N8" s="360">
        <f t="shared" ref="N8:N38" si="7">M8/B8</f>
        <v>13.669467787115151</v>
      </c>
      <c r="O8" s="360">
        <f t="shared" ref="O8:O38" si="8">M8/C8</f>
        <v>13.792167857466167</v>
      </c>
      <c r="P8" s="360">
        <f t="shared" ref="P8:P38" si="9">+E8+I8+M8</f>
        <v>38371.280000000013</v>
      </c>
      <c r="Q8" s="7">
        <f t="shared" ref="Q8:Q38" si="10">P8/B8</f>
        <v>859.86061624649892</v>
      </c>
      <c r="R8" s="358">
        <f t="shared" ref="R8:R38" si="11">P8/C8</f>
        <v>867.57890928823394</v>
      </c>
      <c r="S8" s="360">
        <f>+[3]DailyJan!BM7</f>
        <v>25319.999999999956</v>
      </c>
      <c r="T8" s="7">
        <f t="shared" ref="T8:T40" si="12">S8/B8</f>
        <v>567.39495798319228</v>
      </c>
      <c r="U8" s="6">
        <f t="shared" ref="U8:U40" si="13">S8/C8</f>
        <v>572.48801664104087</v>
      </c>
      <c r="V8" s="360">
        <f>+[3]DailyJan!BQ7</f>
        <v>139.79999999998836</v>
      </c>
      <c r="W8" s="7">
        <f t="shared" ref="W8:W38" si="14">V8/E8</f>
        <v>4.9998855534060865E-3</v>
      </c>
      <c r="X8" s="6">
        <f t="shared" ref="X8:X38" si="15">V8/F8</f>
        <v>0.2231198928207466</v>
      </c>
      <c r="Y8" s="428"/>
      <c r="Z8" s="428"/>
    </row>
    <row r="9" spans="1:26" ht="15">
      <c r="A9" s="353">
        <v>46024</v>
      </c>
      <c r="B9" s="359">
        <f>+Report1!P10</f>
        <v>49.712000000000003</v>
      </c>
      <c r="C9" s="359">
        <f>+Report1!R10</f>
        <v>46.393999999999998</v>
      </c>
      <c r="D9" s="360">
        <f t="shared" ref="D9" si="16">+D8+E9</f>
        <v>59946.04</v>
      </c>
      <c r="E9" s="360">
        <f>+[3]DailyJan!AL8</f>
        <v>31985.4</v>
      </c>
      <c r="F9" s="360">
        <f t="shared" ref="F9" si="17">E9/B9</f>
        <v>643.41406501448341</v>
      </c>
      <c r="G9" s="360">
        <f t="shared" ref="G9" si="18">E9/C9</f>
        <v>689.4296676294349</v>
      </c>
      <c r="H9" s="360">
        <f t="shared" ref="H9" si="19">+H8+I9</f>
        <v>20626.04</v>
      </c>
      <c r="I9" s="360">
        <f>+[3]DailyJan!AM8</f>
        <v>10825.4</v>
      </c>
      <c r="J9" s="360">
        <f t="shared" ref="J9" si="20">I9/B9</f>
        <v>217.76231091084645</v>
      </c>
      <c r="K9" s="360">
        <f t="shared" ref="K9" si="21">I9/C9</f>
        <v>233.33620726818123</v>
      </c>
      <c r="L9" s="360">
        <f t="shared" ref="L9" si="22">+L8+M9</f>
        <v>1410.0000000000819</v>
      </c>
      <c r="M9" s="360">
        <f>+[3]DailyJan!AN8</f>
        <v>800.00000000006821</v>
      </c>
      <c r="N9" s="360">
        <f t="shared" ref="N9" si="23">M9/B9</f>
        <v>16.092693916963071</v>
      </c>
      <c r="O9" s="360">
        <f t="shared" ref="O9" si="24">M9/C9</f>
        <v>17.243609087383462</v>
      </c>
      <c r="P9" s="360">
        <f t="shared" ref="P9" si="25">+E9+I9+M9</f>
        <v>43610.800000000068</v>
      </c>
      <c r="Q9" s="7">
        <f t="shared" ref="Q9" si="26">P9/B9</f>
        <v>877.26906984229288</v>
      </c>
      <c r="R9" s="358">
        <f t="shared" ref="R9" si="27">P9/C9</f>
        <v>940.00948398499952</v>
      </c>
      <c r="S9" s="360">
        <f>+[3]DailyJan!BM8</f>
        <v>26779.999999999956</v>
      </c>
      <c r="T9" s="7">
        <f t="shared" ref="T9" si="28">S9/B9</f>
        <v>538.702928870292</v>
      </c>
      <c r="U9" s="6">
        <f t="shared" ref="U9" si="29">S9/C9</f>
        <v>577.22981420011115</v>
      </c>
      <c r="V9" s="360">
        <f>+[3]DailyJan!BQ8</f>
        <v>1120.1000000000058</v>
      </c>
      <c r="W9" s="7">
        <f t="shared" si="14"/>
        <v>3.5019102465500065E-2</v>
      </c>
      <c r="X9" s="6">
        <f t="shared" si="15"/>
        <v>1.7408696217649393</v>
      </c>
      <c r="Y9" s="428"/>
      <c r="Z9" s="428"/>
    </row>
    <row r="10" spans="1:26" ht="15">
      <c r="A10" s="353">
        <v>46025</v>
      </c>
      <c r="B10" s="359">
        <f>+Report1!P11</f>
        <v>42.899000000000001</v>
      </c>
      <c r="C10" s="359">
        <f>+Report1!R11</f>
        <v>43.02</v>
      </c>
      <c r="D10" s="360">
        <f t="shared" ref="D10" si="30">+D9+E10</f>
        <v>88424.320000000007</v>
      </c>
      <c r="E10" s="360">
        <f>+[3]DailyJan!AL9</f>
        <v>28478.28</v>
      </c>
      <c r="F10" s="360">
        <f t="shared" ref="F10" si="31">E10/B10</f>
        <v>663.84484486817871</v>
      </c>
      <c r="G10" s="360">
        <f t="shared" ref="G10" si="32">E10/C10</f>
        <v>661.97768479776846</v>
      </c>
      <c r="H10" s="360">
        <f t="shared" ref="H10" si="33">+H9+I10</f>
        <v>30944.32</v>
      </c>
      <c r="I10" s="360">
        <f>+[3]DailyJan!AM9</f>
        <v>10318.280000000001</v>
      </c>
      <c r="J10" s="360">
        <f t="shared" ref="J10" si="34">I10/B10</f>
        <v>240.52495396163081</v>
      </c>
      <c r="K10" s="360">
        <f t="shared" ref="K10" si="35">I10/C10</f>
        <v>239.84844258484426</v>
      </c>
      <c r="L10" s="360">
        <f t="shared" ref="L10" si="36">+L9+M10</f>
        <v>2009.9999999999909</v>
      </c>
      <c r="M10" s="360">
        <f>+[3]DailyJan!AN9</f>
        <v>599.99999999990905</v>
      </c>
      <c r="N10" s="360">
        <f t="shared" ref="N10" si="37">M10/B10</f>
        <v>13.986340007923472</v>
      </c>
      <c r="O10" s="360">
        <f t="shared" ref="O10" si="38">M10/C10</f>
        <v>13.947001394698024</v>
      </c>
      <c r="P10" s="360">
        <f t="shared" ref="P10" si="39">+E10+I10+M10</f>
        <v>39396.55999999991</v>
      </c>
      <c r="Q10" s="7">
        <f t="shared" ref="Q10" si="40">P10/B10</f>
        <v>918.35613883773306</v>
      </c>
      <c r="R10" s="358">
        <f t="shared" ref="R10" si="41">P10/C10</f>
        <v>915.77312877731072</v>
      </c>
      <c r="S10" s="360">
        <f>+[3]DailyJan!BM9</f>
        <v>25570.000000000044</v>
      </c>
      <c r="T10" s="7">
        <f t="shared" ref="T10" si="42">S10/B10</f>
        <v>596.05119000443005</v>
      </c>
      <c r="U10" s="6">
        <f t="shared" ref="U10" si="43">S10/C10</f>
        <v>594.37470943747189</v>
      </c>
      <c r="V10" s="360">
        <f>+[3]DailyJan!BQ9</f>
        <v>1200.1000000000058</v>
      </c>
      <c r="W10" s="7">
        <f t="shared" si="14"/>
        <v>4.2140887722151965E-2</v>
      </c>
      <c r="X10" s="6">
        <f t="shared" si="15"/>
        <v>1.8078019423925973</v>
      </c>
      <c r="Y10" s="428"/>
      <c r="Z10" s="428"/>
    </row>
    <row r="11" spans="1:26" ht="15">
      <c r="A11" s="353">
        <v>46026</v>
      </c>
      <c r="B11" s="359">
        <f>+Report1!P12</f>
        <v>46.727000000000004</v>
      </c>
      <c r="C11" s="359">
        <f>+Report1!R12</f>
        <v>47.914000000000001</v>
      </c>
      <c r="D11" s="360">
        <f t="shared" ref="D11" si="44">+D10+E11</f>
        <v>118827.82</v>
      </c>
      <c r="E11" s="360">
        <f>+[3]DailyJan!AL10</f>
        <v>30403.5</v>
      </c>
      <c r="F11" s="360">
        <f t="shared" ref="F11" si="45">E11/B11</f>
        <v>650.66235795150556</v>
      </c>
      <c r="G11" s="360">
        <f t="shared" ref="G11" si="46">E11/C11</f>
        <v>634.54313979212759</v>
      </c>
      <c r="H11" s="360">
        <f t="shared" ref="H11" si="47">+H10+I11</f>
        <v>42187.82</v>
      </c>
      <c r="I11" s="360">
        <f>+[3]DailyJan!AM10</f>
        <v>11243.5</v>
      </c>
      <c r="J11" s="360">
        <f t="shared" ref="J11" si="48">I11/B11</f>
        <v>240.62105420848758</v>
      </c>
      <c r="K11" s="360">
        <f t="shared" ref="K11" si="49">I11/C11</f>
        <v>234.6600158617523</v>
      </c>
      <c r="L11" s="360">
        <f t="shared" ref="L11" si="50">+L10+M11</f>
        <v>2580.0000000000409</v>
      </c>
      <c r="M11" s="360">
        <f>+[3]DailyJan!AN10</f>
        <v>570.00000000005002</v>
      </c>
      <c r="N11" s="360">
        <f t="shared" ref="N11" si="51">M11/B11</f>
        <v>12.198514777324673</v>
      </c>
      <c r="O11" s="360">
        <f t="shared" ref="O11" si="52">M11/C11</f>
        <v>11.89631422966252</v>
      </c>
      <c r="P11" s="360">
        <f t="shared" ref="P11" si="53">+E11+I11+M11</f>
        <v>42217.000000000051</v>
      </c>
      <c r="Q11" s="7">
        <f t="shared" ref="Q11" si="54">P11/B11</f>
        <v>903.48192693731778</v>
      </c>
      <c r="R11" s="358">
        <f t="shared" ref="R11" si="55">P11/C11</f>
        <v>881.09946988354238</v>
      </c>
      <c r="S11" s="360">
        <f>+[3]DailyJan!BM10</f>
        <v>25340.000000000044</v>
      </c>
      <c r="T11" s="7">
        <f t="shared" ref="T11" si="56">S11/B11</f>
        <v>542.2988850129484</v>
      </c>
      <c r="U11" s="6">
        <f t="shared" ref="U11" si="57">S11/C11</f>
        <v>528.86421505196904</v>
      </c>
      <c r="V11" s="360">
        <f>+[3]DailyJan!BQ10</f>
        <v>1259.7999999999884</v>
      </c>
      <c r="W11" s="7">
        <f t="shared" si="14"/>
        <v>4.143601887940495E-2</v>
      </c>
      <c r="X11" s="6">
        <f t="shared" si="15"/>
        <v>1.936180854177955</v>
      </c>
      <c r="Y11" s="428"/>
      <c r="Z11" s="428"/>
    </row>
    <row r="12" spans="1:26" ht="15">
      <c r="A12" s="353">
        <v>46027</v>
      </c>
      <c r="B12" s="359">
        <f>+Report1!P13</f>
        <v>51.026000000000003</v>
      </c>
      <c r="C12" s="359">
        <f>+Report1!R13</f>
        <v>48.494999999999997</v>
      </c>
      <c r="D12" s="360">
        <f t="shared" ref="D12" si="58">+D11+E12</f>
        <v>149451.71000000002</v>
      </c>
      <c r="E12" s="360">
        <f>+[3]DailyJan!AL11</f>
        <v>30623.89</v>
      </c>
      <c r="F12" s="360">
        <f t="shared" ref="F12" si="59">E12/B12</f>
        <v>600.16246619370509</v>
      </c>
      <c r="G12" s="360">
        <f t="shared" ref="G12" si="60">E12/C12</f>
        <v>631.48551397051244</v>
      </c>
      <c r="H12" s="360">
        <f t="shared" ref="H12" si="61">+H11+I12</f>
        <v>52651.71</v>
      </c>
      <c r="I12" s="360">
        <f>+[3]DailyJan!AM11</f>
        <v>10463.89</v>
      </c>
      <c r="J12" s="360">
        <f t="shared" ref="J12" si="62">I12/B12</f>
        <v>205.06976835338844</v>
      </c>
      <c r="K12" s="360">
        <f t="shared" ref="K12" si="63">I12/C12</f>
        <v>215.77255387153315</v>
      </c>
      <c r="L12" s="360">
        <f t="shared" ref="L12" si="64">+L11+M12</f>
        <v>3270.0000000000955</v>
      </c>
      <c r="M12" s="360">
        <f>+[3]DailyJan!AN11</f>
        <v>690.00000000005457</v>
      </c>
      <c r="N12" s="360">
        <f t="shared" ref="N12" si="65">M12/B12</f>
        <v>13.522517932035717</v>
      </c>
      <c r="O12" s="360">
        <f t="shared" ref="O12" si="66">M12/C12</f>
        <v>14.228270955769762</v>
      </c>
      <c r="P12" s="360">
        <f t="shared" ref="P12" si="67">+E12+I12+M12</f>
        <v>41777.780000000057</v>
      </c>
      <c r="Q12" s="7">
        <f t="shared" ref="Q12" si="68">P12/B12</f>
        <v>818.75475247912937</v>
      </c>
      <c r="R12" s="358">
        <f t="shared" ref="R12" si="69">P12/C12</f>
        <v>861.48633879781539</v>
      </c>
      <c r="S12" s="360">
        <f>+[3]DailyJan!BM11</f>
        <v>28129.999999999956</v>
      </c>
      <c r="T12" s="7">
        <f t="shared" ref="T12" si="70">S12/B12</f>
        <v>551.28757888135374</v>
      </c>
      <c r="U12" s="6">
        <f t="shared" ref="U12" si="71">S12/C12</f>
        <v>580.05979997937845</v>
      </c>
      <c r="V12" s="360">
        <f>+[3]DailyJan!BQ11</f>
        <v>1210.1000000000058</v>
      </c>
      <c r="W12" s="7">
        <f t="shared" si="14"/>
        <v>3.9514901601331698E-2</v>
      </c>
      <c r="X12" s="6">
        <f t="shared" si="15"/>
        <v>2.0162873691095515</v>
      </c>
      <c r="Y12" s="428"/>
      <c r="Z12" s="428"/>
    </row>
    <row r="13" spans="1:26" ht="15">
      <c r="A13" s="353">
        <v>46028</v>
      </c>
      <c r="B13" s="359">
        <f>+Report1!P14</f>
        <v>14.664</v>
      </c>
      <c r="C13" s="359">
        <f>+Report1!R14</f>
        <v>13.914999999999999</v>
      </c>
      <c r="D13" s="360">
        <f t="shared" ref="D13" si="72">+D12+E13</f>
        <v>163260.90000000002</v>
      </c>
      <c r="E13" s="360">
        <f>+[3]DailyJan!AL12</f>
        <v>13809.19</v>
      </c>
      <c r="F13" s="360">
        <f t="shared" ref="F13" si="73">E13/B13</f>
        <v>941.7069012547737</v>
      </c>
      <c r="G13" s="360">
        <f t="shared" ref="G13" si="74">E13/C13</f>
        <v>992.39597556593617</v>
      </c>
      <c r="H13" s="360">
        <f t="shared" ref="H13" si="75">+H12+I13</f>
        <v>61300.9</v>
      </c>
      <c r="I13" s="360">
        <f>+[3]DailyJan!AM12</f>
        <v>8649.19</v>
      </c>
      <c r="J13" s="360">
        <f t="shared" ref="J13" si="76">I13/B13</f>
        <v>589.82474086197499</v>
      </c>
      <c r="K13" s="360">
        <f t="shared" ref="K13" si="77">I13/C13</f>
        <v>621.57312252964437</v>
      </c>
      <c r="L13" s="360">
        <f t="shared" ref="L13" si="78">+L12+M13</f>
        <v>3480.0000000000182</v>
      </c>
      <c r="M13" s="360">
        <f>+[3]DailyJan!AN12</f>
        <v>209.99999999992269</v>
      </c>
      <c r="N13" s="360">
        <f t="shared" ref="N13" si="79">M13/B13</f>
        <v>14.320785597376071</v>
      </c>
      <c r="O13" s="360">
        <f t="shared" ref="O13" si="80">M13/C13</f>
        <v>15.091627739843529</v>
      </c>
      <c r="P13" s="360">
        <f t="shared" ref="P13" si="81">+E13+I13+M13</f>
        <v>22668.379999999925</v>
      </c>
      <c r="Q13" s="7">
        <f t="shared" ref="Q13" si="82">P13/B13</f>
        <v>1545.8524277141248</v>
      </c>
      <c r="R13" s="358">
        <f t="shared" ref="R13" si="83">P13/C13</f>
        <v>1629.0607258354241</v>
      </c>
      <c r="S13" s="360">
        <f>+[3]DailyJan!BM12</f>
        <v>16920.000000000044</v>
      </c>
      <c r="T13" s="7">
        <f t="shared" ref="T13" si="84">S13/B13</f>
        <v>1153.8461538461568</v>
      </c>
      <c r="U13" s="6">
        <f t="shared" ref="U13" si="85">S13/C13</f>
        <v>1215.9540064678438</v>
      </c>
      <c r="V13" s="360">
        <f>+[3]DailyJan!BQ12</f>
        <v>1130.1000000000058</v>
      </c>
      <c r="W13" s="7">
        <f t="shared" si="14"/>
        <v>8.1836805779340119E-2</v>
      </c>
      <c r="X13" s="6">
        <f t="shared" si="15"/>
        <v>1.2000549199482433</v>
      </c>
      <c r="Y13" s="428"/>
      <c r="Z13" s="428"/>
    </row>
    <row r="14" spans="1:26" ht="15">
      <c r="A14" s="353">
        <v>46029</v>
      </c>
      <c r="B14" s="359">
        <f>+Report1!P15</f>
        <v>45.86</v>
      </c>
      <c r="C14" s="359">
        <f>+Report1!R15</f>
        <v>38.475000000000001</v>
      </c>
      <c r="D14" s="360">
        <f t="shared" si="0"/>
        <v>188669.62000000002</v>
      </c>
      <c r="E14" s="360">
        <f>+[3]DailyJan!AL13</f>
        <v>25408.720000000001</v>
      </c>
      <c r="F14" s="360">
        <f t="shared" si="1"/>
        <v>554.04971652856523</v>
      </c>
      <c r="G14" s="360">
        <f t="shared" si="2"/>
        <v>660.39558154645874</v>
      </c>
      <c r="H14" s="360">
        <f t="shared" si="3"/>
        <v>73549.62</v>
      </c>
      <c r="I14" s="360">
        <f>+[3]DailyJan!AM13</f>
        <v>12248.72</v>
      </c>
      <c r="J14" s="360">
        <f t="shared" si="4"/>
        <v>267.08940252943739</v>
      </c>
      <c r="K14" s="360">
        <f t="shared" si="5"/>
        <v>318.3552956465237</v>
      </c>
      <c r="L14" s="360">
        <f t="shared" si="6"/>
        <v>3800.0000000000682</v>
      </c>
      <c r="M14" s="360">
        <f>+[3]DailyJan!AN13</f>
        <v>320.00000000005002</v>
      </c>
      <c r="N14" s="360">
        <f t="shared" si="7"/>
        <v>6.97775839511666</v>
      </c>
      <c r="O14" s="360">
        <f t="shared" si="8"/>
        <v>8.3170890188447046</v>
      </c>
      <c r="P14" s="360">
        <f t="shared" si="9"/>
        <v>37977.440000000053</v>
      </c>
      <c r="Q14" s="7">
        <f t="shared" si="10"/>
        <v>828.1168774531194</v>
      </c>
      <c r="R14" s="358">
        <f t="shared" si="11"/>
        <v>987.06796621182718</v>
      </c>
      <c r="S14" s="360">
        <f>+[3]DailyJan!BM13</f>
        <v>24940.000000000044</v>
      </c>
      <c r="T14" s="7">
        <f t="shared" si="12"/>
        <v>543.82904491932061</v>
      </c>
      <c r="U14" s="6">
        <f t="shared" si="13"/>
        <v>648.21312540610893</v>
      </c>
      <c r="V14" s="360">
        <f>+[3]DailyJan!BQ13</f>
        <v>1230.0999999999767</v>
      </c>
      <c r="W14" s="7">
        <f t="shared" si="14"/>
        <v>4.8412513499301681E-2</v>
      </c>
      <c r="X14" s="6">
        <f t="shared" si="15"/>
        <v>2.2201978690779751</v>
      </c>
      <c r="Y14" s="428"/>
      <c r="Z14" s="428"/>
    </row>
    <row r="15" spans="1:26" ht="15">
      <c r="A15" s="353">
        <v>46030</v>
      </c>
      <c r="B15" s="359">
        <f>+Report1!P16</f>
        <v>50.231000000000002</v>
      </c>
      <c r="C15" s="359">
        <f>+Report1!R16</f>
        <v>43.527000000000001</v>
      </c>
      <c r="D15" s="360">
        <f t="shared" si="0"/>
        <v>213634.19000000003</v>
      </c>
      <c r="E15" s="360">
        <f>+[3]DailyJan!AL14</f>
        <v>24964.57</v>
      </c>
      <c r="F15" s="360">
        <f t="shared" si="1"/>
        <v>496.99528179809278</v>
      </c>
      <c r="G15" s="360">
        <f t="shared" si="2"/>
        <v>573.54216922829505</v>
      </c>
      <c r="H15" s="360">
        <f t="shared" si="3"/>
        <v>84354.19</v>
      </c>
      <c r="I15" s="360">
        <f>+[3]DailyJan!AM14</f>
        <v>10804.57</v>
      </c>
      <c r="J15" s="360">
        <f t="shared" si="4"/>
        <v>215.09764886225636</v>
      </c>
      <c r="K15" s="360">
        <f t="shared" si="5"/>
        <v>248.2268477037241</v>
      </c>
      <c r="L15" s="360">
        <f t="shared" si="6"/>
        <v>4470.0000000000273</v>
      </c>
      <c r="M15" s="360">
        <f>+[3]DailyJan!AN14</f>
        <v>669.99999999995907</v>
      </c>
      <c r="N15" s="360">
        <f t="shared" si="7"/>
        <v>13.338376699646814</v>
      </c>
      <c r="O15" s="360">
        <f t="shared" si="8"/>
        <v>15.392744733153194</v>
      </c>
      <c r="P15" s="360">
        <f t="shared" si="9"/>
        <v>36439.139999999956</v>
      </c>
      <c r="Q15" s="7">
        <f t="shared" si="10"/>
        <v>725.43130735999591</v>
      </c>
      <c r="R15" s="358">
        <f t="shared" si="11"/>
        <v>837.16176166517232</v>
      </c>
      <c r="S15" s="360">
        <f>+[3]DailyJan!BM14</f>
        <v>25470</v>
      </c>
      <c r="T15" s="7">
        <f t="shared" si="12"/>
        <v>507.0573948358583</v>
      </c>
      <c r="U15" s="6">
        <f t="shared" si="13"/>
        <v>585.15404231856087</v>
      </c>
      <c r="V15" s="360">
        <f>+[3]DailyJan!BQ14</f>
        <v>1210.1000000000058</v>
      </c>
      <c r="W15" s="7">
        <f t="shared" si="14"/>
        <v>4.8472695504068603E-2</v>
      </c>
      <c r="X15" s="6">
        <f t="shared" si="15"/>
        <v>2.43483196786487</v>
      </c>
      <c r="Y15" s="428"/>
      <c r="Z15" s="428"/>
    </row>
    <row r="16" spans="1:26" ht="14.25" customHeight="1">
      <c r="A16" s="353">
        <v>46031</v>
      </c>
      <c r="B16" s="359">
        <f>+Report1!P17</f>
        <v>46.224000000000004</v>
      </c>
      <c r="C16" s="359">
        <f>+Report1!R17</f>
        <v>50.356000000000002</v>
      </c>
      <c r="D16" s="360">
        <f t="shared" si="0"/>
        <v>241490.37000000002</v>
      </c>
      <c r="E16" s="360">
        <f>+[3]DailyJan!AL15</f>
        <v>27856.18</v>
      </c>
      <c r="F16" s="360">
        <f t="shared" si="1"/>
        <v>602.6345621322256</v>
      </c>
      <c r="G16" s="360">
        <f t="shared" si="2"/>
        <v>553.18492334577809</v>
      </c>
      <c r="H16" s="360">
        <f t="shared" si="3"/>
        <v>95050.37</v>
      </c>
      <c r="I16" s="360">
        <f>+[3]DailyJan!AM15</f>
        <v>10696.18</v>
      </c>
      <c r="J16" s="360">
        <f t="shared" si="4"/>
        <v>231.39884042921426</v>
      </c>
      <c r="K16" s="360">
        <f t="shared" si="5"/>
        <v>212.41123202796092</v>
      </c>
      <c r="L16" s="360">
        <f t="shared" si="6"/>
        <v>5220.0000000000273</v>
      </c>
      <c r="M16" s="360">
        <f>+[3]DailyJan!AN15</f>
        <v>750</v>
      </c>
      <c r="N16" s="360">
        <f t="shared" si="7"/>
        <v>16.225337487019729</v>
      </c>
      <c r="O16" s="360">
        <f t="shared" si="8"/>
        <v>14.893955040114385</v>
      </c>
      <c r="P16" s="360">
        <f t="shared" si="9"/>
        <v>39302.36</v>
      </c>
      <c r="Q16" s="7">
        <f t="shared" si="10"/>
        <v>850.25874004845957</v>
      </c>
      <c r="R16" s="358">
        <f t="shared" si="11"/>
        <v>780.49011041385336</v>
      </c>
      <c r="S16" s="360">
        <f>+[3]DailyJan!BM15</f>
        <v>24740</v>
      </c>
      <c r="T16" s="7">
        <f t="shared" si="12"/>
        <v>535.21979923849074</v>
      </c>
      <c r="U16" s="6">
        <f t="shared" si="13"/>
        <v>491.3019302565732</v>
      </c>
      <c r="V16" s="360">
        <f>+[3]DailyJan!BQ15</f>
        <v>1299.6000000000058</v>
      </c>
      <c r="W16" s="7">
        <f t="shared" si="14"/>
        <v>4.6653920243192204E-2</v>
      </c>
      <c r="X16" s="6">
        <f t="shared" si="15"/>
        <v>2.1565308093213167</v>
      </c>
      <c r="Y16" s="428"/>
      <c r="Z16" s="428"/>
    </row>
    <row r="17" spans="1:26" ht="14.25" customHeight="1">
      <c r="A17" s="353">
        <v>46032</v>
      </c>
      <c r="B17" s="359">
        <f>+Report1!P18</f>
        <v>36.938000000000002</v>
      </c>
      <c r="C17" s="359">
        <f>+Report1!R18</f>
        <v>35.656999999999996</v>
      </c>
      <c r="D17" s="360">
        <f t="shared" si="0"/>
        <v>269394.60000000003</v>
      </c>
      <c r="E17" s="360">
        <f>+[3]DailyJan!AL16</f>
        <v>27904.23</v>
      </c>
      <c r="F17" s="360">
        <f t="shared" si="1"/>
        <v>755.43424116086408</v>
      </c>
      <c r="G17" s="360">
        <f t="shared" si="2"/>
        <v>782.57368819586623</v>
      </c>
      <c r="H17" s="360">
        <f t="shared" si="3"/>
        <v>104794.59999999999</v>
      </c>
      <c r="I17" s="360">
        <f>+[3]DailyJan!AM16</f>
        <v>9744.23</v>
      </c>
      <c r="J17" s="360">
        <f t="shared" si="4"/>
        <v>263.79961015756129</v>
      </c>
      <c r="K17" s="360">
        <f t="shared" si="5"/>
        <v>273.27677594862161</v>
      </c>
      <c r="L17" s="360">
        <f t="shared" si="6"/>
        <v>5670.0000000000728</v>
      </c>
      <c r="M17" s="360">
        <f>+[3]DailyJan!AN16</f>
        <v>450.00000000004547</v>
      </c>
      <c r="N17" s="360">
        <f t="shared" si="7"/>
        <v>12.182576208783514</v>
      </c>
      <c r="O17" s="360">
        <f t="shared" si="8"/>
        <v>12.620242869564056</v>
      </c>
      <c r="P17" s="360">
        <f t="shared" si="9"/>
        <v>38098.460000000043</v>
      </c>
      <c r="Q17" s="7">
        <f t="shared" si="10"/>
        <v>1031.416427527209</v>
      </c>
      <c r="R17" s="358">
        <f t="shared" si="11"/>
        <v>1068.4707070140519</v>
      </c>
      <c r="S17" s="360">
        <f>+[3]DailyJan!BM16</f>
        <v>22579.999999999862</v>
      </c>
      <c r="T17" s="7">
        <f t="shared" si="12"/>
        <v>611.29460176511611</v>
      </c>
      <c r="U17" s="6">
        <f t="shared" si="13"/>
        <v>633.25574221050181</v>
      </c>
      <c r="V17" s="360">
        <f>+[3]DailyJan!BQ16</f>
        <v>1250.1000000000058</v>
      </c>
      <c r="W17" s="7">
        <f t="shared" si="14"/>
        <v>4.4799659406477295E-2</v>
      </c>
      <c r="X17" s="6">
        <f t="shared" si="15"/>
        <v>1.6548098191564584</v>
      </c>
      <c r="Y17" s="428"/>
      <c r="Z17" s="428"/>
    </row>
    <row r="18" spans="1:26" ht="14.25" customHeight="1">
      <c r="A18" s="353">
        <v>46033</v>
      </c>
      <c r="B18" s="359">
        <f>+Report1!P19</f>
        <v>54.876000000000005</v>
      </c>
      <c r="C18" s="359">
        <f>+Report1!R19</f>
        <v>52.124000000000002</v>
      </c>
      <c r="D18" s="360">
        <f t="shared" si="0"/>
        <v>300536.77</v>
      </c>
      <c r="E18" s="360">
        <f>+[3]DailyJan!AL17</f>
        <v>31142.17</v>
      </c>
      <c r="F18" s="360">
        <f t="shared" si="1"/>
        <v>567.50072891610171</v>
      </c>
      <c r="G18" s="360">
        <f t="shared" si="2"/>
        <v>597.46316476095456</v>
      </c>
      <c r="H18" s="360">
        <f t="shared" si="3"/>
        <v>116776.76999999999</v>
      </c>
      <c r="I18" s="360">
        <f>+[3]DailyJan!AM17</f>
        <v>11982.17</v>
      </c>
      <c r="J18" s="360">
        <f t="shared" si="4"/>
        <v>218.34991617464829</v>
      </c>
      <c r="K18" s="360">
        <f t="shared" si="5"/>
        <v>229.87817512086562</v>
      </c>
      <c r="L18" s="360">
        <f t="shared" si="6"/>
        <v>6240.0000000000091</v>
      </c>
      <c r="M18" s="360">
        <f>+[3]DailyJan!AN17</f>
        <v>569.99999999993634</v>
      </c>
      <c r="N18" s="360">
        <f t="shared" si="7"/>
        <v>10.38705445003164</v>
      </c>
      <c r="O18" s="360">
        <f t="shared" si="8"/>
        <v>10.935461591588066</v>
      </c>
      <c r="P18" s="360">
        <f t="shared" si="9"/>
        <v>43694.339999999931</v>
      </c>
      <c r="Q18" s="7">
        <f t="shared" si="10"/>
        <v>796.23769954078148</v>
      </c>
      <c r="R18" s="358">
        <f t="shared" si="11"/>
        <v>838.27680147340823</v>
      </c>
      <c r="S18" s="360">
        <f>+[3]DailyJan!BM17</f>
        <v>28170.000000000091</v>
      </c>
      <c r="T18" s="7">
        <f t="shared" si="12"/>
        <v>513.33916466214896</v>
      </c>
      <c r="U18" s="6">
        <f t="shared" si="13"/>
        <v>540.44202286854591</v>
      </c>
      <c r="V18" s="360">
        <f>+[3]DailyJan!BQ17</f>
        <v>1260.1000000000058</v>
      </c>
      <c r="W18" s="7">
        <f t="shared" si="14"/>
        <v>4.0462819386060958E-2</v>
      </c>
      <c r="X18" s="6">
        <f t="shared" si="15"/>
        <v>2.2204376766294809</v>
      </c>
      <c r="Y18" s="428"/>
      <c r="Z18" s="428"/>
    </row>
    <row r="19" spans="1:26" ht="14.25" customHeight="1">
      <c r="A19" s="353">
        <v>46034</v>
      </c>
      <c r="B19" s="359">
        <f>+Report1!P20</f>
        <v>51.634</v>
      </c>
      <c r="C19" s="359">
        <f>+Report1!R20</f>
        <v>52.847999999999999</v>
      </c>
      <c r="D19" s="360">
        <f t="shared" si="0"/>
        <v>332163.21000000002</v>
      </c>
      <c r="E19" s="360">
        <f>+[3]DailyJan!AL18</f>
        <v>31626.44</v>
      </c>
      <c r="F19" s="360">
        <f t="shared" si="1"/>
        <v>612.5119107564783</v>
      </c>
      <c r="G19" s="360">
        <f t="shared" si="2"/>
        <v>598.44156827126858</v>
      </c>
      <c r="H19" s="360">
        <f t="shared" si="3"/>
        <v>127243.20999999999</v>
      </c>
      <c r="I19" s="360">
        <f>+[3]DailyJan!AM18</f>
        <v>10466.44</v>
      </c>
      <c r="J19" s="360">
        <f t="shared" si="4"/>
        <v>202.70441956850138</v>
      </c>
      <c r="K19" s="360">
        <f t="shared" si="5"/>
        <v>198.04798667877688</v>
      </c>
      <c r="L19" s="360">
        <f t="shared" si="6"/>
        <v>6820.00000000005</v>
      </c>
      <c r="M19" s="360">
        <f>+[3]DailyJan!AN18</f>
        <v>580.00000000004093</v>
      </c>
      <c r="N19" s="360">
        <f t="shared" si="7"/>
        <v>11.23290854863154</v>
      </c>
      <c r="O19" s="360">
        <f t="shared" si="8"/>
        <v>10.974871329095537</v>
      </c>
      <c r="P19" s="360">
        <f t="shared" si="9"/>
        <v>42672.880000000041</v>
      </c>
      <c r="Q19" s="7">
        <f t="shared" si="10"/>
        <v>826.44923887361119</v>
      </c>
      <c r="R19" s="358">
        <f t="shared" si="11"/>
        <v>807.46442627914098</v>
      </c>
      <c r="S19" s="360">
        <f>+[3]DailyJan!BM18</f>
        <v>25953.200000000023</v>
      </c>
      <c r="T19" s="7">
        <f t="shared" si="12"/>
        <v>502.63779680055819</v>
      </c>
      <c r="U19" s="6">
        <f t="shared" si="13"/>
        <v>491.09143203148699</v>
      </c>
      <c r="V19" s="360">
        <f>+[3]DailyJan!BQ18</f>
        <v>1419.7999999999884</v>
      </c>
      <c r="W19" s="7">
        <f t="shared" si="14"/>
        <v>4.4892817528624417E-2</v>
      </c>
      <c r="X19" s="6">
        <f t="shared" si="15"/>
        <v>2.3179957402729929</v>
      </c>
      <c r="Y19" s="428"/>
      <c r="Z19" s="428"/>
    </row>
    <row r="20" spans="1:26" ht="14.25" customHeight="1">
      <c r="A20" s="353">
        <v>46035</v>
      </c>
      <c r="B20" s="359">
        <f>+Report1!P21</f>
        <v>43.606000000000002</v>
      </c>
      <c r="C20" s="359">
        <f>+Report1!R21</f>
        <v>42.447000000000003</v>
      </c>
      <c r="D20" s="360">
        <f t="shared" si="0"/>
        <v>362157.64</v>
      </c>
      <c r="E20" s="360">
        <f>+[3]DailyJan!AL19</f>
        <v>29994.43</v>
      </c>
      <c r="F20" s="360">
        <f t="shared" si="1"/>
        <v>687.85098380956742</v>
      </c>
      <c r="G20" s="360">
        <f t="shared" si="2"/>
        <v>706.63250641977049</v>
      </c>
      <c r="H20" s="360">
        <f t="shared" si="3"/>
        <v>138077.63999999998</v>
      </c>
      <c r="I20" s="360">
        <f>+[3]DailyJan!AM19</f>
        <v>10834.43</v>
      </c>
      <c r="J20" s="360">
        <f t="shared" si="4"/>
        <v>248.46190891161766</v>
      </c>
      <c r="K20" s="360">
        <f t="shared" si="5"/>
        <v>255.24607157160693</v>
      </c>
      <c r="L20" s="360">
        <f t="shared" si="6"/>
        <v>7280.0000000000864</v>
      </c>
      <c r="M20" s="360">
        <f>+[3]DailyJan!AN19</f>
        <v>460.00000000003638</v>
      </c>
      <c r="N20" s="360">
        <f t="shared" si="7"/>
        <v>10.549007017383763</v>
      </c>
      <c r="O20" s="360">
        <f t="shared" si="8"/>
        <v>10.837043842910838</v>
      </c>
      <c r="P20" s="360">
        <f t="shared" si="9"/>
        <v>41288.860000000037</v>
      </c>
      <c r="Q20" s="7">
        <f t="shared" si="10"/>
        <v>946.86189973856892</v>
      </c>
      <c r="R20" s="358">
        <f t="shared" si="11"/>
        <v>972.7156218342883</v>
      </c>
      <c r="S20" s="360">
        <f>+[3]DailyJan!BM19</f>
        <v>22009.5</v>
      </c>
      <c r="T20" s="7">
        <f t="shared" si="12"/>
        <v>504.73558684584691</v>
      </c>
      <c r="U20" s="6">
        <f t="shared" si="13"/>
        <v>518.51720969679832</v>
      </c>
      <c r="V20" s="360">
        <f>+[3]DailyJan!BQ19</f>
        <v>1430.1000000000058</v>
      </c>
      <c r="W20" s="7">
        <f t="shared" si="14"/>
        <v>4.7678852373590888E-2</v>
      </c>
      <c r="X20" s="6">
        <f t="shared" si="15"/>
        <v>2.0790840366028047</v>
      </c>
      <c r="Y20" s="428"/>
      <c r="Z20" s="428"/>
    </row>
    <row r="21" spans="1:26" ht="14.25" customHeight="1">
      <c r="A21" s="353">
        <v>46036</v>
      </c>
      <c r="B21" s="359">
        <f>+Report1!P22</f>
        <v>54.194000000000003</v>
      </c>
      <c r="C21" s="359">
        <f>+Report1!R22</f>
        <v>50.981000000000002</v>
      </c>
      <c r="D21" s="360">
        <f t="shared" si="0"/>
        <v>393232.83</v>
      </c>
      <c r="E21" s="360">
        <f>+[3]DailyJan!AL20</f>
        <v>31075.19</v>
      </c>
      <c r="F21" s="360">
        <f t="shared" si="1"/>
        <v>573.40646566040516</v>
      </c>
      <c r="G21" s="360">
        <f t="shared" si="2"/>
        <v>609.54453619976061</v>
      </c>
      <c r="H21" s="360">
        <f t="shared" si="3"/>
        <v>148992.82999999999</v>
      </c>
      <c r="I21" s="360">
        <f>+[3]DailyJan!AM20</f>
        <v>10915.19</v>
      </c>
      <c r="J21" s="360">
        <f t="shared" si="4"/>
        <v>201.40956563457209</v>
      </c>
      <c r="K21" s="360">
        <f t="shared" si="5"/>
        <v>214.10309723230225</v>
      </c>
      <c r="L21" s="360">
        <f t="shared" si="6"/>
        <v>7879.9999999999955</v>
      </c>
      <c r="M21" s="360">
        <f>+[3]DailyJan!AN20</f>
        <v>599.99999999990905</v>
      </c>
      <c r="N21" s="360">
        <f t="shared" si="7"/>
        <v>11.071336310290974</v>
      </c>
      <c r="O21" s="360">
        <f t="shared" si="8"/>
        <v>11.769090445458289</v>
      </c>
      <c r="P21" s="360">
        <f t="shared" si="9"/>
        <v>42590.379999999903</v>
      </c>
      <c r="Q21" s="7">
        <f t="shared" si="10"/>
        <v>785.88736760526808</v>
      </c>
      <c r="R21" s="358">
        <f t="shared" si="11"/>
        <v>835.41672387752112</v>
      </c>
      <c r="S21" s="360">
        <f>+[3]DailyJan!BM20</f>
        <v>25272.300000000389</v>
      </c>
      <c r="T21" s="7">
        <f t="shared" si="12"/>
        <v>466.33022105768879</v>
      </c>
      <c r="U21" s="6">
        <f t="shared" si="13"/>
        <v>495.71997410800861</v>
      </c>
      <c r="V21" s="360">
        <f>+[3]DailyJan!BQ20</f>
        <v>1416.5999999999767</v>
      </c>
      <c r="W21" s="7">
        <f t="shared" si="14"/>
        <v>4.5586205587157369E-2</v>
      </c>
      <c r="X21" s="6">
        <f t="shared" si="15"/>
        <v>2.4704988255904063</v>
      </c>
      <c r="Y21" s="428"/>
      <c r="Z21" s="428"/>
    </row>
    <row r="22" spans="1:26" ht="14.25" customHeight="1">
      <c r="A22" s="353">
        <v>46037</v>
      </c>
      <c r="B22" s="359">
        <f>+Report1!P23</f>
        <v>53.844999999999999</v>
      </c>
      <c r="C22" s="359">
        <f>+Report1!R23</f>
        <v>53.661999999999999</v>
      </c>
      <c r="D22" s="360">
        <f t="shared" si="0"/>
        <v>425019.59</v>
      </c>
      <c r="E22" s="360">
        <f>+[3]DailyJan!AL21</f>
        <v>31786.76</v>
      </c>
      <c r="F22" s="360">
        <f t="shared" si="1"/>
        <v>590.33819296127774</v>
      </c>
      <c r="G22" s="360">
        <f t="shared" si="2"/>
        <v>592.35138459244899</v>
      </c>
      <c r="H22" s="360">
        <f t="shared" si="3"/>
        <v>160619.59</v>
      </c>
      <c r="I22" s="360">
        <f>+[3]DailyJan!AM21</f>
        <v>11626.76</v>
      </c>
      <c r="J22" s="360">
        <f t="shared" si="4"/>
        <v>215.93016993221283</v>
      </c>
      <c r="K22" s="360">
        <f t="shared" si="5"/>
        <v>216.6665424322612</v>
      </c>
      <c r="L22" s="360">
        <f t="shared" si="6"/>
        <v>8520.0000000000946</v>
      </c>
      <c r="M22" s="360">
        <f>+[3]DailyJan!AN21</f>
        <v>640.00000000010004</v>
      </c>
      <c r="N22" s="360">
        <f t="shared" si="7"/>
        <v>11.885968985051537</v>
      </c>
      <c r="O22" s="360">
        <f t="shared" si="8"/>
        <v>11.926502925722113</v>
      </c>
      <c r="P22" s="360">
        <f t="shared" si="9"/>
        <v>44053.520000000099</v>
      </c>
      <c r="Q22" s="7">
        <f t="shared" si="10"/>
        <v>818.15433187854205</v>
      </c>
      <c r="R22" s="358">
        <f t="shared" si="11"/>
        <v>820.94442995043232</v>
      </c>
      <c r="S22" s="360">
        <f>+[3]DailyJan!BM21</f>
        <v>24513.94999999932</v>
      </c>
      <c r="T22" s="7">
        <f t="shared" si="12"/>
        <v>455.26882718914146</v>
      </c>
      <c r="U22" s="6">
        <f t="shared" si="13"/>
        <v>456.82140061867466</v>
      </c>
      <c r="V22" s="360">
        <f>+[3]DailyJan!BQ21</f>
        <v>1436.8000000000175</v>
      </c>
      <c r="W22" s="7">
        <f t="shared" si="14"/>
        <v>4.520120956020738E-2</v>
      </c>
      <c r="X22" s="6">
        <f t="shared" si="15"/>
        <v>2.4338591287693663</v>
      </c>
      <c r="Y22" s="428"/>
      <c r="Z22" s="428"/>
    </row>
    <row r="23" spans="1:26" ht="15" customHeight="1">
      <c r="A23" s="353">
        <v>46038</v>
      </c>
      <c r="B23" s="359">
        <f>+Report1!P24</f>
        <v>54.427999999999997</v>
      </c>
      <c r="C23" s="359">
        <f>+Report1!R24</f>
        <v>49.744</v>
      </c>
      <c r="D23" s="360">
        <f t="shared" si="0"/>
        <v>457480.48000000004</v>
      </c>
      <c r="E23" s="360">
        <f>+[3]DailyJan!AL22</f>
        <v>32460.89</v>
      </c>
      <c r="F23" s="360">
        <f t="shared" si="1"/>
        <v>596.40056588520622</v>
      </c>
      <c r="G23" s="360">
        <f t="shared" si="2"/>
        <v>652.5589015760695</v>
      </c>
      <c r="H23" s="360">
        <f t="shared" si="3"/>
        <v>170920.47999999998</v>
      </c>
      <c r="I23" s="360">
        <f>+[3]DailyJan!AM22</f>
        <v>10300.89</v>
      </c>
      <c r="J23" s="360">
        <f t="shared" si="4"/>
        <v>189.25718380245462</v>
      </c>
      <c r="K23" s="360">
        <f t="shared" si="5"/>
        <v>207.07803956256029</v>
      </c>
      <c r="L23" s="360">
        <f t="shared" si="6"/>
        <v>9050.0000000000673</v>
      </c>
      <c r="M23" s="360">
        <f>+[3]DailyJan!AN22</f>
        <v>529.99999999997272</v>
      </c>
      <c r="N23" s="360">
        <f t="shared" si="7"/>
        <v>9.7376350407873282</v>
      </c>
      <c r="O23" s="360">
        <f t="shared" si="8"/>
        <v>10.65455130266912</v>
      </c>
      <c r="P23" s="360">
        <f t="shared" si="9"/>
        <v>43291.77999999997</v>
      </c>
      <c r="Q23" s="7">
        <f t="shared" si="10"/>
        <v>795.39538472844811</v>
      </c>
      <c r="R23" s="358">
        <f t="shared" si="11"/>
        <v>870.29149244129883</v>
      </c>
      <c r="S23" s="360">
        <f>+[3]DailyJan!BM22</f>
        <v>24911.2560000005</v>
      </c>
      <c r="T23" s="7">
        <f t="shared" si="12"/>
        <v>457.69192327479425</v>
      </c>
      <c r="U23" s="6">
        <f t="shared" si="13"/>
        <v>500.78916050177912</v>
      </c>
      <c r="V23" s="360">
        <f>+[3]DailyJan!BQ22</f>
        <v>1424.0000000000291</v>
      </c>
      <c r="W23" s="7">
        <f t="shared" si="14"/>
        <v>4.3868174902167781E-2</v>
      </c>
      <c r="X23" s="6">
        <f t="shared" si="15"/>
        <v>2.3876570235751875</v>
      </c>
      <c r="Y23" s="428"/>
      <c r="Z23" s="428"/>
    </row>
    <row r="24" spans="1:26" ht="15" customHeight="1">
      <c r="A24" s="353">
        <v>46039</v>
      </c>
      <c r="B24" s="359">
        <f>+Report1!P25</f>
        <v>47.941000000000003</v>
      </c>
      <c r="C24" s="359">
        <f>+Report1!R25</f>
        <v>51.39</v>
      </c>
      <c r="D24" s="360">
        <f t="shared" si="0"/>
        <v>484110.60000000003</v>
      </c>
      <c r="E24" s="360">
        <f>+[3]DailyJan!AL23</f>
        <v>26630.12</v>
      </c>
      <c r="F24" s="360">
        <f t="shared" si="1"/>
        <v>555.47694040591557</v>
      </c>
      <c r="G24" s="360">
        <f t="shared" si="2"/>
        <v>518.19653629110724</v>
      </c>
      <c r="H24" s="360">
        <f t="shared" si="3"/>
        <v>181390.59999999998</v>
      </c>
      <c r="I24" s="360">
        <f>+[3]DailyJan!AM23</f>
        <v>10470.120000000001</v>
      </c>
      <c r="J24" s="360">
        <f t="shared" si="4"/>
        <v>218.39594501574854</v>
      </c>
      <c r="K24" s="360">
        <f t="shared" si="5"/>
        <v>203.73847051955636</v>
      </c>
      <c r="L24" s="360">
        <f t="shared" si="6"/>
        <v>9830.00000000004</v>
      </c>
      <c r="M24" s="360">
        <f>+[3]DailyJan!AN23</f>
        <v>779.99999999997272</v>
      </c>
      <c r="N24" s="360">
        <f t="shared" si="7"/>
        <v>16.269998539871356</v>
      </c>
      <c r="O24" s="360">
        <f t="shared" si="8"/>
        <v>15.178050204319376</v>
      </c>
      <c r="P24" s="360">
        <f t="shared" si="9"/>
        <v>37880.239999999969</v>
      </c>
      <c r="Q24" s="7">
        <f t="shared" si="10"/>
        <v>790.1428839615354</v>
      </c>
      <c r="R24" s="358">
        <f t="shared" si="11"/>
        <v>737.11305701498281</v>
      </c>
      <c r="S24" s="360">
        <f>+[3]DailyJan!BM23</f>
        <v>25366.652000000144</v>
      </c>
      <c r="T24" s="7">
        <f t="shared" si="12"/>
        <v>529.12229615569436</v>
      </c>
      <c r="U24" s="6">
        <f t="shared" si="13"/>
        <v>493.61066355322328</v>
      </c>
      <c r="V24" s="360">
        <f>+[3]DailyJan!BQ23</f>
        <v>1452.3999999999942</v>
      </c>
      <c r="W24" s="7">
        <f t="shared" si="14"/>
        <v>5.4539746722883496E-2</v>
      </c>
      <c r="X24" s="6">
        <f t="shared" si="15"/>
        <v>2.6146899976417579</v>
      </c>
      <c r="Y24" s="428"/>
      <c r="Z24" s="428"/>
    </row>
    <row r="25" spans="1:26" ht="15" customHeight="1">
      <c r="A25" s="353">
        <v>46040</v>
      </c>
      <c r="B25" s="359">
        <f>+Report1!P26</f>
        <v>52.677</v>
      </c>
      <c r="C25" s="359">
        <f>+Report1!R26</f>
        <v>50.365000000000002</v>
      </c>
      <c r="D25" s="360">
        <f t="shared" si="0"/>
        <v>513636.61000000004</v>
      </c>
      <c r="E25" s="360">
        <f>+[3]DailyJan!AL24</f>
        <v>29526.01</v>
      </c>
      <c r="F25" s="360">
        <f t="shared" si="1"/>
        <v>560.51046946485178</v>
      </c>
      <c r="G25" s="360">
        <f t="shared" si="2"/>
        <v>586.2406433038816</v>
      </c>
      <c r="H25" s="360">
        <f t="shared" si="3"/>
        <v>192756.61</v>
      </c>
      <c r="I25" s="360">
        <f>+[3]DailyJan!AM24</f>
        <v>11366.01</v>
      </c>
      <c r="J25" s="360">
        <f t="shared" si="4"/>
        <v>215.76798223133437</v>
      </c>
      <c r="K25" s="360">
        <f t="shared" si="5"/>
        <v>225.67278864290677</v>
      </c>
      <c r="L25" s="360">
        <f t="shared" si="6"/>
        <v>10450.000000000044</v>
      </c>
      <c r="M25" s="360">
        <f>+[3]DailyJan!AN24</f>
        <v>620.00000000000455</v>
      </c>
      <c r="N25" s="360">
        <f t="shared" si="7"/>
        <v>11.769842625814009</v>
      </c>
      <c r="O25" s="360">
        <f t="shared" si="8"/>
        <v>12.310136007147911</v>
      </c>
      <c r="P25" s="360">
        <f t="shared" si="9"/>
        <v>41512.020000000004</v>
      </c>
      <c r="Q25" s="7">
        <f t="shared" si="10"/>
        <v>788.04829432200017</v>
      </c>
      <c r="R25" s="358">
        <f t="shared" si="11"/>
        <v>824.22356795393637</v>
      </c>
      <c r="S25" s="360">
        <f>+[3]DailyJan!BM24</f>
        <v>24979.086000000065</v>
      </c>
      <c r="T25" s="7">
        <f t="shared" si="12"/>
        <v>474.19340509140733</v>
      </c>
      <c r="U25" s="6">
        <f t="shared" si="13"/>
        <v>495.96120321652069</v>
      </c>
      <c r="V25" s="360">
        <f>+[3]DailyJan!BQ24</f>
        <v>1359.7999999999884</v>
      </c>
      <c r="W25" s="7">
        <f t="shared" si="14"/>
        <v>4.6054309403810008E-2</v>
      </c>
      <c r="X25" s="6">
        <f t="shared" si="15"/>
        <v>2.4260028564645002</v>
      </c>
      <c r="Y25" s="428"/>
      <c r="Z25" s="428"/>
    </row>
    <row r="26" spans="1:26" ht="15" customHeight="1">
      <c r="A26" s="353">
        <v>46041</v>
      </c>
      <c r="B26" s="359">
        <f>+Report1!P27</f>
        <v>51.174999999999997</v>
      </c>
      <c r="C26" s="359">
        <f>+Report1!R27</f>
        <v>50.515999999999998</v>
      </c>
      <c r="D26" s="360">
        <f t="shared" si="0"/>
        <v>545563.10000000009</v>
      </c>
      <c r="E26" s="360">
        <f>+[3]DailyJan!AL25</f>
        <v>31926.49</v>
      </c>
      <c r="F26" s="360">
        <f t="shared" si="1"/>
        <v>623.86888128969235</v>
      </c>
      <c r="G26" s="360">
        <f t="shared" si="2"/>
        <v>632.0074827777338</v>
      </c>
      <c r="H26" s="360">
        <f t="shared" si="3"/>
        <v>202523.09999999998</v>
      </c>
      <c r="I26" s="360">
        <f>+[3]DailyJan!AM25</f>
        <v>9766.49</v>
      </c>
      <c r="J26" s="360">
        <f t="shared" si="4"/>
        <v>190.84494382022473</v>
      </c>
      <c r="K26" s="360">
        <f t="shared" si="5"/>
        <v>193.33458706152507</v>
      </c>
      <c r="L26" s="360">
        <f t="shared" si="6"/>
        <v>10960.000000000035</v>
      </c>
      <c r="M26" s="360">
        <f>+[3]DailyJan!AN25</f>
        <v>509.99999999999091</v>
      </c>
      <c r="N26" s="360">
        <f t="shared" si="7"/>
        <v>9.9658036150462319</v>
      </c>
      <c r="O26" s="360">
        <f t="shared" si="8"/>
        <v>10.095811228125562</v>
      </c>
      <c r="P26" s="360">
        <f t="shared" si="9"/>
        <v>42202.979999999996</v>
      </c>
      <c r="Q26" s="7">
        <f t="shared" si="10"/>
        <v>824.67962872496332</v>
      </c>
      <c r="R26" s="358">
        <f t="shared" si="11"/>
        <v>835.43788106738452</v>
      </c>
      <c r="S26" s="360">
        <f>+[3]DailyJan!BM25</f>
        <v>24339.090999999822</v>
      </c>
      <c r="T26" s="7">
        <f t="shared" si="12"/>
        <v>475.6051001465525</v>
      </c>
      <c r="U26" s="6">
        <f t="shared" si="13"/>
        <v>481.80954549053416</v>
      </c>
      <c r="V26" s="360">
        <f>+[3]DailyJan!BQ25</f>
        <v>1436.3999999999942</v>
      </c>
      <c r="W26" s="7">
        <f t="shared" si="14"/>
        <v>4.4990852423802116E-2</v>
      </c>
      <c r="X26" s="6">
        <f t="shared" si="15"/>
        <v>2.3024068727880729</v>
      </c>
      <c r="Y26" s="428"/>
      <c r="Z26" s="428"/>
    </row>
    <row r="27" spans="1:26" ht="15" customHeight="1">
      <c r="A27" s="353">
        <v>46042</v>
      </c>
      <c r="B27" s="359">
        <f>+Report1!P28</f>
        <v>55.125999999999998</v>
      </c>
      <c r="C27" s="359">
        <f>+Report1!R28</f>
        <v>54.661000000000001</v>
      </c>
      <c r="D27" s="360">
        <f t="shared" si="0"/>
        <v>577945.76000000013</v>
      </c>
      <c r="E27" s="360">
        <f>+[3]DailyJan!AL26</f>
        <v>32382.66</v>
      </c>
      <c r="F27" s="360">
        <f t="shared" si="1"/>
        <v>587.4298878931902</v>
      </c>
      <c r="G27" s="360">
        <f t="shared" si="2"/>
        <v>592.42714183787336</v>
      </c>
      <c r="H27" s="360">
        <f t="shared" si="3"/>
        <v>213745.75999999998</v>
      </c>
      <c r="I27" s="360">
        <f>+[3]DailyJan!AM26</f>
        <v>11222.66</v>
      </c>
      <c r="J27" s="360">
        <f t="shared" si="4"/>
        <v>203.58197583717302</v>
      </c>
      <c r="K27" s="360">
        <f t="shared" si="5"/>
        <v>205.31384350816853</v>
      </c>
      <c r="L27" s="360">
        <f t="shared" si="6"/>
        <v>11420.000000000071</v>
      </c>
      <c r="M27" s="360">
        <f>+[3]DailyJan!AN26</f>
        <v>460.00000000003638</v>
      </c>
      <c r="N27" s="360">
        <f t="shared" si="7"/>
        <v>8.3445198273053798</v>
      </c>
      <c r="O27" s="360">
        <f t="shared" si="8"/>
        <v>8.4155064854290327</v>
      </c>
      <c r="P27" s="360">
        <f t="shared" si="9"/>
        <v>44065.320000000036</v>
      </c>
      <c r="Q27" s="7">
        <f t="shared" si="10"/>
        <v>799.35638355766855</v>
      </c>
      <c r="R27" s="358">
        <f t="shared" si="11"/>
        <v>806.15649183147093</v>
      </c>
      <c r="S27" s="360">
        <f>+[3]DailyJan!BM26</f>
        <v>22682.857999999804</v>
      </c>
      <c r="T27" s="7">
        <f t="shared" si="12"/>
        <v>411.47295287159972</v>
      </c>
      <c r="U27" s="6">
        <f t="shared" si="13"/>
        <v>414.97334479793278</v>
      </c>
      <c r="V27" s="360">
        <f>+[3]DailyJan!BQ26</f>
        <v>1374.1000000000058</v>
      </c>
      <c r="W27" s="7">
        <f t="shared" si="14"/>
        <v>4.2433203449006529E-2</v>
      </c>
      <c r="X27" s="6">
        <f t="shared" si="15"/>
        <v>2.3391727733299339</v>
      </c>
      <c r="Y27" s="428"/>
      <c r="Z27" s="428"/>
    </row>
    <row r="28" spans="1:26" ht="15" customHeight="1">
      <c r="A28" s="353">
        <v>46043</v>
      </c>
      <c r="B28" s="359">
        <f>+Report1!P29</f>
        <v>52.666000000000004</v>
      </c>
      <c r="C28" s="359">
        <f>+Report1!R29</f>
        <v>50.985999999999997</v>
      </c>
      <c r="D28" s="360">
        <f t="shared" si="0"/>
        <v>608958.45000000007</v>
      </c>
      <c r="E28" s="360">
        <f>+[3]DailyJan!AL27</f>
        <v>31012.69</v>
      </c>
      <c r="F28" s="360">
        <f t="shared" si="1"/>
        <v>588.85599817719208</v>
      </c>
      <c r="G28" s="360">
        <f t="shared" si="2"/>
        <v>608.25893382497156</v>
      </c>
      <c r="H28" s="360">
        <f t="shared" si="3"/>
        <v>224598.44999999998</v>
      </c>
      <c r="I28" s="360">
        <f>+[3]DailyJan!AM27</f>
        <v>10852.69</v>
      </c>
      <c r="J28" s="360">
        <f t="shared" si="4"/>
        <v>206.06634261193179</v>
      </c>
      <c r="K28" s="360">
        <f t="shared" si="5"/>
        <v>212.85627427136862</v>
      </c>
      <c r="L28" s="360">
        <f t="shared" si="6"/>
        <v>12050.000000000065</v>
      </c>
      <c r="M28" s="360">
        <f>+[3]DailyJan!AN27</f>
        <v>629.99999999999545</v>
      </c>
      <c r="N28" s="360">
        <f t="shared" si="7"/>
        <v>11.962176736414298</v>
      </c>
      <c r="O28" s="360">
        <f t="shared" si="8"/>
        <v>12.356333111050004</v>
      </c>
      <c r="P28" s="360">
        <f t="shared" si="9"/>
        <v>42495.37999999999</v>
      </c>
      <c r="Q28" s="7">
        <f t="shared" si="10"/>
        <v>806.88451752553806</v>
      </c>
      <c r="R28" s="358">
        <f t="shared" si="11"/>
        <v>833.47154120739015</v>
      </c>
      <c r="S28" s="360">
        <f>+[3]DailyJan!BM27</f>
        <v>26164.900000000063</v>
      </c>
      <c r="T28" s="7">
        <f t="shared" si="12"/>
        <v>496.80818744541187</v>
      </c>
      <c r="U28" s="6">
        <f t="shared" si="13"/>
        <v>513.17812732907203</v>
      </c>
      <c r="V28" s="360">
        <f>+[3]DailyJan!BQ27</f>
        <v>1419.7999999999884</v>
      </c>
      <c r="W28" s="7">
        <f t="shared" si="14"/>
        <v>4.5781259220015691E-2</v>
      </c>
      <c r="X28" s="6">
        <f t="shared" si="15"/>
        <v>2.4111157980813465</v>
      </c>
      <c r="Y28" s="428"/>
      <c r="Z28" s="428"/>
    </row>
    <row r="29" spans="1:26" ht="15" customHeight="1">
      <c r="A29" s="353">
        <v>46044</v>
      </c>
      <c r="B29" s="359">
        <f>+Report1!P30</f>
        <v>49.217999999999996</v>
      </c>
      <c r="C29" s="359">
        <f>+Report1!R30</f>
        <v>48.567</v>
      </c>
      <c r="D29" s="360">
        <f t="shared" si="0"/>
        <v>644294.62000000011</v>
      </c>
      <c r="E29" s="360">
        <f>+[3]DailyJan!AL28</f>
        <v>35336.17</v>
      </c>
      <c r="F29" s="360">
        <f t="shared" si="1"/>
        <v>717.95217196960459</v>
      </c>
      <c r="G29" s="360">
        <f t="shared" si="2"/>
        <v>727.57572013918912</v>
      </c>
      <c r="H29" s="360">
        <f t="shared" si="3"/>
        <v>235774.62</v>
      </c>
      <c r="I29" s="360">
        <f>+[3]DailyJan!AM28</f>
        <v>11176.17</v>
      </c>
      <c r="J29" s="360">
        <f t="shared" si="4"/>
        <v>227.07485066439111</v>
      </c>
      <c r="K29" s="360">
        <f t="shared" si="5"/>
        <v>230.1185990487368</v>
      </c>
      <c r="L29" s="360">
        <f t="shared" si="6"/>
        <v>12870.000000000002</v>
      </c>
      <c r="M29" s="360">
        <f>+[3]DailyJan!AN28</f>
        <v>819.99999999993634</v>
      </c>
      <c r="N29" s="360">
        <f t="shared" si="7"/>
        <v>16.660571335688903</v>
      </c>
      <c r="O29" s="360">
        <f t="shared" si="8"/>
        <v>16.88389235488987</v>
      </c>
      <c r="P29" s="360">
        <f t="shared" si="9"/>
        <v>47332.339999999931</v>
      </c>
      <c r="Q29" s="7">
        <f t="shared" si="10"/>
        <v>961.6875939696846</v>
      </c>
      <c r="R29" s="358">
        <f t="shared" si="11"/>
        <v>974.57821154281567</v>
      </c>
      <c r="S29" s="360">
        <f>+[3]DailyJan!BM28</f>
        <v>20303.999999999956</v>
      </c>
      <c r="T29" s="7">
        <f t="shared" si="12"/>
        <v>412.53200048762562</v>
      </c>
      <c r="U29" s="6">
        <f t="shared" si="13"/>
        <v>418.06164679720706</v>
      </c>
      <c r="V29" s="360">
        <f>+[3]DailyJan!BQ28</f>
        <v>1410.1000000000058</v>
      </c>
      <c r="W29" s="7">
        <f t="shared" si="14"/>
        <v>3.990528684914086E-2</v>
      </c>
      <c r="X29" s="6">
        <f t="shared" si="15"/>
        <v>1.9640584081410151</v>
      </c>
      <c r="Y29" s="428"/>
      <c r="Z29" s="428"/>
    </row>
    <row r="30" spans="1:26" ht="15" customHeight="1">
      <c r="A30" s="353">
        <v>46045</v>
      </c>
      <c r="B30" s="359">
        <f>+Report1!P31</f>
        <v>45.509</v>
      </c>
      <c r="C30" s="359">
        <f>+Report1!R31</f>
        <v>45.709000000000003</v>
      </c>
      <c r="D30" s="360">
        <f t="shared" si="0"/>
        <v>675579.46000000008</v>
      </c>
      <c r="E30" s="360">
        <f>+[3]DailyJan!AL29</f>
        <v>31284.84</v>
      </c>
      <c r="F30" s="360">
        <f t="shared" si="1"/>
        <v>687.44292337779336</v>
      </c>
      <c r="G30" s="360">
        <f t="shared" si="2"/>
        <v>684.43501279835482</v>
      </c>
      <c r="H30" s="360">
        <f t="shared" si="3"/>
        <v>246899.46</v>
      </c>
      <c r="I30" s="360">
        <f>+[3]DailyJan!AM29</f>
        <v>11124.84</v>
      </c>
      <c r="J30" s="360">
        <f t="shared" si="4"/>
        <v>244.45362455777979</v>
      </c>
      <c r="K30" s="360">
        <f t="shared" si="5"/>
        <v>243.38401627688199</v>
      </c>
      <c r="L30" s="360">
        <f t="shared" si="6"/>
        <v>13730.000000000015</v>
      </c>
      <c r="M30" s="360">
        <f>+[3]DailyJan!AN29</f>
        <v>860.00000000001364</v>
      </c>
      <c r="N30" s="360">
        <f t="shared" si="7"/>
        <v>18.897360961568342</v>
      </c>
      <c r="O30" s="360">
        <f t="shared" si="8"/>
        <v>18.814675446848838</v>
      </c>
      <c r="P30" s="360">
        <f t="shared" si="9"/>
        <v>43269.680000000015</v>
      </c>
      <c r="Q30" s="7">
        <f t="shared" si="10"/>
        <v>950.79390889714159</v>
      </c>
      <c r="R30" s="358">
        <f t="shared" si="11"/>
        <v>946.63370452208562</v>
      </c>
      <c r="S30" s="360">
        <f>+[3]DailyJan!BM29</f>
        <v>20654.99999999996</v>
      </c>
      <c r="T30" s="7">
        <f t="shared" si="12"/>
        <v>453.86626821068273</v>
      </c>
      <c r="U30" s="6">
        <f t="shared" si="13"/>
        <v>451.88037366820447</v>
      </c>
      <c r="V30" s="360">
        <f>+[3]DailyJan!BQ29</f>
        <v>1400.1000000000058</v>
      </c>
      <c r="W30" s="7">
        <f t="shared" si="14"/>
        <v>4.4753305434836993E-2</v>
      </c>
      <c r="X30" s="6">
        <f t="shared" si="15"/>
        <v>2.036678177033997</v>
      </c>
      <c r="Y30" s="428"/>
      <c r="Z30" s="428"/>
    </row>
    <row r="31" spans="1:26" ht="15" customHeight="1">
      <c r="A31" s="353">
        <v>46046</v>
      </c>
      <c r="B31" s="359">
        <f>+Report1!P32</f>
        <v>42.703000000000003</v>
      </c>
      <c r="C31" s="359">
        <f>+Report1!R32</f>
        <v>41.923000000000002</v>
      </c>
      <c r="D31" s="360">
        <f t="shared" si="0"/>
        <v>706114.91</v>
      </c>
      <c r="E31" s="360">
        <f>+[3]DailyJan!AL30</f>
        <v>30535.45</v>
      </c>
      <c r="F31" s="360">
        <f t="shared" si="1"/>
        <v>715.06568625155137</v>
      </c>
      <c r="G31" s="360">
        <f t="shared" si="2"/>
        <v>728.36986856856618</v>
      </c>
      <c r="H31" s="360">
        <f t="shared" si="3"/>
        <v>257274.91</v>
      </c>
      <c r="I31" s="360">
        <f>+[3]DailyJan!AM30</f>
        <v>10375.450000000001</v>
      </c>
      <c r="J31" s="360">
        <f t="shared" si="4"/>
        <v>242.96770718684871</v>
      </c>
      <c r="K31" s="360">
        <f t="shared" si="5"/>
        <v>247.48825227202252</v>
      </c>
      <c r="L31" s="360">
        <f t="shared" si="6"/>
        <v>14300.000000000065</v>
      </c>
      <c r="M31" s="360">
        <f>+[3]DailyJan!AN30</f>
        <v>570.00000000005002</v>
      </c>
      <c r="N31" s="360">
        <f t="shared" si="7"/>
        <v>13.348008336651992</v>
      </c>
      <c r="O31" s="360">
        <f t="shared" si="8"/>
        <v>13.596355222671326</v>
      </c>
      <c r="P31" s="360">
        <f t="shared" si="9"/>
        <v>41480.900000000052</v>
      </c>
      <c r="Q31" s="7">
        <f t="shared" si="10"/>
        <v>971.38140177505204</v>
      </c>
      <c r="R31" s="358">
        <f t="shared" si="11"/>
        <v>989.45447606326002</v>
      </c>
      <c r="S31" s="360">
        <f>+[3]DailyJan!BM30</f>
        <v>17617.10000000006</v>
      </c>
      <c r="T31" s="7">
        <f t="shared" si="12"/>
        <v>412.5494695923017</v>
      </c>
      <c r="U31" s="6">
        <f t="shared" si="13"/>
        <v>420.22517472509264</v>
      </c>
      <c r="V31" s="360">
        <f>+[3]DailyJan!BQ30</f>
        <v>1370.0999999999767</v>
      </c>
      <c r="W31" s="7">
        <f t="shared" si="14"/>
        <v>4.4869160271093979E-2</v>
      </c>
      <c r="X31" s="6">
        <f t="shared" si="15"/>
        <v>1.9160477510565264</v>
      </c>
      <c r="Y31" s="428"/>
      <c r="Z31" s="428"/>
    </row>
    <row r="32" spans="1:26" ht="15.75" customHeight="1">
      <c r="A32" s="353">
        <v>46047</v>
      </c>
      <c r="B32" s="359">
        <f>+Report1!P33</f>
        <v>39.700000000000003</v>
      </c>
      <c r="C32" s="359">
        <f>+Report1!R33</f>
        <v>34.215000000000003</v>
      </c>
      <c r="D32" s="360">
        <f t="shared" si="0"/>
        <v>732470.71000000008</v>
      </c>
      <c r="E32" s="360">
        <f>+[3]DailyJan!AL31</f>
        <v>26355.8</v>
      </c>
      <c r="F32" s="360">
        <f t="shared" si="1"/>
        <v>663.87405541561702</v>
      </c>
      <c r="G32" s="360">
        <f t="shared" si="2"/>
        <v>770.29957620926484</v>
      </c>
      <c r="H32" s="360">
        <f t="shared" si="3"/>
        <v>267470.71000000002</v>
      </c>
      <c r="I32" s="360">
        <f>+[3]DailyJan!AM31</f>
        <v>10195.799999999999</v>
      </c>
      <c r="J32" s="360">
        <f t="shared" si="4"/>
        <v>256.82115869017628</v>
      </c>
      <c r="K32" s="360">
        <f t="shared" si="5"/>
        <v>297.99210872424368</v>
      </c>
      <c r="L32" s="360">
        <f t="shared" si="6"/>
        <v>14800.000000000065</v>
      </c>
      <c r="M32" s="360">
        <f>+[3]DailyJan!AN31</f>
        <v>500</v>
      </c>
      <c r="N32" s="360">
        <f t="shared" si="7"/>
        <v>12.594458438287154</v>
      </c>
      <c r="O32" s="360">
        <f t="shared" si="8"/>
        <v>14.613473622680109</v>
      </c>
      <c r="P32" s="360">
        <f t="shared" si="9"/>
        <v>37051.599999999999</v>
      </c>
      <c r="Q32" s="7">
        <f t="shared" si="10"/>
        <v>933.28967254408053</v>
      </c>
      <c r="R32" s="358">
        <f t="shared" si="11"/>
        <v>1082.9051585561886</v>
      </c>
      <c r="S32" s="360">
        <f>+[3]DailyJan!BM31</f>
        <v>17101.979999999683</v>
      </c>
      <c r="T32" s="7">
        <f t="shared" si="12"/>
        <v>430.78035264482827</v>
      </c>
      <c r="U32" s="6">
        <f t="shared" si="13"/>
        <v>499.83866725119628</v>
      </c>
      <c r="V32" s="360">
        <f>+[3]DailyJan!BQ31</f>
        <v>1322.2000000000116</v>
      </c>
      <c r="W32" s="7">
        <f t="shared" si="14"/>
        <v>5.0167325598160999E-2</v>
      </c>
      <c r="X32" s="6">
        <f t="shared" si="15"/>
        <v>1.9916428262469918</v>
      </c>
      <c r="Y32" s="428"/>
      <c r="Z32" s="428"/>
    </row>
    <row r="33" spans="1:26" ht="15">
      <c r="A33" s="353">
        <v>46048</v>
      </c>
      <c r="B33" s="359">
        <f>+Report1!P34</f>
        <v>34.11</v>
      </c>
      <c r="C33" s="359">
        <f>+Report1!R34</f>
        <v>38.465000000000003</v>
      </c>
      <c r="D33" s="360">
        <f t="shared" si="0"/>
        <v>757320.84000000008</v>
      </c>
      <c r="E33" s="360">
        <f>+[3]DailyJan!AL32</f>
        <v>24850.13</v>
      </c>
      <c r="F33" s="360">
        <f t="shared" si="1"/>
        <v>728.52917033128119</v>
      </c>
      <c r="G33" s="360">
        <f t="shared" si="2"/>
        <v>646.04523592876637</v>
      </c>
      <c r="H33" s="360">
        <f t="shared" si="3"/>
        <v>278160.84000000003</v>
      </c>
      <c r="I33" s="360">
        <f>+[3]DailyJan!AM32</f>
        <v>10690.13</v>
      </c>
      <c r="J33" s="360">
        <f t="shared" si="4"/>
        <v>313.40164174728818</v>
      </c>
      <c r="K33" s="360">
        <f t="shared" si="5"/>
        <v>277.91836734693874</v>
      </c>
      <c r="L33" s="360">
        <f t="shared" si="6"/>
        <v>15230.000000000015</v>
      </c>
      <c r="M33" s="360">
        <f>+[3]DailyJan!AN32</f>
        <v>429.99999999994998</v>
      </c>
      <c r="N33" s="360">
        <f t="shared" si="7"/>
        <v>12.606273819992671</v>
      </c>
      <c r="O33" s="360">
        <f t="shared" si="8"/>
        <v>11.178993890548549</v>
      </c>
      <c r="P33" s="360">
        <f t="shared" si="9"/>
        <v>35970.259999999951</v>
      </c>
      <c r="Q33" s="7">
        <f t="shared" si="10"/>
        <v>1054.5370858985621</v>
      </c>
      <c r="R33" s="358">
        <f t="shared" si="11"/>
        <v>935.14259716625372</v>
      </c>
      <c r="S33" s="360">
        <f>+[3]DailyJan!BM32</f>
        <v>19674.360000000219</v>
      </c>
      <c r="T33" s="7">
        <f t="shared" si="12"/>
        <v>576.79155672823856</v>
      </c>
      <c r="U33" s="6">
        <f t="shared" si="13"/>
        <v>511.48732614065301</v>
      </c>
      <c r="V33" s="360">
        <f>+[3]DailyJan!BQ32</f>
        <v>1397.6000000000058</v>
      </c>
      <c r="W33" s="7">
        <f t="shared" si="14"/>
        <v>5.6241154472833975E-2</v>
      </c>
      <c r="X33" s="6">
        <f t="shared" si="15"/>
        <v>1.9183857790683669</v>
      </c>
      <c r="Y33" s="428"/>
      <c r="Z33" s="428"/>
    </row>
    <row r="34" spans="1:26">
      <c r="A34" s="353">
        <v>46049</v>
      </c>
      <c r="B34" s="359">
        <f>+Report1!P35</f>
        <v>35.098999999999997</v>
      </c>
      <c r="C34" s="359">
        <f>+Report1!R35</f>
        <v>34.753</v>
      </c>
      <c r="D34" s="360">
        <f t="shared" si="0"/>
        <v>782352.35000000009</v>
      </c>
      <c r="E34" s="360">
        <f>+[3]DailyJan!AL33</f>
        <v>25031.51</v>
      </c>
      <c r="F34" s="355">
        <f t="shared" si="1"/>
        <v>713.16875124647424</v>
      </c>
      <c r="G34" s="355">
        <f t="shared" si="2"/>
        <v>720.26904152159523</v>
      </c>
      <c r="H34" s="360">
        <f t="shared" si="3"/>
        <v>290032.35000000003</v>
      </c>
      <c r="I34" s="360">
        <f>+[3]DailyJan!AM33</f>
        <v>11871.51</v>
      </c>
      <c r="J34" s="355">
        <f t="shared" si="4"/>
        <v>338.22929428188843</v>
      </c>
      <c r="K34" s="355">
        <f t="shared" si="5"/>
        <v>341.59669668805572</v>
      </c>
      <c r="L34" s="360">
        <f t="shared" si="6"/>
        <v>15730.000000000015</v>
      </c>
      <c r="M34" s="360">
        <f>+[3]DailyJan!AN33</f>
        <v>500</v>
      </c>
      <c r="N34" s="355">
        <f t="shared" si="7"/>
        <v>14.245420097438675</v>
      </c>
      <c r="O34" s="355">
        <f t="shared" si="8"/>
        <v>14.387247144131441</v>
      </c>
      <c r="P34" s="360">
        <f t="shared" si="9"/>
        <v>37403.019999999997</v>
      </c>
      <c r="Q34" s="357">
        <f t="shared" si="10"/>
        <v>1065.6434656258014</v>
      </c>
      <c r="R34" s="358">
        <f t="shared" si="11"/>
        <v>1076.2529853537824</v>
      </c>
      <c r="S34" s="360">
        <f>+[3]DailyJan!BM33</f>
        <v>18813.8</v>
      </c>
      <c r="T34" s="7">
        <f t="shared" si="12"/>
        <v>536.0209692583835</v>
      </c>
      <c r="U34" s="6">
        <f t="shared" si="13"/>
        <v>541.35758064052027</v>
      </c>
      <c r="V34" s="360">
        <f>+[3]DailyJan!BQ33</f>
        <v>1329.8999999999942</v>
      </c>
      <c r="W34" s="7">
        <f t="shared" si="14"/>
        <v>5.3129036162820151E-2</v>
      </c>
      <c r="X34" s="6">
        <f t="shared" si="15"/>
        <v>1.8647760402788245</v>
      </c>
    </row>
    <row r="35" spans="1:26">
      <c r="A35" s="353">
        <v>46050</v>
      </c>
      <c r="B35" s="359">
        <f>+Report1!P36</f>
        <v>35.337000000000003</v>
      </c>
      <c r="C35" s="359">
        <f>+Report1!R36</f>
        <v>33.441000000000003</v>
      </c>
      <c r="D35" s="360">
        <f t="shared" si="0"/>
        <v>808663.94000000006</v>
      </c>
      <c r="E35" s="360">
        <f>+[3]DailyJan!AL34</f>
        <v>26311.59</v>
      </c>
      <c r="F35" s="355">
        <f t="shared" si="1"/>
        <v>744.59037269717282</v>
      </c>
      <c r="G35" s="355">
        <f t="shared" si="2"/>
        <v>786.80631560060999</v>
      </c>
      <c r="H35" s="360">
        <f t="shared" si="3"/>
        <v>301183.94000000006</v>
      </c>
      <c r="I35" s="360">
        <f>+[3]DailyJan!AM34</f>
        <v>11151.59</v>
      </c>
      <c r="J35" s="355">
        <f t="shared" si="4"/>
        <v>315.57828904547637</v>
      </c>
      <c r="K35" s="355">
        <f t="shared" si="5"/>
        <v>333.47058999431835</v>
      </c>
      <c r="L35" s="360">
        <f t="shared" si="6"/>
        <v>16210.000000000033</v>
      </c>
      <c r="M35" s="360">
        <f>+[3]DailyJan!AN34</f>
        <v>480.00000000001819</v>
      </c>
      <c r="N35" s="355">
        <f t="shared" si="7"/>
        <v>13.583496052296974</v>
      </c>
      <c r="O35" s="355">
        <f t="shared" si="8"/>
        <v>14.353637750067826</v>
      </c>
      <c r="P35" s="360">
        <f t="shared" si="9"/>
        <v>37943.180000000022</v>
      </c>
      <c r="Q35" s="357">
        <f t="shared" si="10"/>
        <v>1073.7521577949462</v>
      </c>
      <c r="R35" s="358">
        <f t="shared" si="11"/>
        <v>1134.6305433449963</v>
      </c>
      <c r="S35" s="360">
        <f>+[3]DailyJan!BM34</f>
        <v>19380.000000000033</v>
      </c>
      <c r="T35" s="7">
        <f t="shared" si="12"/>
        <v>548.43365311147045</v>
      </c>
      <c r="U35" s="6">
        <f t="shared" si="13"/>
        <v>579.52812415896744</v>
      </c>
      <c r="V35" s="360">
        <f>+[3]DailyJan!BQ34</f>
        <v>300.10000000000582</v>
      </c>
      <c r="W35" s="7">
        <f t="shared" si="14"/>
        <v>1.1405620108857192E-2</v>
      </c>
      <c r="X35" s="6">
        <f t="shared" si="15"/>
        <v>0.40304039778668665</v>
      </c>
    </row>
    <row r="36" spans="1:26">
      <c r="A36" s="353">
        <v>46051</v>
      </c>
      <c r="B36" s="359">
        <f>+Report1!P37</f>
        <v>35.326000000000001</v>
      </c>
      <c r="C36" s="359">
        <f>+Report1!R37</f>
        <v>35.091999999999999</v>
      </c>
      <c r="D36" s="360">
        <f t="shared" si="0"/>
        <v>833019.31</v>
      </c>
      <c r="E36" s="360">
        <f>+[3]DailyJan!AL35</f>
        <v>24355.37</v>
      </c>
      <c r="F36" s="355">
        <f t="shared" si="1"/>
        <v>689.44601709788822</v>
      </c>
      <c r="G36" s="355">
        <f t="shared" si="2"/>
        <v>694.04337170865153</v>
      </c>
      <c r="H36" s="360">
        <f t="shared" si="3"/>
        <v>311379.31000000006</v>
      </c>
      <c r="I36" s="360">
        <f>+[3]DailyJan!AM35</f>
        <v>10195.370000000001</v>
      </c>
      <c r="J36" s="355">
        <f t="shared" si="4"/>
        <v>288.60810734303345</v>
      </c>
      <c r="K36" s="355">
        <f t="shared" si="5"/>
        <v>290.53260002279723</v>
      </c>
      <c r="L36" s="360">
        <f t="shared" si="6"/>
        <v>16720.000000000022</v>
      </c>
      <c r="M36" s="360">
        <f>+[3]DailyJan!AN35</f>
        <v>509.99999999999091</v>
      </c>
      <c r="N36" s="355">
        <f t="shared" si="7"/>
        <v>14.436958614051715</v>
      </c>
      <c r="O36" s="355">
        <f t="shared" si="8"/>
        <v>14.533226946312292</v>
      </c>
      <c r="P36" s="360">
        <f t="shared" si="9"/>
        <v>35060.739999999991</v>
      </c>
      <c r="Q36" s="357">
        <f t="shared" si="10"/>
        <v>992.49108305497339</v>
      </c>
      <c r="R36" s="358">
        <f t="shared" si="11"/>
        <v>999.10919867776113</v>
      </c>
      <c r="S36" s="360">
        <f>+[3]DailyJan!BM35</f>
        <v>20064</v>
      </c>
      <c r="T36" s="7">
        <f t="shared" si="12"/>
        <v>567.96693653399757</v>
      </c>
      <c r="U36" s="6">
        <f t="shared" si="13"/>
        <v>571.75424598199027</v>
      </c>
      <c r="V36" s="360">
        <f>+[3]DailyJan!BQ35</f>
        <v>1320.1000000000058</v>
      </c>
      <c r="W36" s="7">
        <f t="shared" si="14"/>
        <v>5.4201599072401935E-2</v>
      </c>
      <c r="X36" s="6">
        <f t="shared" si="15"/>
        <v>1.9147256888316706</v>
      </c>
    </row>
    <row r="37" spans="1:26">
      <c r="A37" s="353">
        <v>46052</v>
      </c>
      <c r="B37" s="359">
        <f>+Report1!P38</f>
        <v>47.183</v>
      </c>
      <c r="C37" s="359">
        <f>+Report1!R38</f>
        <v>45.441000000000003</v>
      </c>
      <c r="D37" s="360">
        <f t="shared" si="0"/>
        <v>860934.18</v>
      </c>
      <c r="E37" s="360">
        <f>+[3]DailyJan!AL36</f>
        <v>27914.87</v>
      </c>
      <c r="F37" s="355">
        <f t="shared" si="1"/>
        <v>591.62982430112538</v>
      </c>
      <c r="G37" s="355">
        <f t="shared" si="2"/>
        <v>614.31020444092337</v>
      </c>
      <c r="H37" s="360">
        <f t="shared" si="3"/>
        <v>322134.18000000005</v>
      </c>
      <c r="I37" s="360">
        <f>+[3]DailyJan!AM36</f>
        <v>10754.87</v>
      </c>
      <c r="J37" s="355">
        <f t="shared" si="4"/>
        <v>227.93951211241338</v>
      </c>
      <c r="K37" s="355">
        <f t="shared" si="5"/>
        <v>236.6776699456438</v>
      </c>
      <c r="L37" s="360">
        <f t="shared" si="6"/>
        <v>17170.000000000065</v>
      </c>
      <c r="M37" s="360">
        <f>+[3]DailyJan!AN36</f>
        <v>450.00000000004547</v>
      </c>
      <c r="N37" s="355">
        <f t="shared" si="7"/>
        <v>9.5373333615930633</v>
      </c>
      <c r="O37" s="355">
        <f t="shared" si="8"/>
        <v>9.9029510794226674</v>
      </c>
      <c r="P37" s="360">
        <f t="shared" si="9"/>
        <v>39119.740000000042</v>
      </c>
      <c r="Q37" s="357">
        <f t="shared" si="10"/>
        <v>829.10666977513176</v>
      </c>
      <c r="R37" s="358">
        <f t="shared" si="11"/>
        <v>860.89082546598968</v>
      </c>
      <c r="S37" s="360">
        <f>+[3]DailyJan!BM36</f>
        <v>26404.799999999999</v>
      </c>
      <c r="T37" s="7">
        <f t="shared" si="12"/>
        <v>559.62528876926012</v>
      </c>
      <c r="U37" s="6">
        <f t="shared" si="13"/>
        <v>581.07876147091827</v>
      </c>
      <c r="V37" s="360">
        <f>+[3]DailyJan!BQ36</f>
        <v>1729.7999999999884</v>
      </c>
      <c r="W37" s="7">
        <f t="shared" si="14"/>
        <v>6.1966973158033276E-2</v>
      </c>
      <c r="X37" s="6">
        <f t="shared" si="15"/>
        <v>2.9237876945154841</v>
      </c>
    </row>
    <row r="38" spans="1:26">
      <c r="A38" s="353">
        <v>46053</v>
      </c>
      <c r="B38" s="359">
        <f>+Report1!P39</f>
        <v>0</v>
      </c>
      <c r="C38" s="359">
        <f>+Report1!R39</f>
        <v>2.919</v>
      </c>
      <c r="D38" s="360">
        <f t="shared" si="0"/>
        <v>865566.69000000006</v>
      </c>
      <c r="E38" s="360">
        <f>+[3]DailyJan!AL37</f>
        <v>4632.51</v>
      </c>
      <c r="F38" s="355" t="e">
        <f t="shared" si="1"/>
        <v>#DIV/0!</v>
      </c>
      <c r="G38" s="355">
        <f t="shared" si="2"/>
        <v>1587.0195272353546</v>
      </c>
      <c r="H38" s="360">
        <f t="shared" si="3"/>
        <v>327606.69000000006</v>
      </c>
      <c r="I38" s="360">
        <f>+[3]DailyJan!AM37</f>
        <v>5472.51</v>
      </c>
      <c r="J38" s="355" t="e">
        <f t="shared" si="4"/>
        <v>#DIV/0!</v>
      </c>
      <c r="K38" s="355">
        <f t="shared" si="5"/>
        <v>1874.7893114080166</v>
      </c>
      <c r="L38" s="360">
        <f t="shared" si="6"/>
        <v>17509.999999999985</v>
      </c>
      <c r="M38" s="360">
        <f>+[3]DailyJan!AN37</f>
        <v>339.99999999991815</v>
      </c>
      <c r="N38" s="355" t="e">
        <f t="shared" si="7"/>
        <v>#DIV/0!</v>
      </c>
      <c r="O38" s="355">
        <f t="shared" si="8"/>
        <v>116.4782459746208</v>
      </c>
      <c r="P38" s="360">
        <f t="shared" si="9"/>
        <v>10445.019999999919</v>
      </c>
      <c r="Q38" s="357" t="e">
        <f t="shared" si="10"/>
        <v>#DIV/0!</v>
      </c>
      <c r="R38" s="358">
        <f t="shared" si="11"/>
        <v>3578.2870846179922</v>
      </c>
      <c r="S38" s="360">
        <f>+[3]DailyJan!BM37</f>
        <v>0</v>
      </c>
      <c r="T38" s="7" t="e">
        <f t="shared" si="12"/>
        <v>#DIV/0!</v>
      </c>
      <c r="U38" s="6">
        <f t="shared" si="13"/>
        <v>0</v>
      </c>
      <c r="V38" s="360">
        <f>+[3]DailyJan!BQ37</f>
        <v>1430.1000000000058</v>
      </c>
      <c r="W38" s="7">
        <f t="shared" si="14"/>
        <v>0.30870953327677775</v>
      </c>
      <c r="X38" s="6" t="e">
        <f t="shared" si="15"/>
        <v>#DIV/0!</v>
      </c>
    </row>
    <row r="39" spans="1:26">
      <c r="A39" s="353"/>
      <c r="B39" s="359"/>
      <c r="C39" s="359"/>
      <c r="D39" s="349"/>
      <c r="E39" s="360"/>
      <c r="F39" s="355"/>
      <c r="G39" s="355"/>
      <c r="H39" s="350"/>
      <c r="I39" s="360"/>
      <c r="J39" s="355"/>
      <c r="K39" s="355"/>
      <c r="L39" s="352"/>
      <c r="M39" s="360"/>
      <c r="N39" s="355"/>
      <c r="O39" s="355"/>
      <c r="P39" s="356"/>
      <c r="Q39" s="357"/>
      <c r="R39" s="358"/>
      <c r="S39" s="358"/>
      <c r="T39" s="7"/>
      <c r="U39" s="6"/>
      <c r="V39" s="358"/>
      <c r="W39" s="7"/>
      <c r="X39" s="6"/>
    </row>
    <row r="40" spans="1:26">
      <c r="A40" s="361" t="s">
        <v>29</v>
      </c>
      <c r="B40" s="362">
        <f>SUM(B8:B38)</f>
        <v>1365.2589999999998</v>
      </c>
      <c r="C40" s="362">
        <f>SUM(C8:C38)</f>
        <v>1332.23</v>
      </c>
      <c r="D40" s="356"/>
      <c r="E40" s="360">
        <f>SUM(E8:E39)</f>
        <v>865566.69000000006</v>
      </c>
      <c r="F40" s="363">
        <f>E40/B40</f>
        <v>633.99449481746706</v>
      </c>
      <c r="G40" s="363">
        <f>E40/C40</f>
        <v>649.71265472178231</v>
      </c>
      <c r="H40" s="364"/>
      <c r="I40" s="360">
        <f>SUM(I8:I39)</f>
        <v>327606.69000000006</v>
      </c>
      <c r="J40" s="363">
        <f>I40/B40</f>
        <v>239.95937034657902</v>
      </c>
      <c r="K40" s="363">
        <f>I40/C40</f>
        <v>245.90850678936823</v>
      </c>
      <c r="L40" s="365"/>
      <c r="M40" s="360">
        <f>SUM(M8:M39)</f>
        <v>17509.999999999985</v>
      </c>
      <c r="N40" s="363">
        <f>M40/B40</f>
        <v>12.825405289399292</v>
      </c>
      <c r="O40" s="363">
        <f>M40/C40</f>
        <v>13.14337614375895</v>
      </c>
      <c r="P40" s="360">
        <f t="shared" ref="P40" si="86">+E40+I40+M40</f>
        <v>1210683.3800000001</v>
      </c>
      <c r="Q40" s="571">
        <f>P40/B40</f>
        <v>886.77927045344529</v>
      </c>
      <c r="R40" s="365">
        <f>P40/C40</f>
        <v>908.76453765490953</v>
      </c>
      <c r="S40" s="356">
        <f>+SUM(S8:S38)</f>
        <v>700167.8330000001</v>
      </c>
      <c r="T40" s="7">
        <f t="shared" si="12"/>
        <v>512.84615812823813</v>
      </c>
      <c r="U40" s="6">
        <f t="shared" si="13"/>
        <v>525.560776292382</v>
      </c>
      <c r="V40" s="356">
        <f>+SUM(V8:V38)</f>
        <v>39489.899999999994</v>
      </c>
      <c r="W40" s="7">
        <f t="shared" ref="W40" si="87">V40/E40</f>
        <v>4.562317433911417E-2</v>
      </c>
      <c r="X40" s="6">
        <f t="shared" ref="X40" si="88">V40/F40</f>
        <v>62.287449375044659</v>
      </c>
    </row>
    <row r="42" spans="1:26">
      <c r="P42" s="5">
        <v>-1413750.8400000005</v>
      </c>
      <c r="S42" s="5">
        <v>-457460.9152000001</v>
      </c>
      <c r="V42" s="5">
        <v>-457460.9152000001</v>
      </c>
    </row>
    <row r="43" spans="1:26">
      <c r="G43" s="366"/>
      <c r="H43" s="367"/>
    </row>
    <row r="44" spans="1:26">
      <c r="G44" s="366"/>
      <c r="I44" s="366"/>
      <c r="L44" s="366"/>
    </row>
    <row r="45" spans="1:26">
      <c r="E45" t="s">
        <v>0</v>
      </c>
      <c r="G45" s="366"/>
    </row>
  </sheetData>
  <mergeCells count="11">
    <mergeCell ref="V4:X5"/>
    <mergeCell ref="A2:P2"/>
    <mergeCell ref="D4:O4"/>
    <mergeCell ref="P4:R5"/>
    <mergeCell ref="S4:U5"/>
    <mergeCell ref="H5:K5"/>
    <mergeCell ref="L5:O5"/>
    <mergeCell ref="A4:A6"/>
    <mergeCell ref="B4:B6"/>
    <mergeCell ref="C4:C6"/>
    <mergeCell ref="D5:G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01"/>
  <sheetViews>
    <sheetView topLeftCell="A85" zoomScaleNormal="100" workbookViewId="0">
      <selection activeCell="I101" sqref="I101"/>
    </sheetView>
  </sheetViews>
  <sheetFormatPr defaultRowHeight="12.75"/>
  <cols>
    <col min="1" max="1" width="10.140625" bestFit="1" customWidth="1"/>
    <col min="2" max="2" width="15.42578125" bestFit="1" customWidth="1"/>
    <col min="4" max="4" width="22.28515625" customWidth="1"/>
    <col min="8" max="8" width="9.5703125" bestFit="1" customWidth="1"/>
  </cols>
  <sheetData>
    <row r="1" spans="1:9">
      <c r="A1" s="98" t="s">
        <v>380</v>
      </c>
      <c r="B1" s="372">
        <f>+Report1!A9</f>
        <v>46023</v>
      </c>
      <c r="C1" s="99"/>
      <c r="G1" s="100"/>
      <c r="H1" s="101"/>
    </row>
    <row r="2" spans="1:9" ht="13.5" thickBot="1">
      <c r="A2" s="98"/>
      <c r="B2" s="99"/>
      <c r="C2" s="99"/>
      <c r="G2" s="100"/>
      <c r="H2" s="101"/>
    </row>
    <row r="3" spans="1:9" ht="26.25" thickBot="1">
      <c r="A3" s="427" t="s">
        <v>134</v>
      </c>
      <c r="B3" s="413" t="s">
        <v>10</v>
      </c>
      <c r="C3" s="413" t="s">
        <v>107</v>
      </c>
      <c r="D3" s="413" t="s">
        <v>135</v>
      </c>
      <c r="E3" s="413" t="s">
        <v>136</v>
      </c>
      <c r="F3" s="413" t="s">
        <v>137</v>
      </c>
      <c r="G3" s="414" t="s">
        <v>138</v>
      </c>
      <c r="H3" s="457" t="s">
        <v>139</v>
      </c>
      <c r="I3" s="584" t="s">
        <v>401</v>
      </c>
    </row>
    <row r="4" spans="1:9">
      <c r="A4" s="376">
        <f>+B1</f>
        <v>46023</v>
      </c>
      <c r="B4" s="442" t="s">
        <v>408</v>
      </c>
      <c r="C4" s="377">
        <v>2</v>
      </c>
      <c r="D4" s="412" t="s">
        <v>426</v>
      </c>
      <c r="E4" s="412">
        <f>275*1</f>
        <v>275</v>
      </c>
      <c r="F4" s="378">
        <v>72</v>
      </c>
      <c r="G4" s="377">
        <f>+E4*F4</f>
        <v>19800</v>
      </c>
      <c r="H4" s="444">
        <f>+G4/F4</f>
        <v>275</v>
      </c>
      <c r="I4" s="585">
        <f>+'1'!I38</f>
        <v>44.625</v>
      </c>
    </row>
    <row r="5" spans="1:9" ht="13.5" thickBot="1">
      <c r="A5" s="415"/>
      <c r="B5" s="416"/>
      <c r="C5" s="417"/>
      <c r="D5" s="418"/>
      <c r="E5" s="417"/>
      <c r="F5" s="417"/>
      <c r="G5" s="417"/>
      <c r="H5" s="443"/>
      <c r="I5" s="443"/>
    </row>
    <row r="6" spans="1:9">
      <c r="A6" s="376">
        <v>46024</v>
      </c>
      <c r="B6" s="442" t="s">
        <v>408</v>
      </c>
      <c r="C6" s="377">
        <v>2</v>
      </c>
      <c r="D6" s="412" t="s">
        <v>426</v>
      </c>
      <c r="E6" s="412">
        <f>275*1</f>
        <v>275</v>
      </c>
      <c r="F6" s="378">
        <v>76</v>
      </c>
      <c r="G6" s="377">
        <f>+E6*F6</f>
        <v>20900</v>
      </c>
      <c r="H6" s="444">
        <f>+G6/F6</f>
        <v>275</v>
      </c>
      <c r="I6" s="585">
        <f>+'2'!I38</f>
        <v>49.712000000000003</v>
      </c>
    </row>
    <row r="7" spans="1:9" ht="13.5" thickBot="1">
      <c r="A7" s="415"/>
      <c r="B7" s="416"/>
      <c r="C7" s="417"/>
      <c r="D7" s="418"/>
      <c r="E7" s="417"/>
      <c r="F7" s="417"/>
      <c r="G7" s="417"/>
      <c r="H7" s="443"/>
      <c r="I7" s="443"/>
    </row>
    <row r="8" spans="1:9">
      <c r="A8" s="376">
        <v>46025</v>
      </c>
      <c r="B8" s="442" t="s">
        <v>408</v>
      </c>
      <c r="C8" s="377">
        <v>2</v>
      </c>
      <c r="D8" s="412" t="s">
        <v>426</v>
      </c>
      <c r="E8" s="412">
        <f>275*1</f>
        <v>275</v>
      </c>
      <c r="F8" s="378">
        <v>69</v>
      </c>
      <c r="G8" s="377">
        <f>+E8*F8</f>
        <v>18975</v>
      </c>
      <c r="H8" s="444">
        <f>+G8/F8</f>
        <v>275</v>
      </c>
      <c r="I8" s="585">
        <f>+'3'!I38</f>
        <v>42.899000000000001</v>
      </c>
    </row>
    <row r="9" spans="1:9" ht="13.5" thickBot="1">
      <c r="A9" s="415"/>
      <c r="B9" s="416"/>
      <c r="C9" s="417"/>
      <c r="D9" s="418"/>
      <c r="E9" s="417"/>
      <c r="F9" s="417"/>
      <c r="G9" s="417"/>
      <c r="H9" s="443"/>
      <c r="I9" s="443"/>
    </row>
    <row r="10" spans="1:9">
      <c r="A10" s="376">
        <v>46026</v>
      </c>
      <c r="B10" s="442" t="s">
        <v>408</v>
      </c>
      <c r="C10" s="377">
        <v>2</v>
      </c>
      <c r="D10" s="412" t="s">
        <v>426</v>
      </c>
      <c r="E10" s="412">
        <f>275*1</f>
        <v>275</v>
      </c>
      <c r="F10" s="378">
        <f>28+19+22</f>
        <v>69</v>
      </c>
      <c r="G10" s="377">
        <f>+E10*F10</f>
        <v>18975</v>
      </c>
      <c r="H10" s="444">
        <f>+G10/F10</f>
        <v>275</v>
      </c>
      <c r="I10" s="585">
        <f>+'4'!I38</f>
        <v>46.727000000000004</v>
      </c>
    </row>
    <row r="11" spans="1:9">
      <c r="A11" s="594"/>
      <c r="B11" s="595" t="s">
        <v>451</v>
      </c>
      <c r="C11" s="599">
        <v>2</v>
      </c>
      <c r="D11" s="600" t="s">
        <v>460</v>
      </c>
      <c r="E11" s="597">
        <f>264*1</f>
        <v>264</v>
      </c>
      <c r="F11" s="598">
        <v>8</v>
      </c>
      <c r="G11" s="596">
        <f>+E11*F11</f>
        <v>2112</v>
      </c>
      <c r="H11" s="444">
        <f>+G11/F11</f>
        <v>264</v>
      </c>
      <c r="I11" s="585"/>
    </row>
    <row r="12" spans="1:9" ht="13.5" thickBot="1">
      <c r="A12" s="415"/>
      <c r="B12" s="416"/>
      <c r="C12" s="417"/>
      <c r="D12" s="418"/>
      <c r="E12" s="417"/>
      <c r="F12" s="417"/>
      <c r="G12" s="417"/>
      <c r="H12" s="443"/>
      <c r="I12" s="443"/>
    </row>
    <row r="13" spans="1:9">
      <c r="A13" s="594">
        <v>46027</v>
      </c>
      <c r="B13" s="595" t="s">
        <v>451</v>
      </c>
      <c r="C13" s="599">
        <v>2</v>
      </c>
      <c r="D13" s="600" t="s">
        <v>460</v>
      </c>
      <c r="E13" s="597">
        <f>264*1</f>
        <v>264</v>
      </c>
      <c r="F13" s="598">
        <v>65</v>
      </c>
      <c r="G13" s="596">
        <f>+E13*F13</f>
        <v>17160</v>
      </c>
      <c r="H13" s="444">
        <f>+G13/F13</f>
        <v>264</v>
      </c>
      <c r="I13" s="585">
        <f>+'5'!I38</f>
        <v>51.026000000000003</v>
      </c>
    </row>
    <row r="14" spans="1:9" ht="13.5" thickBot="1">
      <c r="A14" s="415"/>
      <c r="B14" s="416"/>
      <c r="C14" s="417"/>
      <c r="D14" s="418"/>
      <c r="E14" s="417"/>
      <c r="F14" s="417"/>
      <c r="G14" s="417"/>
      <c r="H14" s="443"/>
      <c r="I14" s="443"/>
    </row>
    <row r="15" spans="1:9">
      <c r="A15" s="594">
        <v>46028</v>
      </c>
      <c r="B15" s="595" t="s">
        <v>451</v>
      </c>
      <c r="C15" s="599">
        <v>2</v>
      </c>
      <c r="D15" s="600" t="s">
        <v>460</v>
      </c>
      <c r="E15" s="597">
        <f>264*1</f>
        <v>264</v>
      </c>
      <c r="F15" s="598">
        <v>4</v>
      </c>
      <c r="G15" s="596">
        <f>+E15*F15</f>
        <v>1056</v>
      </c>
      <c r="H15" s="444">
        <f>+G15/F15</f>
        <v>264</v>
      </c>
      <c r="I15" s="585">
        <f>+'6'!I38</f>
        <v>14.664</v>
      </c>
    </row>
    <row r="16" spans="1:9">
      <c r="A16" s="594"/>
      <c r="B16" s="595" t="s">
        <v>495</v>
      </c>
      <c r="C16" s="599">
        <v>2</v>
      </c>
      <c r="D16" s="600" t="s">
        <v>508</v>
      </c>
      <c r="E16" s="597">
        <f>256.5*1</f>
        <v>256.5</v>
      </c>
      <c r="F16" s="600">
        <v>10</v>
      </c>
      <c r="G16" s="596">
        <f>+E16*F16</f>
        <v>2565</v>
      </c>
      <c r="H16" s="444">
        <f>+G16/F16</f>
        <v>256.5</v>
      </c>
      <c r="I16" s="585"/>
    </row>
    <row r="17" spans="1:9">
      <c r="A17" s="594"/>
      <c r="B17" s="595" t="s">
        <v>493</v>
      </c>
      <c r="C17" s="599">
        <v>2</v>
      </c>
      <c r="D17" s="600" t="s">
        <v>508</v>
      </c>
      <c r="E17" s="597">
        <f>256.5*1</f>
        <v>256.5</v>
      </c>
      <c r="F17" s="600">
        <v>10</v>
      </c>
      <c r="G17" s="596">
        <f>+E17*F17</f>
        <v>2565</v>
      </c>
      <c r="H17" s="444">
        <f>+G17/F17</f>
        <v>256.5</v>
      </c>
      <c r="I17" s="585"/>
    </row>
    <row r="18" spans="1:9" ht="13.5" thickBot="1">
      <c r="A18" s="415"/>
      <c r="B18" s="416"/>
      <c r="C18" s="417"/>
      <c r="D18" s="418"/>
      <c r="E18" s="417"/>
      <c r="F18" s="417"/>
      <c r="G18" s="417"/>
      <c r="H18" s="443"/>
      <c r="I18" s="443"/>
    </row>
    <row r="19" spans="1:9">
      <c r="A19" s="594">
        <v>46029</v>
      </c>
      <c r="B19" s="595" t="s">
        <v>495</v>
      </c>
      <c r="C19" s="599">
        <v>2</v>
      </c>
      <c r="D19" s="600" t="s">
        <v>508</v>
      </c>
      <c r="E19" s="597">
        <f>256.5*1</f>
        <v>256.5</v>
      </c>
      <c r="F19" s="600">
        <f>12+2</f>
        <v>14</v>
      </c>
      <c r="G19" s="596">
        <f>+E19*F19</f>
        <v>3591</v>
      </c>
      <c r="H19" s="444">
        <f>+G19/F19</f>
        <v>256.5</v>
      </c>
      <c r="I19" s="585">
        <f>+'7'!I38</f>
        <v>45.86</v>
      </c>
    </row>
    <row r="20" spans="1:9">
      <c r="A20" s="594"/>
      <c r="B20" s="595" t="s">
        <v>516</v>
      </c>
      <c r="C20" s="599">
        <v>2</v>
      </c>
      <c r="D20" s="600" t="s">
        <v>525</v>
      </c>
      <c r="E20" s="597">
        <f>257*1</f>
        <v>257</v>
      </c>
      <c r="F20" s="600">
        <f>10+1+12</f>
        <v>23</v>
      </c>
      <c r="G20" s="596">
        <f>+E20*F20</f>
        <v>5911</v>
      </c>
      <c r="H20" s="444">
        <f>+G20/F20</f>
        <v>257</v>
      </c>
      <c r="I20" s="585"/>
    </row>
    <row r="21" spans="1:9">
      <c r="A21" s="594"/>
      <c r="B21" s="595" t="s">
        <v>517</v>
      </c>
      <c r="C21" s="599">
        <v>2</v>
      </c>
      <c r="D21" s="600" t="s">
        <v>526</v>
      </c>
      <c r="E21" s="597">
        <f>256*1</f>
        <v>256</v>
      </c>
      <c r="F21" s="600">
        <v>1</v>
      </c>
      <c r="G21" s="596">
        <f>+E21*F21</f>
        <v>256</v>
      </c>
      <c r="H21" s="444">
        <f>+G21/F21</f>
        <v>256</v>
      </c>
      <c r="I21" s="585"/>
    </row>
    <row r="22" spans="1:9">
      <c r="A22" s="594"/>
      <c r="B22" s="595" t="s">
        <v>515</v>
      </c>
      <c r="C22" s="599">
        <v>2</v>
      </c>
      <c r="D22" s="600" t="s">
        <v>527</v>
      </c>
      <c r="E22" s="597">
        <f>137*2</f>
        <v>274</v>
      </c>
      <c r="F22" s="600">
        <v>0</v>
      </c>
      <c r="G22" s="599">
        <f>+E22</f>
        <v>274</v>
      </c>
      <c r="H22" s="444">
        <f>+G22</f>
        <v>274</v>
      </c>
      <c r="I22" s="585"/>
    </row>
    <row r="23" spans="1:9" ht="13.5" thickBot="1">
      <c r="A23" s="415"/>
      <c r="B23" s="416"/>
      <c r="C23" s="417"/>
      <c r="D23" s="418"/>
      <c r="E23" s="417"/>
      <c r="F23" s="417"/>
      <c r="G23" s="417"/>
      <c r="H23" s="443"/>
      <c r="I23" s="443"/>
    </row>
    <row r="24" spans="1:9">
      <c r="A24" s="594">
        <v>46030</v>
      </c>
      <c r="B24" s="595" t="s">
        <v>517</v>
      </c>
      <c r="C24" s="599">
        <v>2</v>
      </c>
      <c r="D24" s="600" t="s">
        <v>526</v>
      </c>
      <c r="E24" s="597">
        <f>256*1</f>
        <v>256</v>
      </c>
      <c r="F24" s="600">
        <f>8+3</f>
        <v>11</v>
      </c>
      <c r="G24" s="596">
        <f>+E24*F24</f>
        <v>2816</v>
      </c>
      <c r="H24" s="444">
        <f>+G24/F24</f>
        <v>256</v>
      </c>
      <c r="I24" s="585">
        <f>+'8'!I38</f>
        <v>50.231000000000002</v>
      </c>
    </row>
    <row r="25" spans="1:9">
      <c r="A25" s="594"/>
      <c r="B25" s="595" t="s">
        <v>493</v>
      </c>
      <c r="C25" s="599">
        <v>2</v>
      </c>
      <c r="D25" s="600" t="s">
        <v>508</v>
      </c>
      <c r="E25" s="600">
        <f>256.5*1</f>
        <v>256.5</v>
      </c>
      <c r="F25" s="600">
        <f>2+2+11+3</f>
        <v>18</v>
      </c>
      <c r="G25" s="596">
        <f>+E25*F25</f>
        <v>4617</v>
      </c>
      <c r="H25" s="444">
        <f>+G25/F25</f>
        <v>256.5</v>
      </c>
      <c r="I25" s="585"/>
    </row>
    <row r="26" spans="1:9">
      <c r="A26" s="594"/>
      <c r="B26" s="595" t="s">
        <v>534</v>
      </c>
      <c r="C26" s="599">
        <v>2</v>
      </c>
      <c r="D26" s="600" t="s">
        <v>554</v>
      </c>
      <c r="E26" s="600">
        <f>46*5+36</f>
        <v>266</v>
      </c>
      <c r="F26" s="600">
        <f>5+2</f>
        <v>7</v>
      </c>
      <c r="G26" s="596">
        <f>+E26*F26</f>
        <v>1862</v>
      </c>
      <c r="H26" s="444">
        <f>+SUM(F26*E26+F27*E27)/SUM(F26:F27)</f>
        <v>261.73333333333335</v>
      </c>
      <c r="I26" s="585"/>
    </row>
    <row r="27" spans="1:9">
      <c r="A27" s="594"/>
      <c r="B27" s="595" t="s">
        <v>534</v>
      </c>
      <c r="C27" s="599">
        <v>2</v>
      </c>
      <c r="D27" s="600" t="s">
        <v>555</v>
      </c>
      <c r="E27" s="600">
        <f>86*3</f>
        <v>258</v>
      </c>
      <c r="F27" s="600">
        <v>8</v>
      </c>
      <c r="G27" s="596">
        <f>+E27*F27</f>
        <v>2064</v>
      </c>
      <c r="H27" s="444"/>
      <c r="I27" s="585"/>
    </row>
    <row r="28" spans="1:9">
      <c r="A28" s="594"/>
      <c r="B28" s="595" t="s">
        <v>515</v>
      </c>
      <c r="C28" s="599">
        <v>2</v>
      </c>
      <c r="D28" s="600" t="s">
        <v>527</v>
      </c>
      <c r="E28" s="597">
        <f>137*2</f>
        <v>274</v>
      </c>
      <c r="F28" s="600">
        <v>2</v>
      </c>
      <c r="G28" s="596">
        <f>+E28*F28</f>
        <v>548</v>
      </c>
      <c r="H28" s="444">
        <f>+G28/F28</f>
        <v>274</v>
      </c>
      <c r="I28" s="585"/>
    </row>
    <row r="29" spans="1:9" ht="13.5" thickBot="1">
      <c r="A29" s="415"/>
      <c r="B29" s="416"/>
      <c r="C29" s="417"/>
      <c r="D29" s="418"/>
      <c r="E29" s="417"/>
      <c r="F29" s="417"/>
      <c r="G29" s="417"/>
      <c r="H29" s="443"/>
      <c r="I29" s="443"/>
    </row>
    <row r="30" spans="1:9">
      <c r="A30" s="594">
        <v>46031</v>
      </c>
      <c r="B30" s="595" t="s">
        <v>534</v>
      </c>
      <c r="C30" s="599">
        <v>2</v>
      </c>
      <c r="D30" s="600" t="s">
        <v>555</v>
      </c>
      <c r="E30" s="600">
        <f>86*3</f>
        <v>258</v>
      </c>
      <c r="F30" s="600">
        <f>10+2+4</f>
        <v>16</v>
      </c>
      <c r="G30" s="596">
        <f>+E30*F30</f>
        <v>4128</v>
      </c>
      <c r="H30" s="444">
        <f>+SUM(F30*E30+F31*E31)/SUM(F30:F31)</f>
        <v>262.95238095238096</v>
      </c>
      <c r="I30" s="585">
        <f>+'9'!I38</f>
        <v>46.224000000000004</v>
      </c>
    </row>
    <row r="31" spans="1:9">
      <c r="A31" s="594"/>
      <c r="B31" s="595" t="s">
        <v>534</v>
      </c>
      <c r="C31" s="599">
        <v>2</v>
      </c>
      <c r="D31" s="600" t="s">
        <v>554</v>
      </c>
      <c r="E31" s="600">
        <f>46*5+36</f>
        <v>266</v>
      </c>
      <c r="F31" s="600">
        <f>5+5+1+5+4+6</f>
        <v>26</v>
      </c>
      <c r="G31" s="596">
        <f>+E31*F31</f>
        <v>6916</v>
      </c>
      <c r="H31" s="444"/>
      <c r="I31" s="585"/>
    </row>
    <row r="32" spans="1:9">
      <c r="A32" s="594"/>
      <c r="B32" s="595" t="s">
        <v>562</v>
      </c>
      <c r="C32" s="599">
        <v>2</v>
      </c>
      <c r="D32" s="600" t="s">
        <v>572</v>
      </c>
      <c r="E32" s="597">
        <f>133*2</f>
        <v>266</v>
      </c>
      <c r="F32" s="600">
        <f>4+4</f>
        <v>8</v>
      </c>
      <c r="G32" s="596">
        <f>+E32*F32</f>
        <v>2128</v>
      </c>
      <c r="H32" s="444">
        <f>+G32/F32</f>
        <v>266</v>
      </c>
      <c r="I32" s="585"/>
    </row>
    <row r="33" spans="1:9">
      <c r="A33" s="594"/>
      <c r="B33" s="595" t="s">
        <v>408</v>
      </c>
      <c r="C33" s="599">
        <v>2</v>
      </c>
      <c r="D33" s="600" t="s">
        <v>508</v>
      </c>
      <c r="E33" s="600">
        <f>256.5*1</f>
        <v>256.5</v>
      </c>
      <c r="F33" s="600">
        <f>4+9</f>
        <v>13</v>
      </c>
      <c r="G33" s="596">
        <f>+E33*F33</f>
        <v>3334.5</v>
      </c>
      <c r="H33" s="444">
        <f>+G33/F33</f>
        <v>256.5</v>
      </c>
      <c r="I33" s="585"/>
    </row>
    <row r="34" spans="1:9" ht="13.5" thickBot="1">
      <c r="A34" s="415"/>
      <c r="B34" s="416"/>
      <c r="C34" s="417"/>
      <c r="D34" s="418"/>
      <c r="E34" s="417"/>
      <c r="F34" s="417"/>
      <c r="G34" s="417"/>
      <c r="H34" s="443"/>
      <c r="I34" s="443"/>
    </row>
    <row r="35" spans="1:9">
      <c r="A35" s="594">
        <v>46032</v>
      </c>
      <c r="B35" s="595" t="s">
        <v>408</v>
      </c>
      <c r="C35" s="599">
        <v>2</v>
      </c>
      <c r="D35" s="600" t="s">
        <v>508</v>
      </c>
      <c r="E35" s="600">
        <f>256.5*1</f>
        <v>256.5</v>
      </c>
      <c r="F35" s="600">
        <f>11+20+10</f>
        <v>41</v>
      </c>
      <c r="G35" s="596">
        <f>+E35*F35</f>
        <v>10516.5</v>
      </c>
      <c r="H35" s="444">
        <f>+G35/F35</f>
        <v>256.5</v>
      </c>
      <c r="I35" s="585">
        <f>+'10'!I38</f>
        <v>36.938000000000002</v>
      </c>
    </row>
    <row r="36" spans="1:9">
      <c r="A36" s="594"/>
      <c r="B36" s="595" t="s">
        <v>584</v>
      </c>
      <c r="C36" s="599">
        <v>2</v>
      </c>
      <c r="D36" s="600" t="s">
        <v>605</v>
      </c>
      <c r="E36" s="600">
        <f>245+24</f>
        <v>269</v>
      </c>
      <c r="F36" s="600">
        <v>1</v>
      </c>
      <c r="G36" s="599">
        <f>+E36*F36</f>
        <v>269</v>
      </c>
      <c r="H36" s="444">
        <f>+G36/F36</f>
        <v>269</v>
      </c>
      <c r="I36" s="585"/>
    </row>
    <row r="37" spans="1:9" ht="13.5" thickBot="1">
      <c r="A37" s="415"/>
      <c r="B37" s="416"/>
      <c r="C37" s="417"/>
      <c r="D37" s="418"/>
      <c r="E37" s="417"/>
      <c r="F37" s="417"/>
      <c r="G37" s="417"/>
      <c r="H37" s="443"/>
      <c r="I37" s="443"/>
    </row>
    <row r="38" spans="1:9">
      <c r="A38" s="594">
        <v>46033</v>
      </c>
      <c r="B38" s="595" t="s">
        <v>584</v>
      </c>
      <c r="C38" s="599">
        <v>2</v>
      </c>
      <c r="D38" s="600" t="s">
        <v>605</v>
      </c>
      <c r="E38" s="600">
        <f>245+24</f>
        <v>269</v>
      </c>
      <c r="F38" s="600">
        <f>152/2</f>
        <v>76</v>
      </c>
      <c r="G38" s="599">
        <f>+E38*F38</f>
        <v>20444</v>
      </c>
      <c r="H38" s="444">
        <f>+G38/F38</f>
        <v>269</v>
      </c>
      <c r="I38" s="585">
        <f>+'11'!I38</f>
        <v>54.876000000000005</v>
      </c>
    </row>
    <row r="39" spans="1:9" ht="13.5" thickBot="1">
      <c r="A39" s="415"/>
      <c r="B39" s="416"/>
      <c r="C39" s="417"/>
      <c r="D39" s="418"/>
      <c r="E39" s="417"/>
      <c r="F39" s="417"/>
      <c r="G39" s="417"/>
      <c r="H39" s="443"/>
      <c r="I39" s="443"/>
    </row>
    <row r="40" spans="1:9">
      <c r="A40" s="594">
        <v>46034</v>
      </c>
      <c r="B40" s="595" t="s">
        <v>584</v>
      </c>
      <c r="C40" s="599">
        <v>2</v>
      </c>
      <c r="D40" s="600" t="s">
        <v>605</v>
      </c>
      <c r="E40" s="600">
        <f>245+24</f>
        <v>269</v>
      </c>
      <c r="F40" s="600">
        <v>23</v>
      </c>
      <c r="G40" s="599">
        <f t="shared" ref="G40:G56" si="0">+E40*F40</f>
        <v>6187</v>
      </c>
      <c r="H40" s="444">
        <f>+G40/F40</f>
        <v>269</v>
      </c>
      <c r="I40" s="585">
        <f>+'12'!I38</f>
        <v>51.634</v>
      </c>
    </row>
    <row r="41" spans="1:9">
      <c r="A41" s="594"/>
      <c r="B41" s="595" t="s">
        <v>615</v>
      </c>
      <c r="C41" s="599">
        <v>2</v>
      </c>
      <c r="D41" s="600" t="s">
        <v>622</v>
      </c>
      <c r="E41" s="600">
        <f>271*1</f>
        <v>271</v>
      </c>
      <c r="F41" s="600">
        <f>2+28+26</f>
        <v>56</v>
      </c>
      <c r="G41" s="599">
        <f t="shared" si="0"/>
        <v>15176</v>
      </c>
      <c r="H41" s="444">
        <f>+G41/F41</f>
        <v>271</v>
      </c>
      <c r="I41" s="585"/>
    </row>
    <row r="42" spans="1:9" ht="13.5" thickBot="1">
      <c r="A42" s="415"/>
      <c r="B42" s="416"/>
      <c r="C42" s="417"/>
      <c r="D42" s="418"/>
      <c r="E42" s="417"/>
      <c r="F42" s="417"/>
      <c r="G42" s="417"/>
      <c r="H42" s="443"/>
      <c r="I42" s="443"/>
    </row>
    <row r="43" spans="1:9">
      <c r="A43" s="594">
        <v>46035</v>
      </c>
      <c r="B43" s="595" t="s">
        <v>615</v>
      </c>
      <c r="C43" s="599">
        <v>2</v>
      </c>
      <c r="D43" s="600" t="s">
        <v>622</v>
      </c>
      <c r="E43" s="600">
        <f>271*1</f>
        <v>271</v>
      </c>
      <c r="F43" s="600">
        <f>14+10</f>
        <v>24</v>
      </c>
      <c r="G43" s="599">
        <f t="shared" si="0"/>
        <v>6504</v>
      </c>
      <c r="H43" s="444">
        <f>+G43/F43</f>
        <v>271</v>
      </c>
      <c r="I43" s="585">
        <f>+'13'!I38</f>
        <v>43.606000000000002</v>
      </c>
    </row>
    <row r="44" spans="1:9">
      <c r="A44" s="594"/>
      <c r="B44" s="595" t="s">
        <v>584</v>
      </c>
      <c r="C44" s="599">
        <v>2</v>
      </c>
      <c r="D44" s="600" t="s">
        <v>527</v>
      </c>
      <c r="E44" s="600">
        <f>137*2</f>
        <v>274</v>
      </c>
      <c r="F44" s="600">
        <f>74/2</f>
        <v>37</v>
      </c>
      <c r="G44" s="599">
        <f t="shared" si="0"/>
        <v>10138</v>
      </c>
      <c r="H44" s="444">
        <f>+G44/F44</f>
        <v>274</v>
      </c>
      <c r="I44" s="585"/>
    </row>
    <row r="45" spans="1:9" ht="13.5" thickBot="1">
      <c r="A45" s="415"/>
      <c r="B45" s="416"/>
      <c r="C45" s="417"/>
      <c r="D45" s="418"/>
      <c r="E45" s="417"/>
      <c r="F45" s="417"/>
      <c r="G45" s="417"/>
      <c r="H45" s="443"/>
      <c r="I45" s="443"/>
    </row>
    <row r="46" spans="1:9">
      <c r="A46" s="594">
        <v>46036</v>
      </c>
      <c r="B46" s="595" t="s">
        <v>584</v>
      </c>
      <c r="C46" s="599">
        <v>2</v>
      </c>
      <c r="D46" s="600" t="s">
        <v>426</v>
      </c>
      <c r="E46" s="600">
        <f>275*1</f>
        <v>275</v>
      </c>
      <c r="F46" s="600">
        <v>68</v>
      </c>
      <c r="G46" s="599">
        <f t="shared" si="0"/>
        <v>18700</v>
      </c>
      <c r="H46" s="444">
        <f>+G46/F46</f>
        <v>275</v>
      </c>
      <c r="I46" s="585">
        <f>+'14'!I38</f>
        <v>54.194000000000003</v>
      </c>
    </row>
    <row r="47" spans="1:9" ht="13.5" thickBot="1">
      <c r="A47" s="415"/>
      <c r="B47" s="416"/>
      <c r="C47" s="417"/>
      <c r="D47" s="418"/>
      <c r="E47" s="417"/>
      <c r="F47" s="417"/>
      <c r="G47" s="417"/>
      <c r="H47" s="443"/>
      <c r="I47" s="443"/>
    </row>
    <row r="48" spans="1:9">
      <c r="A48" s="594">
        <v>46037</v>
      </c>
      <c r="B48" s="595" t="s">
        <v>584</v>
      </c>
      <c r="C48" s="599">
        <v>2</v>
      </c>
      <c r="D48" s="600" t="s">
        <v>426</v>
      </c>
      <c r="E48" s="600">
        <f>275*1</f>
        <v>275</v>
      </c>
      <c r="F48" s="600">
        <v>12</v>
      </c>
      <c r="G48" s="599">
        <f t="shared" si="0"/>
        <v>3300</v>
      </c>
      <c r="H48" s="444">
        <f>+SUM(F48*E48+F49*E49)/SUM(F48:F49)</f>
        <v>274.16901408450707</v>
      </c>
      <c r="I48" s="585">
        <f>+'15'!I38</f>
        <v>53.844999999999999</v>
      </c>
    </row>
    <row r="49" spans="1:9">
      <c r="A49" s="594"/>
      <c r="B49" s="595" t="s">
        <v>584</v>
      </c>
      <c r="C49" s="599">
        <v>2</v>
      </c>
      <c r="D49" s="600" t="s">
        <v>527</v>
      </c>
      <c r="E49" s="600">
        <f>137*2</f>
        <v>274</v>
      </c>
      <c r="F49" s="600">
        <f>118/2</f>
        <v>59</v>
      </c>
      <c r="G49" s="599">
        <f t="shared" si="0"/>
        <v>16166</v>
      </c>
      <c r="H49" s="444"/>
      <c r="I49" s="585"/>
    </row>
    <row r="50" spans="1:9" ht="13.5" thickBot="1">
      <c r="A50" s="415"/>
      <c r="B50" s="416"/>
      <c r="C50" s="417"/>
      <c r="D50" s="418"/>
      <c r="E50" s="417"/>
      <c r="F50" s="417"/>
      <c r="G50" s="417"/>
      <c r="H50" s="443"/>
      <c r="I50" s="443"/>
    </row>
    <row r="51" spans="1:9">
      <c r="A51" s="594">
        <v>46038</v>
      </c>
      <c r="B51" s="595" t="s">
        <v>584</v>
      </c>
      <c r="C51" s="599">
        <v>2</v>
      </c>
      <c r="D51" s="600" t="s">
        <v>527</v>
      </c>
      <c r="E51" s="600">
        <f>137*2</f>
        <v>274</v>
      </c>
      <c r="F51" s="600">
        <v>65</v>
      </c>
      <c r="G51" s="599">
        <f t="shared" si="0"/>
        <v>17810</v>
      </c>
      <c r="H51" s="444">
        <f>+G51/F51</f>
        <v>274</v>
      </c>
      <c r="I51" s="585">
        <f>+'16'!I38</f>
        <v>54.427999999999997</v>
      </c>
    </row>
    <row r="52" spans="1:9" ht="13.5" thickBot="1">
      <c r="A52" s="415"/>
      <c r="B52" s="416"/>
      <c r="C52" s="417"/>
      <c r="D52" s="418"/>
      <c r="E52" s="417"/>
      <c r="F52" s="417"/>
      <c r="G52" s="417"/>
      <c r="H52" s="443"/>
      <c r="I52" s="443"/>
    </row>
    <row r="53" spans="1:9">
      <c r="A53" s="594">
        <v>46039</v>
      </c>
      <c r="B53" s="595" t="s">
        <v>584</v>
      </c>
      <c r="C53" s="599">
        <v>2</v>
      </c>
      <c r="D53" s="600" t="s">
        <v>460</v>
      </c>
      <c r="E53" s="600">
        <f>264*1</f>
        <v>264</v>
      </c>
      <c r="F53" s="600">
        <v>4</v>
      </c>
      <c r="G53" s="599">
        <f t="shared" si="0"/>
        <v>1056</v>
      </c>
      <c r="H53" s="444">
        <f>+SUM(F53*E53+F54*E54)/SUM(F53:F54)</f>
        <v>272.33333333333331</v>
      </c>
      <c r="I53" s="585">
        <f>+'17'!I38</f>
        <v>47.941000000000003</v>
      </c>
    </row>
    <row r="54" spans="1:9">
      <c r="A54" s="594"/>
      <c r="B54" s="595" t="s">
        <v>584</v>
      </c>
      <c r="C54" s="599">
        <v>2</v>
      </c>
      <c r="D54" s="600" t="s">
        <v>527</v>
      </c>
      <c r="E54" s="600">
        <f>137*2</f>
        <v>274</v>
      </c>
      <c r="F54" s="600">
        <v>20</v>
      </c>
      <c r="G54" s="599">
        <f t="shared" si="0"/>
        <v>5480</v>
      </c>
      <c r="H54" s="444"/>
      <c r="I54" s="585"/>
    </row>
    <row r="55" spans="1:9">
      <c r="A55" s="594"/>
      <c r="B55" s="595" t="s">
        <v>661</v>
      </c>
      <c r="C55" s="599">
        <v>2</v>
      </c>
      <c r="D55" s="600" t="s">
        <v>678</v>
      </c>
      <c r="E55" s="600">
        <f>267.5*1</f>
        <v>267.5</v>
      </c>
      <c r="F55" s="600">
        <v>19</v>
      </c>
      <c r="G55" s="599">
        <f t="shared" si="0"/>
        <v>5082.5</v>
      </c>
      <c r="H55" s="444">
        <f>+G55/F55</f>
        <v>267.5</v>
      </c>
      <c r="I55" s="585"/>
    </row>
    <row r="56" spans="1:9">
      <c r="A56" s="594"/>
      <c r="B56" s="595" t="s">
        <v>662</v>
      </c>
      <c r="C56" s="599">
        <v>2</v>
      </c>
      <c r="D56" s="600" t="s">
        <v>679</v>
      </c>
      <c r="E56" s="600">
        <f>268*1</f>
        <v>268</v>
      </c>
      <c r="F56" s="600">
        <v>22</v>
      </c>
      <c r="G56" s="599">
        <f t="shared" si="0"/>
        <v>5896</v>
      </c>
      <c r="H56" s="444">
        <f>+G56/F56</f>
        <v>268</v>
      </c>
      <c r="I56" s="585"/>
    </row>
    <row r="57" spans="1:9" ht="13.5" thickBot="1">
      <c r="A57" s="415"/>
      <c r="B57" s="416"/>
      <c r="C57" s="417"/>
      <c r="D57" s="418"/>
      <c r="E57" s="417"/>
      <c r="F57" s="417"/>
      <c r="G57" s="417"/>
      <c r="H57" s="443"/>
      <c r="I57" s="443"/>
    </row>
    <row r="58" spans="1:9">
      <c r="A58" s="594">
        <v>46040</v>
      </c>
      <c r="B58" s="595" t="s">
        <v>662</v>
      </c>
      <c r="C58" s="599">
        <v>2</v>
      </c>
      <c r="D58" s="600" t="s">
        <v>679</v>
      </c>
      <c r="E58" s="600">
        <f>268*1</f>
        <v>268</v>
      </c>
      <c r="F58" s="600">
        <f>18+3</f>
        <v>21</v>
      </c>
      <c r="G58" s="599">
        <f t="shared" ref="G58" si="1">+E58*F58</f>
        <v>5628</v>
      </c>
      <c r="H58" s="444">
        <f>+G58/F58</f>
        <v>268</v>
      </c>
      <c r="I58" s="585">
        <f>+'18'!I38</f>
        <v>52.677</v>
      </c>
    </row>
    <row r="59" spans="1:9">
      <c r="A59" s="594"/>
      <c r="B59" s="595" t="s">
        <v>667</v>
      </c>
      <c r="C59" s="599">
        <v>2</v>
      </c>
      <c r="D59" s="600" t="s">
        <v>680</v>
      </c>
      <c r="E59" s="600">
        <f>269.5*1</f>
        <v>269.5</v>
      </c>
      <c r="F59" s="600">
        <v>20</v>
      </c>
      <c r="G59" s="599">
        <f t="shared" ref="G59:G60" si="2">+E59*F59</f>
        <v>5390</v>
      </c>
      <c r="H59" s="444">
        <f>+G59/F59</f>
        <v>269.5</v>
      </c>
      <c r="I59" s="585"/>
    </row>
    <row r="60" spans="1:9">
      <c r="A60" s="594"/>
      <c r="B60" s="595" t="s">
        <v>615</v>
      </c>
      <c r="C60" s="599">
        <v>2</v>
      </c>
      <c r="D60" s="600" t="s">
        <v>527</v>
      </c>
      <c r="E60" s="600">
        <f>137*2</f>
        <v>274</v>
      </c>
      <c r="F60" s="600">
        <f>58/2</f>
        <v>29</v>
      </c>
      <c r="G60" s="599">
        <f t="shared" si="2"/>
        <v>7946</v>
      </c>
      <c r="H60" s="444">
        <f>+G60/F60</f>
        <v>274</v>
      </c>
      <c r="I60" s="585"/>
    </row>
    <row r="61" spans="1:9" ht="13.5" thickBot="1">
      <c r="A61" s="415"/>
      <c r="B61" s="416"/>
      <c r="C61" s="417"/>
      <c r="D61" s="418"/>
      <c r="E61" s="417"/>
      <c r="F61" s="417"/>
      <c r="G61" s="417"/>
      <c r="H61" s="443"/>
      <c r="I61" s="443"/>
    </row>
    <row r="62" spans="1:9">
      <c r="A62" s="594">
        <v>46041</v>
      </c>
      <c r="B62" s="595" t="s">
        <v>615</v>
      </c>
      <c r="C62" s="599">
        <v>2</v>
      </c>
      <c r="D62" s="600" t="s">
        <v>527</v>
      </c>
      <c r="E62" s="600">
        <f>137*2</f>
        <v>274</v>
      </c>
      <c r="F62" s="600">
        <f>124/2</f>
        <v>62</v>
      </c>
      <c r="G62" s="599">
        <f t="shared" ref="G62" si="3">+E62*F62</f>
        <v>16988</v>
      </c>
      <c r="H62" s="444">
        <f>+G62/F62</f>
        <v>274</v>
      </c>
      <c r="I62" s="585">
        <f>+'19'!I38</f>
        <v>51.174999999999997</v>
      </c>
    </row>
    <row r="63" spans="1:9">
      <c r="A63" s="594"/>
      <c r="B63" s="595" t="s">
        <v>584</v>
      </c>
      <c r="C63" s="599">
        <v>2</v>
      </c>
      <c r="D63" s="600" t="s">
        <v>605</v>
      </c>
      <c r="E63" s="600">
        <f>245+24</f>
        <v>269</v>
      </c>
      <c r="F63" s="600">
        <v>8</v>
      </c>
      <c r="G63" s="599">
        <f t="shared" ref="G63" si="4">+E63*F63</f>
        <v>2152</v>
      </c>
      <c r="H63" s="444">
        <f>+G63/F63</f>
        <v>269</v>
      </c>
      <c r="I63" s="585"/>
    </row>
    <row r="64" spans="1:9" ht="13.5" thickBot="1">
      <c r="A64" s="415"/>
      <c r="B64" s="416"/>
      <c r="C64" s="417"/>
      <c r="D64" s="418"/>
      <c r="E64" s="417"/>
      <c r="F64" s="417"/>
      <c r="G64" s="417"/>
      <c r="H64" s="443"/>
      <c r="I64" s="443"/>
    </row>
    <row r="65" spans="1:9">
      <c r="A65" s="594">
        <v>46042</v>
      </c>
      <c r="B65" s="595" t="s">
        <v>584</v>
      </c>
      <c r="C65" s="599">
        <v>2</v>
      </c>
      <c r="D65" s="600" t="s">
        <v>605</v>
      </c>
      <c r="E65" s="600">
        <f>245+24</f>
        <v>269</v>
      </c>
      <c r="F65" s="600">
        <v>12</v>
      </c>
      <c r="G65" s="599">
        <f t="shared" ref="G65:G66" si="5">+E65*F65</f>
        <v>3228</v>
      </c>
      <c r="H65" s="444">
        <f>+SUM(F65*E65+F66*E66)/SUM(F65:F66)</f>
        <v>274</v>
      </c>
      <c r="I65" s="585">
        <f>+'20'!I38</f>
        <v>55.125999999999998</v>
      </c>
    </row>
    <row r="66" spans="1:9">
      <c r="A66" s="594"/>
      <c r="B66" s="595" t="s">
        <v>584</v>
      </c>
      <c r="C66" s="599">
        <v>2</v>
      </c>
      <c r="D66" s="600" t="s">
        <v>426</v>
      </c>
      <c r="E66" s="600">
        <f>275*1</f>
        <v>275</v>
      </c>
      <c r="F66" s="600">
        <f>12+26+22</f>
        <v>60</v>
      </c>
      <c r="G66" s="599">
        <f t="shared" si="5"/>
        <v>16500</v>
      </c>
      <c r="H66" s="444"/>
      <c r="I66" s="585"/>
    </row>
    <row r="67" spans="1:9" ht="13.5" thickBot="1">
      <c r="A67" s="415"/>
      <c r="B67" s="416"/>
      <c r="C67" s="417"/>
      <c r="D67" s="418"/>
      <c r="E67" s="417"/>
      <c r="F67" s="417"/>
      <c r="G67" s="417"/>
      <c r="H67" s="443"/>
      <c r="I67" s="443"/>
    </row>
    <row r="68" spans="1:9">
      <c r="A68" s="594">
        <v>46043</v>
      </c>
      <c r="B68" s="595" t="s">
        <v>584</v>
      </c>
      <c r="C68" s="599">
        <v>2</v>
      </c>
      <c r="D68" s="600" t="s">
        <v>527</v>
      </c>
      <c r="E68" s="600">
        <f>137*2</f>
        <v>274</v>
      </c>
      <c r="F68" s="600">
        <f>6+50+16</f>
        <v>72</v>
      </c>
      <c r="G68" s="599">
        <f t="shared" ref="G68:G70" si="6">+E68*F68</f>
        <v>19728</v>
      </c>
      <c r="H68" s="444">
        <f>+SUM(F68*E68+F69*E69)/SUM(F68:F69)</f>
        <v>274.21739130434781</v>
      </c>
      <c r="I68" s="585">
        <f>+'21'!I38</f>
        <v>52.666000000000004</v>
      </c>
    </row>
    <row r="69" spans="1:9">
      <c r="A69" s="594"/>
      <c r="B69" s="595" t="s">
        <v>584</v>
      </c>
      <c r="C69" s="599">
        <v>2</v>
      </c>
      <c r="D69" s="600" t="s">
        <v>426</v>
      </c>
      <c r="E69" s="600">
        <f>275*1</f>
        <v>275</v>
      </c>
      <c r="F69" s="600">
        <v>20</v>
      </c>
      <c r="G69" s="599">
        <f t="shared" si="6"/>
        <v>5500</v>
      </c>
      <c r="H69" s="444"/>
      <c r="I69" s="585"/>
    </row>
    <row r="70" spans="1:9">
      <c r="A70" s="594"/>
      <c r="B70" s="595" t="s">
        <v>408</v>
      </c>
      <c r="C70" s="599">
        <v>2</v>
      </c>
      <c r="D70" s="600" t="s">
        <v>710</v>
      </c>
      <c r="E70" s="600">
        <f>267*1</f>
        <v>267</v>
      </c>
      <c r="F70" s="600">
        <v>13</v>
      </c>
      <c r="G70" s="599">
        <f t="shared" si="6"/>
        <v>3471</v>
      </c>
      <c r="H70" s="444">
        <f>+G70/F70</f>
        <v>267</v>
      </c>
      <c r="I70" s="585"/>
    </row>
    <row r="71" spans="1:9">
      <c r="A71" s="594"/>
      <c r="B71" s="595" t="s">
        <v>704</v>
      </c>
      <c r="C71" s="599">
        <v>2</v>
      </c>
      <c r="D71" s="600" t="s">
        <v>711</v>
      </c>
      <c r="E71" s="600">
        <f>272*1</f>
        <v>272</v>
      </c>
      <c r="F71" s="600">
        <v>0</v>
      </c>
      <c r="G71" s="599">
        <f t="shared" ref="G71" si="7">+E71*F71</f>
        <v>0</v>
      </c>
      <c r="H71" s="444">
        <f>+E71</f>
        <v>272</v>
      </c>
      <c r="I71" s="585"/>
    </row>
    <row r="72" spans="1:9" ht="13.5" thickBot="1">
      <c r="A72" s="415"/>
      <c r="B72" s="416"/>
      <c r="C72" s="417"/>
      <c r="D72" s="418"/>
      <c r="E72" s="417"/>
      <c r="F72" s="417"/>
      <c r="G72" s="417"/>
      <c r="H72" s="443"/>
      <c r="I72" s="443"/>
    </row>
    <row r="73" spans="1:9">
      <c r="A73" s="594">
        <v>46044</v>
      </c>
      <c r="B73" s="595" t="s">
        <v>704</v>
      </c>
      <c r="C73" s="599">
        <v>2</v>
      </c>
      <c r="D73" s="600" t="s">
        <v>711</v>
      </c>
      <c r="E73" s="600">
        <f>272*1</f>
        <v>272</v>
      </c>
      <c r="F73" s="600">
        <f>18+23+24</f>
        <v>65</v>
      </c>
      <c r="G73" s="599">
        <f t="shared" ref="G73" si="8">+E73*F73</f>
        <v>17680</v>
      </c>
      <c r="H73" s="444">
        <f>+G73/F73</f>
        <v>272</v>
      </c>
      <c r="I73" s="585">
        <f>+'22'!I38</f>
        <v>49.217999999999996</v>
      </c>
    </row>
    <row r="74" spans="1:9">
      <c r="A74" s="594"/>
      <c r="B74" s="595" t="s">
        <v>408</v>
      </c>
      <c r="C74" s="599">
        <v>2</v>
      </c>
      <c r="D74" s="600" t="s">
        <v>710</v>
      </c>
      <c r="E74" s="600">
        <f>267*1</f>
        <v>267</v>
      </c>
      <c r="F74" s="600">
        <v>4</v>
      </c>
      <c r="G74" s="599">
        <f t="shared" ref="G74" si="9">+E74*F74</f>
        <v>1068</v>
      </c>
      <c r="H74" s="444">
        <f>+G74/F74</f>
        <v>267</v>
      </c>
      <c r="I74" s="585" t="s">
        <v>289</v>
      </c>
    </row>
    <row r="75" spans="1:9" ht="13.5" thickBot="1">
      <c r="A75" s="415"/>
      <c r="B75" s="416"/>
      <c r="C75" s="417"/>
      <c r="D75" s="418"/>
      <c r="E75" s="417"/>
      <c r="F75" s="417"/>
      <c r="G75" s="417"/>
      <c r="H75" s="443"/>
      <c r="I75" s="443"/>
    </row>
    <row r="76" spans="1:9">
      <c r="A76" s="594">
        <v>46045</v>
      </c>
      <c r="B76" s="595" t="s">
        <v>408</v>
      </c>
      <c r="C76" s="599">
        <v>2</v>
      </c>
      <c r="D76" s="600" t="s">
        <v>729</v>
      </c>
      <c r="E76" s="600">
        <f>129*2</f>
        <v>258</v>
      </c>
      <c r="F76" s="600">
        <f>80/2</f>
        <v>40</v>
      </c>
      <c r="G76" s="599">
        <f t="shared" ref="G76:G78" si="10">+E76*F76</f>
        <v>10320</v>
      </c>
      <c r="H76" s="444">
        <f>+SUM(F76*E76+F77*E77)/SUM(F76:F77)</f>
        <v>258.46153846153845</v>
      </c>
      <c r="I76" s="585">
        <f>+'23'!I38</f>
        <v>45.509</v>
      </c>
    </row>
    <row r="77" spans="1:9">
      <c r="A77" s="594"/>
      <c r="B77" s="595" t="s">
        <v>408</v>
      </c>
      <c r="C77" s="599">
        <v>2</v>
      </c>
      <c r="D77" s="600" t="s">
        <v>730</v>
      </c>
      <c r="E77" s="600">
        <f>130*2</f>
        <v>260</v>
      </c>
      <c r="F77" s="600">
        <v>12</v>
      </c>
      <c r="G77" s="599">
        <f t="shared" si="10"/>
        <v>3120</v>
      </c>
      <c r="H77" s="444"/>
      <c r="I77" s="585"/>
    </row>
    <row r="78" spans="1:9">
      <c r="A78" s="594"/>
      <c r="B78" s="595" t="s">
        <v>704</v>
      </c>
      <c r="C78" s="599">
        <v>2</v>
      </c>
      <c r="D78" s="600" t="s">
        <v>711</v>
      </c>
      <c r="E78" s="600">
        <f>272*1</f>
        <v>272</v>
      </c>
      <c r="F78" s="600">
        <v>15</v>
      </c>
      <c r="G78" s="599">
        <f t="shared" si="10"/>
        <v>4080</v>
      </c>
      <c r="H78" s="444">
        <f>+G78/F78</f>
        <v>272</v>
      </c>
      <c r="I78" s="585"/>
    </row>
    <row r="79" spans="1:9" ht="13.5" thickBot="1">
      <c r="A79" s="415"/>
      <c r="B79" s="416"/>
      <c r="C79" s="417"/>
      <c r="D79" s="418"/>
      <c r="E79" s="417"/>
      <c r="F79" s="417"/>
      <c r="G79" s="417"/>
      <c r="H79" s="443"/>
      <c r="I79" s="443"/>
    </row>
    <row r="80" spans="1:9">
      <c r="A80" s="594">
        <v>46046</v>
      </c>
      <c r="B80" s="595" t="s">
        <v>408</v>
      </c>
      <c r="C80" s="599">
        <v>2</v>
      </c>
      <c r="D80" s="600" t="s">
        <v>730</v>
      </c>
      <c r="E80" s="600">
        <f>130*2</f>
        <v>260</v>
      </c>
      <c r="F80" s="600">
        <v>9</v>
      </c>
      <c r="G80" s="599">
        <f t="shared" ref="G80:G81" si="11">+E80*F80</f>
        <v>2340</v>
      </c>
      <c r="H80" s="444">
        <f>+SUM(F80*E80+F81*E81)/SUM(F80:F81)</f>
        <v>272.75</v>
      </c>
      <c r="I80" s="585">
        <f>+'24'!I38</f>
        <v>42.703000000000003</v>
      </c>
    </row>
    <row r="81" spans="1:9">
      <c r="A81" s="594"/>
      <c r="B81" s="595" t="s">
        <v>408</v>
      </c>
      <c r="C81" s="599">
        <v>2</v>
      </c>
      <c r="D81" s="600" t="s">
        <v>426</v>
      </c>
      <c r="E81" s="600">
        <f>275*1</f>
        <v>275</v>
      </c>
      <c r="F81" s="600">
        <f>26+4+21</f>
        <v>51</v>
      </c>
      <c r="G81" s="599">
        <f t="shared" si="11"/>
        <v>14025</v>
      </c>
      <c r="H81" s="444"/>
      <c r="I81" s="585"/>
    </row>
    <row r="82" spans="1:9" ht="13.5" thickBot="1">
      <c r="A82" s="415"/>
      <c r="B82" s="416"/>
      <c r="C82" s="417"/>
      <c r="D82" s="418"/>
      <c r="E82" s="417"/>
      <c r="F82" s="417"/>
      <c r="G82" s="417"/>
      <c r="H82" s="443"/>
      <c r="I82" s="443"/>
    </row>
    <row r="83" spans="1:9">
      <c r="A83" s="594">
        <v>46047</v>
      </c>
      <c r="B83" s="595" t="s">
        <v>408</v>
      </c>
      <c r="C83" s="599">
        <v>2</v>
      </c>
      <c r="D83" s="600" t="s">
        <v>426</v>
      </c>
      <c r="E83" s="600">
        <f>275*1</f>
        <v>275</v>
      </c>
      <c r="F83" s="600">
        <f>13+16</f>
        <v>29</v>
      </c>
      <c r="G83" s="599">
        <f t="shared" ref="G83" si="12">+E83*F83</f>
        <v>7975</v>
      </c>
      <c r="H83" s="444">
        <f>+G83/F83</f>
        <v>275</v>
      </c>
      <c r="I83" s="585">
        <f>+'25'!I38</f>
        <v>39.700000000000003</v>
      </c>
    </row>
    <row r="84" spans="1:9">
      <c r="A84" s="594"/>
      <c r="B84" s="595" t="s">
        <v>615</v>
      </c>
      <c r="C84" s="599">
        <v>2</v>
      </c>
      <c r="D84" s="600" t="s">
        <v>622</v>
      </c>
      <c r="E84" s="600">
        <v>271</v>
      </c>
      <c r="F84" s="600">
        <f>18+1</f>
        <v>19</v>
      </c>
      <c r="G84" s="599">
        <f t="shared" ref="G84" si="13">+E84*F84</f>
        <v>5149</v>
      </c>
      <c r="H84" s="444">
        <f>+G84/F84</f>
        <v>271</v>
      </c>
      <c r="I84" s="585"/>
    </row>
    <row r="85" spans="1:9" ht="13.5" thickBot="1">
      <c r="A85" s="415"/>
      <c r="B85" s="416"/>
      <c r="C85" s="417"/>
      <c r="D85" s="418"/>
      <c r="E85" s="417"/>
      <c r="F85" s="417"/>
      <c r="G85" s="417"/>
      <c r="H85" s="443"/>
      <c r="I85" s="443"/>
    </row>
    <row r="86" spans="1:9">
      <c r="A86" s="594">
        <v>46048</v>
      </c>
      <c r="B86" s="595" t="s">
        <v>615</v>
      </c>
      <c r="C86" s="599">
        <v>2</v>
      </c>
      <c r="D86" s="600" t="s">
        <v>622</v>
      </c>
      <c r="E86" s="600">
        <v>271</v>
      </c>
      <c r="F86" s="600">
        <f>16+10+3</f>
        <v>29</v>
      </c>
      <c r="G86" s="599">
        <f t="shared" ref="G86:G88" si="14">+E86*F86</f>
        <v>7859</v>
      </c>
      <c r="H86" s="444">
        <f>+SUM(F86*E86+F87*E87+F88*E88)/SUM(F86:F88)</f>
        <v>272.64814814814815</v>
      </c>
      <c r="I86" s="585">
        <f>+'26'!I38</f>
        <v>34.11</v>
      </c>
    </row>
    <row r="87" spans="1:9">
      <c r="A87" s="594"/>
      <c r="B87" s="595" t="s">
        <v>615</v>
      </c>
      <c r="C87" s="599">
        <v>2</v>
      </c>
      <c r="D87" s="600" t="s">
        <v>426</v>
      </c>
      <c r="E87" s="600">
        <f>275*1</f>
        <v>275</v>
      </c>
      <c r="F87" s="600">
        <f>9+5</f>
        <v>14</v>
      </c>
      <c r="G87" s="599">
        <f t="shared" si="14"/>
        <v>3850</v>
      </c>
      <c r="H87" s="444"/>
      <c r="I87" s="585"/>
    </row>
    <row r="88" spans="1:9">
      <c r="A88" s="594"/>
      <c r="B88" s="595" t="s">
        <v>615</v>
      </c>
      <c r="C88" s="599">
        <v>2</v>
      </c>
      <c r="D88" s="600" t="s">
        <v>527</v>
      </c>
      <c r="E88" s="600">
        <f>137*2</f>
        <v>274</v>
      </c>
      <c r="F88" s="600">
        <v>11</v>
      </c>
      <c r="G88" s="599">
        <f t="shared" si="14"/>
        <v>3014</v>
      </c>
      <c r="H88" s="444"/>
      <c r="I88" s="585"/>
    </row>
    <row r="89" spans="1:9" ht="13.5" thickBot="1">
      <c r="A89" s="415"/>
      <c r="B89" s="416"/>
      <c r="C89" s="417"/>
      <c r="D89" s="418"/>
      <c r="E89" s="417"/>
      <c r="F89" s="417"/>
      <c r="G89" s="417"/>
      <c r="H89" s="443"/>
      <c r="I89" s="443"/>
    </row>
    <row r="90" spans="1:9">
      <c r="A90" s="594">
        <v>46049</v>
      </c>
      <c r="B90" s="595" t="s">
        <v>615</v>
      </c>
      <c r="C90" s="599">
        <v>2</v>
      </c>
      <c r="D90" s="600" t="s">
        <v>527</v>
      </c>
      <c r="E90" s="600">
        <f>137*2</f>
        <v>274</v>
      </c>
      <c r="F90" s="600">
        <f>100/2</f>
        <v>50</v>
      </c>
      <c r="G90" s="599">
        <f t="shared" ref="G90" si="15">+E90*F90</f>
        <v>13700</v>
      </c>
      <c r="H90" s="444">
        <f>+G90/F90</f>
        <v>274</v>
      </c>
      <c r="I90" s="585">
        <f>+'27'!I38</f>
        <v>35.098999999999997</v>
      </c>
    </row>
    <row r="91" spans="1:9" ht="13.5" thickBot="1">
      <c r="A91" s="415"/>
      <c r="B91" s="416"/>
      <c r="C91" s="417"/>
      <c r="D91" s="418"/>
      <c r="E91" s="417"/>
      <c r="F91" s="417"/>
      <c r="G91" s="417"/>
      <c r="H91" s="443"/>
      <c r="I91" s="443"/>
    </row>
    <row r="92" spans="1:9">
      <c r="A92" s="594">
        <v>46050</v>
      </c>
      <c r="B92" s="595" t="s">
        <v>615</v>
      </c>
      <c r="C92" s="599">
        <v>2</v>
      </c>
      <c r="D92" s="600" t="s">
        <v>527</v>
      </c>
      <c r="E92" s="600">
        <f>137*2</f>
        <v>274</v>
      </c>
      <c r="F92" s="600">
        <v>11</v>
      </c>
      <c r="G92" s="599">
        <f t="shared" ref="G92:G93" si="16">+E92*F92</f>
        <v>3014</v>
      </c>
      <c r="H92" s="444">
        <f>+G92/F92</f>
        <v>274</v>
      </c>
      <c r="I92" s="585">
        <f>+'28'!I38</f>
        <v>35.337000000000003</v>
      </c>
    </row>
    <row r="93" spans="1:9">
      <c r="A93" s="594"/>
      <c r="B93" s="595" t="s">
        <v>615</v>
      </c>
      <c r="C93" s="599">
        <v>2</v>
      </c>
      <c r="D93" s="600" t="s">
        <v>426</v>
      </c>
      <c r="E93" s="600">
        <f>275*1</f>
        <v>275</v>
      </c>
      <c r="F93" s="600">
        <f>17+16+4</f>
        <v>37</v>
      </c>
      <c r="G93" s="599">
        <f t="shared" si="16"/>
        <v>10175</v>
      </c>
      <c r="H93" s="444"/>
      <c r="I93" s="585"/>
    </row>
    <row r="94" spans="1:9" ht="13.5" thickBot="1">
      <c r="A94" s="415"/>
      <c r="B94" s="416"/>
      <c r="C94" s="417"/>
      <c r="D94" s="418"/>
      <c r="E94" s="417"/>
      <c r="F94" s="417"/>
      <c r="G94" s="417"/>
      <c r="H94" s="443"/>
      <c r="I94" s="443"/>
    </row>
    <row r="95" spans="1:9">
      <c r="A95" s="594">
        <v>46051</v>
      </c>
      <c r="B95" s="595" t="s">
        <v>615</v>
      </c>
      <c r="C95" s="599">
        <v>2</v>
      </c>
      <c r="D95" s="600" t="s">
        <v>426</v>
      </c>
      <c r="E95" s="600">
        <f>275*1</f>
        <v>275</v>
      </c>
      <c r="F95" s="600">
        <v>50</v>
      </c>
      <c r="G95" s="599">
        <f t="shared" ref="G95" si="17">+E95*F95</f>
        <v>13750</v>
      </c>
      <c r="H95" s="444">
        <f>+G95/F95</f>
        <v>275</v>
      </c>
      <c r="I95" s="585">
        <f>+'29'!I38</f>
        <v>35.326000000000001</v>
      </c>
    </row>
    <row r="96" spans="1:9" ht="13.5" thickBot="1">
      <c r="A96" s="415"/>
      <c r="B96" s="416"/>
      <c r="C96" s="417"/>
      <c r="D96" s="418"/>
      <c r="E96" s="417"/>
      <c r="F96" s="417"/>
      <c r="G96" s="417"/>
      <c r="H96" s="443"/>
      <c r="I96" s="443"/>
    </row>
    <row r="97" spans="1:9">
      <c r="A97" s="594">
        <v>46052</v>
      </c>
      <c r="B97" s="595" t="s">
        <v>615</v>
      </c>
      <c r="C97" s="599">
        <v>2</v>
      </c>
      <c r="D97" s="600" t="s">
        <v>426</v>
      </c>
      <c r="E97" s="600">
        <f>275*1</f>
        <v>275</v>
      </c>
      <c r="F97" s="600">
        <v>11</v>
      </c>
      <c r="G97" s="599">
        <f t="shared" ref="G97" si="18">+E97*F97</f>
        <v>3025</v>
      </c>
      <c r="H97" s="444">
        <f>+G97/F97</f>
        <v>275</v>
      </c>
      <c r="I97" s="585">
        <f>+'30'!I38</f>
        <v>47.183</v>
      </c>
    </row>
    <row r="98" spans="1:9">
      <c r="A98" s="594"/>
      <c r="B98" s="595" t="s">
        <v>584</v>
      </c>
      <c r="C98" s="599">
        <v>2</v>
      </c>
      <c r="D98" s="600" t="s">
        <v>527</v>
      </c>
      <c r="E98" s="600">
        <f>137*2</f>
        <v>274</v>
      </c>
      <c r="F98" s="600">
        <v>50</v>
      </c>
      <c r="G98" s="599">
        <f t="shared" ref="G98" si="19">+E98*F98</f>
        <v>13700</v>
      </c>
      <c r="H98" s="444">
        <f>+G98/F98</f>
        <v>274</v>
      </c>
      <c r="I98" s="585"/>
    </row>
    <row r="99" spans="1:9" ht="13.5" thickBot="1">
      <c r="A99" s="415"/>
      <c r="B99" s="416"/>
      <c r="C99" s="417"/>
      <c r="D99" s="418"/>
      <c r="E99" s="417"/>
      <c r="F99" s="417"/>
      <c r="G99" s="417"/>
      <c r="H99" s="443"/>
      <c r="I99" s="443"/>
    </row>
    <row r="100" spans="1:9">
      <c r="A100" s="594">
        <v>46053</v>
      </c>
      <c r="B100" s="595" t="s">
        <v>584</v>
      </c>
      <c r="C100" s="599">
        <v>2</v>
      </c>
      <c r="D100" s="600" t="s">
        <v>527</v>
      </c>
      <c r="E100" s="600">
        <f>137*2</f>
        <v>274</v>
      </c>
      <c r="F100" s="600">
        <v>4</v>
      </c>
      <c r="G100" s="599">
        <f t="shared" ref="G100" si="20">+E100*F100</f>
        <v>1096</v>
      </c>
      <c r="H100" s="444">
        <f>+G100/F100</f>
        <v>274</v>
      </c>
      <c r="I100" s="585">
        <f>+'31'!I38</f>
        <v>0</v>
      </c>
    </row>
    <row r="101" spans="1:9" ht="13.5" thickBot="1">
      <c r="A101" s="415"/>
      <c r="B101" s="416"/>
      <c r="C101" s="417"/>
      <c r="D101" s="418"/>
      <c r="E101" s="417"/>
      <c r="F101" s="417"/>
      <c r="G101" s="417"/>
      <c r="H101" s="443"/>
      <c r="I101" s="443"/>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U232"/>
  <sheetViews>
    <sheetView zoomScale="90" zoomScaleNormal="90" workbookViewId="0">
      <pane xSplit="6" ySplit="6" topLeftCell="Y186" activePane="bottomRight" state="frozen"/>
      <selection activeCell="P136" sqref="P136"/>
      <selection pane="topRight" activeCell="P136" sqref="P136"/>
      <selection pane="bottomLeft" activeCell="P136" sqref="P136"/>
      <selection pane="bottomRight" activeCell="AD6" sqref="AD6:AE192"/>
    </sheetView>
  </sheetViews>
  <sheetFormatPr defaultColWidth="10.28515625" defaultRowHeight="12"/>
  <cols>
    <col min="1" max="1" width="12.28515625" style="33" customWidth="1"/>
    <col min="2" max="2" width="14.140625" style="33" customWidth="1"/>
    <col min="3" max="3" width="10.140625" style="33" customWidth="1"/>
    <col min="4" max="4" width="10.28515625" style="33" customWidth="1"/>
    <col min="5" max="5" width="7.5703125" style="33" bestFit="1" customWidth="1"/>
    <col min="6" max="6" width="7" style="61" customWidth="1"/>
    <col min="7" max="9" width="10.28515625" style="33" customWidth="1"/>
    <col min="10" max="11" width="10.28515625" style="90" customWidth="1"/>
    <col min="12" max="13" width="12.7109375" style="62" customWidth="1"/>
    <col min="14" max="15" width="10.28515625" style="33" customWidth="1"/>
    <col min="16" max="16" width="16.85546875" style="33" bestFit="1" customWidth="1"/>
    <col min="17" max="17" width="12.7109375" style="380" customWidth="1"/>
    <col min="18" max="19" width="10.28515625" style="33" customWidth="1"/>
    <col min="20" max="20" width="10.7109375" style="33" customWidth="1"/>
    <col min="21" max="21" width="10.28515625" style="33" customWidth="1"/>
    <col min="22" max="22" width="12.28515625" style="33" customWidth="1"/>
    <col min="23" max="23" width="14.85546875" style="33" customWidth="1"/>
    <col min="24" max="24" width="10.28515625" style="33" customWidth="1"/>
    <col min="25" max="25" width="10.140625" style="33" customWidth="1"/>
    <col min="26" max="28" width="10.28515625" style="33" customWidth="1"/>
    <col min="29" max="29" width="19.28515625" style="33" customWidth="1"/>
    <col min="30" max="30" width="11.42578125" style="33" bestFit="1" customWidth="1"/>
    <col min="31" max="31" width="41.42578125" style="33" customWidth="1"/>
    <col min="32" max="38" width="10.28515625" style="33" customWidth="1"/>
    <col min="39" max="39" width="11.7109375" style="33" customWidth="1"/>
    <col min="40" max="41" width="10.28515625" style="33" customWidth="1"/>
    <col min="42" max="43" width="12.42578125" style="33" customWidth="1"/>
    <col min="44" max="44" width="29.7109375" style="33" customWidth="1"/>
    <col min="45" max="55" width="10.28515625" style="33" customWidth="1"/>
    <col min="56" max="16384" width="10.28515625" style="33"/>
  </cols>
  <sheetData>
    <row r="1" spans="1:60" s="26" customFormat="1" ht="15.75" customHeight="1">
      <c r="A1" s="25" t="s">
        <v>379</v>
      </c>
      <c r="G1" s="27"/>
      <c r="H1" s="27"/>
      <c r="I1" s="27"/>
      <c r="J1" s="87"/>
      <c r="K1" s="87"/>
      <c r="L1" s="28"/>
      <c r="M1" s="28"/>
      <c r="O1" s="27"/>
      <c r="P1" s="29"/>
      <c r="Q1" s="27"/>
      <c r="R1" s="29"/>
      <c r="S1" s="29"/>
      <c r="W1" s="29"/>
      <c r="X1" s="30"/>
      <c r="Y1" s="30"/>
      <c r="Z1" s="29"/>
      <c r="AF1" s="29"/>
      <c r="AG1" s="29"/>
      <c r="AH1" s="29"/>
      <c r="AI1" s="29"/>
      <c r="AJ1" s="29"/>
      <c r="AK1" s="29"/>
      <c r="AL1" s="29"/>
      <c r="AM1" s="29"/>
      <c r="AN1" s="29"/>
      <c r="AO1" s="29"/>
      <c r="AP1" s="29"/>
      <c r="AQ1" s="29"/>
      <c r="AR1" s="29"/>
      <c r="AS1" s="29"/>
      <c r="AT1" s="29"/>
      <c r="AU1" s="29"/>
      <c r="AV1" s="29"/>
      <c r="AW1" s="29"/>
      <c r="AX1" s="29"/>
      <c r="AY1" s="29"/>
      <c r="AZ1" s="29"/>
      <c r="BA1" s="29"/>
      <c r="BB1" s="29"/>
      <c r="BC1" s="29"/>
    </row>
    <row r="2" spans="1:60" s="26" customFormat="1">
      <c r="A2" s="97"/>
      <c r="G2" s="27"/>
      <c r="H2" s="27"/>
      <c r="I2" s="27"/>
      <c r="J2" s="87"/>
      <c r="K2" s="87"/>
      <c r="L2" s="28"/>
      <c r="M2" s="28"/>
      <c r="O2" s="27"/>
      <c r="P2" s="29"/>
      <c r="Q2" s="27"/>
      <c r="R2" s="29"/>
      <c r="S2" s="29"/>
      <c r="W2" s="29"/>
      <c r="X2" s="30"/>
      <c r="Y2" s="30"/>
      <c r="Z2" s="29"/>
      <c r="AF2" s="29"/>
      <c r="AG2" s="29"/>
      <c r="AH2" s="29"/>
      <c r="AI2" s="29"/>
      <c r="AJ2" s="29"/>
      <c r="AK2" s="29"/>
      <c r="AL2" s="29"/>
      <c r="AM2" s="29"/>
      <c r="AN2" s="29"/>
      <c r="AO2" s="29"/>
      <c r="AP2" s="29"/>
      <c r="AQ2" s="29"/>
      <c r="AR2" s="29"/>
      <c r="AS2" s="29"/>
      <c r="AT2" s="29"/>
      <c r="AU2" s="29"/>
      <c r="AV2" s="29"/>
      <c r="AW2" s="29"/>
      <c r="AX2" s="29"/>
      <c r="AY2" s="29"/>
      <c r="AZ2" s="29"/>
      <c r="BA2" s="29"/>
      <c r="BB2" s="29"/>
      <c r="BC2" s="29"/>
    </row>
    <row r="3" spans="1:60" ht="24" customHeight="1">
      <c r="A3" s="685" t="s">
        <v>9</v>
      </c>
      <c r="B3" s="685" t="s">
        <v>10</v>
      </c>
      <c r="C3" s="685" t="s">
        <v>197</v>
      </c>
      <c r="D3" s="685" t="s">
        <v>105</v>
      </c>
      <c r="E3" s="685" t="s">
        <v>106</v>
      </c>
      <c r="F3" s="685" t="s">
        <v>107</v>
      </c>
      <c r="G3" s="707" t="s">
        <v>108</v>
      </c>
      <c r="H3" s="708"/>
      <c r="I3" s="708"/>
      <c r="J3" s="708"/>
      <c r="K3" s="709"/>
      <c r="L3" s="713" t="s">
        <v>109</v>
      </c>
      <c r="M3" s="714"/>
      <c r="N3" s="715"/>
      <c r="O3" s="719" t="s">
        <v>110</v>
      </c>
      <c r="P3" s="680" t="s">
        <v>122</v>
      </c>
      <c r="Q3" s="719" t="s">
        <v>111</v>
      </c>
      <c r="R3" s="678" t="s">
        <v>112</v>
      </c>
      <c r="S3" s="678" t="s">
        <v>113</v>
      </c>
      <c r="T3" s="685" t="s">
        <v>166</v>
      </c>
      <c r="U3" s="685" t="s">
        <v>165</v>
      </c>
      <c r="V3" s="685" t="s">
        <v>167</v>
      </c>
      <c r="W3" s="678" t="s">
        <v>157</v>
      </c>
      <c r="X3" s="698" t="s">
        <v>115</v>
      </c>
      <c r="Y3" s="698" t="s">
        <v>289</v>
      </c>
      <c r="Z3" s="678" t="s">
        <v>116</v>
      </c>
      <c r="AA3" s="685" t="s">
        <v>168</v>
      </c>
      <c r="AB3" s="685" t="s">
        <v>179</v>
      </c>
      <c r="AC3" s="685" t="s">
        <v>177</v>
      </c>
      <c r="AD3" s="685" t="s">
        <v>140</v>
      </c>
      <c r="AE3" s="685" t="s">
        <v>141</v>
      </c>
      <c r="AF3" s="721" t="s">
        <v>142</v>
      </c>
      <c r="AG3" s="721"/>
      <c r="AH3" s="721"/>
      <c r="AI3" s="721"/>
      <c r="AJ3" s="721"/>
      <c r="AK3" s="721"/>
      <c r="AL3" s="721"/>
      <c r="AM3" s="674" t="s">
        <v>143</v>
      </c>
      <c r="AN3" s="686" t="s">
        <v>117</v>
      </c>
      <c r="AO3" s="686"/>
      <c r="AP3" s="686"/>
      <c r="AQ3" s="686"/>
      <c r="AR3" s="686"/>
      <c r="AS3" s="687" t="s">
        <v>118</v>
      </c>
      <c r="AT3" s="681" t="s">
        <v>198</v>
      </c>
      <c r="AU3" s="682"/>
      <c r="AV3" s="689" t="s">
        <v>144</v>
      </c>
      <c r="AW3" s="690"/>
      <c r="AX3" s="722" t="s">
        <v>144</v>
      </c>
      <c r="AY3" s="723"/>
      <c r="AZ3" s="705" t="s">
        <v>144</v>
      </c>
      <c r="BA3" s="706"/>
      <c r="BB3" s="691" t="s">
        <v>298</v>
      </c>
      <c r="BC3" s="677" t="s">
        <v>119</v>
      </c>
      <c r="BD3" s="672" t="s">
        <v>120</v>
      </c>
      <c r="BE3" s="672" t="s">
        <v>121</v>
      </c>
      <c r="BF3" s="666" t="s">
        <v>367</v>
      </c>
      <c r="BG3" s="669" t="s">
        <v>368</v>
      </c>
      <c r="BH3" s="672" t="s">
        <v>369</v>
      </c>
    </row>
    <row r="4" spans="1:60" ht="12" customHeight="1">
      <c r="A4" s="696"/>
      <c r="B4" s="696"/>
      <c r="C4" s="696"/>
      <c r="D4" s="696"/>
      <c r="E4" s="696"/>
      <c r="F4" s="696"/>
      <c r="G4" s="710"/>
      <c r="H4" s="711"/>
      <c r="I4" s="711"/>
      <c r="J4" s="711"/>
      <c r="K4" s="712"/>
      <c r="L4" s="716"/>
      <c r="M4" s="717"/>
      <c r="N4" s="718"/>
      <c r="O4" s="720"/>
      <c r="P4" s="694"/>
      <c r="Q4" s="720"/>
      <c r="R4" s="697"/>
      <c r="S4" s="697"/>
      <c r="T4" s="696"/>
      <c r="U4" s="696"/>
      <c r="V4" s="696"/>
      <c r="W4" s="697"/>
      <c r="X4" s="699"/>
      <c r="Y4" s="699"/>
      <c r="Z4" s="697"/>
      <c r="AA4" s="696"/>
      <c r="AB4" s="696"/>
      <c r="AC4" s="696"/>
      <c r="AD4" s="696"/>
      <c r="AE4" s="696"/>
      <c r="AF4" s="702" t="s">
        <v>145</v>
      </c>
      <c r="AG4" s="703"/>
      <c r="AH4" s="704"/>
      <c r="AI4" s="694" t="s">
        <v>398</v>
      </c>
      <c r="AJ4" s="694" t="s">
        <v>16</v>
      </c>
      <c r="AK4" s="694" t="s">
        <v>146</v>
      </c>
      <c r="AL4" s="694" t="s">
        <v>19</v>
      </c>
      <c r="AM4" s="675"/>
      <c r="AN4" s="679" t="s">
        <v>123</v>
      </c>
      <c r="AO4" s="679" t="s">
        <v>16</v>
      </c>
      <c r="AP4" s="679" t="s">
        <v>124</v>
      </c>
      <c r="AQ4" s="679" t="s">
        <v>19</v>
      </c>
      <c r="AR4" s="677" t="s">
        <v>125</v>
      </c>
      <c r="AS4" s="687"/>
      <c r="AT4" s="683"/>
      <c r="AU4" s="684"/>
      <c r="AV4" s="519" t="s">
        <v>8</v>
      </c>
      <c r="AW4" s="519" t="s">
        <v>147</v>
      </c>
      <c r="AX4" s="520" t="s">
        <v>8</v>
      </c>
      <c r="AY4" s="521" t="s">
        <v>147</v>
      </c>
      <c r="AZ4" s="622" t="s">
        <v>8</v>
      </c>
      <c r="BA4" s="623" t="s">
        <v>147</v>
      </c>
      <c r="BB4" s="692"/>
      <c r="BC4" s="677"/>
      <c r="BD4" s="672"/>
      <c r="BE4" s="672"/>
      <c r="BF4" s="667"/>
      <c r="BG4" s="670"/>
      <c r="BH4" s="672"/>
    </row>
    <row r="5" spans="1:60" s="36" customFormat="1" ht="48">
      <c r="A5" s="696"/>
      <c r="B5" s="696"/>
      <c r="C5" s="701"/>
      <c r="D5" s="696"/>
      <c r="E5" s="696"/>
      <c r="F5" s="696"/>
      <c r="G5" s="505" t="s">
        <v>126</v>
      </c>
      <c r="H5" s="504" t="s">
        <v>127</v>
      </c>
      <c r="I5" s="34" t="s">
        <v>128</v>
      </c>
      <c r="J5" s="88" t="s">
        <v>129</v>
      </c>
      <c r="K5" s="88" t="s">
        <v>114</v>
      </c>
      <c r="L5" s="35" t="s">
        <v>130</v>
      </c>
      <c r="M5" s="35" t="s">
        <v>131</v>
      </c>
      <c r="N5" s="504" t="s">
        <v>132</v>
      </c>
      <c r="O5" s="720"/>
      <c r="P5" s="695"/>
      <c r="Q5" s="720"/>
      <c r="R5" s="697"/>
      <c r="S5" s="697"/>
      <c r="T5" s="696"/>
      <c r="U5" s="696"/>
      <c r="V5" s="696"/>
      <c r="W5" s="697"/>
      <c r="X5" s="699"/>
      <c r="Y5" s="700"/>
      <c r="Z5" s="697"/>
      <c r="AA5" s="696"/>
      <c r="AB5" s="701"/>
      <c r="AC5" s="696"/>
      <c r="AD5" s="701"/>
      <c r="AE5" s="696"/>
      <c r="AF5" s="461" t="s">
        <v>290</v>
      </c>
      <c r="AG5" s="523" t="s">
        <v>291</v>
      </c>
      <c r="AH5" s="523" t="s">
        <v>292</v>
      </c>
      <c r="AI5" s="695"/>
      <c r="AJ5" s="695"/>
      <c r="AK5" s="695"/>
      <c r="AL5" s="695"/>
      <c r="AM5" s="676"/>
      <c r="AN5" s="680"/>
      <c r="AO5" s="680"/>
      <c r="AP5" s="680"/>
      <c r="AQ5" s="680"/>
      <c r="AR5" s="678"/>
      <c r="AS5" s="688"/>
      <c r="AT5" s="524" t="s">
        <v>286</v>
      </c>
      <c r="AU5" s="524" t="s">
        <v>287</v>
      </c>
      <c r="AV5" s="522" t="s">
        <v>288</v>
      </c>
      <c r="AW5" s="522" t="s">
        <v>288</v>
      </c>
      <c r="AX5" s="520" t="s">
        <v>18</v>
      </c>
      <c r="AY5" s="520" t="s">
        <v>18</v>
      </c>
      <c r="AZ5" s="622" t="s">
        <v>595</v>
      </c>
      <c r="BA5" s="622" t="s">
        <v>595</v>
      </c>
      <c r="BB5" s="693"/>
      <c r="BC5" s="678"/>
      <c r="BD5" s="685"/>
      <c r="BE5" s="685"/>
      <c r="BF5" s="668"/>
      <c r="BG5" s="671"/>
      <c r="BH5" s="673"/>
    </row>
    <row r="6" spans="1:60" ht="12.95" customHeight="1">
      <c r="A6" s="44">
        <f>+Report1!A9</f>
        <v>46023</v>
      </c>
      <c r="B6" s="45" t="s">
        <v>417</v>
      </c>
      <c r="C6" s="451">
        <f>(M6*E6*O6*Q6)/100000000</f>
        <v>51.492346768060834</v>
      </c>
      <c r="D6" s="45" t="s">
        <v>430</v>
      </c>
      <c r="E6" s="46">
        <v>13.5</v>
      </c>
      <c r="F6" s="46">
        <v>1</v>
      </c>
      <c r="G6" s="506">
        <v>1310</v>
      </c>
      <c r="H6" s="48">
        <f>+N6</f>
        <v>0.21458468979629797</v>
      </c>
      <c r="I6" s="49">
        <v>0.88</v>
      </c>
      <c r="J6" s="89">
        <f>E6*G6*(1-H6)*1440/1000000*2.75</f>
        <v>55.004676253371784</v>
      </c>
      <c r="K6" s="89">
        <f t="shared" ref="K6" si="0">(IF(G6&lt;L6,L6,G6)*(1-IF(H6&lt;N6,H6,N6))*E6*O6*Q6)/100000000</f>
        <v>55.00467625337177</v>
      </c>
      <c r="L6" s="39">
        <v>1226.3498098859316</v>
      </c>
      <c r="M6" s="39">
        <v>963.19391634980991</v>
      </c>
      <c r="N6" s="50">
        <f>1-(M6/L6)</f>
        <v>0.21458468979629797</v>
      </c>
      <c r="O6" s="51">
        <f>+'Trim Rwd'!H4</f>
        <v>275</v>
      </c>
      <c r="P6" s="52">
        <f>O6*(Q6-R6-S6)</f>
        <v>347325</v>
      </c>
      <c r="Q6" s="51">
        <v>1440</v>
      </c>
      <c r="R6" s="507">
        <v>125</v>
      </c>
      <c r="S6" s="507">
        <v>52</v>
      </c>
      <c r="T6" s="41">
        <f>E6*M6*O6*Q6/100000000</f>
        <v>51.492346768060834</v>
      </c>
      <c r="U6" s="41">
        <f>E6*M6*O6*(Q6-R6-S6)/100000000</f>
        <v>45.163079144486694</v>
      </c>
      <c r="V6" s="41">
        <f>E6*G6*(1-N6)*O6/100*(R6+S6)/1000000</f>
        <v>6.7609914561436151</v>
      </c>
      <c r="W6" s="41">
        <f>+'1'!K7/1000</f>
        <v>44.228000000000002</v>
      </c>
      <c r="X6" s="508">
        <f>SUM(W6:W9)/SUM(K6:K9)</f>
        <v>0.80407708966905955</v>
      </c>
      <c r="Y6" s="218">
        <v>0</v>
      </c>
      <c r="Z6" s="41">
        <v>0</v>
      </c>
      <c r="AA6" s="53">
        <f>SUM(U6:U9)-SUM(W6:W9)-SUM(Z6:Z9)-SUM(Y6:Y9)</f>
        <v>0.93507914448669283</v>
      </c>
      <c r="AB6" s="53">
        <f>(SUM(K6:K9)-SUM(W6:W9)-SUM(Y6:Y9)-SUM(Z6:Z9)-SUM(AC6:AC9)-SUM(V6:V9))-AA6</f>
        <v>-0.43172383256947544</v>
      </c>
      <c r="AC6" s="41">
        <f>K6-T6</f>
        <v>3.5123294853109357</v>
      </c>
      <c r="AD6" s="41">
        <f>+AM6+BC6</f>
        <v>4</v>
      </c>
      <c r="AE6" s="237" t="s">
        <v>394</v>
      </c>
      <c r="AF6" s="41">
        <v>4</v>
      </c>
      <c r="AG6" s="41"/>
      <c r="AH6" s="41"/>
      <c r="AI6" s="509"/>
      <c r="AJ6" s="41"/>
      <c r="AK6" s="41"/>
      <c r="AL6" s="41"/>
      <c r="AM6" s="41">
        <f>SUM(AF6:AL6)+AT6</f>
        <v>4</v>
      </c>
      <c r="AN6" s="41"/>
      <c r="AO6" s="41"/>
      <c r="AP6" s="41"/>
      <c r="AQ6" s="41"/>
      <c r="AR6" s="41">
        <f>SUM(AN6:AQ6)</f>
        <v>0</v>
      </c>
      <c r="AS6" s="41"/>
      <c r="AT6" s="41"/>
      <c r="AU6" s="41"/>
      <c r="AV6" s="41"/>
      <c r="AW6" s="41"/>
      <c r="AX6" s="41"/>
      <c r="AY6" s="41"/>
      <c r="AZ6" s="41"/>
      <c r="BA6" s="41"/>
      <c r="BB6" s="41"/>
      <c r="BC6" s="41">
        <f>+AR6+AS6+AU6+AV6+AX6</f>
        <v>0</v>
      </c>
      <c r="BD6" s="37">
        <v>2</v>
      </c>
      <c r="BE6" s="55"/>
      <c r="BF6" s="55"/>
      <c r="BG6" s="37"/>
      <c r="BH6" s="55"/>
    </row>
    <row r="7" spans="1:60" ht="12.95" customHeight="1">
      <c r="A7" s="44"/>
      <c r="B7" s="45"/>
      <c r="C7" s="451"/>
      <c r="D7" s="45"/>
      <c r="E7" s="46"/>
      <c r="F7" s="46"/>
      <c r="G7" s="506"/>
      <c r="H7" s="48"/>
      <c r="I7" s="49"/>
      <c r="J7" s="89"/>
      <c r="K7" s="89"/>
      <c r="L7" s="39"/>
      <c r="M7" s="39"/>
      <c r="N7" s="50"/>
      <c r="O7" s="51"/>
      <c r="P7" s="52"/>
      <c r="Q7" s="51"/>
      <c r="R7" s="507"/>
      <c r="S7" s="507"/>
      <c r="T7" s="41"/>
      <c r="U7" s="41"/>
      <c r="V7" s="41"/>
      <c r="W7" s="41"/>
      <c r="X7" s="42"/>
      <c r="Y7" s="218"/>
      <c r="Z7" s="41"/>
      <c r="AA7" s="41"/>
      <c r="AB7" s="41"/>
      <c r="AC7" s="41"/>
      <c r="AD7" s="41">
        <f t="shared" ref="AD7:AD10" si="1">+AM7+BC7</f>
        <v>11</v>
      </c>
      <c r="AE7" s="237" t="s">
        <v>419</v>
      </c>
      <c r="AF7" s="41"/>
      <c r="AG7" s="41">
        <v>11</v>
      </c>
      <c r="AH7" s="41"/>
      <c r="AI7" s="509"/>
      <c r="AJ7" s="41"/>
      <c r="AK7" s="41"/>
      <c r="AL7" s="41"/>
      <c r="AM7" s="41">
        <f t="shared" ref="AM7:AM10" si="2">SUM(AF7:AL7)+AT7</f>
        <v>11</v>
      </c>
      <c r="AN7" s="90"/>
      <c r="AO7" s="41"/>
      <c r="AP7" s="41"/>
      <c r="AQ7" s="41"/>
      <c r="AR7" s="41">
        <f t="shared" ref="AR7:AR10" si="3">SUM(AN7:AQ7)</f>
        <v>0</v>
      </c>
      <c r="AS7" s="41"/>
      <c r="AT7" s="41"/>
      <c r="AU7" s="41"/>
      <c r="AV7" s="41"/>
      <c r="AW7" s="41"/>
      <c r="AX7" s="41"/>
      <c r="AY7" s="41"/>
      <c r="AZ7" s="41"/>
      <c r="BA7" s="41"/>
      <c r="BB7" s="41"/>
      <c r="BC7" s="41">
        <f t="shared" ref="BC7:BC10" si="4">+AR7+AS7+AU7+AV7+AX7</f>
        <v>0</v>
      </c>
      <c r="BD7" s="54"/>
      <c r="BE7" s="55">
        <v>11</v>
      </c>
      <c r="BF7" s="55"/>
      <c r="BG7" s="54"/>
      <c r="BH7" s="55"/>
    </row>
    <row r="8" spans="1:60" ht="12.95" customHeight="1">
      <c r="A8" s="44"/>
      <c r="B8" s="45"/>
      <c r="C8" s="451"/>
      <c r="D8" s="45"/>
      <c r="E8" s="46"/>
      <c r="F8" s="46"/>
      <c r="G8" s="47"/>
      <c r="H8" s="48"/>
      <c r="I8" s="49"/>
      <c r="J8" s="89"/>
      <c r="K8" s="89"/>
      <c r="L8" s="39"/>
      <c r="M8" s="39"/>
      <c r="N8" s="50"/>
      <c r="O8" s="51"/>
      <c r="P8" s="52"/>
      <c r="Q8" s="51"/>
      <c r="R8" s="507"/>
      <c r="S8" s="507"/>
      <c r="T8" s="41"/>
      <c r="U8" s="41"/>
      <c r="V8" s="41"/>
      <c r="W8" s="41"/>
      <c r="X8" s="42"/>
      <c r="Y8" s="218"/>
      <c r="Z8" s="41"/>
      <c r="AA8" s="41"/>
      <c r="AB8" s="41"/>
      <c r="AC8" s="41"/>
      <c r="AD8" s="41">
        <f t="shared" si="1"/>
        <v>22</v>
      </c>
      <c r="AE8" s="237" t="s">
        <v>420</v>
      </c>
      <c r="AF8" s="37"/>
      <c r="AG8" s="37"/>
      <c r="AH8" s="37">
        <v>22</v>
      </c>
      <c r="AJ8" s="41"/>
      <c r="AK8" s="41"/>
      <c r="AL8" s="41"/>
      <c r="AM8" s="41">
        <f t="shared" si="2"/>
        <v>22</v>
      </c>
      <c r="AN8" s="41"/>
      <c r="AO8" s="41"/>
      <c r="AP8" s="41"/>
      <c r="AQ8" s="41"/>
      <c r="AR8" s="41">
        <f t="shared" si="3"/>
        <v>0</v>
      </c>
      <c r="AS8" s="41"/>
      <c r="AT8" s="41"/>
      <c r="AU8" s="41"/>
      <c r="AV8" s="41"/>
      <c r="AW8" s="41"/>
      <c r="AX8" s="41"/>
      <c r="AY8" s="41"/>
      <c r="AZ8" s="41"/>
      <c r="BA8" s="41"/>
      <c r="BB8" s="41"/>
      <c r="BC8" s="41">
        <f t="shared" si="4"/>
        <v>0</v>
      </c>
      <c r="BD8" s="37"/>
      <c r="BE8" s="510"/>
      <c r="BF8" s="510"/>
      <c r="BG8" s="37"/>
      <c r="BH8" s="510"/>
    </row>
    <row r="9" spans="1:60" ht="12.95" customHeight="1">
      <c r="A9" s="44"/>
      <c r="B9" s="45"/>
      <c r="C9" s="451"/>
      <c r="D9" s="45"/>
      <c r="E9" s="46"/>
      <c r="F9" s="46"/>
      <c r="G9" s="47"/>
      <c r="H9" s="48"/>
      <c r="I9" s="49"/>
      <c r="J9" s="89"/>
      <c r="K9" s="89"/>
      <c r="L9" s="39"/>
      <c r="M9" s="39"/>
      <c r="N9" s="50"/>
      <c r="O9" s="51"/>
      <c r="P9" s="52"/>
      <c r="Q9" s="38"/>
      <c r="R9" s="507"/>
      <c r="S9" s="507"/>
      <c r="T9" s="41"/>
      <c r="U9" s="41"/>
      <c r="V9" s="41"/>
      <c r="W9" s="41"/>
      <c r="X9" s="42"/>
      <c r="Y9" s="218"/>
      <c r="Z9" s="41"/>
      <c r="AA9" s="41"/>
      <c r="AB9" s="41"/>
      <c r="AC9" s="41"/>
      <c r="AD9" s="41">
        <f t="shared" si="1"/>
        <v>15</v>
      </c>
      <c r="AE9" s="240" t="s">
        <v>225</v>
      </c>
      <c r="AF9" s="41"/>
      <c r="AG9" s="41"/>
      <c r="AH9" s="41"/>
      <c r="AI9" s="509">
        <v>15</v>
      </c>
      <c r="AJ9" s="41"/>
      <c r="AK9" s="41"/>
      <c r="AL9" s="41"/>
      <c r="AM9" s="41">
        <f t="shared" si="2"/>
        <v>15</v>
      </c>
      <c r="AN9" s="41"/>
      <c r="AO9" s="41"/>
      <c r="AP9" s="41"/>
      <c r="AQ9" s="41"/>
      <c r="AR9" s="41">
        <f t="shared" si="3"/>
        <v>0</v>
      </c>
      <c r="AS9" s="41"/>
      <c r="AT9" s="41"/>
      <c r="AU9" s="41"/>
      <c r="AV9" s="41"/>
      <c r="AW9" s="41"/>
      <c r="AX9" s="41"/>
      <c r="AY9" s="41"/>
      <c r="AZ9" s="41"/>
      <c r="BA9" s="41"/>
      <c r="BB9" s="41"/>
      <c r="BC9" s="41">
        <f t="shared" si="4"/>
        <v>0</v>
      </c>
      <c r="BD9" s="54"/>
      <c r="BE9" s="55"/>
      <c r="BF9" s="55"/>
      <c r="BG9" s="54"/>
      <c r="BH9" s="55"/>
    </row>
    <row r="10" spans="1:60" ht="12.95" customHeight="1">
      <c r="A10" s="44"/>
      <c r="B10" s="45"/>
      <c r="C10" s="451"/>
      <c r="D10" s="45"/>
      <c r="E10" s="46"/>
      <c r="F10" s="46"/>
      <c r="G10" s="506"/>
      <c r="H10" s="48"/>
      <c r="I10" s="49"/>
      <c r="J10" s="89"/>
      <c r="K10" s="89"/>
      <c r="L10" s="39"/>
      <c r="M10" s="39"/>
      <c r="N10" s="50"/>
      <c r="O10" s="51"/>
      <c r="P10" s="52"/>
      <c r="Q10" s="51"/>
      <c r="R10" s="507"/>
      <c r="S10" s="507"/>
      <c r="T10" s="41"/>
      <c r="U10" s="41"/>
      <c r="V10" s="41"/>
      <c r="W10" s="41"/>
      <c r="X10" s="508"/>
      <c r="Y10" s="218"/>
      <c r="Z10" s="41"/>
      <c r="AA10" s="53"/>
      <c r="AB10" s="53"/>
      <c r="AC10" s="41"/>
      <c r="AD10" s="41">
        <f t="shared" si="1"/>
        <v>125</v>
      </c>
      <c r="AE10" s="240" t="s">
        <v>421</v>
      </c>
      <c r="AF10" s="41"/>
      <c r="AG10" s="41"/>
      <c r="AH10" s="41"/>
      <c r="AI10" s="509"/>
      <c r="AJ10" s="41"/>
      <c r="AK10" s="41"/>
      <c r="AL10" s="41"/>
      <c r="AM10" s="41">
        <f t="shared" si="2"/>
        <v>0</v>
      </c>
      <c r="AN10" s="41">
        <v>125</v>
      </c>
      <c r="AO10" s="41"/>
      <c r="AP10" s="41"/>
      <c r="AQ10" s="41"/>
      <c r="AR10" s="41">
        <f t="shared" si="3"/>
        <v>125</v>
      </c>
      <c r="AS10" s="41"/>
      <c r="AT10" s="41"/>
      <c r="AU10" s="41"/>
      <c r="AV10" s="41"/>
      <c r="AW10" s="41"/>
      <c r="AX10" s="41"/>
      <c r="AY10" s="41"/>
      <c r="AZ10" s="41"/>
      <c r="BA10" s="41"/>
      <c r="BB10" s="41"/>
      <c r="BC10" s="41">
        <f t="shared" si="4"/>
        <v>125</v>
      </c>
      <c r="BD10" s="37"/>
      <c r="BE10" s="55"/>
      <c r="BF10" s="55"/>
      <c r="BG10" s="37"/>
      <c r="BH10" s="55">
        <v>1</v>
      </c>
    </row>
    <row r="11" spans="1:60" ht="12.75" customHeight="1">
      <c r="A11" s="44"/>
      <c r="B11" s="45"/>
      <c r="C11" s="451"/>
      <c r="D11" s="45"/>
      <c r="E11" s="46"/>
      <c r="F11" s="46"/>
      <c r="G11" s="506"/>
      <c r="H11" s="48"/>
      <c r="I11" s="49"/>
      <c r="J11" s="89"/>
      <c r="K11" s="89"/>
      <c r="L11" s="39"/>
      <c r="M11" s="39"/>
      <c r="N11" s="50"/>
      <c r="O11" s="51"/>
      <c r="P11" s="52"/>
      <c r="Q11" s="51"/>
      <c r="R11" s="507"/>
      <c r="S11" s="507"/>
      <c r="T11" s="41"/>
      <c r="U11" s="41"/>
      <c r="V11" s="41"/>
      <c r="W11" s="41"/>
      <c r="X11" s="42"/>
      <c r="Y11" s="218"/>
      <c r="Z11" s="41"/>
      <c r="AA11" s="41"/>
      <c r="AB11" s="41"/>
      <c r="AC11" s="41"/>
      <c r="AD11" s="41"/>
      <c r="AE11" s="237"/>
      <c r="AF11" s="41"/>
      <c r="AG11" s="41"/>
      <c r="AH11" s="41"/>
      <c r="AI11" s="509"/>
      <c r="AJ11" s="41"/>
      <c r="AK11" s="41"/>
      <c r="AL11" s="41"/>
      <c r="AM11" s="41"/>
      <c r="AN11" s="90"/>
      <c r="AO11" s="41"/>
      <c r="AP11" s="41"/>
      <c r="AQ11" s="41"/>
      <c r="AR11" s="41"/>
      <c r="AS11" s="41"/>
      <c r="AT11" s="41"/>
      <c r="AU11" s="41"/>
      <c r="AV11" s="41"/>
      <c r="AW11" s="41"/>
      <c r="AX11" s="41"/>
      <c r="AY11" s="41"/>
      <c r="AZ11" s="41"/>
      <c r="BA11" s="41"/>
      <c r="BB11" s="41"/>
      <c r="BC11" s="41"/>
      <c r="BD11" s="54"/>
      <c r="BE11" s="55"/>
      <c r="BF11" s="55"/>
      <c r="BG11" s="54"/>
      <c r="BH11" s="55"/>
    </row>
    <row r="12" spans="1:60" ht="12.95" customHeight="1">
      <c r="A12" s="44">
        <v>46024</v>
      </c>
      <c r="B12" s="45" t="s">
        <v>417</v>
      </c>
      <c r="C12" s="451">
        <f>(M12*E12*O12*Q12)/100000000</f>
        <v>52.1235</v>
      </c>
      <c r="D12" s="45" t="s">
        <v>430</v>
      </c>
      <c r="E12" s="46">
        <v>13.5</v>
      </c>
      <c r="F12" s="46">
        <v>1</v>
      </c>
      <c r="G12" s="506">
        <v>1320</v>
      </c>
      <c r="H12" s="48">
        <f>+N12</f>
        <v>0.21999999999999997</v>
      </c>
      <c r="I12" s="49">
        <v>0.88</v>
      </c>
      <c r="J12" s="89">
        <f>E12*G12*(1-H12)*1440/1000000*2.75</f>
        <v>55.042415999999996</v>
      </c>
      <c r="K12" s="89">
        <f t="shared" ref="K12" si="5">(IF(G12&lt;L12,L12,G12)*(1-IF(H12&lt;N12,H12,N12))*E12*O12*Q12)/100000000</f>
        <v>55.04241600000001</v>
      </c>
      <c r="L12" s="39">
        <v>1250</v>
      </c>
      <c r="M12" s="39">
        <v>975</v>
      </c>
      <c r="N12" s="50">
        <f>1-(M12/L12)</f>
        <v>0.21999999999999997</v>
      </c>
      <c r="O12" s="51">
        <f>+'Trim Rwd'!H6</f>
        <v>275</v>
      </c>
      <c r="P12" s="52">
        <f>O12*(Q12-R12-S12)</f>
        <v>380875</v>
      </c>
      <c r="Q12" s="51">
        <v>1440</v>
      </c>
      <c r="R12" s="507">
        <v>0</v>
      </c>
      <c r="S12" s="507">
        <v>55</v>
      </c>
      <c r="T12" s="41">
        <f>E12*M12*O12*Q12/100000000</f>
        <v>52.1235</v>
      </c>
      <c r="U12" s="41">
        <f>E12*M12*O12*(Q12-R12-S12)/100000000</f>
        <v>50.132671875</v>
      </c>
      <c r="V12" s="41">
        <f>E12*G12*(1-N12)*O12/100*(R12+S12)/1000000</f>
        <v>2.1023144999999999</v>
      </c>
      <c r="W12" s="41">
        <f>+'2'!K7/1000</f>
        <v>46.393999999999998</v>
      </c>
      <c r="X12" s="508">
        <f>SUM(W12:W15)/SUM(K12:K15)</f>
        <v>0.8428772457953152</v>
      </c>
      <c r="Y12" s="218">
        <v>0</v>
      </c>
      <c r="Z12" s="41">
        <f>+'2'!D34/1000</f>
        <v>1.24</v>
      </c>
      <c r="AA12" s="53">
        <f>SUM(U12:U15)-SUM(W12:W15)-SUM(Z12:Z15)-SUM(Y12:Y15)</f>
        <v>2.4986718750000012</v>
      </c>
      <c r="AB12" s="53">
        <f>(SUM(K12:K15)-SUM(W12:W15)-SUM(Y12:Y15)-SUM(Z12:Z15)-SUM(AC12:AC15)-SUM(V12:V15))-AA12</f>
        <v>-0.11148637499999969</v>
      </c>
      <c r="AC12" s="41">
        <f>K12-T12</f>
        <v>2.9189160000000101</v>
      </c>
      <c r="AD12" s="41">
        <f>+AM12+BC12</f>
        <v>0</v>
      </c>
      <c r="AE12" s="237" t="s">
        <v>386</v>
      </c>
      <c r="AF12" s="41">
        <v>0</v>
      </c>
      <c r="AG12" s="41"/>
      <c r="AH12" s="41"/>
      <c r="AI12" s="509"/>
      <c r="AJ12" s="41"/>
      <c r="AK12" s="41"/>
      <c r="AL12" s="41"/>
      <c r="AM12" s="41">
        <f>SUM(AF12:AL12)+AT12</f>
        <v>0</v>
      </c>
      <c r="AN12" s="41"/>
      <c r="AO12" s="41"/>
      <c r="AP12" s="41"/>
      <c r="AQ12" s="41"/>
      <c r="AR12" s="41">
        <f>SUM(AN12:AQ12)</f>
        <v>0</v>
      </c>
      <c r="AS12" s="41"/>
      <c r="AT12" s="41"/>
      <c r="AU12" s="41"/>
      <c r="AV12" s="41"/>
      <c r="AW12" s="41"/>
      <c r="AX12" s="41"/>
      <c r="AY12" s="41"/>
      <c r="AZ12" s="41"/>
      <c r="BA12" s="41"/>
      <c r="BB12" s="41"/>
      <c r="BC12" s="41">
        <f>+AR12+AS12+AU12+AV12+AX12</f>
        <v>0</v>
      </c>
      <c r="BD12" s="37">
        <v>0</v>
      </c>
      <c r="BE12" s="55"/>
      <c r="BF12" s="55"/>
      <c r="BG12" s="37"/>
      <c r="BH12" s="55"/>
    </row>
    <row r="13" spans="1:60" ht="12.95" customHeight="1">
      <c r="A13" s="44"/>
      <c r="B13" s="45"/>
      <c r="C13" s="451"/>
      <c r="D13" s="45"/>
      <c r="E13" s="46"/>
      <c r="F13" s="46"/>
      <c r="G13" s="506"/>
      <c r="H13" s="48"/>
      <c r="I13" s="49"/>
      <c r="J13" s="89"/>
      <c r="K13" s="89"/>
      <c r="L13" s="39"/>
      <c r="M13" s="39"/>
      <c r="N13" s="50"/>
      <c r="O13" s="51"/>
      <c r="P13" s="52"/>
      <c r="Q13" s="51"/>
      <c r="R13" s="507"/>
      <c r="S13" s="507"/>
      <c r="T13" s="41"/>
      <c r="U13" s="41"/>
      <c r="V13" s="41"/>
      <c r="W13" s="41"/>
      <c r="X13" s="42"/>
      <c r="Y13" s="218"/>
      <c r="Z13" s="41"/>
      <c r="AA13" s="41"/>
      <c r="AB13" s="41"/>
      <c r="AC13" s="41"/>
      <c r="AD13" s="41">
        <f t="shared" ref="AD13:AD15" si="6">+AM13+BC13</f>
        <v>12</v>
      </c>
      <c r="AE13" s="237" t="s">
        <v>438</v>
      </c>
      <c r="AF13" s="41"/>
      <c r="AG13" s="41">
        <v>12</v>
      </c>
      <c r="AH13" s="41"/>
      <c r="AI13" s="509"/>
      <c r="AJ13" s="41"/>
      <c r="AK13" s="41"/>
      <c r="AL13" s="41"/>
      <c r="AM13" s="41">
        <f t="shared" ref="AM13:AM15" si="7">SUM(AF13:AL13)+AT13</f>
        <v>12</v>
      </c>
      <c r="AN13" s="90"/>
      <c r="AO13" s="41"/>
      <c r="AP13" s="41"/>
      <c r="AQ13" s="41"/>
      <c r="AR13" s="41">
        <f t="shared" ref="AR13:AR15" si="8">SUM(AN13:AQ13)</f>
        <v>0</v>
      </c>
      <c r="AS13" s="41"/>
      <c r="AT13" s="41"/>
      <c r="AU13" s="41"/>
      <c r="AV13" s="41"/>
      <c r="AW13" s="41"/>
      <c r="AX13" s="41"/>
      <c r="AY13" s="41"/>
      <c r="AZ13" s="41"/>
      <c r="BA13" s="41"/>
      <c r="BB13" s="41"/>
      <c r="BC13" s="41">
        <f t="shared" ref="BC13:BC15" si="9">+AR13+AS13+AU13+AV13+AX13</f>
        <v>0</v>
      </c>
      <c r="BD13" s="54"/>
      <c r="BE13" s="55">
        <v>8</v>
      </c>
      <c r="BF13" s="55"/>
      <c r="BG13" s="54"/>
      <c r="BH13" s="55"/>
    </row>
    <row r="14" spans="1:60" ht="12.95" customHeight="1">
      <c r="A14" s="44"/>
      <c r="B14" s="45"/>
      <c r="C14" s="451"/>
      <c r="D14" s="45"/>
      <c r="E14" s="46"/>
      <c r="F14" s="46"/>
      <c r="G14" s="47"/>
      <c r="H14" s="48"/>
      <c r="I14" s="49"/>
      <c r="J14" s="89"/>
      <c r="K14" s="89"/>
      <c r="L14" s="39"/>
      <c r="M14" s="39"/>
      <c r="N14" s="50"/>
      <c r="O14" s="51"/>
      <c r="P14" s="52"/>
      <c r="Q14" s="51"/>
      <c r="R14" s="507"/>
      <c r="S14" s="507"/>
      <c r="T14" s="41"/>
      <c r="U14" s="41"/>
      <c r="V14" s="41"/>
      <c r="W14" s="41"/>
      <c r="X14" s="42"/>
      <c r="Y14" s="218"/>
      <c r="Z14" s="41"/>
      <c r="AA14" s="41"/>
      <c r="AB14" s="41"/>
      <c r="AC14" s="41"/>
      <c r="AD14" s="41">
        <f t="shared" si="6"/>
        <v>35</v>
      </c>
      <c r="AE14" s="237" t="s">
        <v>439</v>
      </c>
      <c r="AF14" s="37"/>
      <c r="AG14" s="37"/>
      <c r="AH14" s="37">
        <v>35</v>
      </c>
      <c r="AJ14" s="41"/>
      <c r="AK14" s="41"/>
      <c r="AL14" s="41"/>
      <c r="AM14" s="41">
        <f t="shared" si="7"/>
        <v>35</v>
      </c>
      <c r="AN14" s="41"/>
      <c r="AO14" s="41"/>
      <c r="AP14" s="41"/>
      <c r="AQ14" s="41"/>
      <c r="AR14" s="41">
        <f t="shared" si="8"/>
        <v>0</v>
      </c>
      <c r="AS14" s="41"/>
      <c r="AT14" s="41"/>
      <c r="AU14" s="41"/>
      <c r="AV14" s="41"/>
      <c r="AW14" s="41"/>
      <c r="AX14" s="41"/>
      <c r="AY14" s="41"/>
      <c r="AZ14" s="41"/>
      <c r="BA14" s="41"/>
      <c r="BB14" s="41"/>
      <c r="BC14" s="41">
        <f t="shared" si="9"/>
        <v>0</v>
      </c>
      <c r="BD14" s="37"/>
      <c r="BE14" s="510"/>
      <c r="BF14" s="510"/>
      <c r="BG14" s="37"/>
      <c r="BH14" s="510"/>
    </row>
    <row r="15" spans="1:60" ht="12.95" customHeight="1">
      <c r="A15" s="44"/>
      <c r="B15" s="45"/>
      <c r="C15" s="451"/>
      <c r="D15" s="45"/>
      <c r="E15" s="46"/>
      <c r="F15" s="46"/>
      <c r="G15" s="47"/>
      <c r="H15" s="48"/>
      <c r="I15" s="49"/>
      <c r="J15" s="89"/>
      <c r="K15" s="89"/>
      <c r="L15" s="39"/>
      <c r="M15" s="39"/>
      <c r="N15" s="50"/>
      <c r="O15" s="51"/>
      <c r="P15" s="52"/>
      <c r="Q15" s="38"/>
      <c r="R15" s="507"/>
      <c r="S15" s="507"/>
      <c r="T15" s="41"/>
      <c r="U15" s="41"/>
      <c r="V15" s="41"/>
      <c r="W15" s="41"/>
      <c r="X15" s="42"/>
      <c r="Y15" s="218"/>
      <c r="Z15" s="41"/>
      <c r="AA15" s="41"/>
      <c r="AB15" s="41"/>
      <c r="AC15" s="41"/>
      <c r="AD15" s="41">
        <f t="shared" si="6"/>
        <v>8</v>
      </c>
      <c r="AE15" s="240" t="s">
        <v>225</v>
      </c>
      <c r="AF15" s="41"/>
      <c r="AG15" s="41"/>
      <c r="AH15" s="41"/>
      <c r="AI15" s="509">
        <v>8</v>
      </c>
      <c r="AJ15" s="41"/>
      <c r="AK15" s="41"/>
      <c r="AL15" s="41"/>
      <c r="AM15" s="41">
        <f t="shared" si="7"/>
        <v>8</v>
      </c>
      <c r="AN15" s="41"/>
      <c r="AO15" s="41"/>
      <c r="AP15" s="41"/>
      <c r="AQ15" s="41"/>
      <c r="AR15" s="41">
        <f t="shared" si="8"/>
        <v>0</v>
      </c>
      <c r="AS15" s="41"/>
      <c r="AT15" s="41"/>
      <c r="AU15" s="41"/>
      <c r="AV15" s="41"/>
      <c r="AW15" s="41"/>
      <c r="AX15" s="41"/>
      <c r="AY15" s="41"/>
      <c r="AZ15" s="41"/>
      <c r="BA15" s="41"/>
      <c r="BB15" s="41"/>
      <c r="BC15" s="41">
        <f t="shared" si="9"/>
        <v>0</v>
      </c>
      <c r="BD15" s="54"/>
      <c r="BE15" s="55"/>
      <c r="BF15" s="55"/>
      <c r="BG15" s="54"/>
      <c r="BH15" s="55"/>
    </row>
    <row r="16" spans="1:60" ht="12.95" customHeight="1">
      <c r="A16" s="44"/>
      <c r="B16" s="45"/>
      <c r="C16" s="451"/>
      <c r="D16" s="45"/>
      <c r="E16" s="46"/>
      <c r="F16" s="46"/>
      <c r="G16" s="506"/>
      <c r="H16" s="48"/>
      <c r="I16" s="49"/>
      <c r="J16" s="89"/>
      <c r="K16" s="89"/>
      <c r="L16" s="39"/>
      <c r="M16" s="39"/>
      <c r="N16" s="50"/>
      <c r="O16" s="51"/>
      <c r="P16" s="52"/>
      <c r="Q16" s="51"/>
      <c r="R16" s="507"/>
      <c r="S16" s="507"/>
      <c r="T16" s="41"/>
      <c r="U16" s="41"/>
      <c r="V16" s="41"/>
      <c r="W16" s="41"/>
      <c r="X16" s="508"/>
      <c r="Y16" s="218"/>
      <c r="Z16" s="41"/>
      <c r="AA16" s="53"/>
      <c r="AB16" s="53"/>
      <c r="AC16" s="41"/>
      <c r="AD16" s="41"/>
      <c r="AE16" s="240"/>
      <c r="AF16" s="41"/>
      <c r="AG16" s="41"/>
      <c r="AH16" s="41"/>
      <c r="AI16" s="509"/>
      <c r="AJ16" s="41"/>
      <c r="AK16" s="41"/>
      <c r="AL16" s="41"/>
      <c r="AM16" s="41"/>
      <c r="AN16" s="41"/>
      <c r="AO16" s="41"/>
      <c r="AP16" s="41"/>
      <c r="AQ16" s="41"/>
      <c r="AR16" s="41"/>
      <c r="AS16" s="41"/>
      <c r="AT16" s="41"/>
      <c r="AU16" s="41"/>
      <c r="AV16" s="41"/>
      <c r="AW16" s="41"/>
      <c r="AX16" s="41"/>
      <c r="AY16" s="41"/>
      <c r="AZ16" s="41"/>
      <c r="BA16" s="41"/>
      <c r="BB16" s="41"/>
      <c r="BC16" s="41"/>
      <c r="BD16" s="37"/>
      <c r="BE16" s="55"/>
      <c r="BF16" s="510"/>
      <c r="BG16" s="37"/>
      <c r="BH16" s="510"/>
    </row>
    <row r="17" spans="1:60" ht="12.95" customHeight="1">
      <c r="A17" s="44">
        <v>46025</v>
      </c>
      <c r="B17" s="45" t="s">
        <v>417</v>
      </c>
      <c r="C17" s="451">
        <f>(M17*E17*O17*Q17)/100000000</f>
        <v>52.540488000000003</v>
      </c>
      <c r="D17" s="45" t="s">
        <v>430</v>
      </c>
      <c r="E17" s="46">
        <v>13.5</v>
      </c>
      <c r="F17" s="46">
        <v>1</v>
      </c>
      <c r="G17" s="506">
        <v>1320</v>
      </c>
      <c r="H17" s="48">
        <f>+N17</f>
        <v>0.22000000000000008</v>
      </c>
      <c r="I17" s="49">
        <v>0.88</v>
      </c>
      <c r="J17" s="89">
        <f>E17*G17*(1-H17)*1440/1000000*2.75</f>
        <v>55.042415999999989</v>
      </c>
      <c r="K17" s="89">
        <f t="shared" ref="K17" si="10">(IF(G17&lt;L17,L17,G17)*(1-IF(H17&lt;N17,H17,N17))*E17*O17*Q17)/100000000</f>
        <v>55.042415999999989</v>
      </c>
      <c r="L17" s="39">
        <v>1260</v>
      </c>
      <c r="M17" s="39">
        <v>982.8</v>
      </c>
      <c r="N17" s="50">
        <f>1-(M17/L17)</f>
        <v>0.22000000000000008</v>
      </c>
      <c r="O17" s="51">
        <f>+'Trim Rwd'!H8</f>
        <v>275</v>
      </c>
      <c r="P17" s="52">
        <f>O17*(Q17-R17-S17)</f>
        <v>326425</v>
      </c>
      <c r="Q17" s="51">
        <v>1440</v>
      </c>
      <c r="R17" s="507">
        <v>210</v>
      </c>
      <c r="S17" s="507">
        <v>43</v>
      </c>
      <c r="T17" s="41">
        <f>E17*M17*O17*Q17/100000000</f>
        <v>52.540488000000003</v>
      </c>
      <c r="U17" s="41">
        <f>E17*M17*O17*(Q17-R17-S17)/100000000</f>
        <v>43.309416149999997</v>
      </c>
      <c r="V17" s="41">
        <f>E17*G17*(1-N17)*O17/100*(R17+S17)/1000000</f>
        <v>9.6706466999999989</v>
      </c>
      <c r="W17" s="41">
        <f>+'3'!K7/1000</f>
        <v>43.02</v>
      </c>
      <c r="X17" s="508">
        <f>SUM(W17:W20)/SUM(K17:K20)</f>
        <v>0.78157906440734748</v>
      </c>
      <c r="Y17" s="218">
        <v>0</v>
      </c>
      <c r="Z17" s="41">
        <f>+'3'!D7/1000</f>
        <v>0.6</v>
      </c>
      <c r="AA17" s="53">
        <f>SUM(U17:U20)-SUM(W17:W20)-SUM(Z17:Z20)-SUM(Y17:Y20)</f>
        <v>-0.3105838500000061</v>
      </c>
      <c r="AB17" s="53">
        <f>(SUM(K17:K20)-SUM(W17:W20)-SUM(Y17:Y20)-SUM(Z17:Z20)-SUM(AC17:AC20)-SUM(V17:V20))-AA17</f>
        <v>-0.43957484999999219</v>
      </c>
      <c r="AC17" s="41">
        <f>K17-T17</f>
        <v>2.5019279999999853</v>
      </c>
      <c r="AD17" s="41">
        <f>+AM17+BC17</f>
        <v>0</v>
      </c>
      <c r="AE17" s="237" t="s">
        <v>386</v>
      </c>
      <c r="AF17" s="41">
        <v>0</v>
      </c>
      <c r="AG17" s="41"/>
      <c r="AH17" s="41"/>
      <c r="AI17" s="509"/>
      <c r="AJ17" s="41"/>
      <c r="AK17" s="41"/>
      <c r="AL17" s="41"/>
      <c r="AM17" s="41">
        <f>SUM(AF17:AL17)+AT17</f>
        <v>0</v>
      </c>
      <c r="AN17" s="41"/>
      <c r="AO17" s="41"/>
      <c r="AP17" s="41"/>
      <c r="AQ17" s="41"/>
      <c r="AR17" s="41">
        <f>SUM(AN17:AQ17)</f>
        <v>0</v>
      </c>
      <c r="AS17" s="41"/>
      <c r="AT17" s="41"/>
      <c r="AU17" s="41"/>
      <c r="AV17" s="41"/>
      <c r="AW17" s="41"/>
      <c r="AX17" s="41"/>
      <c r="AY17" s="41"/>
      <c r="AZ17" s="41"/>
      <c r="BA17" s="41"/>
      <c r="BB17" s="41"/>
      <c r="BC17" s="41">
        <f>+AR17+AS17+AU17+AV17+AX17</f>
        <v>0</v>
      </c>
      <c r="BD17" s="37">
        <v>0</v>
      </c>
      <c r="BE17" s="55"/>
      <c r="BF17" s="55"/>
      <c r="BG17" s="37"/>
      <c r="BH17" s="55"/>
    </row>
    <row r="18" spans="1:60" ht="12.95" customHeight="1">
      <c r="A18" s="44"/>
      <c r="B18" s="45"/>
      <c r="C18" s="451"/>
      <c r="D18" s="45"/>
      <c r="E18" s="46"/>
      <c r="F18" s="46"/>
      <c r="G18" s="506"/>
      <c r="H18" s="48"/>
      <c r="I18" s="49"/>
      <c r="J18" s="89"/>
      <c r="K18" s="89"/>
      <c r="L18" s="39"/>
      <c r="M18" s="39"/>
      <c r="N18" s="50"/>
      <c r="O18" s="51"/>
      <c r="P18" s="52"/>
      <c r="Q18" s="51"/>
      <c r="R18" s="507"/>
      <c r="S18" s="507"/>
      <c r="T18" s="41"/>
      <c r="U18" s="41"/>
      <c r="V18" s="41"/>
      <c r="W18" s="41"/>
      <c r="X18" s="42"/>
      <c r="Y18" s="218"/>
      <c r="Z18" s="41"/>
      <c r="AA18" s="41"/>
      <c r="AB18" s="41"/>
      <c r="AC18" s="41"/>
      <c r="AD18" s="41">
        <f t="shared" ref="AD18:AD20" si="11">+AM18+BC18</f>
        <v>16</v>
      </c>
      <c r="AE18" s="237" t="s">
        <v>419</v>
      </c>
      <c r="AF18" s="41"/>
      <c r="AG18" s="41">
        <v>16</v>
      </c>
      <c r="AH18" s="41"/>
      <c r="AI18" s="509"/>
      <c r="AJ18" s="41"/>
      <c r="AK18" s="41"/>
      <c r="AL18" s="41"/>
      <c r="AM18" s="41">
        <f t="shared" ref="AM18:AM20" si="12">SUM(AF18:AL18)+AT18</f>
        <v>16</v>
      </c>
      <c r="AN18" s="90"/>
      <c r="AO18" s="41"/>
      <c r="AP18" s="41"/>
      <c r="AQ18" s="41"/>
      <c r="AR18" s="41">
        <f t="shared" ref="AR18:AR20" si="13">SUM(AN18:AQ18)</f>
        <v>0</v>
      </c>
      <c r="AS18" s="41"/>
      <c r="AT18" s="41"/>
      <c r="AU18" s="41"/>
      <c r="AV18" s="41"/>
      <c r="AW18" s="41"/>
      <c r="AX18" s="41"/>
      <c r="AY18" s="41"/>
      <c r="AZ18" s="41"/>
      <c r="BA18" s="41"/>
      <c r="BB18" s="41"/>
      <c r="BC18" s="41">
        <f t="shared" ref="BC18:BC20" si="14">+AR18+AS18+AU18+AV18+AX18</f>
        <v>0</v>
      </c>
      <c r="BD18" s="54"/>
      <c r="BE18" s="55">
        <v>11</v>
      </c>
      <c r="BF18" s="55"/>
      <c r="BG18" s="54"/>
      <c r="BH18" s="55"/>
    </row>
    <row r="19" spans="1:60" ht="12.95" customHeight="1">
      <c r="A19" s="44"/>
      <c r="B19" s="45"/>
      <c r="C19" s="451"/>
      <c r="D19" s="45"/>
      <c r="E19" s="46"/>
      <c r="F19" s="46"/>
      <c r="G19" s="47"/>
      <c r="H19" s="48"/>
      <c r="I19" s="49"/>
      <c r="J19" s="89"/>
      <c r="K19" s="89"/>
      <c r="L19" s="39"/>
      <c r="M19" s="39"/>
      <c r="N19" s="50"/>
      <c r="O19" s="51"/>
      <c r="P19" s="52"/>
      <c r="Q19" s="51"/>
      <c r="R19" s="507"/>
      <c r="S19" s="507"/>
      <c r="T19" s="41"/>
      <c r="U19" s="41"/>
      <c r="V19" s="41"/>
      <c r="W19" s="41"/>
      <c r="X19" s="42"/>
      <c r="Y19" s="218"/>
      <c r="Z19" s="41"/>
      <c r="AA19" s="41"/>
      <c r="AB19" s="41"/>
      <c r="AC19" s="41"/>
      <c r="AD19" s="41">
        <f t="shared" si="11"/>
        <v>27</v>
      </c>
      <c r="AE19" s="237" t="s">
        <v>457</v>
      </c>
      <c r="AF19" s="37"/>
      <c r="AG19" s="37"/>
      <c r="AH19" s="37">
        <v>27</v>
      </c>
      <c r="AJ19" s="41"/>
      <c r="AK19" s="41"/>
      <c r="AL19" s="41"/>
      <c r="AM19" s="41">
        <f t="shared" si="12"/>
        <v>27</v>
      </c>
      <c r="AN19" s="41"/>
      <c r="AO19" s="41"/>
      <c r="AP19" s="41"/>
      <c r="AQ19" s="41"/>
      <c r="AR19" s="41">
        <f t="shared" si="13"/>
        <v>0</v>
      </c>
      <c r="AS19" s="41"/>
      <c r="AT19" s="41"/>
      <c r="AU19" s="41"/>
      <c r="AV19" s="41"/>
      <c r="AW19" s="41"/>
      <c r="AX19" s="41"/>
      <c r="AY19" s="41"/>
      <c r="AZ19" s="41"/>
      <c r="BA19" s="41"/>
      <c r="BB19" s="41"/>
      <c r="BC19" s="41">
        <f t="shared" si="14"/>
        <v>0</v>
      </c>
      <c r="BD19" s="37"/>
      <c r="BE19" s="510"/>
      <c r="BF19" s="510"/>
      <c r="BG19" s="37"/>
      <c r="BH19" s="510"/>
    </row>
    <row r="20" spans="1:60" ht="12.95" customHeight="1">
      <c r="A20" s="44"/>
      <c r="B20" s="45"/>
      <c r="C20" s="451"/>
      <c r="D20" s="45"/>
      <c r="E20" s="46"/>
      <c r="F20" s="46"/>
      <c r="G20" s="47"/>
      <c r="H20" s="48"/>
      <c r="I20" s="49"/>
      <c r="J20" s="89"/>
      <c r="K20" s="89"/>
      <c r="L20" s="39"/>
      <c r="M20" s="39"/>
      <c r="N20" s="50"/>
      <c r="O20" s="51"/>
      <c r="P20" s="52"/>
      <c r="Q20" s="38"/>
      <c r="R20" s="507"/>
      <c r="S20" s="507"/>
      <c r="T20" s="41"/>
      <c r="U20" s="41"/>
      <c r="V20" s="41"/>
      <c r="W20" s="41"/>
      <c r="X20" s="42"/>
      <c r="Y20" s="218"/>
      <c r="Z20" s="41"/>
      <c r="AA20" s="41"/>
      <c r="AB20" s="41"/>
      <c r="AC20" s="41"/>
      <c r="AD20" s="41">
        <f t="shared" si="11"/>
        <v>0</v>
      </c>
      <c r="AE20" s="240" t="s">
        <v>225</v>
      </c>
      <c r="AF20" s="41"/>
      <c r="AG20" s="41"/>
      <c r="AH20" s="41"/>
      <c r="AI20" s="509">
        <v>0</v>
      </c>
      <c r="AJ20" s="41"/>
      <c r="AK20" s="41"/>
      <c r="AL20" s="41"/>
      <c r="AM20" s="41">
        <f t="shared" si="12"/>
        <v>0</v>
      </c>
      <c r="AN20" s="41"/>
      <c r="AO20" s="41"/>
      <c r="AP20" s="41"/>
      <c r="AQ20" s="41"/>
      <c r="AR20" s="41">
        <f t="shared" si="13"/>
        <v>0</v>
      </c>
      <c r="AS20" s="41"/>
      <c r="AT20" s="41"/>
      <c r="AU20" s="41"/>
      <c r="AV20" s="41"/>
      <c r="AW20" s="41"/>
      <c r="AX20" s="41"/>
      <c r="AY20" s="41"/>
      <c r="AZ20" s="41"/>
      <c r="BA20" s="41"/>
      <c r="BB20" s="41"/>
      <c r="BC20" s="41">
        <f t="shared" si="14"/>
        <v>0</v>
      </c>
      <c r="BD20" s="54"/>
      <c r="BE20" s="55"/>
      <c r="BF20" s="55"/>
      <c r="BG20" s="54"/>
      <c r="BH20" s="55"/>
    </row>
    <row r="21" spans="1:60" ht="12.95" customHeight="1">
      <c r="A21" s="44"/>
      <c r="B21" s="45"/>
      <c r="C21" s="451"/>
      <c r="D21" s="45"/>
      <c r="E21" s="46"/>
      <c r="F21" s="46"/>
      <c r="G21" s="47"/>
      <c r="H21" s="48"/>
      <c r="I21" s="49"/>
      <c r="J21" s="89"/>
      <c r="K21" s="89"/>
      <c r="L21" s="39"/>
      <c r="M21" s="39"/>
      <c r="N21" s="50"/>
      <c r="O21" s="51"/>
      <c r="P21" s="52"/>
      <c r="Q21" s="38"/>
      <c r="R21" s="507"/>
      <c r="S21" s="507"/>
      <c r="T21" s="41"/>
      <c r="U21" s="41"/>
      <c r="V21" s="41"/>
      <c r="W21" s="41"/>
      <c r="X21" s="42"/>
      <c r="Y21" s="218"/>
      <c r="Z21" s="41"/>
      <c r="AA21" s="41"/>
      <c r="AB21" s="41"/>
      <c r="AC21" s="41"/>
      <c r="AD21" s="41">
        <f t="shared" ref="AD21" si="15">+AM21+BC21</f>
        <v>210</v>
      </c>
      <c r="AE21" s="240" t="s">
        <v>544</v>
      </c>
      <c r="AF21" s="41"/>
      <c r="AG21" s="41"/>
      <c r="AH21" s="41"/>
      <c r="AI21" s="509">
        <v>0</v>
      </c>
      <c r="AJ21" s="41"/>
      <c r="AK21" s="41"/>
      <c r="AL21" s="41"/>
      <c r="AM21" s="41">
        <f t="shared" ref="AM21" si="16">SUM(AF21:AL21)+AT21</f>
        <v>0</v>
      </c>
      <c r="AN21" s="41"/>
      <c r="AO21" s="41"/>
      <c r="AP21" s="41">
        <v>210</v>
      </c>
      <c r="AQ21" s="41"/>
      <c r="AR21" s="41">
        <f t="shared" ref="AR21" si="17">SUM(AN21:AQ21)</f>
        <v>210</v>
      </c>
      <c r="AS21" s="41"/>
      <c r="AT21" s="41"/>
      <c r="AU21" s="41"/>
      <c r="AV21" s="41"/>
      <c r="AW21" s="41"/>
      <c r="AX21" s="41"/>
      <c r="AY21" s="41"/>
      <c r="AZ21" s="41"/>
      <c r="BA21" s="41"/>
      <c r="BB21" s="41"/>
      <c r="BC21" s="41">
        <f t="shared" ref="BC21" si="18">+AR21+AS21+AU21+AV21+AX21</f>
        <v>210</v>
      </c>
      <c r="BD21" s="54"/>
      <c r="BE21" s="55"/>
      <c r="BF21" s="55"/>
      <c r="BG21" s="54"/>
      <c r="BH21" s="55"/>
    </row>
    <row r="22" spans="1:60" ht="12.95" customHeight="1">
      <c r="A22" s="44"/>
      <c r="B22" s="45"/>
      <c r="C22" s="451"/>
      <c r="D22" s="45"/>
      <c r="E22" s="46"/>
      <c r="F22" s="46"/>
      <c r="G22" s="47"/>
      <c r="H22" s="48"/>
      <c r="I22" s="49"/>
      <c r="J22" s="89"/>
      <c r="K22" s="89"/>
      <c r="L22" s="39"/>
      <c r="M22" s="39"/>
      <c r="N22" s="50"/>
      <c r="O22" s="51"/>
      <c r="P22" s="52"/>
      <c r="Q22" s="38"/>
      <c r="R22" s="507"/>
      <c r="S22" s="507"/>
      <c r="T22" s="41"/>
      <c r="U22" s="41"/>
      <c r="V22" s="41"/>
      <c r="W22" s="41"/>
      <c r="X22" s="42"/>
      <c r="Y22" s="218"/>
      <c r="Z22" s="41"/>
      <c r="AA22" s="41"/>
      <c r="AB22" s="41"/>
      <c r="AC22" s="41"/>
      <c r="AD22" s="41"/>
      <c r="AE22" s="240"/>
      <c r="AF22" s="41"/>
      <c r="AG22" s="41"/>
      <c r="AH22" s="41"/>
      <c r="AI22" s="509"/>
      <c r="AJ22" s="41"/>
      <c r="AK22" s="41"/>
      <c r="AL22" s="41"/>
      <c r="AM22" s="41"/>
      <c r="AN22" s="41"/>
      <c r="AO22" s="41"/>
      <c r="AP22" s="41"/>
      <c r="AQ22" s="41"/>
      <c r="AR22" s="41"/>
      <c r="AS22" s="41"/>
      <c r="AT22" s="41"/>
      <c r="AU22" s="41"/>
      <c r="AV22" s="41"/>
      <c r="AW22" s="41"/>
      <c r="AX22" s="41"/>
      <c r="AY22" s="41"/>
      <c r="AZ22" s="41"/>
      <c r="BA22" s="41"/>
      <c r="BB22" s="41"/>
      <c r="BC22" s="41"/>
      <c r="BD22" s="54"/>
      <c r="BE22" s="55"/>
      <c r="BF22" s="55"/>
      <c r="BG22" s="37"/>
      <c r="BH22" s="55"/>
    </row>
    <row r="23" spans="1:60" ht="12.95" customHeight="1">
      <c r="A23" s="44">
        <v>46026</v>
      </c>
      <c r="B23" s="45" t="s">
        <v>417</v>
      </c>
      <c r="C23" s="451">
        <f>(M23*E23*O23*Q23)/100000000</f>
        <v>42.040027098837207</v>
      </c>
      <c r="D23" s="45" t="s">
        <v>430</v>
      </c>
      <c r="E23" s="46">
        <v>13.5</v>
      </c>
      <c r="F23" s="46">
        <v>1</v>
      </c>
      <c r="G23" s="506">
        <v>1320</v>
      </c>
      <c r="H23" s="48">
        <f>+N23</f>
        <v>0.21999999999999997</v>
      </c>
      <c r="I23" s="49">
        <v>0.88</v>
      </c>
      <c r="J23" s="89">
        <f>E23*G23*(1-H23)*1440/1000000*2.75</f>
        <v>55.042415999999996</v>
      </c>
      <c r="K23" s="89">
        <f t="shared" ref="K23" si="19">(IF(G23&lt;L23,L23,G23)*(1-IF(H23&lt;N23,H23,N23))*E23*O23*Q23)/100000000</f>
        <v>44.721963000000009</v>
      </c>
      <c r="L23" s="39">
        <v>1240.8407871198569</v>
      </c>
      <c r="M23" s="39">
        <v>967.85581395348845</v>
      </c>
      <c r="N23" s="50">
        <f>1-(M23/L23)</f>
        <v>0.21999999999999997</v>
      </c>
      <c r="O23" s="51">
        <f>+'Trim Rwd'!H10</f>
        <v>275</v>
      </c>
      <c r="P23" s="52">
        <f>O23*(Q23-R23-S23)</f>
        <v>296450</v>
      </c>
      <c r="Q23" s="51">
        <f>1118+52</f>
        <v>1170</v>
      </c>
      <c r="R23" s="507">
        <v>52</v>
      </c>
      <c r="S23" s="507">
        <v>40</v>
      </c>
      <c r="T23" s="41">
        <f>E23*M23*O23*Q23/100000000</f>
        <v>42.040027098837207</v>
      </c>
      <c r="U23" s="41">
        <f>E23*M23*O23*(Q23-R23-S23)/100000000</f>
        <v>38.734315566279072</v>
      </c>
      <c r="V23" s="41">
        <f>E23*G23*(1-N23)*O23/100*(R23+S23)/1000000</f>
        <v>3.5165988000000001</v>
      </c>
      <c r="W23" s="41">
        <f>+'4'!K7/1000</f>
        <v>42.043999999999997</v>
      </c>
      <c r="X23" s="508">
        <f>SUM(W23:W26)/SUM(K23:K26)</f>
        <v>0.87693646703316497</v>
      </c>
      <c r="Y23" s="218">
        <v>0</v>
      </c>
      <c r="Z23" s="41">
        <v>0</v>
      </c>
      <c r="AA23" s="53">
        <f>SUM(U23:U26)-SUM(W23:W26)-SUM(Z23:Z26)-SUM(Y23:Y26)</f>
        <v>0.10535924627907889</v>
      </c>
      <c r="AB23" s="53">
        <f>(SUM(K23:K26)-SUM(W23:W26)-SUM(Y23:Y26)-SUM(Z23:Z26)-SUM(AC23:AC26)-SUM(V23:V26))-AA23</f>
        <v>-0.21559570744186285</v>
      </c>
      <c r="AC23" s="41">
        <f>K23-T23</f>
        <v>2.6819359011628023</v>
      </c>
      <c r="AD23" s="41">
        <f>+AM23+BC23</f>
        <v>0</v>
      </c>
      <c r="AE23" s="237" t="s">
        <v>386</v>
      </c>
      <c r="AF23" s="41">
        <v>0</v>
      </c>
      <c r="AG23" s="41"/>
      <c r="AH23" s="41"/>
      <c r="AI23" s="509"/>
      <c r="AJ23" s="41"/>
      <c r="AK23" s="41"/>
      <c r="AL23" s="41"/>
      <c r="AM23" s="41">
        <f>SUM(AF23:AL23)+AT23</f>
        <v>0</v>
      </c>
      <c r="AN23" s="41"/>
      <c r="AO23" s="41"/>
      <c r="AP23" s="41"/>
      <c r="AQ23" s="41"/>
      <c r="AR23" s="41">
        <f>SUM(AN23:AQ23)</f>
        <v>0</v>
      </c>
      <c r="AS23" s="41"/>
      <c r="AT23" s="41"/>
      <c r="AU23" s="41"/>
      <c r="AV23" s="41"/>
      <c r="AW23" s="41"/>
      <c r="AX23" s="41"/>
      <c r="AY23" s="41"/>
      <c r="AZ23" s="41"/>
      <c r="BA23" s="41"/>
      <c r="BB23" s="41"/>
      <c r="BC23" s="41">
        <f>+AR23+AS23+AU23+AV23+AX23</f>
        <v>0</v>
      </c>
      <c r="BD23" s="37">
        <v>0</v>
      </c>
      <c r="BE23" s="55"/>
      <c r="BF23" s="55"/>
      <c r="BG23" s="37"/>
      <c r="BH23" s="55"/>
    </row>
    <row r="24" spans="1:60" ht="12.95" customHeight="1">
      <c r="A24" s="44"/>
      <c r="B24" s="45" t="s">
        <v>417</v>
      </c>
      <c r="C24" s="451">
        <f>(M24*E24*O24*Q24)/100000000</f>
        <v>9.8312227200000013</v>
      </c>
      <c r="D24" s="45" t="s">
        <v>430</v>
      </c>
      <c r="E24" s="46">
        <v>14.5</v>
      </c>
      <c r="F24" s="46">
        <v>1</v>
      </c>
      <c r="G24" s="506">
        <v>1170</v>
      </c>
      <c r="H24" s="48">
        <f>+N24</f>
        <v>0.17999999999999994</v>
      </c>
      <c r="I24" s="49">
        <v>0.88</v>
      </c>
      <c r="J24" s="89">
        <f>E24*G24*(1-H24)*1440/1000000*2.75</f>
        <v>55.088747999999995</v>
      </c>
      <c r="K24" s="89">
        <f t="shared" ref="K24" si="20">(IF(G24&lt;L24,L24,G24)*(1-IF(H24&lt;N24,H24,N24))*E24*O24*Q24)/100000000</f>
        <v>9.91597464</v>
      </c>
      <c r="L24" s="39">
        <v>1160</v>
      </c>
      <c r="M24" s="39">
        <v>951.2</v>
      </c>
      <c r="N24" s="50">
        <f>1-(M24/L24)</f>
        <v>0.17999999999999994</v>
      </c>
      <c r="O24" s="51">
        <f>+'Trim Rwd'!H11</f>
        <v>264</v>
      </c>
      <c r="P24" s="52">
        <f>O24*(Q24-R24-S24)</f>
        <v>67320</v>
      </c>
      <c r="Q24" s="51">
        <v>270</v>
      </c>
      <c r="R24" s="507">
        <v>0</v>
      </c>
      <c r="S24" s="507">
        <v>15</v>
      </c>
      <c r="T24" s="41">
        <f>E24*M24*O24*Q24/100000000</f>
        <v>9.8312227200000013</v>
      </c>
      <c r="U24" s="41">
        <f>E24*M24*O24*(Q24-R24-S24)/100000000</f>
        <v>9.2850436800000011</v>
      </c>
      <c r="V24" s="41">
        <f>E24*G24*(1-N24)*O24/100*(R24+S24)/1000000</f>
        <v>0.55088747999999998</v>
      </c>
      <c r="W24" s="41">
        <f>+'4'!K8/1000</f>
        <v>5.87</v>
      </c>
      <c r="X24" s="42"/>
      <c r="Y24" s="218"/>
      <c r="Z24" s="41"/>
      <c r="AA24" s="41"/>
      <c r="AB24" s="41"/>
      <c r="AC24" s="41">
        <f>K24-T24</f>
        <v>8.4751919999998648E-2</v>
      </c>
      <c r="AD24" s="41">
        <f t="shared" ref="AD24:AD27" si="21">+AM24+BC24</f>
        <v>12</v>
      </c>
      <c r="AE24" s="237" t="s">
        <v>438</v>
      </c>
      <c r="AF24" s="41"/>
      <c r="AG24" s="41">
        <v>12</v>
      </c>
      <c r="AH24" s="41"/>
      <c r="AI24" s="509"/>
      <c r="AJ24" s="41"/>
      <c r="AK24" s="41"/>
      <c r="AL24" s="41"/>
      <c r="AM24" s="41">
        <f t="shared" ref="AM24:AM27" si="22">SUM(AF24:AL24)+AT24</f>
        <v>12</v>
      </c>
      <c r="AN24" s="90"/>
      <c r="AO24" s="41"/>
      <c r="AP24" s="41"/>
      <c r="AQ24" s="41"/>
      <c r="AR24" s="41">
        <f t="shared" ref="AR24:AR27" si="23">SUM(AN24:AQ24)</f>
        <v>0</v>
      </c>
      <c r="AS24" s="41"/>
      <c r="AT24" s="41"/>
      <c r="AU24" s="41"/>
      <c r="AV24" s="41"/>
      <c r="AW24" s="41"/>
      <c r="AX24" s="41"/>
      <c r="AY24" s="41"/>
      <c r="AZ24" s="41"/>
      <c r="BA24" s="41"/>
      <c r="BB24" s="41"/>
      <c r="BC24" s="41">
        <f t="shared" ref="BC24:BC27" si="24">+AR24+AS24+AU24+AV24+AX24</f>
        <v>0</v>
      </c>
      <c r="BD24" s="54"/>
      <c r="BE24" s="55">
        <v>8</v>
      </c>
      <c r="BF24" s="55"/>
      <c r="BG24" s="54"/>
      <c r="BH24" s="55"/>
    </row>
    <row r="25" spans="1:60" ht="12.95" customHeight="1">
      <c r="A25" s="44"/>
      <c r="B25" s="45"/>
      <c r="C25" s="451"/>
      <c r="D25" s="45"/>
      <c r="E25" s="46"/>
      <c r="F25" s="46"/>
      <c r="G25" s="47"/>
      <c r="H25" s="48"/>
      <c r="I25" s="49"/>
      <c r="J25" s="89"/>
      <c r="K25" s="89"/>
      <c r="L25" s="39"/>
      <c r="M25" s="39"/>
      <c r="N25" s="50"/>
      <c r="O25" s="51"/>
      <c r="P25" s="52"/>
      <c r="Q25" s="51"/>
      <c r="R25" s="507"/>
      <c r="S25" s="507"/>
      <c r="T25" s="41"/>
      <c r="U25" s="41"/>
      <c r="V25" s="41"/>
      <c r="W25" s="41"/>
      <c r="X25" s="42"/>
      <c r="Y25" s="218"/>
      <c r="Z25" s="41"/>
      <c r="AA25" s="41"/>
      <c r="AB25" s="41"/>
      <c r="AC25" s="41"/>
      <c r="AD25" s="41">
        <f t="shared" si="21"/>
        <v>36</v>
      </c>
      <c r="AE25" s="237" t="s">
        <v>456</v>
      </c>
      <c r="AF25" s="37"/>
      <c r="AG25" s="37"/>
      <c r="AH25" s="37">
        <v>36</v>
      </c>
      <c r="AJ25" s="41"/>
      <c r="AK25" s="41"/>
      <c r="AL25" s="41"/>
      <c r="AM25" s="41">
        <f t="shared" si="22"/>
        <v>36</v>
      </c>
      <c r="AN25" s="41"/>
      <c r="AO25" s="41"/>
      <c r="AP25" s="41"/>
      <c r="AQ25" s="41"/>
      <c r="AR25" s="41">
        <f t="shared" si="23"/>
        <v>0</v>
      </c>
      <c r="AS25" s="41"/>
      <c r="AT25" s="41"/>
      <c r="AU25" s="41"/>
      <c r="AV25" s="41"/>
      <c r="AW25" s="41"/>
      <c r="AX25" s="41"/>
      <c r="AY25" s="41"/>
      <c r="AZ25" s="41"/>
      <c r="BA25" s="41"/>
      <c r="BB25" s="41"/>
      <c r="BC25" s="41">
        <f t="shared" si="24"/>
        <v>0</v>
      </c>
      <c r="BD25" s="37"/>
      <c r="BE25" s="510"/>
      <c r="BF25" s="510"/>
      <c r="BG25" s="37"/>
      <c r="BH25" s="510"/>
    </row>
    <row r="26" spans="1:60" ht="12.95" customHeight="1">
      <c r="A26" s="44"/>
      <c r="B26" s="45"/>
      <c r="C26" s="451"/>
      <c r="D26" s="45"/>
      <c r="E26" s="46"/>
      <c r="F26" s="46"/>
      <c r="G26" s="47"/>
      <c r="H26" s="48"/>
      <c r="I26" s="49"/>
      <c r="J26" s="89"/>
      <c r="K26" s="89"/>
      <c r="L26" s="39"/>
      <c r="M26" s="39"/>
      <c r="N26" s="50"/>
      <c r="O26" s="51"/>
      <c r="P26" s="52"/>
      <c r="Q26" s="38"/>
      <c r="R26" s="507"/>
      <c r="S26" s="507"/>
      <c r="T26" s="41"/>
      <c r="U26" s="41"/>
      <c r="V26" s="41"/>
      <c r="W26" s="41"/>
      <c r="X26" s="42"/>
      <c r="Y26" s="218"/>
      <c r="Z26" s="41"/>
      <c r="AA26" s="41"/>
      <c r="AB26" s="41"/>
      <c r="AC26" s="41"/>
      <c r="AD26" s="41">
        <f t="shared" si="21"/>
        <v>7</v>
      </c>
      <c r="AE26" s="240" t="s">
        <v>225</v>
      </c>
      <c r="AF26" s="41"/>
      <c r="AG26" s="41"/>
      <c r="AH26" s="41"/>
      <c r="AI26" s="509">
        <v>7</v>
      </c>
      <c r="AJ26" s="41"/>
      <c r="AK26" s="41"/>
      <c r="AL26" s="41"/>
      <c r="AM26" s="41">
        <f t="shared" si="22"/>
        <v>7</v>
      </c>
      <c r="AN26" s="41"/>
      <c r="AO26" s="41"/>
      <c r="AP26" s="41"/>
      <c r="AQ26" s="41"/>
      <c r="AR26" s="41">
        <f t="shared" si="23"/>
        <v>0</v>
      </c>
      <c r="AS26" s="41"/>
      <c r="AT26" s="41"/>
      <c r="AU26" s="41"/>
      <c r="AV26" s="41"/>
      <c r="AW26" s="41"/>
      <c r="AX26" s="41"/>
      <c r="AY26" s="41"/>
      <c r="AZ26" s="41"/>
      <c r="BA26" s="41"/>
      <c r="BB26" s="41"/>
      <c r="BC26" s="41">
        <f t="shared" si="24"/>
        <v>0</v>
      </c>
      <c r="BD26" s="54"/>
      <c r="BE26" s="55"/>
      <c r="BF26" s="55"/>
      <c r="BG26" s="54"/>
      <c r="BH26" s="55"/>
    </row>
    <row r="27" spans="1:60" ht="12.95" customHeight="1">
      <c r="A27" s="44"/>
      <c r="B27" s="45"/>
      <c r="C27" s="451"/>
      <c r="D27" s="45"/>
      <c r="E27" s="46"/>
      <c r="F27" s="46"/>
      <c r="G27" s="47"/>
      <c r="H27" s="48"/>
      <c r="I27" s="49"/>
      <c r="J27" s="89"/>
      <c r="K27" s="89"/>
      <c r="L27" s="39"/>
      <c r="M27" s="39"/>
      <c r="N27" s="50"/>
      <c r="O27" s="51"/>
      <c r="P27" s="52"/>
      <c r="Q27" s="38"/>
      <c r="R27" s="507"/>
      <c r="S27" s="507"/>
      <c r="T27" s="41"/>
      <c r="U27" s="41"/>
      <c r="V27" s="41"/>
      <c r="W27" s="41"/>
      <c r="X27" s="42"/>
      <c r="Y27" s="218"/>
      <c r="Z27" s="41"/>
      <c r="AA27" s="41"/>
      <c r="AB27" s="41"/>
      <c r="AC27" s="41"/>
      <c r="AD27" s="41">
        <f t="shared" si="21"/>
        <v>52</v>
      </c>
      <c r="AE27" s="240" t="s">
        <v>458</v>
      </c>
      <c r="AF27" s="41"/>
      <c r="AG27" s="41"/>
      <c r="AH27" s="41"/>
      <c r="AI27" s="509"/>
      <c r="AJ27" s="41"/>
      <c r="AK27" s="41"/>
      <c r="AL27" s="41"/>
      <c r="AM27" s="41">
        <f t="shared" si="22"/>
        <v>0</v>
      </c>
      <c r="AN27" s="41"/>
      <c r="AO27" s="41"/>
      <c r="AP27" s="41">
        <v>52</v>
      </c>
      <c r="AQ27" s="41"/>
      <c r="AR27" s="41">
        <f t="shared" si="23"/>
        <v>52</v>
      </c>
      <c r="AS27" s="41"/>
      <c r="AT27" s="41"/>
      <c r="AU27" s="41"/>
      <c r="AV27" s="41"/>
      <c r="AW27" s="41"/>
      <c r="AX27" s="41"/>
      <c r="AY27" s="41"/>
      <c r="AZ27" s="41"/>
      <c r="BA27" s="41"/>
      <c r="BB27" s="41"/>
      <c r="BC27" s="41">
        <f t="shared" si="24"/>
        <v>52</v>
      </c>
      <c r="BD27" s="54"/>
      <c r="BE27" s="55"/>
      <c r="BF27" s="55"/>
      <c r="BG27" s="54"/>
      <c r="BH27" s="55"/>
    </row>
    <row r="28" spans="1:60" ht="12.95" customHeight="1">
      <c r="A28" s="44"/>
      <c r="B28" s="45"/>
      <c r="C28" s="451"/>
      <c r="D28" s="45"/>
      <c r="E28" s="46"/>
      <c r="F28" s="46"/>
      <c r="G28" s="47"/>
      <c r="H28" s="48"/>
      <c r="I28" s="49"/>
      <c r="J28" s="89"/>
      <c r="K28" s="89"/>
      <c r="L28" s="39"/>
      <c r="M28" s="39"/>
      <c r="N28" s="50"/>
      <c r="O28" s="51"/>
      <c r="P28" s="52"/>
      <c r="Q28" s="38"/>
      <c r="R28" s="507"/>
      <c r="S28" s="507"/>
      <c r="T28" s="41"/>
      <c r="U28" s="41"/>
      <c r="V28" s="41"/>
      <c r="W28" s="41"/>
      <c r="X28" s="42"/>
      <c r="Y28" s="218"/>
      <c r="Z28" s="41"/>
      <c r="AA28" s="41"/>
      <c r="AB28" s="41"/>
      <c r="AC28" s="41"/>
      <c r="AD28" s="41"/>
      <c r="AE28" s="240"/>
      <c r="AF28" s="41"/>
      <c r="AG28" s="41"/>
      <c r="AH28" s="41"/>
      <c r="AI28" s="509"/>
      <c r="AJ28" s="41"/>
      <c r="AK28" s="41"/>
      <c r="AL28" s="41"/>
      <c r="AM28" s="41"/>
      <c r="AN28" s="41"/>
      <c r="AO28" s="41"/>
      <c r="AP28" s="41"/>
      <c r="AQ28" s="41"/>
      <c r="AR28" s="41"/>
      <c r="AS28" s="41"/>
      <c r="AT28" s="41"/>
      <c r="AU28" s="41"/>
      <c r="AV28" s="41"/>
      <c r="AW28" s="41"/>
      <c r="AX28" s="41"/>
      <c r="AY28" s="41"/>
      <c r="AZ28" s="41"/>
      <c r="BA28" s="41"/>
      <c r="BB28" s="41"/>
      <c r="BC28" s="41"/>
      <c r="BD28" s="54"/>
      <c r="BE28" s="55"/>
      <c r="BF28" s="55"/>
      <c r="BG28" s="54"/>
      <c r="BH28" s="55"/>
    </row>
    <row r="29" spans="1:60" ht="12.95" customHeight="1">
      <c r="A29" s="44">
        <v>46027</v>
      </c>
      <c r="B29" s="45" t="s">
        <v>417</v>
      </c>
      <c r="C29" s="451">
        <f>(M29*E29*O29*Q29)/100000000</f>
        <v>51.378497279999998</v>
      </c>
      <c r="D29" s="45" t="s">
        <v>430</v>
      </c>
      <c r="E29" s="46">
        <v>14.5</v>
      </c>
      <c r="F29" s="46">
        <v>1</v>
      </c>
      <c r="G29" s="506">
        <v>1170</v>
      </c>
      <c r="H29" s="48">
        <f>+N29</f>
        <v>0.18000000000000005</v>
      </c>
      <c r="I29" s="49">
        <v>0.88</v>
      </c>
      <c r="J29" s="89">
        <f>E29*G29*(1-H29)*1440/1000000*2.75</f>
        <v>55.088747999999995</v>
      </c>
      <c r="K29" s="89">
        <f t="shared" ref="K29" si="25">(IF(G29&lt;L29,L29,G29)*(1-IF(H29&lt;N29,H29,N29))*E29*O29*Q29)/100000000</f>
        <v>52.885198080000002</v>
      </c>
      <c r="L29" s="39">
        <v>1136.6666666666667</v>
      </c>
      <c r="M29" s="39">
        <v>932.06666666666672</v>
      </c>
      <c r="N29" s="50">
        <f>1-(M29/L29)</f>
        <v>0.18000000000000005</v>
      </c>
      <c r="O29" s="51">
        <f>+'Trim Rwd'!H13</f>
        <v>264</v>
      </c>
      <c r="P29" s="52">
        <f>O29*(Q29-R29-S29)</f>
        <v>359568</v>
      </c>
      <c r="Q29" s="51">
        <v>1440</v>
      </c>
      <c r="R29" s="507">
        <v>0</v>
      </c>
      <c r="S29" s="507">
        <f>56+22</f>
        <v>78</v>
      </c>
      <c r="T29" s="41">
        <f>E29*M29*O29*Q29/100000000</f>
        <v>51.378497279999998</v>
      </c>
      <c r="U29" s="41">
        <f>E29*M29*O29*(Q29-R29-S29)/100000000</f>
        <v>48.595495344000007</v>
      </c>
      <c r="V29" s="41">
        <f>E29*G29*(1-N29)*O29/100*(R29+S29)/1000000</f>
        <v>2.8646148959999995</v>
      </c>
      <c r="W29" s="41">
        <f>+'5'!K8/1000</f>
        <v>48.494999999999997</v>
      </c>
      <c r="X29" s="508">
        <f>SUM(W29:W32)/SUM(K29:K32)</f>
        <v>0.9169862600616735</v>
      </c>
      <c r="Y29" s="218">
        <v>0</v>
      </c>
      <c r="Z29" s="41">
        <v>0</v>
      </c>
      <c r="AA29" s="53">
        <f>SUM(U29:U32)-SUM(W29:W32)-SUM(Z29:Z32)-SUM(Y29:Y32)</f>
        <v>0.10049534400000937</v>
      </c>
      <c r="AB29" s="53">
        <f>(SUM(K29:K32)-SUM(W29:W32)-SUM(Y29:Y32)-SUM(Z29:Z32)-SUM(AC29:AC32)-SUM(V29:V32))-AA29</f>
        <v>-8.1612960000008616E-2</v>
      </c>
      <c r="AC29" s="41">
        <f>K29-T29</f>
        <v>1.5067008000000044</v>
      </c>
      <c r="AD29" s="41">
        <f>+AM29+BC29</f>
        <v>5</v>
      </c>
      <c r="AE29" s="237" t="s">
        <v>394</v>
      </c>
      <c r="AF29" s="41">
        <v>5</v>
      </c>
      <c r="AG29" s="41"/>
      <c r="AH29" s="41"/>
      <c r="AI29" s="509"/>
      <c r="AJ29" s="41"/>
      <c r="AK29" s="41"/>
      <c r="AL29" s="41"/>
      <c r="AM29" s="41">
        <f>SUM(AF29:AL29)+AT29</f>
        <v>5</v>
      </c>
      <c r="AN29" s="41"/>
      <c r="AO29" s="41"/>
      <c r="AP29" s="41"/>
      <c r="AQ29" s="41"/>
      <c r="AR29" s="41">
        <f>SUM(AN29:AQ29)</f>
        <v>0</v>
      </c>
      <c r="AS29" s="41"/>
      <c r="AT29" s="41"/>
      <c r="AU29" s="41"/>
      <c r="AV29" s="41"/>
      <c r="AW29" s="41"/>
      <c r="AX29" s="41"/>
      <c r="AY29" s="41"/>
      <c r="AZ29" s="41"/>
      <c r="BA29" s="41"/>
      <c r="BB29" s="41"/>
      <c r="BC29" s="41">
        <f>+AR29+AS29+AU29+AV29+AX29</f>
        <v>0</v>
      </c>
      <c r="BD29" s="37">
        <v>2</v>
      </c>
      <c r="BE29" s="55"/>
      <c r="BF29" s="55"/>
      <c r="BG29" s="37"/>
      <c r="BH29" s="55"/>
    </row>
    <row r="30" spans="1:60" ht="12.95" customHeight="1">
      <c r="A30" s="44"/>
      <c r="B30" s="45"/>
      <c r="C30" s="451"/>
      <c r="D30" s="45"/>
      <c r="E30" s="46"/>
      <c r="F30" s="46"/>
      <c r="G30" s="506"/>
      <c r="H30" s="48"/>
      <c r="I30" s="49"/>
      <c r="J30" s="89"/>
      <c r="K30" s="89"/>
      <c r="L30" s="39"/>
      <c r="M30" s="39"/>
      <c r="N30" s="50"/>
      <c r="O30" s="51"/>
      <c r="P30" s="52"/>
      <c r="Q30" s="51"/>
      <c r="R30" s="507"/>
      <c r="S30" s="507"/>
      <c r="T30" s="41"/>
      <c r="U30" s="41"/>
      <c r="V30" s="41"/>
      <c r="W30" s="41"/>
      <c r="X30" s="42"/>
      <c r="Y30" s="218"/>
      <c r="Z30" s="41"/>
      <c r="AA30" s="41"/>
      <c r="AB30" s="41"/>
      <c r="AC30" s="41"/>
      <c r="AD30" s="41">
        <f t="shared" ref="AD30:AD33" si="26">+AM30+BC30</f>
        <v>17</v>
      </c>
      <c r="AE30" s="237" t="s">
        <v>475</v>
      </c>
      <c r="AF30" s="41"/>
      <c r="AG30" s="41">
        <v>17</v>
      </c>
      <c r="AH30" s="41"/>
      <c r="AI30" s="509"/>
      <c r="AJ30" s="41"/>
      <c r="AK30" s="41"/>
      <c r="AL30" s="41"/>
      <c r="AM30" s="41">
        <f t="shared" ref="AM30:AM33" si="27">SUM(AF30:AL30)+AT30</f>
        <v>17</v>
      </c>
      <c r="AN30" s="90"/>
      <c r="AO30" s="41"/>
      <c r="AP30" s="41"/>
      <c r="AQ30" s="41"/>
      <c r="AR30" s="41">
        <f t="shared" ref="AR30:AR33" si="28">SUM(AN30:AQ30)</f>
        <v>0</v>
      </c>
      <c r="AS30" s="41"/>
      <c r="AT30" s="41"/>
      <c r="AU30" s="41"/>
      <c r="AV30" s="41"/>
      <c r="AW30" s="41"/>
      <c r="AX30" s="41"/>
      <c r="AY30" s="41"/>
      <c r="AZ30" s="41"/>
      <c r="BA30" s="41"/>
      <c r="BB30" s="41"/>
      <c r="BC30" s="41">
        <f t="shared" ref="BC30:BC33" si="29">+AR30+AS30+AU30+AV30+AX30</f>
        <v>0</v>
      </c>
      <c r="BD30" s="54"/>
      <c r="BE30" s="55">
        <v>12</v>
      </c>
      <c r="BF30" s="55"/>
      <c r="BG30" s="54"/>
      <c r="BH30" s="55"/>
    </row>
    <row r="31" spans="1:60" ht="12.95" customHeight="1">
      <c r="A31" s="44"/>
      <c r="B31" s="45"/>
      <c r="C31" s="451"/>
      <c r="D31" s="45"/>
      <c r="E31" s="46"/>
      <c r="F31" s="46"/>
      <c r="G31" s="47"/>
      <c r="H31" s="48"/>
      <c r="I31" s="49"/>
      <c r="J31" s="89"/>
      <c r="K31" s="89"/>
      <c r="L31" s="39"/>
      <c r="M31" s="39"/>
      <c r="N31" s="50"/>
      <c r="O31" s="51"/>
      <c r="P31" s="52"/>
      <c r="Q31" s="51"/>
      <c r="R31" s="507"/>
      <c r="S31" s="507"/>
      <c r="T31" s="41"/>
      <c r="U31" s="41"/>
      <c r="V31" s="41"/>
      <c r="W31" s="41"/>
      <c r="X31" s="42"/>
      <c r="Y31" s="218"/>
      <c r="Z31" s="41"/>
      <c r="AA31" s="41"/>
      <c r="AB31" s="41"/>
      <c r="AC31" s="41"/>
      <c r="AD31" s="41">
        <f t="shared" si="26"/>
        <v>27</v>
      </c>
      <c r="AE31" s="237" t="s">
        <v>396</v>
      </c>
      <c r="AF31" s="37"/>
      <c r="AG31" s="37"/>
      <c r="AH31" s="37">
        <v>27</v>
      </c>
      <c r="AJ31" s="41"/>
      <c r="AK31" s="41"/>
      <c r="AL31" s="41"/>
      <c r="AM31" s="41">
        <f t="shared" si="27"/>
        <v>27</v>
      </c>
      <c r="AN31" s="41"/>
      <c r="AO31" s="41"/>
      <c r="AP31" s="41"/>
      <c r="AQ31" s="41"/>
      <c r="AR31" s="41">
        <f t="shared" si="28"/>
        <v>0</v>
      </c>
      <c r="AS31" s="41"/>
      <c r="AT31" s="41"/>
      <c r="AU31" s="41"/>
      <c r="AV31" s="41"/>
      <c r="AW31" s="41"/>
      <c r="AX31" s="41"/>
      <c r="AY31" s="41"/>
      <c r="AZ31" s="41"/>
      <c r="BA31" s="41"/>
      <c r="BB31" s="41"/>
      <c r="BC31" s="41">
        <f t="shared" si="29"/>
        <v>0</v>
      </c>
      <c r="BD31" s="37"/>
      <c r="BE31" s="510"/>
      <c r="BF31" s="510"/>
      <c r="BG31" s="37"/>
      <c r="BH31" s="510"/>
    </row>
    <row r="32" spans="1:60" ht="12.95" customHeight="1">
      <c r="A32" s="44"/>
      <c r="B32" s="45"/>
      <c r="C32" s="451"/>
      <c r="D32" s="45"/>
      <c r="E32" s="46"/>
      <c r="F32" s="46"/>
      <c r="G32" s="47"/>
      <c r="H32" s="48"/>
      <c r="I32" s="49"/>
      <c r="J32" s="89"/>
      <c r="K32" s="89"/>
      <c r="L32" s="39"/>
      <c r="M32" s="39"/>
      <c r="N32" s="50"/>
      <c r="O32" s="51"/>
      <c r="P32" s="52"/>
      <c r="Q32" s="38"/>
      <c r="R32" s="507"/>
      <c r="S32" s="507"/>
      <c r="T32" s="41"/>
      <c r="U32" s="41"/>
      <c r="V32" s="41"/>
      <c r="W32" s="41"/>
      <c r="X32" s="42"/>
      <c r="Y32" s="218"/>
      <c r="Z32" s="41"/>
      <c r="AA32" s="41"/>
      <c r="AB32" s="41"/>
      <c r="AC32" s="41"/>
      <c r="AD32" s="41">
        <f t="shared" si="26"/>
        <v>7</v>
      </c>
      <c r="AE32" s="240" t="s">
        <v>225</v>
      </c>
      <c r="AF32" s="41"/>
      <c r="AG32" s="41"/>
      <c r="AH32" s="41"/>
      <c r="AI32" s="509">
        <v>7</v>
      </c>
      <c r="AJ32" s="41"/>
      <c r="AK32" s="41"/>
      <c r="AL32" s="41"/>
      <c r="AM32" s="41">
        <f t="shared" si="27"/>
        <v>7</v>
      </c>
      <c r="AN32" s="41"/>
      <c r="AO32" s="41"/>
      <c r="AP32" s="41"/>
      <c r="AQ32" s="41"/>
      <c r="AR32" s="41">
        <f t="shared" si="28"/>
        <v>0</v>
      </c>
      <c r="AS32" s="41"/>
      <c r="AT32" s="41"/>
      <c r="AU32" s="41"/>
      <c r="AV32" s="41"/>
      <c r="AW32" s="41"/>
      <c r="AX32" s="41"/>
      <c r="AY32" s="41"/>
      <c r="AZ32" s="41"/>
      <c r="BA32" s="41"/>
      <c r="BB32" s="41"/>
      <c r="BC32" s="41">
        <f t="shared" si="29"/>
        <v>0</v>
      </c>
      <c r="BD32" s="54"/>
      <c r="BE32" s="55"/>
      <c r="BF32" s="55"/>
      <c r="BG32" s="54"/>
      <c r="BH32" s="55"/>
    </row>
    <row r="33" spans="1:60" ht="12.95" customHeight="1">
      <c r="A33" s="44"/>
      <c r="B33" s="45"/>
      <c r="C33" s="451"/>
      <c r="D33" s="45"/>
      <c r="E33" s="46"/>
      <c r="F33" s="46"/>
      <c r="G33" s="47"/>
      <c r="H33" s="48"/>
      <c r="I33" s="49"/>
      <c r="J33" s="89"/>
      <c r="K33" s="89"/>
      <c r="L33" s="39"/>
      <c r="M33" s="39"/>
      <c r="N33" s="50"/>
      <c r="O33" s="51"/>
      <c r="P33" s="52"/>
      <c r="Q33" s="51"/>
      <c r="R33" s="507"/>
      <c r="S33" s="507"/>
      <c r="T33" s="41"/>
      <c r="U33" s="41"/>
      <c r="V33" s="41"/>
      <c r="W33" s="41"/>
      <c r="X33" s="42"/>
      <c r="Y33" s="218"/>
      <c r="Z33" s="41"/>
      <c r="AA33" s="41"/>
      <c r="AB33" s="41"/>
      <c r="AC33" s="41"/>
      <c r="AD33" s="41">
        <f t="shared" si="26"/>
        <v>22</v>
      </c>
      <c r="AE33" s="237" t="s">
        <v>485</v>
      </c>
      <c r="AF33" s="37"/>
      <c r="AG33" s="37"/>
      <c r="AH33" s="37"/>
      <c r="AJ33" s="41">
        <v>22</v>
      </c>
      <c r="AK33" s="41"/>
      <c r="AL33" s="41"/>
      <c r="AM33" s="41">
        <f t="shared" si="27"/>
        <v>22</v>
      </c>
      <c r="AN33" s="41"/>
      <c r="AO33" s="41"/>
      <c r="AP33" s="41"/>
      <c r="AQ33" s="41"/>
      <c r="AR33" s="41">
        <f t="shared" si="28"/>
        <v>0</v>
      </c>
      <c r="AS33" s="41"/>
      <c r="AT33" s="41"/>
      <c r="AU33" s="41"/>
      <c r="AV33" s="41"/>
      <c r="AW33" s="41"/>
      <c r="AX33" s="41"/>
      <c r="AY33" s="41"/>
      <c r="AZ33" s="41"/>
      <c r="BA33" s="41"/>
      <c r="BB33" s="41"/>
      <c r="BC33" s="41">
        <f t="shared" si="29"/>
        <v>0</v>
      </c>
      <c r="BD33" s="37"/>
      <c r="BE33" s="510"/>
      <c r="BF33" s="55"/>
      <c r="BG33" s="55"/>
      <c r="BH33" s="55"/>
    </row>
    <row r="34" spans="1:60" ht="12.95" customHeight="1">
      <c r="A34" s="44"/>
      <c r="B34" s="45"/>
      <c r="C34" s="451"/>
      <c r="D34" s="45"/>
      <c r="E34" s="46"/>
      <c r="F34" s="46"/>
      <c r="G34" s="47"/>
      <c r="H34" s="48"/>
      <c r="I34" s="49"/>
      <c r="J34" s="89"/>
      <c r="K34" s="89"/>
      <c r="L34" s="39"/>
      <c r="M34" s="39"/>
      <c r="N34" s="50"/>
      <c r="O34" s="51"/>
      <c r="P34" s="52"/>
      <c r="Q34" s="38"/>
      <c r="R34" s="507"/>
      <c r="S34" s="507"/>
      <c r="T34" s="41"/>
      <c r="U34" s="41"/>
      <c r="V34" s="41"/>
      <c r="W34" s="41"/>
      <c r="X34" s="42"/>
      <c r="Y34" s="218"/>
      <c r="Z34" s="41"/>
      <c r="AA34" s="41"/>
      <c r="AB34" s="41"/>
      <c r="AC34" s="41"/>
      <c r="AD34" s="41"/>
      <c r="AE34" s="240"/>
      <c r="AF34" s="41"/>
      <c r="AG34" s="41"/>
      <c r="AH34" s="41"/>
      <c r="AI34" s="509"/>
      <c r="AJ34" s="41"/>
      <c r="AK34" s="41"/>
      <c r="AL34" s="41"/>
      <c r="AM34" s="41"/>
      <c r="AN34" s="41"/>
      <c r="AO34" s="41"/>
      <c r="AP34" s="41"/>
      <c r="AQ34" s="41"/>
      <c r="AR34" s="41"/>
      <c r="AS34" s="41"/>
      <c r="AT34" s="41"/>
      <c r="AU34" s="41"/>
      <c r="AV34" s="41"/>
      <c r="AW34" s="41"/>
      <c r="AX34" s="41"/>
      <c r="AY34" s="41"/>
      <c r="AZ34" s="41"/>
      <c r="BA34" s="41"/>
      <c r="BB34" s="41"/>
      <c r="BC34" s="41"/>
      <c r="BD34" s="54"/>
      <c r="BE34" s="55"/>
      <c r="BF34" s="55"/>
      <c r="BG34" s="37"/>
      <c r="BH34" s="55"/>
    </row>
    <row r="35" spans="1:60" ht="12.95" customHeight="1">
      <c r="A35" s="44">
        <v>46028</v>
      </c>
      <c r="B35" s="45" t="s">
        <v>417</v>
      </c>
      <c r="C35" s="451">
        <f>(M35*E35*O35*Q35)/100000000</f>
        <v>0.107352432</v>
      </c>
      <c r="D35" s="45" t="s">
        <v>430</v>
      </c>
      <c r="E35" s="46">
        <v>14.5</v>
      </c>
      <c r="F35" s="46">
        <v>1</v>
      </c>
      <c r="G35" s="506">
        <v>1170</v>
      </c>
      <c r="H35" s="48">
        <f>+N35</f>
        <v>0.18000000000000005</v>
      </c>
      <c r="I35" s="49">
        <v>0.88</v>
      </c>
      <c r="J35" s="89">
        <f>E35*G35*(1-H35)*1440/1000000*2.75</f>
        <v>55.088747999999995</v>
      </c>
      <c r="K35" s="89">
        <f t="shared" ref="K35" si="30">(IF(G35&lt;L35,L35,G35)*(1-IF(H35&lt;N35,H35,N35))*E35*O35*Q35)/100000000</f>
        <v>0.110177496</v>
      </c>
      <c r="L35" s="39">
        <v>1140</v>
      </c>
      <c r="M35" s="39">
        <v>934.8</v>
      </c>
      <c r="N35" s="50">
        <f>1-(M35/L35)</f>
        <v>0.18000000000000005</v>
      </c>
      <c r="O35" s="51">
        <f>+'Trim Rwd'!H15</f>
        <v>264</v>
      </c>
      <c r="P35" s="52">
        <f>O35*(Q35-R35-S35)</f>
        <v>528</v>
      </c>
      <c r="Q35" s="51">
        <v>3</v>
      </c>
      <c r="R35" s="507">
        <v>0</v>
      </c>
      <c r="S35" s="507">
        <v>1</v>
      </c>
      <c r="T35" s="41">
        <f>E35*M35*O35*Q35/100000000</f>
        <v>0.107352432</v>
      </c>
      <c r="U35" s="41">
        <f>E35*M35*O35*(Q35-R35-S35)/100000000</f>
        <v>7.1568287999999994E-2</v>
      </c>
      <c r="V35" s="41">
        <f>E35*G35*(1-N35)*O35/100*(R35+S35)/1000000</f>
        <v>3.6725831999999993E-2</v>
      </c>
      <c r="W35" s="41">
        <f>+'6'!K8/1000</f>
        <v>3.101</v>
      </c>
      <c r="X35" s="508">
        <f>SUM(W35:W38)/SUM(K35:K38)</f>
        <v>0.27067354026434548</v>
      </c>
      <c r="Y35" s="218">
        <v>0</v>
      </c>
      <c r="Z35" s="41">
        <v>0</v>
      </c>
      <c r="AA35" s="53">
        <f>SUM(U35:U38)-SUM(W35:W38)-SUM(Z35:Z38)-SUM(Y35:Y38)</f>
        <v>1.5061131080000045</v>
      </c>
      <c r="AB35" s="53">
        <f>(SUM(K35:K38)-SUM(W35:W38)-SUM(Y35:Y38)-SUM(Z35:Z38)-SUM(AC35:AC38)-SUM(V35:V38))-AA35</f>
        <v>-3.7957484008779012</v>
      </c>
      <c r="AC35" s="41">
        <f>K35-T35</f>
        <v>2.8250640000000021E-3</v>
      </c>
      <c r="AD35" s="41">
        <f>+AM35+BC35</f>
        <v>0</v>
      </c>
      <c r="AE35" s="237" t="s">
        <v>386</v>
      </c>
      <c r="AF35" s="41">
        <v>0</v>
      </c>
      <c r="AG35" s="41"/>
      <c r="AH35" s="41"/>
      <c r="AI35" s="509"/>
      <c r="AJ35" s="41"/>
      <c r="AK35" s="41"/>
      <c r="AL35" s="41"/>
      <c r="AM35" s="41">
        <f>SUM(AF35:AL35)+AT35</f>
        <v>0</v>
      </c>
      <c r="AN35" s="41"/>
      <c r="AO35" s="41"/>
      <c r="AP35" s="41"/>
      <c r="AQ35" s="41"/>
      <c r="AR35" s="41">
        <f>SUM(AN35:AQ35)</f>
        <v>0</v>
      </c>
      <c r="AS35" s="41"/>
      <c r="AT35" s="41"/>
      <c r="AU35" s="41"/>
      <c r="AV35" s="41"/>
      <c r="AW35" s="41"/>
      <c r="AX35" s="41"/>
      <c r="AY35" s="41"/>
      <c r="AZ35" s="41"/>
      <c r="BA35" s="41"/>
      <c r="BB35" s="41"/>
      <c r="BC35" s="41">
        <f>+AR35+AS35+AU35+AV35+AX35</f>
        <v>0</v>
      </c>
      <c r="BD35" s="37">
        <v>0</v>
      </c>
      <c r="BE35" s="55"/>
      <c r="BF35" s="55"/>
      <c r="BG35" s="37"/>
      <c r="BH35" s="55"/>
    </row>
    <row r="36" spans="1:60" ht="12.95" customHeight="1">
      <c r="A36" s="44"/>
      <c r="B36" s="45" t="s">
        <v>505</v>
      </c>
      <c r="C36" s="451">
        <f t="shared" ref="C36:C37" si="31">(M36*E36*O36*Q36)/100000000</f>
        <v>29.305830374999999</v>
      </c>
      <c r="D36" s="45" t="s">
        <v>430</v>
      </c>
      <c r="E36" s="46">
        <v>29</v>
      </c>
      <c r="F36" s="46">
        <v>1</v>
      </c>
      <c r="G36" s="506">
        <v>565</v>
      </c>
      <c r="H36" s="48">
        <f t="shared" ref="H36:H37" si="32">+N36</f>
        <v>0.15000000000000002</v>
      </c>
      <c r="I36" s="49">
        <v>0.88</v>
      </c>
      <c r="J36" s="89">
        <f t="shared" ref="J36:J37" si="33">E36*G36*(1-H36)*1440/1000000*2.75</f>
        <v>55.151910000000001</v>
      </c>
      <c r="K36" s="89">
        <f t="shared" ref="K36:K37" si="34">(IF(G36&lt;L36,L36,G36)*(1-IF(H36&lt;N36,H36,N36))*E36*O36*Q36)/100000000</f>
        <v>33.115588323750003</v>
      </c>
      <c r="L36" s="39">
        <v>500</v>
      </c>
      <c r="M36" s="39">
        <v>425</v>
      </c>
      <c r="N36" s="50">
        <f t="shared" ref="N36:N37" si="35">1-(M36/L36)</f>
        <v>0.15000000000000002</v>
      </c>
      <c r="O36" s="51">
        <f>+'Trim Rwd'!H17</f>
        <v>256.5</v>
      </c>
      <c r="P36" s="52">
        <f t="shared" ref="P36:P37" si="36">O36*(Q36-R36-S36)</f>
        <v>9234</v>
      </c>
      <c r="Q36" s="51">
        <f>53+874</f>
        <v>927</v>
      </c>
      <c r="R36" s="507">
        <f>480+394</f>
        <v>874</v>
      </c>
      <c r="S36" s="507">
        <v>17</v>
      </c>
      <c r="T36" s="41">
        <f t="shared" ref="T36:T37" si="37">E36*M36*O36*Q36/100000000</f>
        <v>29.305830374999999</v>
      </c>
      <c r="U36" s="41">
        <f t="shared" ref="U36:U37" si="38">E36*M36*O36*(Q36-R36-S36)/100000000</f>
        <v>1.1380904999999999</v>
      </c>
      <c r="V36" s="41">
        <f t="shared" ref="V36:V37" si="39">E36*G36*(1-N36)*O36/100*(R36+S36)/1000000</f>
        <v>31.829546058750001</v>
      </c>
      <c r="W36" s="41">
        <f>+'5'!K15/1000</f>
        <v>0</v>
      </c>
      <c r="X36" s="42"/>
      <c r="Y36" s="218"/>
      <c r="Z36" s="41"/>
      <c r="AA36" s="41"/>
      <c r="AB36" s="41"/>
      <c r="AC36" s="41">
        <f t="shared" ref="AC36:AC37" si="40">K36-T36</f>
        <v>3.8097579487500042</v>
      </c>
      <c r="AD36" s="41">
        <f t="shared" ref="AD36:AD38" si="41">+AM36+BC36</f>
        <v>11</v>
      </c>
      <c r="AE36" s="237" t="s">
        <v>437</v>
      </c>
      <c r="AF36" s="41"/>
      <c r="AG36" s="41">
        <v>11</v>
      </c>
      <c r="AH36" s="41"/>
      <c r="AI36" s="509"/>
      <c r="AJ36" s="41"/>
      <c r="AK36" s="41"/>
      <c r="AL36" s="41"/>
      <c r="AM36" s="41">
        <f t="shared" ref="AM36:AM38" si="42">SUM(AF36:AL36)+AT36</f>
        <v>11</v>
      </c>
      <c r="AN36" s="90"/>
      <c r="AO36" s="41"/>
      <c r="AP36" s="41"/>
      <c r="AQ36" s="41"/>
      <c r="AR36" s="41">
        <f t="shared" ref="AR36:AR38" si="43">SUM(AN36:AQ36)</f>
        <v>0</v>
      </c>
      <c r="AS36" s="41"/>
      <c r="AT36" s="41"/>
      <c r="AU36" s="41"/>
      <c r="AV36" s="41"/>
      <c r="AW36" s="41"/>
      <c r="AX36" s="41"/>
      <c r="AY36" s="41"/>
      <c r="AZ36" s="41"/>
      <c r="BA36" s="41"/>
      <c r="BB36" s="41"/>
      <c r="BC36" s="41">
        <f t="shared" ref="BC36:BC38" si="44">+AR36+AS36+AU36+AV36+AX36</f>
        <v>0</v>
      </c>
      <c r="BD36" s="54"/>
      <c r="BE36" s="55">
        <v>5</v>
      </c>
      <c r="BF36" s="55"/>
      <c r="BG36" s="54"/>
      <c r="BH36" s="55"/>
    </row>
    <row r="37" spans="1:60" ht="12.95" customHeight="1">
      <c r="A37" s="44"/>
      <c r="B37" s="45" t="s">
        <v>505</v>
      </c>
      <c r="C37" s="451">
        <f t="shared" si="31"/>
        <v>14.791513680000003</v>
      </c>
      <c r="D37" s="45" t="s">
        <v>430</v>
      </c>
      <c r="E37" s="46">
        <v>17</v>
      </c>
      <c r="F37" s="46">
        <v>1</v>
      </c>
      <c r="G37" s="506">
        <v>995</v>
      </c>
      <c r="H37" s="48">
        <f t="shared" si="32"/>
        <v>0.17825581395348833</v>
      </c>
      <c r="I37" s="49">
        <v>0.88</v>
      </c>
      <c r="J37" s="89">
        <f t="shared" si="33"/>
        <v>55.043219511627917</v>
      </c>
      <c r="K37" s="89">
        <f t="shared" si="34"/>
        <v>18.18302717276163</v>
      </c>
      <c r="L37" s="39">
        <v>809.41176470588232</v>
      </c>
      <c r="M37" s="39">
        <v>665.12941176470588</v>
      </c>
      <c r="N37" s="50">
        <f t="shared" si="35"/>
        <v>0.17825581395348833</v>
      </c>
      <c r="O37" s="51">
        <f>+'Trim Rwd'!H16</f>
        <v>256.5</v>
      </c>
      <c r="P37" s="52">
        <f t="shared" si="36"/>
        <v>125685</v>
      </c>
      <c r="Q37" s="51">
        <v>510</v>
      </c>
      <c r="R37" s="507">
        <v>0</v>
      </c>
      <c r="S37" s="507">
        <v>20</v>
      </c>
      <c r="T37" s="41">
        <f t="shared" si="37"/>
        <v>14.791513680000003</v>
      </c>
      <c r="U37" s="41">
        <f t="shared" si="38"/>
        <v>14.211454320000003</v>
      </c>
      <c r="V37" s="41">
        <f t="shared" si="39"/>
        <v>0.71305988912790708</v>
      </c>
      <c r="W37" s="41">
        <f>+'6'!K9/1000</f>
        <v>10.814</v>
      </c>
      <c r="X37" s="42"/>
      <c r="Y37" s="218"/>
      <c r="Z37" s="41"/>
      <c r="AA37" s="41"/>
      <c r="AB37" s="41"/>
      <c r="AC37" s="41">
        <f t="shared" si="40"/>
        <v>3.3915134927616268</v>
      </c>
      <c r="AD37" s="41">
        <f t="shared" si="41"/>
        <v>22</v>
      </c>
      <c r="AE37" s="237" t="s">
        <v>416</v>
      </c>
      <c r="AF37" s="37"/>
      <c r="AG37" s="37"/>
      <c r="AH37" s="37">
        <v>22</v>
      </c>
      <c r="AJ37" s="41"/>
      <c r="AK37" s="41"/>
      <c r="AL37" s="41"/>
      <c r="AM37" s="41">
        <f t="shared" si="42"/>
        <v>22</v>
      </c>
      <c r="AN37" s="41"/>
      <c r="AO37" s="41"/>
      <c r="AP37" s="41"/>
      <c r="AQ37" s="41"/>
      <c r="AR37" s="41">
        <f t="shared" si="43"/>
        <v>0</v>
      </c>
      <c r="AS37" s="41"/>
      <c r="AT37" s="41"/>
      <c r="AU37" s="41"/>
      <c r="AV37" s="41"/>
      <c r="AW37" s="41"/>
      <c r="AX37" s="41"/>
      <c r="AY37" s="41"/>
      <c r="AZ37" s="41"/>
      <c r="BA37" s="41"/>
      <c r="BB37" s="41"/>
      <c r="BC37" s="41">
        <f t="shared" si="44"/>
        <v>0</v>
      </c>
      <c r="BD37" s="37"/>
      <c r="BE37" s="510"/>
      <c r="BF37" s="510"/>
      <c r="BG37" s="37"/>
      <c r="BH37" s="510"/>
    </row>
    <row r="38" spans="1:60" ht="12.95" customHeight="1">
      <c r="A38" s="44"/>
      <c r="B38" s="45"/>
      <c r="C38" s="451"/>
      <c r="D38" s="45"/>
      <c r="E38" s="46"/>
      <c r="F38" s="46"/>
      <c r="G38" s="47"/>
      <c r="H38" s="48"/>
      <c r="I38" s="49"/>
      <c r="J38" s="89"/>
      <c r="K38" s="89"/>
      <c r="L38" s="39"/>
      <c r="M38" s="39"/>
      <c r="N38" s="50"/>
      <c r="O38" s="51"/>
      <c r="P38" s="52"/>
      <c r="Q38" s="38"/>
      <c r="R38" s="507"/>
      <c r="S38" s="507"/>
      <c r="T38" s="41"/>
      <c r="U38" s="41"/>
      <c r="V38" s="41"/>
      <c r="W38" s="41"/>
      <c r="X38" s="42"/>
      <c r="Y38" s="218"/>
      <c r="Z38" s="41"/>
      <c r="AA38" s="41"/>
      <c r="AB38" s="41"/>
      <c r="AC38" s="41"/>
      <c r="AD38" s="41">
        <f t="shared" si="41"/>
        <v>5</v>
      </c>
      <c r="AE38" s="240" t="s">
        <v>225</v>
      </c>
      <c r="AF38" s="41"/>
      <c r="AG38" s="41"/>
      <c r="AH38" s="41"/>
      <c r="AI38" s="509">
        <v>5</v>
      </c>
      <c r="AJ38" s="41"/>
      <c r="AK38" s="41"/>
      <c r="AL38" s="41"/>
      <c r="AM38" s="41">
        <f t="shared" si="42"/>
        <v>5</v>
      </c>
      <c r="AN38" s="41"/>
      <c r="AO38" s="41"/>
      <c r="AP38" s="41"/>
      <c r="AQ38" s="41"/>
      <c r="AR38" s="41">
        <f t="shared" si="43"/>
        <v>0</v>
      </c>
      <c r="AS38" s="41"/>
      <c r="AT38" s="41"/>
      <c r="AU38" s="41"/>
      <c r="AV38" s="41"/>
      <c r="AW38" s="41"/>
      <c r="AX38" s="41"/>
      <c r="AY38" s="41"/>
      <c r="AZ38" s="41"/>
      <c r="BA38" s="41"/>
      <c r="BB38" s="41"/>
      <c r="BC38" s="41">
        <f t="shared" si="44"/>
        <v>0</v>
      </c>
      <c r="BD38" s="54"/>
      <c r="BE38" s="55"/>
      <c r="BF38" s="55"/>
      <c r="BG38" s="54"/>
      <c r="BH38" s="55"/>
    </row>
    <row r="39" spans="1:60" ht="12.95" customHeight="1">
      <c r="A39" s="44"/>
      <c r="B39" s="45"/>
      <c r="C39" s="451"/>
      <c r="D39" s="45"/>
      <c r="E39" s="46"/>
      <c r="F39" s="46"/>
      <c r="G39" s="47"/>
      <c r="H39" s="48"/>
      <c r="I39" s="49"/>
      <c r="J39" s="89"/>
      <c r="K39" s="89"/>
      <c r="L39" s="39"/>
      <c r="M39" s="39"/>
      <c r="N39" s="50"/>
      <c r="O39" s="51"/>
      <c r="P39" s="52"/>
      <c r="Q39" s="38"/>
      <c r="R39" s="507"/>
      <c r="S39" s="507"/>
      <c r="T39" s="41"/>
      <c r="U39" s="41"/>
      <c r="V39" s="41"/>
      <c r="W39" s="41"/>
      <c r="X39" s="42"/>
      <c r="Y39" s="218"/>
      <c r="Z39" s="41"/>
      <c r="AA39" s="41"/>
      <c r="AB39" s="41"/>
      <c r="AC39" s="41"/>
      <c r="AD39" s="41">
        <f t="shared" ref="AD39" si="45">+AM39+BC39</f>
        <v>480</v>
      </c>
      <c r="AE39" s="240" t="s">
        <v>506</v>
      </c>
      <c r="AF39" s="41"/>
      <c r="AG39" s="41"/>
      <c r="AH39" s="41"/>
      <c r="AI39" s="509"/>
      <c r="AJ39" s="41"/>
      <c r="AK39" s="41"/>
      <c r="AL39" s="41"/>
      <c r="AM39" s="41">
        <f t="shared" ref="AM39" si="46">SUM(AF39:AL39)+AT39</f>
        <v>0</v>
      </c>
      <c r="AN39" s="41"/>
      <c r="AO39" s="41"/>
      <c r="AP39" s="41"/>
      <c r="AQ39" s="41"/>
      <c r="AR39" s="41">
        <f t="shared" ref="AR39" si="47">SUM(AN39:AQ39)</f>
        <v>0</v>
      </c>
      <c r="AS39" s="41"/>
      <c r="AT39" s="41"/>
      <c r="AU39" s="41">
        <v>480</v>
      </c>
      <c r="AV39" s="41"/>
      <c r="AW39" s="41"/>
      <c r="AX39" s="41"/>
      <c r="AY39" s="41"/>
      <c r="AZ39" s="41"/>
      <c r="BA39" s="41"/>
      <c r="BB39" s="41"/>
      <c r="BC39" s="41">
        <f t="shared" ref="BC39" si="48">+AR39+AS39+AU39+AV39+AX39</f>
        <v>480</v>
      </c>
      <c r="BD39" s="54"/>
      <c r="BE39" s="55"/>
      <c r="BF39" s="55"/>
      <c r="BG39" s="54"/>
      <c r="BH39" s="55"/>
    </row>
    <row r="40" spans="1:60" ht="12.95" customHeight="1">
      <c r="A40" s="44"/>
      <c r="B40" s="45"/>
      <c r="C40" s="451"/>
      <c r="D40" s="45"/>
      <c r="E40" s="46"/>
      <c r="F40" s="46"/>
      <c r="G40" s="47"/>
      <c r="H40" s="48"/>
      <c r="I40" s="49"/>
      <c r="J40" s="89"/>
      <c r="K40" s="89"/>
      <c r="L40" s="39"/>
      <c r="M40" s="39"/>
      <c r="N40" s="50"/>
      <c r="O40" s="51"/>
      <c r="P40" s="52"/>
      <c r="Q40" s="38"/>
      <c r="R40" s="507"/>
      <c r="S40" s="507"/>
      <c r="T40" s="41"/>
      <c r="U40" s="41"/>
      <c r="V40" s="41"/>
      <c r="W40" s="41"/>
      <c r="X40" s="42"/>
      <c r="Y40" s="218"/>
      <c r="Z40" s="41"/>
      <c r="AA40" s="41"/>
      <c r="AB40" s="41"/>
      <c r="AC40" s="41"/>
      <c r="AD40" s="41">
        <f t="shared" ref="AD40" si="49">+AM40+BC40</f>
        <v>394</v>
      </c>
      <c r="AE40" s="240" t="s">
        <v>507</v>
      </c>
      <c r="AF40" s="41"/>
      <c r="AG40" s="41"/>
      <c r="AH40" s="41"/>
      <c r="AI40" s="509"/>
      <c r="AJ40" s="41"/>
      <c r="AK40" s="41"/>
      <c r="AL40" s="41"/>
      <c r="AM40" s="41">
        <f t="shared" ref="AM40" si="50">SUM(AF40:AL40)+AT40</f>
        <v>0</v>
      </c>
      <c r="AN40" s="41"/>
      <c r="AO40" s="41"/>
      <c r="AP40" s="41"/>
      <c r="AQ40" s="41"/>
      <c r="AR40" s="41">
        <f t="shared" ref="AR40" si="51">SUM(AN40:AQ40)</f>
        <v>0</v>
      </c>
      <c r="AS40" s="41">
        <v>394</v>
      </c>
      <c r="AT40" s="41"/>
      <c r="AU40" s="41"/>
      <c r="AV40" s="41"/>
      <c r="AW40" s="41"/>
      <c r="AX40" s="41"/>
      <c r="AY40" s="41"/>
      <c r="AZ40" s="41"/>
      <c r="BA40" s="41"/>
      <c r="BB40" s="41"/>
      <c r="BC40" s="41">
        <f t="shared" ref="BC40" si="52">+AR40+AS40+AU40+AV40+AX40</f>
        <v>394</v>
      </c>
      <c r="BD40" s="54"/>
      <c r="BE40" s="55"/>
      <c r="BF40" s="55"/>
      <c r="BG40" s="54"/>
      <c r="BH40" s="55"/>
    </row>
    <row r="41" spans="1:60" ht="12.95" customHeight="1">
      <c r="A41" s="44"/>
      <c r="B41" s="45"/>
      <c r="C41" s="451"/>
      <c r="D41" s="45"/>
      <c r="E41" s="46"/>
      <c r="F41" s="46"/>
      <c r="G41" s="47"/>
      <c r="H41" s="48"/>
      <c r="I41" s="49"/>
      <c r="J41" s="89"/>
      <c r="K41" s="89"/>
      <c r="L41" s="39"/>
      <c r="M41" s="39"/>
      <c r="N41" s="50"/>
      <c r="O41" s="51"/>
      <c r="P41" s="52"/>
      <c r="Q41" s="51"/>
      <c r="R41" s="507"/>
      <c r="S41" s="507"/>
      <c r="T41" s="41"/>
      <c r="U41" s="41"/>
      <c r="V41" s="41"/>
      <c r="W41" s="41"/>
      <c r="X41" s="508"/>
      <c r="Y41" s="218"/>
      <c r="Z41" s="41"/>
      <c r="AA41" s="53"/>
      <c r="AB41" s="53"/>
      <c r="AC41" s="41"/>
      <c r="AD41" s="41"/>
      <c r="AE41" s="237"/>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54"/>
      <c r="BE41" s="55"/>
      <c r="BF41" s="510"/>
      <c r="BG41" s="37"/>
      <c r="BH41" s="510"/>
    </row>
    <row r="42" spans="1:60" ht="12.95" customHeight="1">
      <c r="A42" s="44">
        <v>46029</v>
      </c>
      <c r="B42" s="45" t="s">
        <v>505</v>
      </c>
      <c r="C42" s="451">
        <f t="shared" ref="C42" si="53">(M42*E42*O42*Q42)/100000000</f>
        <v>12.115596924</v>
      </c>
      <c r="D42" s="45" t="s">
        <v>430</v>
      </c>
      <c r="E42" s="46">
        <v>17</v>
      </c>
      <c r="F42" s="46">
        <v>1</v>
      </c>
      <c r="G42" s="506">
        <v>1000</v>
      </c>
      <c r="H42" s="48">
        <f t="shared" ref="H42" si="54">+N42</f>
        <v>0.18000000000000005</v>
      </c>
      <c r="I42" s="49">
        <v>0.88</v>
      </c>
      <c r="J42" s="89">
        <f t="shared" ref="J42" si="55">E42*G42*(1-H42)*1440/1000000*2.75</f>
        <v>55.202399999999997</v>
      </c>
      <c r="K42" s="89">
        <f t="shared" ref="K42" si="56">(IF(G42&lt;L42,L42,G42)*(1-IF(H42&lt;N42,H42,N42))*E42*O42*Q42)/100000000</f>
        <v>14.0879034</v>
      </c>
      <c r="L42" s="39">
        <v>860</v>
      </c>
      <c r="M42" s="39">
        <v>705.19999999999993</v>
      </c>
      <c r="N42" s="50">
        <f t="shared" ref="N42" si="57">1-(M42/L42)</f>
        <v>0.18000000000000005</v>
      </c>
      <c r="O42" s="51">
        <f>+'Trim Rwd'!H19</f>
        <v>256.5</v>
      </c>
      <c r="P42" s="52">
        <f>O42*(Q42-R42-S42)</f>
        <v>96700.5</v>
      </c>
      <c r="Q42" s="51">
        <v>394</v>
      </c>
      <c r="R42" s="507">
        <v>0</v>
      </c>
      <c r="S42" s="507">
        <v>17</v>
      </c>
      <c r="T42" s="41">
        <f>E42*M42*O42*Q42/100000000</f>
        <v>12.115596924</v>
      </c>
      <c r="U42" s="41">
        <f>E42*M42*O42*(Q42-R42-S42)/100000000</f>
        <v>11.592842742</v>
      </c>
      <c r="V42" s="41">
        <f>E42*G42*(1-N42)*O42/100*(R42+S42)/1000000</f>
        <v>0.60785369999999994</v>
      </c>
      <c r="W42" s="41">
        <f>+'7'!K9/1000</f>
        <v>14.016</v>
      </c>
      <c r="X42" s="508">
        <f>SUM(W42:W45)/SUM(K42:K45)</f>
        <v>0.74549342410421804</v>
      </c>
      <c r="Y42" s="218">
        <v>0</v>
      </c>
      <c r="Z42" s="41">
        <v>0</v>
      </c>
      <c r="AA42" s="53">
        <f>SUM(U42:U45)-SUM(W42:W45)-SUM(Z42:Z45)-SUM(Y42:Y45)</f>
        <v>4.856312214270738</v>
      </c>
      <c r="AB42" s="53">
        <f>(SUM(K42:K45)-SUM(W42:W45)-SUM(Y42:Y45)-SUM(Z42:Z45)-SUM(AC42:AC45)-SUM(V42:V45))-AA42</f>
        <v>1.3841596228599533</v>
      </c>
      <c r="AC42" s="41">
        <f>K42-T42</f>
        <v>1.972306476</v>
      </c>
      <c r="AD42" s="41">
        <f>+AM42+BC42</f>
        <v>0</v>
      </c>
      <c r="AE42" s="237" t="s">
        <v>386</v>
      </c>
      <c r="AF42" s="41">
        <v>0</v>
      </c>
      <c r="AG42" s="41"/>
      <c r="AH42" s="41"/>
      <c r="AI42" s="509"/>
      <c r="AJ42" s="41"/>
      <c r="AK42" s="41"/>
      <c r="AL42" s="41"/>
      <c r="AM42" s="41">
        <f>SUM(AF42:AL42)+AT42</f>
        <v>0</v>
      </c>
      <c r="AN42" s="41"/>
      <c r="AO42" s="41"/>
      <c r="AP42" s="41"/>
      <c r="AQ42" s="41"/>
      <c r="AR42" s="41">
        <f>SUM(AN42:AQ42)</f>
        <v>0</v>
      </c>
      <c r="AS42" s="41"/>
      <c r="AT42" s="41"/>
      <c r="AU42" s="41"/>
      <c r="AV42" s="41"/>
      <c r="AW42" s="41"/>
      <c r="AX42" s="41"/>
      <c r="AY42" s="41"/>
      <c r="AZ42" s="41"/>
      <c r="BA42" s="41"/>
      <c r="BB42" s="41"/>
      <c r="BC42" s="41">
        <f>+AR42+AS42+AU42+AV42+AX42</f>
        <v>0</v>
      </c>
      <c r="BD42" s="37">
        <v>0</v>
      </c>
      <c r="BE42" s="55"/>
      <c r="BF42" s="55"/>
      <c r="BG42" s="37"/>
      <c r="BH42" s="55"/>
    </row>
    <row r="43" spans="1:60" ht="12.95" customHeight="1">
      <c r="A43" s="44"/>
      <c r="B43" s="45" t="s">
        <v>505</v>
      </c>
      <c r="C43" s="451">
        <f t="shared" ref="C43:C44" si="58">(M43*E43*O43*Q43)/100000000</f>
        <v>1.3583366420000003</v>
      </c>
      <c r="D43" s="45" t="s">
        <v>430</v>
      </c>
      <c r="E43" s="46">
        <v>35.5</v>
      </c>
      <c r="F43" s="46">
        <v>1</v>
      </c>
      <c r="G43" s="506">
        <v>480</v>
      </c>
      <c r="H43" s="48">
        <f t="shared" ref="H43:H44" si="59">+N43</f>
        <v>0.17999999999999983</v>
      </c>
      <c r="I43" s="49">
        <v>0.88</v>
      </c>
      <c r="J43" s="89">
        <f t="shared" ref="J43:J44" si="60">E43*G43*(1-H43)*1440/1000000*2.75</f>
        <v>55.332288000000013</v>
      </c>
      <c r="K43" s="89">
        <f t="shared" ref="K43:K44" si="61">(IF(G43&lt;L43,L43,G43)*(1-IF(H43&lt;N43,H43,N43))*E43*O43*Q43)/100000000</f>
        <v>1.3583366420000003</v>
      </c>
      <c r="L43" s="39">
        <v>516.06060606060601</v>
      </c>
      <c r="M43" s="39">
        <v>423.16969696969699</v>
      </c>
      <c r="N43" s="50">
        <f t="shared" ref="N43:N44" si="62">1-(M43/L43)</f>
        <v>0.17999999999999983</v>
      </c>
      <c r="O43" s="51">
        <f>+'Trim Rwd'!H22</f>
        <v>274</v>
      </c>
      <c r="P43" s="52">
        <f t="shared" ref="P43:P44" si="63">O43*(Q43-R43-S43)</f>
        <v>7946</v>
      </c>
      <c r="Q43" s="51">
        <v>33</v>
      </c>
      <c r="R43" s="507">
        <v>0</v>
      </c>
      <c r="S43" s="507">
        <f>57-S42-S44-S45</f>
        <v>4</v>
      </c>
      <c r="T43" s="41">
        <f t="shared" ref="T43:T44" si="64">E43*M43*O43*Q43/100000000</f>
        <v>1.3583366420000003</v>
      </c>
      <c r="U43" s="41">
        <f t="shared" ref="U43:U44" si="65">E43*M43*O43*(Q43-R43-S43)/100000000</f>
        <v>1.1936897763030303</v>
      </c>
      <c r="V43" s="41">
        <f t="shared" ref="V43:V44" si="66">E43*G43*(1-N43)*O43/100*(R43+S43)/1000000</f>
        <v>0.15314188800000003</v>
      </c>
      <c r="W43" s="41">
        <f>+'5'!K22/1000</f>
        <v>0</v>
      </c>
      <c r="X43" s="42"/>
      <c r="Y43" s="218"/>
      <c r="Z43" s="41"/>
      <c r="AA43" s="41"/>
      <c r="AB43" s="41"/>
      <c r="AC43" s="41">
        <f t="shared" ref="AC43:AC44" si="67">K43-T43</f>
        <v>0</v>
      </c>
      <c r="AD43" s="41">
        <f t="shared" ref="AD43:AD45" si="68">+AM43+BC43</f>
        <v>8</v>
      </c>
      <c r="AE43" s="237" t="s">
        <v>437</v>
      </c>
      <c r="AF43" s="41"/>
      <c r="AG43" s="41">
        <v>8</v>
      </c>
      <c r="AH43" s="41"/>
      <c r="AI43" s="509"/>
      <c r="AJ43" s="41"/>
      <c r="AK43" s="41"/>
      <c r="AL43" s="41"/>
      <c r="AM43" s="41">
        <f t="shared" ref="AM43:AM45" si="69">SUM(AF43:AL43)+AT43</f>
        <v>8</v>
      </c>
      <c r="AN43" s="90"/>
      <c r="AO43" s="41"/>
      <c r="AP43" s="41"/>
      <c r="AQ43" s="41"/>
      <c r="AR43" s="41">
        <f t="shared" ref="AR43:AR45" si="70">SUM(AN43:AQ43)</f>
        <v>0</v>
      </c>
      <c r="AS43" s="41"/>
      <c r="AT43" s="41"/>
      <c r="AU43" s="41"/>
      <c r="AV43" s="41"/>
      <c r="AW43" s="41"/>
      <c r="AX43" s="41"/>
      <c r="AY43" s="41"/>
      <c r="AZ43" s="41"/>
      <c r="BA43" s="41"/>
      <c r="BB43" s="41"/>
      <c r="BC43" s="41">
        <f t="shared" ref="BC43:BC45" si="71">+AR43+AS43+AU43+AV43+AX43</f>
        <v>0</v>
      </c>
      <c r="BD43" s="54"/>
      <c r="BE43" s="55">
        <v>5</v>
      </c>
      <c r="BF43" s="55"/>
      <c r="BG43" s="54"/>
      <c r="BH43" s="55"/>
    </row>
    <row r="44" spans="1:60" ht="12.95" customHeight="1">
      <c r="A44" s="44"/>
      <c r="B44" s="45" t="s">
        <v>505</v>
      </c>
      <c r="C44" s="451">
        <f t="shared" si="58"/>
        <v>25.380822961999996</v>
      </c>
      <c r="D44" s="45" t="s">
        <v>430</v>
      </c>
      <c r="E44" s="46">
        <v>22</v>
      </c>
      <c r="F44" s="46">
        <v>1</v>
      </c>
      <c r="G44" s="506">
        <v>745</v>
      </c>
      <c r="H44" s="48">
        <f t="shared" si="59"/>
        <v>0.15204235062997051</v>
      </c>
      <c r="I44" s="49">
        <v>0.88</v>
      </c>
      <c r="J44" s="89">
        <f t="shared" si="60"/>
        <v>55.036182457772149</v>
      </c>
      <c r="K44" s="89">
        <f t="shared" si="61"/>
        <v>27.431367547437464</v>
      </c>
      <c r="L44" s="39">
        <v>689.30989583333337</v>
      </c>
      <c r="M44" s="39">
        <v>584.50559895833328</v>
      </c>
      <c r="N44" s="50">
        <f t="shared" si="62"/>
        <v>0.15204235062997051</v>
      </c>
      <c r="O44" s="51">
        <f>+'Trim Rwd'!H20</f>
        <v>257</v>
      </c>
      <c r="P44" s="52">
        <f t="shared" si="63"/>
        <v>191722</v>
      </c>
      <c r="Q44" s="51">
        <v>768</v>
      </c>
      <c r="R44" s="507">
        <v>0</v>
      </c>
      <c r="S44" s="507">
        <v>22</v>
      </c>
      <c r="T44" s="41">
        <f t="shared" si="64"/>
        <v>25.380822961999996</v>
      </c>
      <c r="U44" s="41">
        <f t="shared" si="65"/>
        <v>24.653768137567706</v>
      </c>
      <c r="V44" s="41">
        <f t="shared" si="66"/>
        <v>0.78579438286930225</v>
      </c>
      <c r="W44" s="41">
        <f>+'7'!K10/1000</f>
        <v>24.459</v>
      </c>
      <c r="X44" s="42"/>
      <c r="Y44" s="218"/>
      <c r="Z44" s="41">
        <f>+'7'!D25/1000</f>
        <v>0.82599999999999996</v>
      </c>
      <c r="AA44" s="41"/>
      <c r="AB44" s="41"/>
      <c r="AC44" s="41">
        <f t="shared" si="67"/>
        <v>2.0505445854374678</v>
      </c>
      <c r="AD44" s="41">
        <f t="shared" si="68"/>
        <v>41</v>
      </c>
      <c r="AE44" s="237" t="s">
        <v>524</v>
      </c>
      <c r="AF44" s="37"/>
      <c r="AG44" s="37"/>
      <c r="AH44" s="37">
        <v>41</v>
      </c>
      <c r="AJ44" s="41"/>
      <c r="AK44" s="41"/>
      <c r="AL44" s="41"/>
      <c r="AM44" s="41">
        <f t="shared" si="69"/>
        <v>41</v>
      </c>
      <c r="AN44" s="41"/>
      <c r="AO44" s="41"/>
      <c r="AP44" s="41"/>
      <c r="AQ44" s="41"/>
      <c r="AR44" s="41">
        <f t="shared" si="70"/>
        <v>0</v>
      </c>
      <c r="AS44" s="41"/>
      <c r="AT44" s="41"/>
      <c r="AU44" s="41"/>
      <c r="AV44" s="41"/>
      <c r="AW44" s="41"/>
      <c r="AX44" s="41"/>
      <c r="AY44" s="41"/>
      <c r="AZ44" s="41"/>
      <c r="BA44" s="41"/>
      <c r="BB44" s="41"/>
      <c r="BC44" s="41">
        <f t="shared" si="71"/>
        <v>0</v>
      </c>
      <c r="BD44" s="37"/>
      <c r="BE44" s="510"/>
      <c r="BF44" s="510"/>
      <c r="BG44" s="37"/>
      <c r="BH44" s="510"/>
    </row>
    <row r="45" spans="1:60" ht="12.95" customHeight="1">
      <c r="A45" s="44"/>
      <c r="B45" s="45" t="s">
        <v>505</v>
      </c>
      <c r="C45" s="451">
        <f t="shared" ref="C45" si="72">(M45*E45*O45*Q45)/100000000</f>
        <v>7.1241031680000004</v>
      </c>
      <c r="D45" s="45" t="s">
        <v>430</v>
      </c>
      <c r="E45" s="46">
        <v>14</v>
      </c>
      <c r="F45" s="46">
        <v>1</v>
      </c>
      <c r="G45" s="506">
        <v>1275</v>
      </c>
      <c r="H45" s="48">
        <f t="shared" ref="H45" si="73">+N45</f>
        <v>0.21999999999999986</v>
      </c>
      <c r="I45" s="49">
        <v>0.88</v>
      </c>
      <c r="J45" s="89">
        <f t="shared" ref="J45" si="74">E45*G45*(1-H45)*1440/1000000*2.75</f>
        <v>55.135080000000002</v>
      </c>
      <c r="K45" s="89">
        <f t="shared" ref="K45" si="75">(IF(G45&lt;L45,L45,G45)*(1-IF(H45&lt;N45,H45,N45))*E45*O45*Q45)/100000000</f>
        <v>8.7325056000000032</v>
      </c>
      <c r="L45" s="39">
        <v>1040.1632653061224</v>
      </c>
      <c r="M45" s="39">
        <v>811.32734693877558</v>
      </c>
      <c r="N45" s="50">
        <f t="shared" ref="N45" si="76">1-(M45/L45)</f>
        <v>0.21999999999999986</v>
      </c>
      <c r="O45" s="51">
        <f>+'Trim Rwd'!H21</f>
        <v>256</v>
      </c>
      <c r="P45" s="52">
        <f t="shared" ref="P45" si="77">O45*(Q45-R45-S45)</f>
        <v>59136</v>
      </c>
      <c r="Q45" s="51">
        <v>245</v>
      </c>
      <c r="R45" s="507">
        <v>0</v>
      </c>
      <c r="S45" s="507">
        <v>14</v>
      </c>
      <c r="T45" s="41">
        <f t="shared" ref="T45" si="78">E45*M45*O45*Q45/100000000</f>
        <v>7.1241031680000004</v>
      </c>
      <c r="U45" s="41">
        <f t="shared" ref="U45" si="79">E45*M45*O45*(Q45-R45-S45)/100000000</f>
        <v>6.7170115584000003</v>
      </c>
      <c r="V45" s="41">
        <f t="shared" ref="V45" si="80">E45*G45*(1-N45)*O45/100*(R45+S45)/1000000</f>
        <v>0.49900032000000005</v>
      </c>
      <c r="W45" s="41">
        <f>+'6'!K17/1000</f>
        <v>0</v>
      </c>
      <c r="X45" s="42"/>
      <c r="Y45" s="218"/>
      <c r="Z45" s="41"/>
      <c r="AA45" s="41"/>
      <c r="AB45" s="41"/>
      <c r="AC45" s="41"/>
      <c r="AD45" s="41">
        <f t="shared" si="68"/>
        <v>8</v>
      </c>
      <c r="AE45" s="240" t="s">
        <v>225</v>
      </c>
      <c r="AF45" s="41"/>
      <c r="AG45" s="41"/>
      <c r="AH45" s="41"/>
      <c r="AI45" s="509">
        <v>8</v>
      </c>
      <c r="AJ45" s="41"/>
      <c r="AK45" s="41"/>
      <c r="AL45" s="41"/>
      <c r="AM45" s="41">
        <f t="shared" si="69"/>
        <v>8</v>
      </c>
      <c r="AN45" s="41"/>
      <c r="AO45" s="41"/>
      <c r="AP45" s="41"/>
      <c r="AQ45" s="41"/>
      <c r="AR45" s="41">
        <f t="shared" si="70"/>
        <v>0</v>
      </c>
      <c r="AS45" s="41"/>
      <c r="AT45" s="41"/>
      <c r="AU45" s="41"/>
      <c r="AV45" s="41"/>
      <c r="AW45" s="41"/>
      <c r="AX45" s="41"/>
      <c r="AY45" s="41"/>
      <c r="AZ45" s="41"/>
      <c r="BA45" s="41"/>
      <c r="BB45" s="41"/>
      <c r="BC45" s="41">
        <f t="shared" si="71"/>
        <v>0</v>
      </c>
      <c r="BD45" s="54"/>
      <c r="BE45" s="55"/>
      <c r="BF45" s="55"/>
      <c r="BG45" s="54"/>
      <c r="BH45" s="55"/>
    </row>
    <row r="46" spans="1:60" ht="12.95" customHeight="1">
      <c r="A46" s="44"/>
      <c r="B46" s="45"/>
      <c r="C46" s="451"/>
      <c r="D46" s="45"/>
      <c r="E46" s="46"/>
      <c r="F46" s="46"/>
      <c r="G46" s="47"/>
      <c r="H46" s="48"/>
      <c r="I46" s="49"/>
      <c r="J46" s="89"/>
      <c r="K46" s="89"/>
      <c r="L46" s="39"/>
      <c r="M46" s="39"/>
      <c r="N46" s="50"/>
      <c r="O46" s="51"/>
      <c r="P46" s="52"/>
      <c r="Q46" s="51"/>
      <c r="R46" s="507"/>
      <c r="S46" s="507"/>
      <c r="T46" s="41"/>
      <c r="U46" s="41"/>
      <c r="V46" s="41"/>
      <c r="W46" s="41"/>
      <c r="X46" s="508"/>
      <c r="Y46" s="218"/>
      <c r="Z46" s="41"/>
      <c r="AA46" s="53"/>
      <c r="AB46" s="53"/>
      <c r="AC46" s="41"/>
      <c r="AD46" s="41"/>
      <c r="AE46" s="237"/>
      <c r="AF46" s="41"/>
      <c r="AG46" s="41"/>
      <c r="AH46" s="41"/>
      <c r="AI46" s="509"/>
      <c r="AJ46" s="41"/>
      <c r="AK46" s="41"/>
      <c r="AL46" s="41"/>
      <c r="AM46" s="41"/>
      <c r="AN46" s="41"/>
      <c r="AO46" s="41"/>
      <c r="AP46" s="41"/>
      <c r="AQ46" s="41"/>
      <c r="AR46" s="41"/>
      <c r="AS46" s="41"/>
      <c r="AT46" s="41"/>
      <c r="AU46" s="41"/>
      <c r="AV46" s="41"/>
      <c r="AW46" s="41"/>
      <c r="AX46" s="41"/>
      <c r="AY46" s="41"/>
      <c r="AZ46" s="41"/>
      <c r="BA46" s="41"/>
      <c r="BB46" s="41"/>
      <c r="BC46" s="41"/>
      <c r="BD46" s="37"/>
      <c r="BE46" s="55"/>
      <c r="BF46" s="55"/>
      <c r="BG46" s="54"/>
      <c r="BH46" s="55"/>
    </row>
    <row r="47" spans="1:60" ht="12.95" customHeight="1">
      <c r="A47" s="44">
        <v>46030</v>
      </c>
      <c r="B47" s="45" t="s">
        <v>505</v>
      </c>
      <c r="C47" s="451">
        <f t="shared" ref="C47:C50" si="81">(M47*E47*O47*Q47)/100000000</f>
        <v>4.5566975999999997</v>
      </c>
      <c r="D47" s="45" t="s">
        <v>430</v>
      </c>
      <c r="E47" s="46">
        <v>14</v>
      </c>
      <c r="F47" s="46">
        <v>1</v>
      </c>
      <c r="G47" s="506">
        <v>1275</v>
      </c>
      <c r="H47" s="48">
        <f t="shared" ref="H47:H50" si="82">+N47</f>
        <v>0.21999999999999997</v>
      </c>
      <c r="I47" s="49">
        <v>0.88</v>
      </c>
      <c r="J47" s="89">
        <f t="shared" ref="J47:J50" si="83">E47*G47*(1-H47)*1440/1000000*2.75</f>
        <v>55.135079999999995</v>
      </c>
      <c r="K47" s="89">
        <f t="shared" ref="K47:K50" si="84">(IF(G47&lt;L47,L47,G47)*(1-IF(H47&lt;N47,H47,N47))*E47*O47*Q47)/100000000</f>
        <v>5.8097894400000003</v>
      </c>
      <c r="L47" s="39">
        <v>1000</v>
      </c>
      <c r="M47" s="39">
        <v>780</v>
      </c>
      <c r="N47" s="50">
        <f t="shared" ref="N47:N50" si="85">1-(M47/L47)</f>
        <v>0.21999999999999997</v>
      </c>
      <c r="O47" s="51">
        <f>+'Trim Rwd'!H24</f>
        <v>256</v>
      </c>
      <c r="P47" s="52">
        <f>O47*(Q47-R47-S47)</f>
        <v>40448</v>
      </c>
      <c r="Q47" s="51">
        <v>163</v>
      </c>
      <c r="R47" s="507">
        <v>0</v>
      </c>
      <c r="S47" s="507">
        <f>30-S48-S49-S50</f>
        <v>5</v>
      </c>
      <c r="T47" s="41">
        <f>E47*M47*O47*Q47/100000000</f>
        <v>4.5566975999999997</v>
      </c>
      <c r="U47" s="41">
        <f>E47*M47*O47*(Q47-R47-S47)/100000000</f>
        <v>4.4169216000000002</v>
      </c>
      <c r="V47" s="41">
        <f>E47*G47*(1-N47)*O47/100*(R47+S47)/1000000</f>
        <v>0.1782144</v>
      </c>
      <c r="W47" s="41">
        <f>+'8'!K11/1000</f>
        <v>8.0429999999999993</v>
      </c>
      <c r="X47" s="508">
        <f>SUM(W47:W50)/SUM(K47:K50)</f>
        <v>0.80092416256322629</v>
      </c>
      <c r="Y47" s="218">
        <v>0</v>
      </c>
      <c r="Z47" s="41">
        <f>+'8'!D7/1000</f>
        <v>0.77300000000000002</v>
      </c>
      <c r="AA47" s="53">
        <f>SUM(U47:U50)-SUM(W47:W50)-SUM(Z47:Z50)-SUM(Y47:Y50)</f>
        <v>6.4436743129999989</v>
      </c>
      <c r="AB47" s="53">
        <f>(SUM(K47:K50)-SUM(W47:W50)-SUM(Y47:Y50)-SUM(Z47:Z50)-SUM(AC47:AC50)-SUM(V47:V50))-AA47</f>
        <v>1.1307641050000017</v>
      </c>
      <c r="AC47" s="41">
        <f>K47-T47</f>
        <v>1.2530918400000006</v>
      </c>
      <c r="AD47" s="41">
        <f>+AM47+BC47</f>
        <v>0</v>
      </c>
      <c r="AE47" s="237" t="s">
        <v>386</v>
      </c>
      <c r="AF47" s="41">
        <v>0</v>
      </c>
      <c r="AG47" s="41"/>
      <c r="AH47" s="41"/>
      <c r="AI47" s="509"/>
      <c r="AJ47" s="41"/>
      <c r="AK47" s="41"/>
      <c r="AL47" s="41"/>
      <c r="AM47" s="41">
        <f>SUM(AF47:AL47)+AT47</f>
        <v>0</v>
      </c>
      <c r="AN47" s="41"/>
      <c r="AO47" s="41"/>
      <c r="AP47" s="41"/>
      <c r="AQ47" s="41"/>
      <c r="AR47" s="41">
        <f>SUM(AN47:AQ47)</f>
        <v>0</v>
      </c>
      <c r="AS47" s="41"/>
      <c r="AT47" s="41"/>
      <c r="AU47" s="41"/>
      <c r="AV47" s="41"/>
      <c r="AW47" s="41"/>
      <c r="AX47" s="41"/>
      <c r="AY47" s="41"/>
      <c r="AZ47" s="41"/>
      <c r="BA47" s="41"/>
      <c r="BB47" s="41"/>
      <c r="BC47" s="41">
        <f>+AR47+AS47+AU47+AV47+AX47</f>
        <v>0</v>
      </c>
      <c r="BD47" s="37">
        <v>0</v>
      </c>
      <c r="BE47" s="55"/>
      <c r="BF47" s="55"/>
      <c r="BG47" s="37"/>
      <c r="BH47" s="55"/>
    </row>
    <row r="48" spans="1:60" ht="12.95" customHeight="1">
      <c r="A48" s="44"/>
      <c r="B48" s="45" t="s">
        <v>505</v>
      </c>
      <c r="C48" s="451">
        <f t="shared" si="81"/>
        <v>3.4489607520000001</v>
      </c>
      <c r="D48" s="45" t="s">
        <v>430</v>
      </c>
      <c r="E48" s="46">
        <v>35.5</v>
      </c>
      <c r="F48" s="46">
        <v>1</v>
      </c>
      <c r="G48" s="506">
        <v>440</v>
      </c>
      <c r="H48" s="48">
        <f t="shared" si="82"/>
        <v>0.10999999999999999</v>
      </c>
      <c r="I48" s="49">
        <v>0.88</v>
      </c>
      <c r="J48" s="89">
        <f t="shared" si="83"/>
        <v>55.051128000000006</v>
      </c>
      <c r="K48" s="89">
        <f t="shared" si="84"/>
        <v>3.4489607520000001</v>
      </c>
      <c r="L48" s="39">
        <v>480</v>
      </c>
      <c r="M48" s="39">
        <v>427.2</v>
      </c>
      <c r="N48" s="50">
        <f t="shared" si="85"/>
        <v>0.10999999999999999</v>
      </c>
      <c r="O48" s="51">
        <f>+'Trim Rwd'!H28</f>
        <v>274</v>
      </c>
      <c r="P48" s="52">
        <f t="shared" ref="P48:P50" si="86">O48*(Q48-R48-S48)</f>
        <v>22194</v>
      </c>
      <c r="Q48" s="51">
        <v>83</v>
      </c>
      <c r="R48" s="507">
        <v>0</v>
      </c>
      <c r="S48" s="507">
        <v>2</v>
      </c>
      <c r="T48" s="41">
        <f t="shared" ref="T48:T50" si="87">E48*M48*O48*Q48/100000000</f>
        <v>3.4489607520000001</v>
      </c>
      <c r="U48" s="41">
        <f t="shared" ref="U48:U50" si="88">E48*M48*O48*(Q48-R48-S48)/100000000</f>
        <v>3.3658532639999996</v>
      </c>
      <c r="V48" s="41">
        <f t="shared" ref="V48:V50" si="89">E48*G48*(1-N48)*O48/100*(R48+S48)/1000000</f>
        <v>7.6181864000000002E-2</v>
      </c>
      <c r="W48" s="41">
        <f>+'8'!K12/1000</f>
        <v>21.439</v>
      </c>
      <c r="X48" s="42"/>
      <c r="Y48" s="218"/>
      <c r="Z48" s="41"/>
      <c r="AA48" s="41"/>
      <c r="AB48" s="41"/>
      <c r="AC48" s="41">
        <f t="shared" ref="AC48:AC49" si="90">K48-T48</f>
        <v>0</v>
      </c>
      <c r="AD48" s="41">
        <f t="shared" ref="AD48:AD50" si="91">+AM48+BC48</f>
        <v>6</v>
      </c>
      <c r="AE48" s="237" t="s">
        <v>438</v>
      </c>
      <c r="AF48" s="41"/>
      <c r="AG48" s="41">
        <v>6</v>
      </c>
      <c r="AH48" s="41"/>
      <c r="AI48" s="509"/>
      <c r="AJ48" s="41"/>
      <c r="AK48" s="41"/>
      <c r="AL48" s="41"/>
      <c r="AM48" s="41">
        <f t="shared" ref="AM48:AM50" si="92">SUM(AF48:AL48)+AT48</f>
        <v>6</v>
      </c>
      <c r="AN48" s="90"/>
      <c r="AO48" s="41"/>
      <c r="AP48" s="41"/>
      <c r="AQ48" s="41"/>
      <c r="AR48" s="41">
        <f t="shared" ref="AR48:AR50" si="93">SUM(AN48:AQ48)</f>
        <v>0</v>
      </c>
      <c r="AS48" s="41"/>
      <c r="AT48" s="41"/>
      <c r="AU48" s="41"/>
      <c r="AV48" s="41"/>
      <c r="AW48" s="41"/>
      <c r="AX48" s="41"/>
      <c r="AY48" s="41"/>
      <c r="AZ48" s="41"/>
      <c r="BA48" s="41"/>
      <c r="BB48" s="41"/>
      <c r="BC48" s="41">
        <f t="shared" ref="BC48:BC50" si="94">+AR48+AS48+AU48+AV48+AX48</f>
        <v>0</v>
      </c>
      <c r="BD48" s="54"/>
      <c r="BE48" s="55">
        <v>8</v>
      </c>
      <c r="BF48" s="55"/>
      <c r="BG48" s="54"/>
      <c r="BH48" s="55"/>
    </row>
    <row r="49" spans="1:60" ht="12.95" customHeight="1">
      <c r="A49" s="44"/>
      <c r="B49" s="45" t="s">
        <v>505</v>
      </c>
      <c r="C49" s="451">
        <f t="shared" si="81"/>
        <v>23.357618973000001</v>
      </c>
      <c r="D49" s="45" t="s">
        <v>430</v>
      </c>
      <c r="E49" s="46">
        <v>29</v>
      </c>
      <c r="F49" s="46">
        <v>1</v>
      </c>
      <c r="G49" s="506">
        <v>540</v>
      </c>
      <c r="H49" s="48">
        <f t="shared" si="82"/>
        <v>0.10999999999999999</v>
      </c>
      <c r="I49" s="49">
        <v>0.88</v>
      </c>
      <c r="J49" s="89">
        <f t="shared" si="83"/>
        <v>55.192104</v>
      </c>
      <c r="K49" s="89">
        <f t="shared" si="84"/>
        <v>23.357618973000001</v>
      </c>
      <c r="L49" s="39">
        <v>590</v>
      </c>
      <c r="M49" s="39">
        <v>525.1</v>
      </c>
      <c r="N49" s="50">
        <f t="shared" si="85"/>
        <v>0.10999999999999999</v>
      </c>
      <c r="O49" s="51">
        <f>+'Trim Rwd'!H25</f>
        <v>256.5</v>
      </c>
      <c r="P49" s="52">
        <f t="shared" si="86"/>
        <v>150309</v>
      </c>
      <c r="Q49" s="51">
        <v>598</v>
      </c>
      <c r="R49" s="507">
        <v>0</v>
      </c>
      <c r="S49" s="507">
        <v>12</v>
      </c>
      <c r="T49" s="41">
        <f t="shared" si="87"/>
        <v>23.357618973000001</v>
      </c>
      <c r="U49" s="41">
        <f t="shared" si="88"/>
        <v>22.888904211000003</v>
      </c>
      <c r="V49" s="41">
        <f t="shared" si="89"/>
        <v>0.42899317200000003</v>
      </c>
      <c r="W49" s="41">
        <f>+'8'!K13/1000</f>
        <v>2.1930000000000001</v>
      </c>
      <c r="X49" s="42"/>
      <c r="Y49" s="218"/>
      <c r="Z49" s="41"/>
      <c r="AA49" s="41"/>
      <c r="AB49" s="41"/>
      <c r="AC49" s="41">
        <f t="shared" si="90"/>
        <v>0</v>
      </c>
      <c r="AD49" s="41">
        <f t="shared" si="91"/>
        <v>16</v>
      </c>
      <c r="AE49" s="237" t="s">
        <v>543</v>
      </c>
      <c r="AF49" s="37"/>
      <c r="AG49" s="37"/>
      <c r="AH49" s="37">
        <v>16</v>
      </c>
      <c r="AJ49" s="41"/>
      <c r="AK49" s="41"/>
      <c r="AL49" s="41"/>
      <c r="AM49" s="41">
        <f t="shared" si="92"/>
        <v>16</v>
      </c>
      <c r="AN49" s="41"/>
      <c r="AO49" s="41"/>
      <c r="AP49" s="41"/>
      <c r="AQ49" s="41"/>
      <c r="AR49" s="41">
        <f t="shared" si="93"/>
        <v>0</v>
      </c>
      <c r="AS49" s="41"/>
      <c r="AT49" s="41"/>
      <c r="AU49" s="41"/>
      <c r="AV49" s="41"/>
      <c r="AW49" s="41"/>
      <c r="AX49" s="41"/>
      <c r="AY49" s="41"/>
      <c r="AZ49" s="41"/>
      <c r="BA49" s="41"/>
      <c r="BB49" s="41"/>
      <c r="BC49" s="41">
        <f t="shared" si="94"/>
        <v>0</v>
      </c>
      <c r="BD49" s="37"/>
      <c r="BE49" s="510"/>
      <c r="BF49" s="510"/>
      <c r="BG49" s="37"/>
      <c r="BH49" s="510"/>
    </row>
    <row r="50" spans="1:60" ht="12.95" customHeight="1">
      <c r="A50" s="44"/>
      <c r="B50" s="45" t="s">
        <v>537</v>
      </c>
      <c r="C50" s="451">
        <f t="shared" si="81"/>
        <v>20.5859370288</v>
      </c>
      <c r="D50" s="45" t="s">
        <v>430</v>
      </c>
      <c r="E50" s="46">
        <v>15.5</v>
      </c>
      <c r="F50" s="46">
        <v>1</v>
      </c>
      <c r="G50" s="506">
        <v>1045</v>
      </c>
      <c r="H50" s="48">
        <f t="shared" si="82"/>
        <v>0.14000000000000001</v>
      </c>
      <c r="I50" s="49">
        <v>0.88</v>
      </c>
      <c r="J50" s="89">
        <f t="shared" si="83"/>
        <v>55.162205999999998</v>
      </c>
      <c r="K50" s="89">
        <f t="shared" si="84"/>
        <v>21.729600197066663</v>
      </c>
      <c r="L50" s="39">
        <v>990</v>
      </c>
      <c r="M50" s="39">
        <v>851.4</v>
      </c>
      <c r="N50" s="50">
        <f t="shared" si="85"/>
        <v>0.14000000000000001</v>
      </c>
      <c r="O50" s="51">
        <f>+'Trim Rwd'!H26</f>
        <v>261.73333333333335</v>
      </c>
      <c r="P50" s="52">
        <f t="shared" si="86"/>
        <v>153114</v>
      </c>
      <c r="Q50" s="51">
        <v>596</v>
      </c>
      <c r="R50" s="507">
        <v>0</v>
      </c>
      <c r="S50" s="507">
        <v>11</v>
      </c>
      <c r="T50" s="41">
        <f t="shared" si="87"/>
        <v>20.5859370288</v>
      </c>
      <c r="U50" s="41">
        <f t="shared" si="88"/>
        <v>20.205995238</v>
      </c>
      <c r="V50" s="41">
        <f t="shared" si="89"/>
        <v>0.40104966806666675</v>
      </c>
      <c r="W50" s="41">
        <f>+'8'!K14/1000</f>
        <v>11.852</v>
      </c>
      <c r="X50" s="42"/>
      <c r="Y50" s="218"/>
      <c r="Z50" s="41">
        <f>+'8'!D25/1000</f>
        <v>0.13400000000000001</v>
      </c>
      <c r="AA50" s="41"/>
      <c r="AB50" s="41"/>
      <c r="AC50" s="41"/>
      <c r="AD50" s="41">
        <f t="shared" si="91"/>
        <v>8</v>
      </c>
      <c r="AE50" s="240" t="s">
        <v>225</v>
      </c>
      <c r="AF50" s="41"/>
      <c r="AG50" s="41"/>
      <c r="AH50" s="41"/>
      <c r="AI50" s="509">
        <v>8</v>
      </c>
      <c r="AJ50" s="41"/>
      <c r="AK50" s="41"/>
      <c r="AL50" s="41"/>
      <c r="AM50" s="41">
        <f t="shared" si="92"/>
        <v>8</v>
      </c>
      <c r="AN50" s="41"/>
      <c r="AO50" s="41"/>
      <c r="AP50" s="41"/>
      <c r="AQ50" s="41"/>
      <c r="AR50" s="41">
        <f t="shared" si="93"/>
        <v>0</v>
      </c>
      <c r="AS50" s="41"/>
      <c r="AT50" s="41"/>
      <c r="AU50" s="41"/>
      <c r="AV50" s="41"/>
      <c r="AW50" s="41"/>
      <c r="AX50" s="41"/>
      <c r="AY50" s="41"/>
      <c r="AZ50" s="41"/>
      <c r="BA50" s="41"/>
      <c r="BB50" s="41"/>
      <c r="BC50" s="41">
        <f t="shared" si="94"/>
        <v>0</v>
      </c>
      <c r="BD50" s="54"/>
      <c r="BE50" s="55"/>
      <c r="BF50" s="55"/>
      <c r="BG50" s="54"/>
      <c r="BH50" s="55"/>
    </row>
    <row r="51" spans="1:60" ht="12.95" customHeight="1">
      <c r="A51" s="44"/>
      <c r="B51" s="45"/>
      <c r="C51" s="451"/>
      <c r="D51" s="45"/>
      <c r="E51" s="46"/>
      <c r="F51" s="46"/>
      <c r="G51" s="47"/>
      <c r="H51" s="47"/>
      <c r="I51" s="49"/>
      <c r="J51" s="89"/>
      <c r="K51" s="89"/>
      <c r="L51" s="39"/>
      <c r="M51" s="39"/>
      <c r="N51" s="50"/>
      <c r="O51" s="51"/>
      <c r="P51" s="52"/>
      <c r="Q51" s="51"/>
      <c r="R51" s="507"/>
      <c r="S51" s="507"/>
      <c r="T51" s="41"/>
      <c r="U51" s="41"/>
      <c r="V51" s="41"/>
      <c r="W51" s="41"/>
      <c r="X51" s="508"/>
      <c r="Y51" s="218"/>
      <c r="Z51" s="41"/>
      <c r="AA51" s="53"/>
      <c r="AB51" s="53"/>
      <c r="AC51" s="41"/>
      <c r="AD51" s="41"/>
      <c r="AE51" s="237"/>
      <c r="AF51" s="41"/>
      <c r="AG51" s="41"/>
      <c r="AH51" s="41"/>
      <c r="AI51" s="509"/>
      <c r="AJ51" s="41"/>
      <c r="AK51" s="41"/>
      <c r="AL51" s="41"/>
      <c r="AM51" s="41"/>
      <c r="AN51" s="41"/>
      <c r="AO51" s="41"/>
      <c r="AP51" s="41"/>
      <c r="AQ51" s="41"/>
      <c r="AR51" s="41"/>
      <c r="AS51" s="41"/>
      <c r="AT51" s="41"/>
      <c r="AU51" s="41"/>
      <c r="AV51" s="41"/>
      <c r="AW51" s="41"/>
      <c r="AX51" s="41"/>
      <c r="AY51" s="41"/>
      <c r="AZ51" s="41"/>
      <c r="BA51" s="41"/>
      <c r="BB51" s="41"/>
      <c r="BC51" s="41"/>
      <c r="BD51" s="37"/>
      <c r="BE51" s="55"/>
      <c r="BF51" s="55"/>
      <c r="BG51" s="55"/>
      <c r="BH51" s="55"/>
    </row>
    <row r="52" spans="1:60" ht="12.95" customHeight="1">
      <c r="A52" s="44">
        <v>46031</v>
      </c>
      <c r="B52" s="45" t="s">
        <v>537</v>
      </c>
      <c r="C52" s="451">
        <f t="shared" ref="C52" si="95">(M52*E52*O52*Q52)/100000000</f>
        <v>26.869240080000001</v>
      </c>
      <c r="D52" s="45" t="s">
        <v>430</v>
      </c>
      <c r="E52" s="46">
        <v>15.5</v>
      </c>
      <c r="F52" s="46">
        <v>1</v>
      </c>
      <c r="G52" s="506">
        <v>1030</v>
      </c>
      <c r="H52" s="48">
        <f t="shared" ref="H52" si="96">+N52</f>
        <v>0.13</v>
      </c>
      <c r="I52" s="49">
        <v>0.88</v>
      </c>
      <c r="J52" s="89">
        <f t="shared" ref="J52" si="97">E52*G52*(1-H52)*1440/1000000*2.75</f>
        <v>55.002618000000005</v>
      </c>
      <c r="K52" s="89">
        <f t="shared" ref="K52" si="98">(IF(G52&lt;L52,L52,G52)*(1-IF(H52&lt;N52,H52,N52))*E52*O52*Q52)/100000000</f>
        <v>28.92359892</v>
      </c>
      <c r="L52" s="39">
        <v>956.84210526315792</v>
      </c>
      <c r="M52" s="39">
        <v>832.45263157894738</v>
      </c>
      <c r="N52" s="50">
        <f t="shared" ref="N52" si="99">1-(M52/L52)</f>
        <v>0.13</v>
      </c>
      <c r="O52" s="51">
        <f>+'Trim Rwd'!H28</f>
        <v>274</v>
      </c>
      <c r="P52" s="52">
        <f t="shared" ref="P52" si="100">O52*(Q52-R52-S52)</f>
        <v>202760</v>
      </c>
      <c r="Q52" s="51">
        <v>760</v>
      </c>
      <c r="R52" s="507">
        <v>0</v>
      </c>
      <c r="S52" s="507">
        <v>20</v>
      </c>
      <c r="T52" s="41">
        <f t="shared" ref="T52" si="101">E52*M52*O52*Q52/100000000</f>
        <v>26.869240080000001</v>
      </c>
      <c r="U52" s="41">
        <f t="shared" ref="U52" si="102">E52*M52*O52*(Q52-R52-S52)/100000000</f>
        <v>26.162154814736844</v>
      </c>
      <c r="V52" s="41">
        <f t="shared" ref="V52" si="103">E52*G52*(1-N52)*O52/100*(R52+S52)/1000000</f>
        <v>0.76114733999999995</v>
      </c>
      <c r="W52" s="41">
        <f>+'9'!K14/1000</f>
        <v>35.075000000000003</v>
      </c>
      <c r="X52" s="508">
        <f>SUM(W52:W55)/SUM(K52:K55)</f>
        <v>0.93790256419215656</v>
      </c>
      <c r="Y52" s="218">
        <v>0</v>
      </c>
      <c r="Z52" s="41">
        <v>0</v>
      </c>
      <c r="AA52" s="53">
        <f>SUM(U52:U55)-SUM(W52:W55)-SUM(Z52:Z55)-SUM(Y52:Y55)</f>
        <v>-6.1787833705663058</v>
      </c>
      <c r="AB52" s="53">
        <f>(SUM(K52:K55)-SUM(W52:W55)-SUM(Y52:Y55)-SUM(Z52:Z55)-SUM(AC52:AC55)-SUM(V52:V55))-AA52</f>
        <v>-0.20962887243369543</v>
      </c>
      <c r="AC52" s="41">
        <f>K52-T52</f>
        <v>2.054358839999999</v>
      </c>
      <c r="AD52" s="41">
        <f>+AM52+BC52</f>
        <v>0</v>
      </c>
      <c r="AE52" s="237" t="s">
        <v>386</v>
      </c>
      <c r="AF52" s="41">
        <v>0</v>
      </c>
      <c r="AG52" s="41"/>
      <c r="AH52" s="41"/>
      <c r="AI52" s="509"/>
      <c r="AJ52" s="41"/>
      <c r="AK52" s="41"/>
      <c r="AL52" s="41"/>
      <c r="AM52" s="41">
        <f>SUM(AF52:AL52)+AT52</f>
        <v>0</v>
      </c>
      <c r="AN52" s="41"/>
      <c r="AO52" s="41"/>
      <c r="AP52" s="41"/>
      <c r="AQ52" s="41"/>
      <c r="AR52" s="41">
        <f>SUM(AN52:AQ52)</f>
        <v>0</v>
      </c>
      <c r="AS52" s="41"/>
      <c r="AT52" s="41"/>
      <c r="AU52" s="41"/>
      <c r="AV52" s="41"/>
      <c r="AW52" s="41"/>
      <c r="AX52" s="41"/>
      <c r="AY52" s="41"/>
      <c r="AZ52" s="41"/>
      <c r="BA52" s="41"/>
      <c r="BB52" s="41"/>
      <c r="BC52" s="41">
        <f>+AR52+AS52+AU52+AV52+AX52</f>
        <v>0</v>
      </c>
      <c r="BD52" s="37">
        <v>0</v>
      </c>
      <c r="BE52" s="55"/>
      <c r="BF52" s="55"/>
      <c r="BG52" s="37"/>
      <c r="BH52" s="55"/>
    </row>
    <row r="53" spans="1:60" ht="12.95" customHeight="1">
      <c r="A53" s="44"/>
      <c r="B53" s="45" t="s">
        <v>569</v>
      </c>
      <c r="C53" s="451">
        <f t="shared" ref="C53:C54" si="104">(M53*E53*O53*Q53)/100000000</f>
        <v>4.432270752</v>
      </c>
      <c r="D53" s="45" t="s">
        <v>430</v>
      </c>
      <c r="E53" s="46">
        <v>14</v>
      </c>
      <c r="F53" s="46">
        <v>1</v>
      </c>
      <c r="G53" s="506">
        <v>1275</v>
      </c>
      <c r="H53" s="48">
        <f t="shared" ref="H53:H54" si="105">+N53</f>
        <v>0.21999999999999997</v>
      </c>
      <c r="I53" s="49">
        <v>0.88</v>
      </c>
      <c r="J53" s="89">
        <f t="shared" ref="J53:J54" si="106">E53*G53*(1-H53)*1440/1000000*2.75</f>
        <v>55.135079999999995</v>
      </c>
      <c r="K53" s="89">
        <f t="shared" ref="K53:K54" si="107">(IF(G53&lt;L53,L53,G53)*(1-IF(H53&lt;N53,H53,N53))*E53*O53*Q53)/100000000</f>
        <v>6.1425491399999999</v>
      </c>
      <c r="L53" s="39">
        <v>920</v>
      </c>
      <c r="M53" s="39">
        <v>717.6</v>
      </c>
      <c r="N53" s="50">
        <f t="shared" ref="N53:N54" si="108">1-(M53/L53)</f>
        <v>0.21999999999999997</v>
      </c>
      <c r="O53" s="51">
        <f>+'Trim Rwd'!H33</f>
        <v>256.5</v>
      </c>
      <c r="P53" s="52">
        <f t="shared" ref="P53:P54" si="109">O53*(Q53-R53-S53)</f>
        <v>42835.5</v>
      </c>
      <c r="Q53" s="51">
        <v>172</v>
      </c>
      <c r="R53" s="507">
        <v>0</v>
      </c>
      <c r="S53" s="507">
        <v>5</v>
      </c>
      <c r="T53" s="41">
        <f t="shared" ref="T53:T54" si="110">E53*M53*O53*Q53/100000000</f>
        <v>4.432270752</v>
      </c>
      <c r="U53" s="41">
        <f t="shared" ref="U53:U54" si="111">E53*M53*O53*(Q53-R53-S53)/100000000</f>
        <v>4.3034256719999995</v>
      </c>
      <c r="V53" s="41">
        <f t="shared" ref="V53:V54" si="112">E53*G53*(1-N53)*O53/100*(R53+S53)/1000000</f>
        <v>0.178562475</v>
      </c>
      <c r="W53" s="41">
        <f>+'9'!K15/1000</f>
        <v>4.62</v>
      </c>
      <c r="X53" s="42"/>
      <c r="Y53" s="218"/>
      <c r="Z53" s="41">
        <f>+'9'!D17/1000</f>
        <v>0.66400000000000003</v>
      </c>
      <c r="AA53" s="41"/>
      <c r="AB53" s="41"/>
      <c r="AC53" s="41">
        <f t="shared" ref="AC53:AC54" si="113">K53-T53</f>
        <v>1.7102783879999999</v>
      </c>
      <c r="AD53" s="41">
        <f t="shared" ref="AD53:AD55" si="114">+AM53+BC53</f>
        <v>8</v>
      </c>
      <c r="AE53" s="237" t="s">
        <v>570</v>
      </c>
      <c r="AF53" s="41"/>
      <c r="AG53" s="41">
        <v>8</v>
      </c>
      <c r="AH53" s="41"/>
      <c r="AI53" s="509"/>
      <c r="AJ53" s="41"/>
      <c r="AK53" s="41"/>
      <c r="AL53" s="41"/>
      <c r="AM53" s="41">
        <f t="shared" ref="AM53:AM55" si="115">SUM(AF53:AL53)+AT53</f>
        <v>8</v>
      </c>
      <c r="AN53" s="90"/>
      <c r="AO53" s="41"/>
      <c r="AP53" s="41"/>
      <c r="AQ53" s="41"/>
      <c r="AR53" s="41">
        <f t="shared" ref="AR53:AR55" si="116">SUM(AN53:AQ53)</f>
        <v>0</v>
      </c>
      <c r="AS53" s="41"/>
      <c r="AT53" s="41"/>
      <c r="AU53" s="41"/>
      <c r="AV53" s="41"/>
      <c r="AW53" s="41"/>
      <c r="AX53" s="41"/>
      <c r="AY53" s="41"/>
      <c r="AZ53" s="41"/>
      <c r="BA53" s="41"/>
      <c r="BB53" s="41"/>
      <c r="BC53" s="41">
        <f t="shared" ref="BC53:BC55" si="117">+AR53+AS53+AU53+AV53+AX53</f>
        <v>0</v>
      </c>
      <c r="BD53" s="54"/>
      <c r="BE53" s="55">
        <v>9</v>
      </c>
      <c r="BF53" s="55"/>
      <c r="BG53" s="54"/>
      <c r="BH53" s="55"/>
    </row>
    <row r="54" spans="1:60" ht="12.95" customHeight="1">
      <c r="A54" s="44"/>
      <c r="B54" s="45" t="s">
        <v>417</v>
      </c>
      <c r="C54" s="451">
        <f t="shared" si="104"/>
        <v>14.783042835</v>
      </c>
      <c r="D54" s="45" t="s">
        <v>430</v>
      </c>
      <c r="E54" s="46">
        <v>13.5</v>
      </c>
      <c r="F54" s="46">
        <v>1</v>
      </c>
      <c r="G54" s="506">
        <v>1215</v>
      </c>
      <c r="H54" s="48">
        <f t="shared" si="105"/>
        <v>0.15000000000000002</v>
      </c>
      <c r="I54" s="49">
        <v>0.88</v>
      </c>
      <c r="J54" s="89">
        <f t="shared" si="106"/>
        <v>55.210815000000004</v>
      </c>
      <c r="K54" s="89">
        <f t="shared" si="107"/>
        <v>18.623864018571428</v>
      </c>
      <c r="L54" s="39">
        <v>964.42913385826773</v>
      </c>
      <c r="M54" s="39">
        <v>819.76476377952758</v>
      </c>
      <c r="N54" s="50">
        <f t="shared" si="108"/>
        <v>0.15000000000000002</v>
      </c>
      <c r="O54" s="51">
        <f>+'Trim Rwd'!H30</f>
        <v>262.95238095238096</v>
      </c>
      <c r="P54" s="52">
        <f t="shared" si="109"/>
        <v>129898.4761904762</v>
      </c>
      <c r="Q54" s="51">
        <v>508</v>
      </c>
      <c r="R54" s="507">
        <v>0</v>
      </c>
      <c r="S54" s="507">
        <f>221-207</f>
        <v>14</v>
      </c>
      <c r="T54" s="41">
        <f t="shared" si="110"/>
        <v>14.783042835</v>
      </c>
      <c r="U54" s="41">
        <f t="shared" si="111"/>
        <v>14.37563614269685</v>
      </c>
      <c r="V54" s="41">
        <f t="shared" si="112"/>
        <v>0.51325609500000013</v>
      </c>
      <c r="W54" s="41">
        <f>+'9'!K7/1000</f>
        <v>10.661</v>
      </c>
      <c r="X54" s="42"/>
      <c r="Y54" s="218"/>
      <c r="Z54" s="41"/>
      <c r="AA54" s="41"/>
      <c r="AB54" s="41"/>
      <c r="AC54" s="41">
        <f t="shared" si="113"/>
        <v>3.8408211835714283</v>
      </c>
      <c r="AD54" s="41">
        <f t="shared" si="114"/>
        <v>16</v>
      </c>
      <c r="AE54" s="237" t="s">
        <v>571</v>
      </c>
      <c r="AF54" s="37"/>
      <c r="AG54" s="37"/>
      <c r="AH54" s="37">
        <v>16</v>
      </c>
      <c r="AJ54" s="41"/>
      <c r="AK54" s="41"/>
      <c r="AL54" s="41"/>
      <c r="AM54" s="41">
        <f t="shared" si="115"/>
        <v>16</v>
      </c>
      <c r="AN54" s="41"/>
      <c r="AO54" s="41"/>
      <c r="AP54" s="41"/>
      <c r="AQ54" s="41"/>
      <c r="AR54" s="41">
        <f t="shared" si="116"/>
        <v>0</v>
      </c>
      <c r="AS54" s="41"/>
      <c r="AT54" s="41"/>
      <c r="AU54" s="41"/>
      <c r="AV54" s="41"/>
      <c r="AW54" s="41"/>
      <c r="AX54" s="41"/>
      <c r="AY54" s="41"/>
      <c r="AZ54" s="41"/>
      <c r="BA54" s="41"/>
      <c r="BB54" s="41"/>
      <c r="BC54" s="41">
        <f t="shared" si="117"/>
        <v>0</v>
      </c>
      <c r="BD54" s="37"/>
      <c r="BE54" s="510"/>
      <c r="BF54" s="510"/>
      <c r="BG54" s="37"/>
      <c r="BH54" s="510"/>
    </row>
    <row r="55" spans="1:60" ht="12.95" customHeight="1">
      <c r="A55" s="44"/>
      <c r="B55" s="45"/>
      <c r="C55" s="451"/>
      <c r="D55" s="45"/>
      <c r="E55" s="46"/>
      <c r="F55" s="46"/>
      <c r="G55" s="506"/>
      <c r="H55" s="48"/>
      <c r="I55" s="49"/>
      <c r="J55" s="89"/>
      <c r="K55" s="89"/>
      <c r="L55" s="39"/>
      <c r="M55" s="39"/>
      <c r="N55" s="50"/>
      <c r="O55" s="51"/>
      <c r="P55" s="52"/>
      <c r="Q55" s="51"/>
      <c r="R55" s="507"/>
      <c r="S55" s="507"/>
      <c r="T55" s="41"/>
      <c r="U55" s="41"/>
      <c r="V55" s="41"/>
      <c r="W55" s="41"/>
      <c r="X55" s="42"/>
      <c r="Y55" s="218"/>
      <c r="Z55" s="41"/>
      <c r="AA55" s="41"/>
      <c r="AB55" s="41"/>
      <c r="AC55" s="41"/>
      <c r="AD55" s="41">
        <f t="shared" si="114"/>
        <v>15</v>
      </c>
      <c r="AE55" s="240" t="s">
        <v>225</v>
      </c>
      <c r="AF55" s="41"/>
      <c r="AG55" s="41"/>
      <c r="AH55" s="41"/>
      <c r="AI55" s="509">
        <v>15</v>
      </c>
      <c r="AJ55" s="41"/>
      <c r="AK55" s="41"/>
      <c r="AL55" s="41"/>
      <c r="AM55" s="41">
        <f t="shared" si="115"/>
        <v>15</v>
      </c>
      <c r="AN55" s="41"/>
      <c r="AO55" s="41"/>
      <c r="AP55" s="41"/>
      <c r="AQ55" s="41"/>
      <c r="AR55" s="41">
        <f t="shared" si="116"/>
        <v>0</v>
      </c>
      <c r="AS55" s="41"/>
      <c r="AT55" s="41"/>
      <c r="AU55" s="41"/>
      <c r="AV55" s="41"/>
      <c r="AW55" s="41"/>
      <c r="AX55" s="41"/>
      <c r="AY55" s="41"/>
      <c r="AZ55" s="41"/>
      <c r="BA55" s="41"/>
      <c r="BB55" s="41"/>
      <c r="BC55" s="41">
        <f t="shared" si="117"/>
        <v>0</v>
      </c>
      <c r="BD55" s="54"/>
      <c r="BE55" s="55"/>
      <c r="BF55" s="55"/>
      <c r="BG55" s="54"/>
      <c r="BH55" s="55"/>
    </row>
    <row r="56" spans="1:60" ht="12.95" customHeight="1">
      <c r="A56" s="44"/>
      <c r="B56" s="45"/>
      <c r="C56" s="451"/>
      <c r="D56" s="45"/>
      <c r="E56" s="46"/>
      <c r="F56" s="46"/>
      <c r="G56" s="506"/>
      <c r="H56" s="48"/>
      <c r="I56" s="49"/>
      <c r="J56" s="89"/>
      <c r="K56" s="89"/>
      <c r="L56" s="39"/>
      <c r="M56" s="39"/>
      <c r="N56" s="50"/>
      <c r="O56" s="51"/>
      <c r="P56" s="52"/>
      <c r="Q56" s="51"/>
      <c r="R56" s="507"/>
      <c r="S56" s="507"/>
      <c r="T56" s="41"/>
      <c r="U56" s="41"/>
      <c r="V56" s="41"/>
      <c r="W56" s="41"/>
      <c r="X56" s="42"/>
      <c r="Y56" s="218"/>
      <c r="Z56" s="41"/>
      <c r="AA56" s="41"/>
      <c r="AB56" s="41"/>
      <c r="AC56" s="41"/>
      <c r="AD56" s="41">
        <f t="shared" ref="AD56" si="118">+AM56+BC56</f>
        <v>0</v>
      </c>
      <c r="AE56" s="240" t="s">
        <v>606</v>
      </c>
      <c r="AF56" s="41"/>
      <c r="AG56" s="41"/>
      <c r="AH56" s="41"/>
      <c r="AI56" s="509"/>
      <c r="AJ56" s="41"/>
      <c r="AK56" s="41"/>
      <c r="AL56" s="41"/>
      <c r="AM56" s="41">
        <f>SUM(AF56:AL56)+AT56+AZ56+AX56+AV56+AT56</f>
        <v>0</v>
      </c>
      <c r="AN56" s="41"/>
      <c r="AO56" s="41"/>
      <c r="AP56" s="41"/>
      <c r="AQ56" s="41"/>
      <c r="AR56" s="41">
        <f t="shared" ref="AR56" si="119">SUM(AN56:AQ56)</f>
        <v>0</v>
      </c>
      <c r="AS56" s="41"/>
      <c r="AT56" s="41"/>
      <c r="AU56" s="41"/>
      <c r="AV56" s="41"/>
      <c r="AW56" s="41"/>
      <c r="AX56" s="41"/>
      <c r="AY56" s="41"/>
      <c r="AZ56" s="41">
        <f>207-207</f>
        <v>0</v>
      </c>
      <c r="BA56" s="41"/>
      <c r="BB56" s="41"/>
      <c r="BC56" s="41">
        <f t="shared" ref="BC56" si="120">+AR56+AS56+AU56+AV56+AX56</f>
        <v>0</v>
      </c>
      <c r="BD56" s="54"/>
      <c r="BE56" s="55"/>
      <c r="BF56" s="55"/>
      <c r="BG56" s="54"/>
      <c r="BH56" s="55"/>
    </row>
    <row r="57" spans="1:60" ht="12.95" customHeight="1">
      <c r="A57" s="44"/>
      <c r="B57" s="45"/>
      <c r="C57" s="451"/>
      <c r="D57" s="45"/>
      <c r="E57" s="46"/>
      <c r="F57" s="46"/>
      <c r="G57" s="47"/>
      <c r="H57" s="47"/>
      <c r="I57" s="49"/>
      <c r="J57" s="89"/>
      <c r="K57" s="89"/>
      <c r="L57" s="39"/>
      <c r="M57" s="39"/>
      <c r="N57" s="50"/>
      <c r="O57" s="51"/>
      <c r="P57" s="52"/>
      <c r="Q57" s="51"/>
      <c r="R57" s="507"/>
      <c r="S57" s="507"/>
      <c r="T57" s="41"/>
      <c r="U57" s="41"/>
      <c r="V57" s="41"/>
      <c r="W57" s="41"/>
      <c r="X57" s="42"/>
      <c r="Y57" s="218"/>
      <c r="Z57" s="41"/>
      <c r="AA57" s="41"/>
      <c r="AB57" s="41"/>
      <c r="AC57" s="41"/>
      <c r="AD57" s="41"/>
      <c r="AE57" s="240"/>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37"/>
      <c r="BE57" s="55"/>
      <c r="BF57" s="55"/>
      <c r="BG57" s="37"/>
      <c r="BH57" s="55"/>
    </row>
    <row r="58" spans="1:60" ht="12.95" customHeight="1">
      <c r="A58" s="44">
        <v>46032</v>
      </c>
      <c r="B58" s="45" t="s">
        <v>417</v>
      </c>
      <c r="C58" s="451">
        <f t="shared" ref="C58" si="121">(M58*E58*O58*Q58)/100000000</f>
        <v>42.715784907561016</v>
      </c>
      <c r="D58" s="45" t="s">
        <v>430</v>
      </c>
      <c r="E58" s="46">
        <v>13.5</v>
      </c>
      <c r="F58" s="46">
        <v>1</v>
      </c>
      <c r="G58" s="506">
        <v>1230</v>
      </c>
      <c r="H58" s="48">
        <f t="shared" ref="H58" si="122">+N58</f>
        <v>0.16095136282161548</v>
      </c>
      <c r="I58" s="49">
        <v>0.88</v>
      </c>
      <c r="J58" s="89">
        <f t="shared" ref="J58" si="123">E58*G58*(1-H58)*1440/1000000*2.75</f>
        <v>55.17231437657442</v>
      </c>
      <c r="K58" s="89">
        <f t="shared" ref="K58" si="124">(IF(G58&lt;L58,L58,G58)*(1-IF(H58&lt;N58,H58,N58))*E58*O58*Q58)/100000000</f>
        <v>48.101480722722073</v>
      </c>
      <c r="L58" s="39">
        <v>1092.2827041264268</v>
      </c>
      <c r="M58" s="39">
        <v>916.47831431079896</v>
      </c>
      <c r="N58" s="50">
        <f t="shared" ref="N58" si="125">1-(M58/L58)</f>
        <v>0.16095136282161548</v>
      </c>
      <c r="O58" s="51">
        <f>+'Trim Rwd'!H35</f>
        <v>256.5</v>
      </c>
      <c r="P58" s="52">
        <f t="shared" ref="P58" si="126">O58*(Q58-R58-S58)</f>
        <v>284458.5</v>
      </c>
      <c r="Q58" s="51">
        <f>1139+207</f>
        <v>1346</v>
      </c>
      <c r="R58" s="507">
        <f>87+120</f>
        <v>207</v>
      </c>
      <c r="S58" s="507">
        <f>158-128</f>
        <v>30</v>
      </c>
      <c r="T58" s="41">
        <f t="shared" ref="T58" si="127">E58*M58*O58*Q58/100000000</f>
        <v>42.715784907561016</v>
      </c>
      <c r="U58" s="41">
        <f t="shared" ref="U58" si="128">E58*M58*O58*(Q58-R58-S58)/100000000</f>
        <v>35.194506287136086</v>
      </c>
      <c r="V58" s="41">
        <f t="shared" ref="V58" si="129">E58*G58*(1-N58)*O58/100*(R58+S58)/1000000</f>
        <v>8.4695772149220883</v>
      </c>
      <c r="W58" s="41">
        <f>+'10'!K7/1000</f>
        <v>34.994999999999997</v>
      </c>
      <c r="X58" s="508">
        <f>SUM(W58:W61)/SUM(K58:K61)</f>
        <v>0.69074210799255309</v>
      </c>
      <c r="Y58" s="218">
        <v>0</v>
      </c>
      <c r="Z58" s="41">
        <v>0</v>
      </c>
      <c r="AA58" s="53">
        <f>SUM(U58:U61)-SUM(W58:W61)-SUM(Z58:Z61)-SUM(Y58:Y61)</f>
        <v>2.6828694871360881</v>
      </c>
      <c r="AB58" s="53">
        <f>(SUM(K58:K61)-SUM(W58:W61)-SUM(Y58:Y61)-SUM(Z58:Z61)-SUM(AC58:AC61)-SUM(V58:V61))-AA58</f>
        <v>-0.9482985944971567</v>
      </c>
      <c r="AC58" s="41">
        <f>K58-T58</f>
        <v>5.385695815161057</v>
      </c>
      <c r="AD58" s="41">
        <f>+AM58+BC58</f>
        <v>0</v>
      </c>
      <c r="AE58" s="237" t="s">
        <v>394</v>
      </c>
      <c r="AF58" s="41">
        <v>0</v>
      </c>
      <c r="AG58" s="41"/>
      <c r="AH58" s="41"/>
      <c r="AI58" s="509"/>
      <c r="AJ58" s="41"/>
      <c r="AK58" s="41"/>
      <c r="AL58" s="41"/>
      <c r="AM58" s="41">
        <f>SUM(AF58:AL58)+AT58</f>
        <v>0</v>
      </c>
      <c r="AN58" s="41"/>
      <c r="AO58" s="41"/>
      <c r="AP58" s="41"/>
      <c r="AQ58" s="41"/>
      <c r="AR58" s="41">
        <f>SUM(AN58:AQ58)</f>
        <v>0</v>
      </c>
      <c r="AS58" s="41"/>
      <c r="AT58" s="41"/>
      <c r="AU58" s="41"/>
      <c r="AV58" s="41"/>
      <c r="AW58" s="41"/>
      <c r="AX58" s="41"/>
      <c r="AY58" s="41"/>
      <c r="AZ58" s="41"/>
      <c r="BA58" s="41"/>
      <c r="BB58" s="41"/>
      <c r="BC58" s="41">
        <f>+AR58+AS58+AU58+AV58+AX58</f>
        <v>0</v>
      </c>
      <c r="BD58" s="37">
        <v>2</v>
      </c>
      <c r="BE58" s="55"/>
      <c r="BF58" s="55"/>
      <c r="BG58" s="37"/>
      <c r="BH58" s="55"/>
    </row>
    <row r="59" spans="1:60" ht="12.95" customHeight="1">
      <c r="A59" s="44"/>
      <c r="B59" s="45" t="s">
        <v>417</v>
      </c>
      <c r="C59" s="451">
        <f t="shared" ref="C59" si="130">(M59*E59*O59*Q59)/100000000</f>
        <v>3.5198111999999999</v>
      </c>
      <c r="D59" s="45" t="s">
        <v>430</v>
      </c>
      <c r="E59" s="46">
        <v>15</v>
      </c>
      <c r="F59" s="46">
        <v>1</v>
      </c>
      <c r="G59" s="506">
        <v>1160</v>
      </c>
      <c r="H59" s="48">
        <f t="shared" ref="H59" si="131">+N59</f>
        <v>0.19999999999999996</v>
      </c>
      <c r="I59" s="49">
        <v>0.88</v>
      </c>
      <c r="J59" s="89">
        <f t="shared" ref="J59" si="132">E59*G59*(1-H59)*1440/1000000*2.75</f>
        <v>55.123199999999997</v>
      </c>
      <c r="K59" s="89">
        <f t="shared" ref="K59" si="133">(IF(G59&lt;L59,L59,G59)*(1-IF(H59&lt;N59,H59,N59))*E59*O59*Q59)/100000000</f>
        <v>3.5198111999999999</v>
      </c>
      <c r="L59" s="39">
        <v>1160</v>
      </c>
      <c r="M59" s="39">
        <v>928</v>
      </c>
      <c r="N59" s="50">
        <f t="shared" ref="N59" si="134">1-(M59/L59)</f>
        <v>0.19999999999999996</v>
      </c>
      <c r="O59" s="51">
        <f>+'Trim Rwd'!H36</f>
        <v>269</v>
      </c>
      <c r="P59" s="52">
        <f t="shared" ref="P59" si="135">O59*(Q59-R59-S59)</f>
        <v>22596</v>
      </c>
      <c r="Q59" s="51">
        <v>94</v>
      </c>
      <c r="R59" s="507">
        <v>0</v>
      </c>
      <c r="S59" s="507">
        <v>10</v>
      </c>
      <c r="T59" s="41">
        <f t="shared" ref="T59" si="136">E59*M59*O59*Q59/100000000</f>
        <v>3.5198111999999999</v>
      </c>
      <c r="U59" s="41">
        <f t="shared" ref="U59" si="137">E59*M59*O59*(Q59-R59-S59)/100000000</f>
        <v>3.1453631999999998</v>
      </c>
      <c r="V59" s="41">
        <f t="shared" ref="V59" si="138">E59*G59*(1-N59)*O59/100*(R59+S59)/1000000</f>
        <v>0.374448</v>
      </c>
      <c r="W59" s="41">
        <f>+'10'!K16/1000</f>
        <v>0.66200000000000003</v>
      </c>
      <c r="X59" s="42"/>
      <c r="Y59" s="218"/>
      <c r="Z59" s="41"/>
      <c r="AA59" s="41"/>
      <c r="AB59" s="41"/>
      <c r="AC59" s="41">
        <f>K59-T59</f>
        <v>0</v>
      </c>
      <c r="AD59" s="41">
        <f t="shared" ref="AD59:AD61" si="139">+AM59+BC59</f>
        <v>10</v>
      </c>
      <c r="AE59" s="237" t="s">
        <v>475</v>
      </c>
      <c r="AF59" s="41"/>
      <c r="AG59" s="41">
        <v>10</v>
      </c>
      <c r="AH59" s="41"/>
      <c r="AI59" s="509"/>
      <c r="AJ59" s="41"/>
      <c r="AK59" s="41"/>
      <c r="AL59" s="41"/>
      <c r="AM59" s="41">
        <f t="shared" ref="AM59:AM61" si="140">SUM(AF59:AL59)+AT59</f>
        <v>10</v>
      </c>
      <c r="AN59" s="90"/>
      <c r="AO59" s="41"/>
      <c r="AP59" s="41"/>
      <c r="AQ59" s="41"/>
      <c r="AR59" s="41">
        <f t="shared" ref="AR59:AR61" si="141">SUM(AN59:AQ59)</f>
        <v>0</v>
      </c>
      <c r="AS59" s="41"/>
      <c r="AT59" s="41"/>
      <c r="AU59" s="41"/>
      <c r="AV59" s="41"/>
      <c r="AW59" s="41"/>
      <c r="AX59" s="41"/>
      <c r="AY59" s="41"/>
      <c r="AZ59" s="41"/>
      <c r="BA59" s="41"/>
      <c r="BB59" s="41"/>
      <c r="BC59" s="41">
        <f t="shared" ref="BC59:BC61" si="142">+AR59+AS59+AU59+AV59+AX59</f>
        <v>0</v>
      </c>
      <c r="BD59" s="54"/>
      <c r="BE59" s="55">
        <v>12</v>
      </c>
      <c r="BF59" s="55"/>
      <c r="BG59" s="54"/>
      <c r="BH59" s="55"/>
    </row>
    <row r="60" spans="1:60" ht="12.95" customHeight="1">
      <c r="A60" s="44"/>
      <c r="B60" s="45"/>
      <c r="C60" s="451"/>
      <c r="D60" s="45"/>
      <c r="E60" s="46"/>
      <c r="F60" s="46"/>
      <c r="G60" s="47"/>
      <c r="H60" s="48"/>
      <c r="I60" s="49"/>
      <c r="J60" s="89"/>
      <c r="K60" s="89"/>
      <c r="L60" s="39"/>
      <c r="M60" s="39"/>
      <c r="N60" s="50"/>
      <c r="O60" s="51"/>
      <c r="P60" s="52"/>
      <c r="Q60" s="51"/>
      <c r="R60" s="507"/>
      <c r="S60" s="507"/>
      <c r="T60" s="41"/>
      <c r="U60" s="41"/>
      <c r="V60" s="41"/>
      <c r="W60" s="41"/>
      <c r="X60" s="42"/>
      <c r="Y60" s="218"/>
      <c r="Z60" s="41"/>
      <c r="AA60" s="41"/>
      <c r="AB60" s="41"/>
      <c r="AC60" s="41"/>
      <c r="AD60" s="41">
        <f t="shared" si="139"/>
        <v>22</v>
      </c>
      <c r="AE60" s="237" t="s">
        <v>396</v>
      </c>
      <c r="AF60" s="37"/>
      <c r="AG60" s="37"/>
      <c r="AH60" s="37">
        <v>22</v>
      </c>
      <c r="AJ60" s="41"/>
      <c r="AK60" s="41"/>
      <c r="AL60" s="41"/>
      <c r="AM60" s="41">
        <f t="shared" si="140"/>
        <v>22</v>
      </c>
      <c r="AN60" s="41"/>
      <c r="AO60" s="41"/>
      <c r="AP60" s="41"/>
      <c r="AQ60" s="41"/>
      <c r="AR60" s="41">
        <f t="shared" si="141"/>
        <v>0</v>
      </c>
      <c r="AS60" s="41"/>
      <c r="AT60" s="41"/>
      <c r="AU60" s="41"/>
      <c r="AV60" s="41"/>
      <c r="AW60" s="41"/>
      <c r="AX60" s="41"/>
      <c r="AY60" s="41"/>
      <c r="AZ60" s="41"/>
      <c r="BA60" s="41"/>
      <c r="BB60" s="41"/>
      <c r="BC60" s="41">
        <f t="shared" si="142"/>
        <v>0</v>
      </c>
      <c r="BD60" s="37"/>
      <c r="BE60" s="510"/>
      <c r="BF60" s="510"/>
      <c r="BG60" s="37"/>
      <c r="BH60" s="510"/>
    </row>
    <row r="61" spans="1:60" ht="12.95" customHeight="1">
      <c r="A61" s="44"/>
      <c r="B61" s="45"/>
      <c r="C61" s="451"/>
      <c r="D61" s="45"/>
      <c r="E61" s="46"/>
      <c r="F61" s="46"/>
      <c r="G61" s="47"/>
      <c r="H61" s="48"/>
      <c r="I61" s="49"/>
      <c r="J61" s="89"/>
      <c r="K61" s="89"/>
      <c r="L61" s="39"/>
      <c r="M61" s="39"/>
      <c r="N61" s="50"/>
      <c r="O61" s="51"/>
      <c r="P61" s="52"/>
      <c r="Q61" s="38"/>
      <c r="R61" s="507"/>
      <c r="S61" s="507"/>
      <c r="T61" s="41"/>
      <c r="U61" s="41"/>
      <c r="V61" s="41"/>
      <c r="W61" s="41"/>
      <c r="X61" s="42"/>
      <c r="Y61" s="218"/>
      <c r="Z61" s="41"/>
      <c r="AA61" s="41"/>
      <c r="AB61" s="41"/>
      <c r="AC61" s="41"/>
      <c r="AD61" s="41">
        <f t="shared" si="139"/>
        <v>8</v>
      </c>
      <c r="AE61" s="240" t="s">
        <v>225</v>
      </c>
      <c r="AF61" s="41"/>
      <c r="AG61" s="41"/>
      <c r="AH61" s="41"/>
      <c r="AI61" s="509">
        <v>8</v>
      </c>
      <c r="AJ61" s="41"/>
      <c r="AK61" s="41"/>
      <c r="AL61" s="41"/>
      <c r="AM61" s="41">
        <f t="shared" si="140"/>
        <v>8</v>
      </c>
      <c r="AN61" s="41"/>
      <c r="AO61" s="41"/>
      <c r="AP61" s="41"/>
      <c r="AQ61" s="41"/>
      <c r="AR61" s="41">
        <f t="shared" si="141"/>
        <v>0</v>
      </c>
      <c r="AS61" s="41"/>
      <c r="AT61" s="41"/>
      <c r="AU61" s="41"/>
      <c r="AV61" s="41"/>
      <c r="AW61" s="41"/>
      <c r="AX61" s="41"/>
      <c r="AY61" s="41"/>
      <c r="AZ61" s="41"/>
      <c r="BA61" s="41"/>
      <c r="BB61" s="41"/>
      <c r="BC61" s="41">
        <f t="shared" si="142"/>
        <v>0</v>
      </c>
      <c r="BD61" s="54"/>
      <c r="BE61" s="55"/>
      <c r="BF61" s="55"/>
      <c r="BG61" s="54"/>
      <c r="BH61" s="55"/>
    </row>
    <row r="62" spans="1:60" ht="12.95" customHeight="1">
      <c r="A62" s="44"/>
      <c r="B62" s="45"/>
      <c r="C62" s="451"/>
      <c r="D62" s="45"/>
      <c r="E62" s="46"/>
      <c r="F62" s="46"/>
      <c r="G62" s="47"/>
      <c r="H62" s="48"/>
      <c r="I62" s="49"/>
      <c r="J62" s="89"/>
      <c r="K62" s="89"/>
      <c r="L62" s="39"/>
      <c r="M62" s="39"/>
      <c r="N62" s="50"/>
      <c r="O62" s="51"/>
      <c r="P62" s="52"/>
      <c r="Q62" s="38"/>
      <c r="R62" s="507"/>
      <c r="S62" s="507"/>
      <c r="T62" s="41"/>
      <c r="U62" s="41"/>
      <c r="V62" s="41"/>
      <c r="W62" s="41"/>
      <c r="X62" s="42"/>
      <c r="Y62" s="218"/>
      <c r="Z62" s="41"/>
      <c r="AA62" s="41"/>
      <c r="AB62" s="41"/>
      <c r="AC62" s="41"/>
      <c r="AD62" s="41">
        <f t="shared" ref="AD62:AD63" si="143">+AM62+BC62</f>
        <v>120</v>
      </c>
      <c r="AE62" s="240" t="s">
        <v>607</v>
      </c>
      <c r="AF62" s="41"/>
      <c r="AG62" s="41"/>
      <c r="AH62" s="41"/>
      <c r="AI62" s="509"/>
      <c r="AJ62" s="41"/>
      <c r="AK62" s="41"/>
      <c r="AL62" s="41"/>
      <c r="AM62" s="41">
        <f t="shared" ref="AM62:AM63" si="144">SUM(AF62:AL62)+AT62</f>
        <v>0</v>
      </c>
      <c r="AN62" s="41">
        <v>120</v>
      </c>
      <c r="AO62" s="41"/>
      <c r="AP62" s="41"/>
      <c r="AQ62" s="41"/>
      <c r="AR62" s="41">
        <f t="shared" ref="AR62:AR63" si="145">SUM(AN62:AQ62)</f>
        <v>120</v>
      </c>
      <c r="AS62" s="41"/>
      <c r="AT62" s="41"/>
      <c r="AU62" s="41"/>
      <c r="AV62" s="41"/>
      <c r="AW62" s="41"/>
      <c r="AX62" s="41"/>
      <c r="AY62" s="41"/>
      <c r="AZ62" s="41"/>
      <c r="BA62" s="41"/>
      <c r="BB62" s="41"/>
      <c r="BC62" s="41">
        <f t="shared" ref="BC62" si="146">+AR62+AS62+AU62+AV62+AX62</f>
        <v>120</v>
      </c>
      <c r="BD62" s="54"/>
      <c r="BE62" s="55"/>
      <c r="BF62" s="55"/>
      <c r="BG62" s="54"/>
      <c r="BH62" s="55"/>
    </row>
    <row r="63" spans="1:60" ht="12.95" customHeight="1">
      <c r="A63" s="44"/>
      <c r="B63" s="45"/>
      <c r="C63" s="451"/>
      <c r="D63" s="45"/>
      <c r="E63" s="46"/>
      <c r="F63" s="46"/>
      <c r="G63" s="47"/>
      <c r="H63" s="48"/>
      <c r="I63" s="49"/>
      <c r="J63" s="89"/>
      <c r="K63" s="89"/>
      <c r="L63" s="39"/>
      <c r="M63" s="39"/>
      <c r="N63" s="50"/>
      <c r="O63" s="51"/>
      <c r="P63" s="52"/>
      <c r="Q63" s="38"/>
      <c r="R63" s="507"/>
      <c r="S63" s="507"/>
      <c r="T63" s="41"/>
      <c r="U63" s="41"/>
      <c r="V63" s="41"/>
      <c r="W63" s="41"/>
      <c r="X63" s="42"/>
      <c r="Y63" s="218"/>
      <c r="Z63" s="41"/>
      <c r="AA63" s="41"/>
      <c r="AB63" s="41"/>
      <c r="AC63" s="41"/>
      <c r="AD63" s="41">
        <f t="shared" si="143"/>
        <v>87</v>
      </c>
      <c r="AE63" s="240" t="s">
        <v>608</v>
      </c>
      <c r="AF63" s="41"/>
      <c r="AG63" s="41"/>
      <c r="AH63" s="41"/>
      <c r="AI63" s="509"/>
      <c r="AJ63" s="41"/>
      <c r="AK63" s="41"/>
      <c r="AL63" s="41"/>
      <c r="AM63" s="41">
        <f t="shared" si="144"/>
        <v>0</v>
      </c>
      <c r="AN63" s="41"/>
      <c r="AO63" s="41"/>
      <c r="AP63" s="41"/>
      <c r="AQ63" s="41"/>
      <c r="AR63" s="41">
        <f t="shared" si="145"/>
        <v>0</v>
      </c>
      <c r="AS63" s="41"/>
      <c r="AT63" s="41"/>
      <c r="AU63" s="41"/>
      <c r="AV63" s="41"/>
      <c r="AW63" s="41"/>
      <c r="AX63" s="41"/>
      <c r="AY63" s="41"/>
      <c r="AZ63" s="41"/>
      <c r="BA63" s="41">
        <v>87</v>
      </c>
      <c r="BB63" s="41"/>
      <c r="BC63" s="41">
        <f>+AR63+AS63+AU63+AV63+AX63+BA63</f>
        <v>87</v>
      </c>
      <c r="BD63" s="54"/>
      <c r="BE63" s="55"/>
      <c r="BF63" s="55"/>
      <c r="BG63" s="54"/>
      <c r="BH63" s="55"/>
    </row>
    <row r="64" spans="1:60" ht="12.95" customHeight="1">
      <c r="A64" s="44"/>
      <c r="B64" s="45"/>
      <c r="C64" s="451"/>
      <c r="D64" s="45"/>
      <c r="E64" s="46"/>
      <c r="F64" s="46"/>
      <c r="G64" s="47"/>
      <c r="H64" s="48"/>
      <c r="I64" s="49"/>
      <c r="J64" s="89"/>
      <c r="K64" s="89"/>
      <c r="L64" s="39"/>
      <c r="M64" s="39"/>
      <c r="N64" s="50"/>
      <c r="O64" s="51"/>
      <c r="P64" s="52"/>
      <c r="Q64" s="38"/>
      <c r="R64" s="507"/>
      <c r="S64" s="507"/>
      <c r="T64" s="41"/>
      <c r="U64" s="41"/>
      <c r="V64" s="41"/>
      <c r="W64" s="41"/>
      <c r="X64" s="42"/>
      <c r="Y64" s="218"/>
      <c r="Z64" s="41"/>
      <c r="AA64" s="41"/>
      <c r="AB64" s="41"/>
      <c r="AC64" s="41"/>
      <c r="AD64" s="41">
        <f t="shared" ref="AD64" si="147">+AM64+BC64</f>
        <v>0</v>
      </c>
      <c r="AE64" s="240" t="s">
        <v>609</v>
      </c>
      <c r="AF64" s="41"/>
      <c r="AG64" s="41"/>
      <c r="AH64" s="41"/>
      <c r="AI64" s="509"/>
      <c r="AJ64" s="41"/>
      <c r="AK64" s="41"/>
      <c r="AL64" s="41"/>
      <c r="AM64" s="41">
        <f>SUM(AF64:AL64)+AT64+AV64+AX64+AZ64</f>
        <v>0</v>
      </c>
      <c r="AN64" s="41"/>
      <c r="AO64" s="41"/>
      <c r="AP64" s="41"/>
      <c r="AQ64" s="41"/>
      <c r="AR64" s="41">
        <f t="shared" ref="AR64" si="148">SUM(AN64:AQ64)</f>
        <v>0</v>
      </c>
      <c r="AS64" s="41"/>
      <c r="AT64" s="41"/>
      <c r="AU64" s="41"/>
      <c r="AV64" s="41"/>
      <c r="AW64" s="41"/>
      <c r="AX64" s="41"/>
      <c r="AY64" s="41"/>
      <c r="AZ64" s="41">
        <f>128-128</f>
        <v>0</v>
      </c>
      <c r="BA64" s="41"/>
      <c r="BB64" s="41"/>
      <c r="BC64" s="41">
        <f>+AR64+AS64+AU64+AV64+AX64+BA64</f>
        <v>0</v>
      </c>
      <c r="BD64" s="54"/>
      <c r="BE64" s="55"/>
      <c r="BF64" s="55"/>
      <c r="BG64" s="54"/>
      <c r="BH64" s="55"/>
    </row>
    <row r="65" spans="1:60" ht="12.95" customHeight="1">
      <c r="A65" s="44"/>
      <c r="B65" s="45"/>
      <c r="C65" s="451"/>
      <c r="D65" s="45"/>
      <c r="E65" s="46"/>
      <c r="F65" s="46"/>
      <c r="G65" s="47"/>
      <c r="H65" s="47"/>
      <c r="I65" s="49"/>
      <c r="J65" s="89"/>
      <c r="K65" s="89"/>
      <c r="L65" s="39"/>
      <c r="M65" s="39"/>
      <c r="N65" s="50"/>
      <c r="O65" s="51"/>
      <c r="P65" s="52"/>
      <c r="Q65" s="379"/>
      <c r="R65" s="54"/>
      <c r="S65" s="54"/>
      <c r="T65" s="41"/>
      <c r="U65" s="41"/>
      <c r="V65" s="41"/>
      <c r="W65" s="37"/>
      <c r="X65" s="42"/>
      <c r="Y65" s="218"/>
      <c r="Z65" s="37"/>
      <c r="AA65" s="53"/>
      <c r="AB65" s="53"/>
      <c r="AC65" s="41"/>
      <c r="AD65" s="41"/>
      <c r="AE65" s="240"/>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37"/>
      <c r="BE65" s="55"/>
      <c r="BF65" s="55"/>
      <c r="BG65" s="37"/>
      <c r="BH65" s="55"/>
    </row>
    <row r="66" spans="1:60" ht="12.95" customHeight="1">
      <c r="A66" s="44">
        <v>46033</v>
      </c>
      <c r="B66" s="45" t="s">
        <v>417</v>
      </c>
      <c r="C66" s="451">
        <f t="shared" ref="C66" si="149">(M66*E66*O66*Q66)/100000000</f>
        <v>54.230400000000003</v>
      </c>
      <c r="D66" s="45" t="s">
        <v>430</v>
      </c>
      <c r="E66" s="46">
        <v>15</v>
      </c>
      <c r="F66" s="46">
        <v>1</v>
      </c>
      <c r="G66" s="506">
        <v>1160</v>
      </c>
      <c r="H66" s="48">
        <f t="shared" ref="H66" si="150">+N66</f>
        <v>0.20000000000000007</v>
      </c>
      <c r="I66" s="49">
        <v>0.88</v>
      </c>
      <c r="J66" s="89">
        <f t="shared" ref="J66" si="151">E66*G66*(1-H66)*1440/1000000*2.75</f>
        <v>55.123199999999983</v>
      </c>
      <c r="K66" s="89">
        <f t="shared" ref="K66" si="152">(IF(G66&lt;L66,L66,G66)*(1-IF(H66&lt;N66,H66,N66))*E66*O66*Q66)/100000000</f>
        <v>54.230400000000003</v>
      </c>
      <c r="L66" s="39">
        <v>1166.6666666666667</v>
      </c>
      <c r="M66" s="39">
        <v>933.33333333333337</v>
      </c>
      <c r="N66" s="50">
        <f t="shared" ref="N66" si="153">1-(M66/L66)</f>
        <v>0.20000000000000007</v>
      </c>
      <c r="O66" s="51">
        <f>+'Trim Rwd'!H38</f>
        <v>269</v>
      </c>
      <c r="P66" s="52">
        <f t="shared" ref="P66" si="154">O66*(Q66-R66-S66)</f>
        <v>377138</v>
      </c>
      <c r="Q66" s="51">
        <v>1440</v>
      </c>
      <c r="R66" s="507">
        <v>0</v>
      </c>
      <c r="S66" s="507">
        <v>38</v>
      </c>
      <c r="T66" s="41">
        <f t="shared" ref="T66" si="155">E66*M66*O66*Q66/100000000</f>
        <v>54.230400000000003</v>
      </c>
      <c r="U66" s="41">
        <f t="shared" ref="U66" si="156">E66*M66*O66*(Q66-R66-S66)/100000000</f>
        <v>52.799320000000002</v>
      </c>
      <c r="V66" s="41">
        <f t="shared" ref="V66" si="157">E66*G66*(1-N66)*O66/100*(R66+S66)/1000000</f>
        <v>1.4229023999999999</v>
      </c>
      <c r="W66" s="41">
        <f>+'11'!K16/1000</f>
        <v>52.124000000000002</v>
      </c>
      <c r="X66" s="508">
        <f>SUM(W66:W69)/SUM(K66:K69)</f>
        <v>0.96115831710627253</v>
      </c>
      <c r="Y66" s="218">
        <v>0</v>
      </c>
      <c r="Z66" s="41">
        <v>0</v>
      </c>
      <c r="AA66" s="53">
        <f>SUM(U66:U69)-SUM(W66:W69)-SUM(Z66:Z69)-SUM(Y66:Y69)</f>
        <v>0.67531999999999925</v>
      </c>
      <c r="AB66" s="53">
        <f>(SUM(K66:K69)-SUM(W66:W69)-SUM(Y66:Y69)-SUM(Z66:Z69)-SUM(AC66:AC69)-SUM(V66:V69))-AA66</f>
        <v>8.1776000000015614E-3</v>
      </c>
      <c r="AC66" s="41">
        <f>K66-T66</f>
        <v>0</v>
      </c>
      <c r="AD66" s="41">
        <f>+AM66+BC66</f>
        <v>0</v>
      </c>
      <c r="AE66" s="237" t="s">
        <v>386</v>
      </c>
      <c r="AF66" s="41">
        <v>0</v>
      </c>
      <c r="AG66" s="41"/>
      <c r="AH66" s="41"/>
      <c r="AI66" s="509"/>
      <c r="AJ66" s="41"/>
      <c r="AK66" s="41"/>
      <c r="AL66" s="41"/>
      <c r="AM66" s="41">
        <f>SUM(AF66:AL66)+AT66</f>
        <v>0</v>
      </c>
      <c r="AN66" s="41"/>
      <c r="AO66" s="41"/>
      <c r="AP66" s="41"/>
      <c r="AQ66" s="41"/>
      <c r="AR66" s="41">
        <f>SUM(AN66:AQ66)</f>
        <v>0</v>
      </c>
      <c r="AS66" s="41"/>
      <c r="AT66" s="41"/>
      <c r="AU66" s="41"/>
      <c r="AV66" s="41"/>
      <c r="AW66" s="41"/>
      <c r="AX66" s="41"/>
      <c r="AY66" s="41"/>
      <c r="AZ66" s="41"/>
      <c r="BA66" s="41"/>
      <c r="BB66" s="41"/>
      <c r="BC66" s="41">
        <f>+AR66+AS66+AU66+AV66+AX66</f>
        <v>0</v>
      </c>
      <c r="BD66" s="37">
        <v>0</v>
      </c>
      <c r="BE66" s="55"/>
      <c r="BF66" s="55"/>
      <c r="BG66" s="37"/>
      <c r="BH66" s="55"/>
    </row>
    <row r="67" spans="1:60" ht="12.95" customHeight="1">
      <c r="A67" s="44"/>
      <c r="B67" s="45"/>
      <c r="C67" s="451"/>
      <c r="D67" s="45"/>
      <c r="E67" s="46"/>
      <c r="F67" s="46"/>
      <c r="G67" s="506"/>
      <c r="H67" s="48"/>
      <c r="I67" s="49"/>
      <c r="J67" s="89"/>
      <c r="K67" s="89"/>
      <c r="L67" s="39"/>
      <c r="M67" s="39"/>
      <c r="N67" s="50"/>
      <c r="O67" s="51"/>
      <c r="P67" s="52"/>
      <c r="Q67" s="51"/>
      <c r="R67" s="507"/>
      <c r="S67" s="507"/>
      <c r="T67" s="41"/>
      <c r="U67" s="41"/>
      <c r="V67" s="41"/>
      <c r="W67" s="41"/>
      <c r="X67" s="42"/>
      <c r="Y67" s="218"/>
      <c r="Z67" s="41"/>
      <c r="AA67" s="41"/>
      <c r="AB67" s="41"/>
      <c r="AC67" s="41">
        <f>K67-T67</f>
        <v>0</v>
      </c>
      <c r="AD67" s="41">
        <f t="shared" ref="AD67:AD69" si="158">+AM67+BC67</f>
        <v>15</v>
      </c>
      <c r="AE67" s="237" t="s">
        <v>597</v>
      </c>
      <c r="AF67" s="41"/>
      <c r="AG67" s="41">
        <v>15</v>
      </c>
      <c r="AH67" s="41"/>
      <c r="AI67" s="509"/>
      <c r="AJ67" s="41"/>
      <c r="AK67" s="41"/>
      <c r="AL67" s="41"/>
      <c r="AM67" s="41">
        <f t="shared" ref="AM67:AM69" si="159">SUM(AF67:AL67)+AT67</f>
        <v>15</v>
      </c>
      <c r="AN67" s="90"/>
      <c r="AO67" s="41"/>
      <c r="AP67" s="41"/>
      <c r="AQ67" s="41"/>
      <c r="AR67" s="41">
        <f t="shared" ref="AR67:AR69" si="160">SUM(AN67:AQ67)</f>
        <v>0</v>
      </c>
      <c r="AS67" s="41"/>
      <c r="AT67" s="41"/>
      <c r="AU67" s="41"/>
      <c r="AV67" s="41"/>
      <c r="AW67" s="41"/>
      <c r="AX67" s="41"/>
      <c r="AY67" s="41"/>
      <c r="AZ67" s="41"/>
      <c r="BA67" s="41"/>
      <c r="BB67" s="41"/>
      <c r="BC67" s="41">
        <f t="shared" ref="BC67:BC69" si="161">+AR67+AS67+AU67+AV67+AX67</f>
        <v>0</v>
      </c>
      <c r="BD67" s="54"/>
      <c r="BE67" s="55">
        <v>14</v>
      </c>
      <c r="BF67" s="55"/>
      <c r="BG67" s="54"/>
      <c r="BH67" s="55"/>
    </row>
    <row r="68" spans="1:60" ht="12.95" customHeight="1">
      <c r="A68" s="44"/>
      <c r="B68" s="45"/>
      <c r="C68" s="451"/>
      <c r="D68" s="45"/>
      <c r="E68" s="46"/>
      <c r="F68" s="46"/>
      <c r="G68" s="47"/>
      <c r="H68" s="48"/>
      <c r="I68" s="49"/>
      <c r="J68" s="89"/>
      <c r="K68" s="89"/>
      <c r="L68" s="39"/>
      <c r="M68" s="39"/>
      <c r="N68" s="50"/>
      <c r="O68" s="51"/>
      <c r="P68" s="52"/>
      <c r="Q68" s="51"/>
      <c r="R68" s="507"/>
      <c r="S68" s="507"/>
      <c r="T68" s="41"/>
      <c r="U68" s="41"/>
      <c r="V68" s="41"/>
      <c r="W68" s="41"/>
      <c r="X68" s="42"/>
      <c r="Y68" s="218"/>
      <c r="Z68" s="41"/>
      <c r="AA68" s="41"/>
      <c r="AB68" s="41"/>
      <c r="AC68" s="41"/>
      <c r="AD68" s="41">
        <f t="shared" si="158"/>
        <v>23</v>
      </c>
      <c r="AE68" s="237" t="s">
        <v>598</v>
      </c>
      <c r="AF68" s="37"/>
      <c r="AG68" s="37"/>
      <c r="AH68" s="37">
        <v>23</v>
      </c>
      <c r="AJ68" s="41"/>
      <c r="AK68" s="41"/>
      <c r="AL68" s="41"/>
      <c r="AM68" s="41">
        <f t="shared" si="159"/>
        <v>23</v>
      </c>
      <c r="AN68" s="41"/>
      <c r="AO68" s="41"/>
      <c r="AP68" s="41"/>
      <c r="AQ68" s="41"/>
      <c r="AR68" s="41">
        <f t="shared" si="160"/>
        <v>0</v>
      </c>
      <c r="AS68" s="41"/>
      <c r="AT68" s="41"/>
      <c r="AU68" s="41"/>
      <c r="AV68" s="41"/>
      <c r="AW68" s="41"/>
      <c r="AX68" s="41"/>
      <c r="AY68" s="41"/>
      <c r="AZ68" s="41"/>
      <c r="BA68" s="41"/>
      <c r="BB68" s="41"/>
      <c r="BC68" s="41">
        <f t="shared" si="161"/>
        <v>0</v>
      </c>
      <c r="BD68" s="37"/>
      <c r="BE68" s="510"/>
      <c r="BF68" s="510"/>
      <c r="BG68" s="37"/>
      <c r="BH68" s="510"/>
    </row>
    <row r="69" spans="1:60" ht="12.95" customHeight="1">
      <c r="A69" s="44"/>
      <c r="B69" s="45"/>
      <c r="C69" s="451"/>
      <c r="D69" s="45"/>
      <c r="E69" s="46"/>
      <c r="F69" s="46"/>
      <c r="G69" s="47"/>
      <c r="H69" s="48"/>
      <c r="I69" s="49"/>
      <c r="J69" s="89"/>
      <c r="K69" s="89"/>
      <c r="L69" s="39"/>
      <c r="M69" s="39"/>
      <c r="N69" s="50"/>
      <c r="O69" s="51"/>
      <c r="P69" s="52"/>
      <c r="Q69" s="38"/>
      <c r="R69" s="507"/>
      <c r="S69" s="507"/>
      <c r="T69" s="41"/>
      <c r="U69" s="41"/>
      <c r="V69" s="41"/>
      <c r="W69" s="41"/>
      <c r="X69" s="42"/>
      <c r="Y69" s="218"/>
      <c r="Z69" s="41"/>
      <c r="AA69" s="41"/>
      <c r="AB69" s="41"/>
      <c r="AC69" s="41"/>
      <c r="AD69" s="41">
        <f t="shared" si="158"/>
        <v>0</v>
      </c>
      <c r="AE69" s="240" t="s">
        <v>225</v>
      </c>
      <c r="AF69" s="41"/>
      <c r="AG69" s="41"/>
      <c r="AH69" s="41"/>
      <c r="AI69" s="509">
        <v>0</v>
      </c>
      <c r="AJ69" s="41"/>
      <c r="AK69" s="41"/>
      <c r="AL69" s="41"/>
      <c r="AM69" s="41">
        <f t="shared" si="159"/>
        <v>0</v>
      </c>
      <c r="AN69" s="41"/>
      <c r="AO69" s="41"/>
      <c r="AP69" s="41"/>
      <c r="AQ69" s="41"/>
      <c r="AR69" s="41">
        <f t="shared" si="160"/>
        <v>0</v>
      </c>
      <c r="AS69" s="41"/>
      <c r="AT69" s="41"/>
      <c r="AU69" s="41"/>
      <c r="AV69" s="41"/>
      <c r="AW69" s="41"/>
      <c r="AX69" s="41"/>
      <c r="AY69" s="41"/>
      <c r="AZ69" s="41"/>
      <c r="BA69" s="41"/>
      <c r="BB69" s="41"/>
      <c r="BC69" s="41">
        <f t="shared" si="161"/>
        <v>0</v>
      </c>
      <c r="BD69" s="54"/>
      <c r="BE69" s="55"/>
      <c r="BF69" s="55"/>
      <c r="BG69" s="54"/>
      <c r="BH69" s="55"/>
    </row>
    <row r="70" spans="1:60" ht="12.95" customHeight="1">
      <c r="A70" s="44"/>
      <c r="B70" s="45"/>
      <c r="C70" s="451"/>
      <c r="D70" s="45"/>
      <c r="E70" s="46"/>
      <c r="F70" s="46"/>
      <c r="G70" s="47"/>
      <c r="H70" s="47"/>
      <c r="I70" s="49"/>
      <c r="J70" s="89"/>
      <c r="K70" s="89"/>
      <c r="L70" s="39"/>
      <c r="M70" s="39"/>
      <c r="N70" s="50"/>
      <c r="O70" s="51"/>
      <c r="P70" s="52"/>
      <c r="Q70" s="51"/>
      <c r="R70" s="507"/>
      <c r="S70" s="507"/>
      <c r="T70" s="41"/>
      <c r="U70" s="41"/>
      <c r="V70" s="41"/>
      <c r="W70" s="41"/>
      <c r="X70" s="42"/>
      <c r="Y70" s="218"/>
      <c r="Z70" s="41"/>
      <c r="AA70" s="41"/>
      <c r="AB70" s="41"/>
      <c r="AC70" s="41"/>
      <c r="AD70" s="41"/>
      <c r="AE70" s="237"/>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37"/>
      <c r="BE70" s="55"/>
      <c r="BF70" s="55"/>
      <c r="BG70" s="55"/>
      <c r="BH70" s="55"/>
    </row>
    <row r="71" spans="1:60" ht="12.95" customHeight="1">
      <c r="A71" s="44">
        <v>46034</v>
      </c>
      <c r="B71" s="45" t="s">
        <v>417</v>
      </c>
      <c r="C71" s="451">
        <f t="shared" ref="C71" si="162">(M71*E71*O71*Q71)/100000000</f>
        <v>11.821258800000001</v>
      </c>
      <c r="D71" s="45" t="s">
        <v>430</v>
      </c>
      <c r="E71" s="46">
        <v>15</v>
      </c>
      <c r="F71" s="46">
        <v>1</v>
      </c>
      <c r="G71" s="506">
        <v>1160</v>
      </c>
      <c r="H71" s="48">
        <f t="shared" ref="H71" si="163">+N71</f>
        <v>0.19999999999999996</v>
      </c>
      <c r="I71" s="49">
        <v>0.88</v>
      </c>
      <c r="J71" s="89">
        <f t="shared" ref="J71" si="164">E71*G71*(1-H71)*1440/1000000*2.75</f>
        <v>55.123199999999997</v>
      </c>
      <c r="K71" s="89">
        <f t="shared" ref="K71" si="165">(IF(G71&lt;L71,L71,G71)*(1-IF(H71&lt;N71,H71,N71))*E71*O71*Q71)/100000000</f>
        <v>11.821258800000001</v>
      </c>
      <c r="L71" s="39">
        <v>1170</v>
      </c>
      <c r="M71" s="39">
        <v>936</v>
      </c>
      <c r="N71" s="50">
        <f t="shared" ref="N71" si="166">1-(M71/L71)</f>
        <v>0.19999999999999996</v>
      </c>
      <c r="O71" s="51">
        <f>+'Trim Rwd'!H40</f>
        <v>269</v>
      </c>
      <c r="P71" s="52">
        <f t="shared" ref="P71" si="167">O71*(Q71-R71-S71)</f>
        <v>79086</v>
      </c>
      <c r="Q71" s="51">
        <v>313</v>
      </c>
      <c r="R71" s="507">
        <v>0</v>
      </c>
      <c r="S71" s="507">
        <v>19</v>
      </c>
      <c r="T71" s="41">
        <f t="shared" ref="T71" si="168">E71*M71*O71*Q71/100000000</f>
        <v>11.821258800000001</v>
      </c>
      <c r="U71" s="41">
        <f t="shared" ref="U71" si="169">E71*M71*O71*(Q71-R71-S71)/100000000</f>
        <v>11.103674399999999</v>
      </c>
      <c r="V71" s="41">
        <f t="shared" ref="V71" si="170">E71*G71*(1-N71)*O71/100*(R71+S71)/1000000</f>
        <v>0.71145120000000006</v>
      </c>
      <c r="W71" s="41">
        <f>+'12'!K16/1000</f>
        <v>15.846</v>
      </c>
      <c r="X71" s="508">
        <f>SUM(W71:W74)/SUM(K71:K74)</f>
        <v>0.97246329252895347</v>
      </c>
      <c r="Y71" s="218">
        <v>0</v>
      </c>
      <c r="Z71" s="41">
        <v>0</v>
      </c>
      <c r="AA71" s="53">
        <f>SUM(U71:U74)-SUM(W71:W74)-SUM(Z71:Z74)-SUM(Y71:Y74)</f>
        <v>-1.5373926029068343</v>
      </c>
      <c r="AB71" s="53">
        <f>(SUM(K71:K74)-SUM(W71:W74)-SUM(Y71:Y74)-SUM(Z71:Z74)-SUM(AC71:AC74)-SUM(V71:V74))-AA71</f>
        <v>-2.6255205093159706E-2</v>
      </c>
      <c r="AC71" s="41">
        <f>K71-T71</f>
        <v>0</v>
      </c>
      <c r="AD71" s="41">
        <f>+AM71+BC71</f>
        <v>1</v>
      </c>
      <c r="AE71" s="237" t="s">
        <v>619</v>
      </c>
      <c r="AF71" s="41">
        <v>1</v>
      </c>
      <c r="AG71" s="41"/>
      <c r="AH71" s="41"/>
      <c r="AI71" s="509"/>
      <c r="AJ71" s="41"/>
      <c r="AK71" s="41"/>
      <c r="AL71" s="41"/>
      <c r="AM71" s="41">
        <f>SUM(AF71:AL71)+AT71</f>
        <v>1</v>
      </c>
      <c r="AN71" s="41"/>
      <c r="AO71" s="41"/>
      <c r="AP71" s="41"/>
      <c r="AQ71" s="41"/>
      <c r="AR71" s="41">
        <f>SUM(AN71:AQ71)</f>
        <v>0</v>
      </c>
      <c r="AS71" s="41"/>
      <c r="AT71" s="41"/>
      <c r="AU71" s="41"/>
      <c r="AV71" s="41"/>
      <c r="AW71" s="41"/>
      <c r="AX71" s="41"/>
      <c r="AY71" s="41"/>
      <c r="AZ71" s="41"/>
      <c r="BA71" s="41"/>
      <c r="BB71" s="41"/>
      <c r="BC71" s="41">
        <f>+AR71+AS71+AU71+AV71+AX71</f>
        <v>0</v>
      </c>
      <c r="BD71" s="37">
        <v>1</v>
      </c>
      <c r="BE71" s="55"/>
      <c r="BF71" s="55"/>
      <c r="BG71" s="37"/>
      <c r="BH71" s="55"/>
    </row>
    <row r="72" spans="1:60" ht="12.95" customHeight="1">
      <c r="A72" s="44"/>
      <c r="B72" s="45" t="s">
        <v>417</v>
      </c>
      <c r="C72" s="451">
        <f t="shared" ref="C72" si="171">(M72*E72*O72*Q72)/100000000</f>
        <v>41.306484492000003</v>
      </c>
      <c r="D72" s="45" t="s">
        <v>430</v>
      </c>
      <c r="E72" s="46">
        <v>14</v>
      </c>
      <c r="F72" s="46">
        <v>1</v>
      </c>
      <c r="G72" s="506">
        <v>1275</v>
      </c>
      <c r="H72" s="48">
        <f t="shared" ref="H72" si="172">+N72</f>
        <v>0.21999999999999997</v>
      </c>
      <c r="I72" s="49">
        <v>0.88</v>
      </c>
      <c r="J72" s="89">
        <f t="shared" ref="J72" si="173">E72*G72*(1-H72)*1440/1000000*2.75</f>
        <v>55.135079999999995</v>
      </c>
      <c r="K72" s="89">
        <f t="shared" ref="K72" si="174">(IF(G72&lt;L72,L72,G72)*(1-IF(H72&lt;N72,H72,N72))*E72*O72*Q72)/100000000</f>
        <v>42.523208910000001</v>
      </c>
      <c r="L72" s="39">
        <v>1238.5181898846495</v>
      </c>
      <c r="M72" s="39">
        <v>966.04418811002665</v>
      </c>
      <c r="N72" s="50">
        <f t="shared" ref="N72" si="175">1-(M72/L72)</f>
        <v>0.21999999999999997</v>
      </c>
      <c r="O72" s="51">
        <f>+'Trim Rwd'!H41</f>
        <v>271</v>
      </c>
      <c r="P72" s="52">
        <f t="shared" ref="P72" si="176">O72*(Q72-R72-S72)</f>
        <v>297287</v>
      </c>
      <c r="Q72" s="51">
        <v>1127</v>
      </c>
      <c r="R72" s="507">
        <v>0</v>
      </c>
      <c r="S72" s="507">
        <v>30</v>
      </c>
      <c r="T72" s="41">
        <f t="shared" ref="T72" si="177">E72*M72*O72*Q72/100000000</f>
        <v>41.306484492000003</v>
      </c>
      <c r="U72" s="41">
        <f t="shared" ref="U72" si="178">E72*M72*O72*(Q72-R72-S72)/100000000</f>
        <v>40.206932997093169</v>
      </c>
      <c r="V72" s="41">
        <f t="shared" ref="V72" si="179">E72*G72*(1-N72)*O72/100*(R72+S72)/1000000</f>
        <v>1.1319399000000001</v>
      </c>
      <c r="W72" s="41">
        <f>+'12'!K17/1000</f>
        <v>37.002000000000002</v>
      </c>
      <c r="X72" s="42"/>
      <c r="Y72" s="218"/>
      <c r="Z72" s="41"/>
      <c r="AA72" s="41"/>
      <c r="AB72" s="41"/>
      <c r="AC72" s="41">
        <f>K72-T72</f>
        <v>1.2167244179999983</v>
      </c>
      <c r="AD72" s="41">
        <f t="shared" ref="AD72:AD74" si="180">+AM72+BC72</f>
        <v>15</v>
      </c>
      <c r="AE72" s="237" t="s">
        <v>597</v>
      </c>
      <c r="AF72" s="41"/>
      <c r="AG72" s="41">
        <v>15</v>
      </c>
      <c r="AH72" s="41"/>
      <c r="AI72" s="509"/>
      <c r="AJ72" s="41"/>
      <c r="AK72" s="41"/>
      <c r="AL72" s="41"/>
      <c r="AM72" s="41">
        <f t="shared" ref="AM72:AM74" si="181">SUM(AF72:AL72)+AT72</f>
        <v>15</v>
      </c>
      <c r="AN72" s="90"/>
      <c r="AO72" s="41"/>
      <c r="AP72" s="41"/>
      <c r="AQ72" s="41"/>
      <c r="AR72" s="41">
        <f t="shared" ref="AR72:AR74" si="182">SUM(AN72:AQ72)</f>
        <v>0</v>
      </c>
      <c r="AS72" s="41"/>
      <c r="AT72" s="41"/>
      <c r="AU72" s="41"/>
      <c r="AV72" s="41"/>
      <c r="AW72" s="41"/>
      <c r="AX72" s="41"/>
      <c r="AY72" s="41"/>
      <c r="AZ72" s="41"/>
      <c r="BA72" s="41"/>
      <c r="BB72" s="41"/>
      <c r="BC72" s="41">
        <f t="shared" ref="BC72:BC74" si="183">+AR72+AS72+AU72+AV72+AX72</f>
        <v>0</v>
      </c>
      <c r="BD72" s="54"/>
      <c r="BE72" s="55">
        <v>14</v>
      </c>
      <c r="BF72" s="55"/>
      <c r="BG72" s="54"/>
      <c r="BH72" s="55"/>
    </row>
    <row r="73" spans="1:60" ht="12.95" customHeight="1">
      <c r="A73" s="44"/>
      <c r="B73" s="45"/>
      <c r="C73" s="451"/>
      <c r="D73" s="45"/>
      <c r="E73" s="46"/>
      <c r="F73" s="46"/>
      <c r="G73" s="47"/>
      <c r="H73" s="48"/>
      <c r="I73" s="49"/>
      <c r="J73" s="89"/>
      <c r="K73" s="89"/>
      <c r="L73" s="39"/>
      <c r="M73" s="39"/>
      <c r="N73" s="50"/>
      <c r="O73" s="51"/>
      <c r="P73" s="52"/>
      <c r="Q73" s="51"/>
      <c r="R73" s="507"/>
      <c r="S73" s="507"/>
      <c r="T73" s="41"/>
      <c r="U73" s="41"/>
      <c r="V73" s="41"/>
      <c r="W73" s="41"/>
      <c r="X73" s="42"/>
      <c r="Y73" s="218"/>
      <c r="Z73" s="41"/>
      <c r="AA73" s="41"/>
      <c r="AB73" s="41"/>
      <c r="AC73" s="41"/>
      <c r="AD73" s="41">
        <f t="shared" si="180"/>
        <v>25</v>
      </c>
      <c r="AE73" s="237" t="s">
        <v>621</v>
      </c>
      <c r="AF73" s="37"/>
      <c r="AG73" s="37"/>
      <c r="AH73" s="37">
        <v>25</v>
      </c>
      <c r="AJ73" s="41"/>
      <c r="AK73" s="41"/>
      <c r="AL73" s="41"/>
      <c r="AM73" s="41">
        <f t="shared" si="181"/>
        <v>25</v>
      </c>
      <c r="AN73" s="41"/>
      <c r="AO73" s="41"/>
      <c r="AP73" s="41"/>
      <c r="AQ73" s="41"/>
      <c r="AR73" s="41">
        <f t="shared" si="182"/>
        <v>0</v>
      </c>
      <c r="AS73" s="41"/>
      <c r="AT73" s="41"/>
      <c r="AU73" s="41"/>
      <c r="AV73" s="41"/>
      <c r="AW73" s="41"/>
      <c r="AX73" s="41"/>
      <c r="AY73" s="41"/>
      <c r="AZ73" s="41"/>
      <c r="BA73" s="41"/>
      <c r="BB73" s="41"/>
      <c r="BC73" s="41">
        <f t="shared" si="183"/>
        <v>0</v>
      </c>
      <c r="BD73" s="37"/>
      <c r="BE73" s="510"/>
      <c r="BF73" s="510"/>
      <c r="BG73" s="37"/>
      <c r="BH73" s="510"/>
    </row>
    <row r="74" spans="1:60" ht="12.95" customHeight="1">
      <c r="A74" s="44"/>
      <c r="B74" s="45"/>
      <c r="C74" s="451"/>
      <c r="D74" s="45"/>
      <c r="E74" s="46"/>
      <c r="F74" s="46"/>
      <c r="G74" s="47"/>
      <c r="H74" s="48"/>
      <c r="I74" s="49"/>
      <c r="J74" s="89"/>
      <c r="K74" s="89"/>
      <c r="L74" s="39"/>
      <c r="M74" s="39"/>
      <c r="N74" s="50"/>
      <c r="O74" s="51"/>
      <c r="P74" s="52"/>
      <c r="Q74" s="38"/>
      <c r="R74" s="507"/>
      <c r="S74" s="507"/>
      <c r="T74" s="41"/>
      <c r="U74" s="41"/>
      <c r="V74" s="41"/>
      <c r="W74" s="41"/>
      <c r="X74" s="42"/>
      <c r="Y74" s="218"/>
      <c r="Z74" s="41"/>
      <c r="AA74" s="41"/>
      <c r="AB74" s="41"/>
      <c r="AC74" s="41"/>
      <c r="AD74" s="41">
        <f t="shared" si="180"/>
        <v>8</v>
      </c>
      <c r="AE74" s="240" t="s">
        <v>225</v>
      </c>
      <c r="AF74" s="41"/>
      <c r="AG74" s="41"/>
      <c r="AH74" s="41"/>
      <c r="AI74" s="509">
        <v>8</v>
      </c>
      <c r="AJ74" s="41"/>
      <c r="AK74" s="41"/>
      <c r="AL74" s="41"/>
      <c r="AM74" s="41">
        <f t="shared" si="181"/>
        <v>8</v>
      </c>
      <c r="AN74" s="41"/>
      <c r="AO74" s="41"/>
      <c r="AP74" s="41"/>
      <c r="AQ74" s="41"/>
      <c r="AR74" s="41">
        <f t="shared" si="182"/>
        <v>0</v>
      </c>
      <c r="AS74" s="41"/>
      <c r="AT74" s="41"/>
      <c r="AU74" s="41"/>
      <c r="AV74" s="41"/>
      <c r="AW74" s="41"/>
      <c r="AX74" s="41"/>
      <c r="AY74" s="41"/>
      <c r="AZ74" s="41"/>
      <c r="BA74" s="41"/>
      <c r="BB74" s="41"/>
      <c r="BC74" s="41">
        <f t="shared" si="183"/>
        <v>0</v>
      </c>
      <c r="BD74" s="54"/>
      <c r="BE74" s="55"/>
      <c r="BF74" s="55"/>
      <c r="BG74" s="54"/>
      <c r="BH74" s="55"/>
    </row>
    <row r="75" spans="1:60" ht="12.95" customHeight="1">
      <c r="A75" s="44"/>
      <c r="B75" s="45"/>
      <c r="C75" s="451"/>
      <c r="D75" s="45"/>
      <c r="E75" s="46"/>
      <c r="F75" s="46"/>
      <c r="G75" s="47"/>
      <c r="H75" s="47"/>
      <c r="I75" s="49"/>
      <c r="J75" s="89"/>
      <c r="K75" s="89"/>
      <c r="L75" s="39"/>
      <c r="M75" s="39"/>
      <c r="N75" s="50"/>
      <c r="O75" s="51"/>
      <c r="P75" s="52"/>
      <c r="Q75" s="51"/>
      <c r="R75" s="507"/>
      <c r="S75" s="507"/>
      <c r="T75" s="41"/>
      <c r="U75" s="41"/>
      <c r="V75" s="41"/>
      <c r="W75" s="41"/>
      <c r="X75" s="508"/>
      <c r="Y75" s="218"/>
      <c r="Z75" s="41"/>
      <c r="AA75" s="53"/>
      <c r="AB75" s="53"/>
      <c r="AC75" s="41"/>
      <c r="AD75" s="41"/>
      <c r="AE75" s="237"/>
      <c r="AF75" s="41"/>
      <c r="AG75" s="41"/>
      <c r="AH75" s="41"/>
      <c r="AI75" s="509"/>
      <c r="AJ75" s="41"/>
      <c r="AK75" s="41"/>
      <c r="AL75" s="41"/>
      <c r="AM75" s="41"/>
      <c r="AN75" s="41"/>
      <c r="AO75" s="41"/>
      <c r="AP75" s="41"/>
      <c r="AQ75" s="41"/>
      <c r="AR75" s="41"/>
      <c r="AS75" s="41"/>
      <c r="AT75" s="41"/>
      <c r="AU75" s="41"/>
      <c r="AV75" s="41"/>
      <c r="AW75" s="41"/>
      <c r="AX75" s="41"/>
      <c r="AY75" s="41"/>
      <c r="AZ75" s="41"/>
      <c r="BA75" s="41"/>
      <c r="BB75" s="41"/>
      <c r="BC75" s="41"/>
      <c r="BD75" s="37"/>
      <c r="BE75" s="55"/>
      <c r="BF75" s="55"/>
      <c r="BG75" s="55"/>
      <c r="BH75" s="55"/>
    </row>
    <row r="76" spans="1:60" ht="12.95" customHeight="1">
      <c r="A76" s="44">
        <v>46035</v>
      </c>
      <c r="B76" s="45" t="s">
        <v>417</v>
      </c>
      <c r="C76" s="451">
        <f t="shared" ref="C76:C77" si="184">(M76*E76*O76*Q76)/100000000</f>
        <v>22.189778100000002</v>
      </c>
      <c r="D76" s="45" t="s">
        <v>430</v>
      </c>
      <c r="E76" s="46">
        <v>14</v>
      </c>
      <c r="F76" s="46">
        <v>1</v>
      </c>
      <c r="G76" s="506">
        <v>1275</v>
      </c>
      <c r="H76" s="48">
        <f t="shared" ref="H76:H77" si="185">+N76</f>
        <v>0.22000000000000008</v>
      </c>
      <c r="I76" s="49">
        <v>0.88</v>
      </c>
      <c r="J76" s="89">
        <f t="shared" ref="J76:J77" si="186">E76*G76*(1-H76)*1440/1000000*2.75</f>
        <v>55.135079999999988</v>
      </c>
      <c r="K76" s="89">
        <f t="shared" ref="K76:K77" si="187">(IF(G76&lt;L76,L76,G76)*(1-IF(H76&lt;N76,H76,N76))*E76*O76*Q76)/100000000</f>
        <v>23.204767949999994</v>
      </c>
      <c r="L76" s="39">
        <v>1219.2307692307693</v>
      </c>
      <c r="M76" s="39">
        <v>951</v>
      </c>
      <c r="N76" s="50">
        <f t="shared" ref="N76:N77" si="188">1-(M76/L76)</f>
        <v>0.22000000000000008</v>
      </c>
      <c r="O76" s="51">
        <f>+'Trim Rwd'!H43</f>
        <v>271</v>
      </c>
      <c r="P76" s="52">
        <f t="shared" ref="P76:P77" si="189">O76*(Q76-R76-S76)</f>
        <v>116530</v>
      </c>
      <c r="Q76" s="51">
        <f>455+160</f>
        <v>615</v>
      </c>
      <c r="R76" s="507">
        <v>160</v>
      </c>
      <c r="S76" s="507">
        <v>25</v>
      </c>
      <c r="T76" s="41">
        <f t="shared" ref="T76:T77" si="190">E76*M76*O76*Q76/100000000</f>
        <v>22.189778100000002</v>
      </c>
      <c r="U76" s="41">
        <f t="shared" ref="U76:U77" si="191">E76*M76*O76*(Q76-R76-S76)/100000000</f>
        <v>15.5148042</v>
      </c>
      <c r="V76" s="41">
        <f t="shared" ref="V76:V77" si="192">E76*G76*(1-N76)*O76/100*(R76+S76)/1000000</f>
        <v>6.9802960499999989</v>
      </c>
      <c r="W76" s="41">
        <f>+'13'!K17/1000</f>
        <v>15.83</v>
      </c>
      <c r="X76" s="508">
        <f>SUM(W76:W79)/SUM(K76:K79)</f>
        <v>0.78774374949149717</v>
      </c>
      <c r="Y76" s="218">
        <v>0</v>
      </c>
      <c r="Z76" s="41">
        <v>0</v>
      </c>
      <c r="AA76" s="53">
        <f>SUM(U76:U79)-SUM(W76:W79)-SUM(Z76:Z79)-SUM(Y76:Y79)</f>
        <v>2.2598189999999931</v>
      </c>
      <c r="AB76" s="53">
        <f>(SUM(K76:K79)-SUM(W76:W79)-SUM(Y76:Y79)-SUM(Z76:Z79)-SUM(AC76:AC79)-SUM(V76:V79))-AA76</f>
        <v>-0.30532214999999319</v>
      </c>
      <c r="AC76" s="41">
        <f>K76-T76</f>
        <v>1.0149898499999921</v>
      </c>
      <c r="AD76" s="41">
        <f>+AM76+BC76</f>
        <v>0</v>
      </c>
      <c r="AE76" s="237" t="s">
        <v>386</v>
      </c>
      <c r="AF76" s="41">
        <v>0</v>
      </c>
      <c r="AG76" s="41"/>
      <c r="AH76" s="41"/>
      <c r="AI76" s="509"/>
      <c r="AJ76" s="41"/>
      <c r="AK76" s="41"/>
      <c r="AL76" s="41"/>
      <c r="AM76" s="41">
        <f>SUM(AF76:AL76)+AT76</f>
        <v>0</v>
      </c>
      <c r="AN76" s="41"/>
      <c r="AO76" s="41"/>
      <c r="AP76" s="41"/>
      <c r="AQ76" s="41"/>
      <c r="AR76" s="41">
        <f>SUM(AN76:AQ76)</f>
        <v>0</v>
      </c>
      <c r="AS76" s="41"/>
      <c r="AT76" s="41"/>
      <c r="AU76" s="41"/>
      <c r="AV76" s="41"/>
      <c r="AW76" s="41"/>
      <c r="AX76" s="41"/>
      <c r="AY76" s="41"/>
      <c r="AZ76" s="41"/>
      <c r="BA76" s="41"/>
      <c r="BB76" s="41"/>
      <c r="BC76" s="41">
        <f>+AR76+AS76+AU76+AV76+AX76</f>
        <v>0</v>
      </c>
      <c r="BD76" s="37">
        <v>0</v>
      </c>
      <c r="BE76" s="55"/>
      <c r="BF76" s="55"/>
      <c r="BG76" s="37"/>
      <c r="BH76" s="55"/>
    </row>
    <row r="77" spans="1:60" ht="12.95" customHeight="1">
      <c r="A77" s="44"/>
      <c r="B77" s="45" t="s">
        <v>417</v>
      </c>
      <c r="C77" s="451">
        <f t="shared" si="184"/>
        <v>30.679506</v>
      </c>
      <c r="D77" s="45" t="s">
        <v>430</v>
      </c>
      <c r="E77" s="46">
        <v>15</v>
      </c>
      <c r="F77" s="46">
        <v>1</v>
      </c>
      <c r="G77" s="506">
        <f>+L77</f>
        <v>1160</v>
      </c>
      <c r="H77" s="48">
        <f t="shared" si="185"/>
        <v>0.22000000000000008</v>
      </c>
      <c r="I77" s="49">
        <v>0.88</v>
      </c>
      <c r="J77" s="89">
        <f t="shared" si="186"/>
        <v>53.745119999999986</v>
      </c>
      <c r="K77" s="89">
        <f t="shared" si="187"/>
        <v>30.679506</v>
      </c>
      <c r="L77" s="39">
        <v>1160</v>
      </c>
      <c r="M77" s="39">
        <v>904.8</v>
      </c>
      <c r="N77" s="50">
        <f t="shared" si="188"/>
        <v>0.22000000000000008</v>
      </c>
      <c r="O77" s="51">
        <f>+'Trim Rwd'!H44</f>
        <v>274</v>
      </c>
      <c r="P77" s="52">
        <f t="shared" si="189"/>
        <v>215090</v>
      </c>
      <c r="Q77" s="51">
        <v>825</v>
      </c>
      <c r="R77" s="507">
        <v>0</v>
      </c>
      <c r="S77" s="507">
        <v>40</v>
      </c>
      <c r="T77" s="41">
        <f t="shared" si="190"/>
        <v>30.679506</v>
      </c>
      <c r="U77" s="41">
        <f t="shared" si="191"/>
        <v>29.192014799999999</v>
      </c>
      <c r="V77" s="41">
        <f t="shared" si="192"/>
        <v>1.4874912</v>
      </c>
      <c r="W77" s="41">
        <f>+'13'!K16/1000</f>
        <v>26.617000000000001</v>
      </c>
      <c r="X77" s="42"/>
      <c r="Y77" s="218"/>
      <c r="Z77" s="41"/>
      <c r="AA77" s="41"/>
      <c r="AB77" s="41"/>
      <c r="AC77" s="41">
        <f>K77-T77</f>
        <v>0</v>
      </c>
      <c r="AD77" s="41">
        <f t="shared" ref="AD77:AD79" si="193">+AM77+BC77</f>
        <v>19</v>
      </c>
      <c r="AE77" s="237" t="s">
        <v>633</v>
      </c>
      <c r="AF77" s="41"/>
      <c r="AG77" s="41">
        <v>19</v>
      </c>
      <c r="AH77" s="41"/>
      <c r="AI77" s="509"/>
      <c r="AJ77" s="41"/>
      <c r="AK77" s="41"/>
      <c r="AL77" s="41"/>
      <c r="AM77" s="41">
        <f t="shared" ref="AM77:AM79" si="194">SUM(AF77:AL77)+AT77</f>
        <v>19</v>
      </c>
      <c r="AN77" s="90"/>
      <c r="AO77" s="41"/>
      <c r="AP77" s="41"/>
      <c r="AQ77" s="41"/>
      <c r="AR77" s="41">
        <f t="shared" ref="AR77:AR79" si="195">SUM(AN77:AQ77)</f>
        <v>0</v>
      </c>
      <c r="AS77" s="41"/>
      <c r="AT77" s="41"/>
      <c r="AU77" s="41"/>
      <c r="AV77" s="41"/>
      <c r="AW77" s="41"/>
      <c r="AX77" s="41"/>
      <c r="AY77" s="41"/>
      <c r="AZ77" s="41"/>
      <c r="BA77" s="41"/>
      <c r="BB77" s="41"/>
      <c r="BC77" s="41">
        <f t="shared" ref="BC77:BC79" si="196">+AR77+AS77+AU77+AV77+AX77</f>
        <v>0</v>
      </c>
      <c r="BD77" s="54"/>
      <c r="BE77" s="55">
        <v>15</v>
      </c>
      <c r="BF77" s="55"/>
      <c r="BG77" s="54"/>
      <c r="BH77" s="55"/>
    </row>
    <row r="78" spans="1:60" ht="12.95" customHeight="1">
      <c r="A78" s="44"/>
      <c r="B78" s="45"/>
      <c r="C78" s="451"/>
      <c r="D78" s="45"/>
      <c r="E78" s="46"/>
      <c r="F78" s="46"/>
      <c r="G78" s="47"/>
      <c r="H78" s="48"/>
      <c r="I78" s="49"/>
      <c r="J78" s="89"/>
      <c r="K78" s="89"/>
      <c r="L78" s="39"/>
      <c r="M78" s="39"/>
      <c r="N78" s="50"/>
      <c r="O78" s="51"/>
      <c r="P78" s="52"/>
      <c r="Q78" s="51"/>
      <c r="R78" s="507"/>
      <c r="S78" s="507"/>
      <c r="T78" s="41"/>
      <c r="U78" s="41"/>
      <c r="V78" s="41"/>
      <c r="W78" s="41"/>
      <c r="X78" s="42"/>
      <c r="Y78" s="218"/>
      <c r="Z78" s="41"/>
      <c r="AA78" s="41"/>
      <c r="AB78" s="41"/>
      <c r="AC78" s="41"/>
      <c r="AD78" s="41">
        <f t="shared" si="193"/>
        <v>46</v>
      </c>
      <c r="AE78" s="237" t="s">
        <v>439</v>
      </c>
      <c r="AF78" s="37"/>
      <c r="AG78" s="37"/>
      <c r="AH78" s="37">
        <v>46</v>
      </c>
      <c r="AJ78" s="41"/>
      <c r="AK78" s="41"/>
      <c r="AL78" s="41"/>
      <c r="AM78" s="41">
        <f t="shared" si="194"/>
        <v>46</v>
      </c>
      <c r="AN78" s="41"/>
      <c r="AO78" s="41"/>
      <c r="AP78" s="41"/>
      <c r="AQ78" s="41"/>
      <c r="AR78" s="41">
        <f t="shared" si="195"/>
        <v>0</v>
      </c>
      <c r="AS78" s="41"/>
      <c r="AT78" s="41"/>
      <c r="AU78" s="41"/>
      <c r="AV78" s="41"/>
      <c r="AW78" s="41"/>
      <c r="AX78" s="41"/>
      <c r="AY78" s="41"/>
      <c r="AZ78" s="41"/>
      <c r="BA78" s="41"/>
      <c r="BB78" s="41"/>
      <c r="BC78" s="41">
        <f t="shared" si="196"/>
        <v>0</v>
      </c>
      <c r="BD78" s="37"/>
      <c r="BE78" s="510"/>
      <c r="BF78" s="510"/>
      <c r="BG78" s="37"/>
      <c r="BH78" s="510"/>
    </row>
    <row r="79" spans="1:60" ht="12.95" customHeight="1">
      <c r="A79" s="44"/>
      <c r="B79" s="45"/>
      <c r="C79" s="451"/>
      <c r="D79" s="45"/>
      <c r="E79" s="46"/>
      <c r="F79" s="46"/>
      <c r="G79" s="47"/>
      <c r="H79" s="48"/>
      <c r="I79" s="49"/>
      <c r="J79" s="89"/>
      <c r="K79" s="89"/>
      <c r="L79" s="39"/>
      <c r="M79" s="39"/>
      <c r="N79" s="50"/>
      <c r="O79" s="51"/>
      <c r="P79" s="52"/>
      <c r="Q79" s="38"/>
      <c r="R79" s="507"/>
      <c r="S79" s="507"/>
      <c r="T79" s="41"/>
      <c r="U79" s="41"/>
      <c r="V79" s="41"/>
      <c r="W79" s="41"/>
      <c r="X79" s="42"/>
      <c r="Y79" s="218"/>
      <c r="Z79" s="41"/>
      <c r="AA79" s="41"/>
      <c r="AB79" s="41"/>
      <c r="AC79" s="41"/>
      <c r="AD79" s="41">
        <f t="shared" si="193"/>
        <v>0</v>
      </c>
      <c r="AE79" s="240" t="s">
        <v>225</v>
      </c>
      <c r="AF79" s="41"/>
      <c r="AG79" s="41"/>
      <c r="AH79" s="41"/>
      <c r="AI79" s="509">
        <v>0</v>
      </c>
      <c r="AJ79" s="41"/>
      <c r="AK79" s="41"/>
      <c r="AL79" s="41"/>
      <c r="AM79" s="41">
        <f t="shared" si="194"/>
        <v>0</v>
      </c>
      <c r="AN79" s="41"/>
      <c r="AO79" s="41"/>
      <c r="AP79" s="41"/>
      <c r="AQ79" s="41"/>
      <c r="AR79" s="41">
        <f t="shared" si="195"/>
        <v>0</v>
      </c>
      <c r="AS79" s="41"/>
      <c r="AT79" s="41"/>
      <c r="AU79" s="41"/>
      <c r="AV79" s="41"/>
      <c r="AW79" s="41"/>
      <c r="AX79" s="41"/>
      <c r="AY79" s="41"/>
      <c r="AZ79" s="41"/>
      <c r="BA79" s="41"/>
      <c r="BB79" s="41"/>
      <c r="BC79" s="41">
        <f t="shared" si="196"/>
        <v>0</v>
      </c>
      <c r="BD79" s="54"/>
      <c r="BE79" s="55"/>
      <c r="BF79" s="55"/>
      <c r="BG79" s="54"/>
      <c r="BH79" s="55"/>
    </row>
    <row r="80" spans="1:60" ht="12.95" customHeight="1">
      <c r="A80" s="44"/>
      <c r="B80" s="45"/>
      <c r="C80" s="451"/>
      <c r="D80" s="45"/>
      <c r="E80" s="46"/>
      <c r="F80" s="46"/>
      <c r="G80" s="47"/>
      <c r="H80" s="48"/>
      <c r="I80" s="49"/>
      <c r="J80" s="89"/>
      <c r="K80" s="89"/>
      <c r="L80" s="39"/>
      <c r="M80" s="39"/>
      <c r="N80" s="50"/>
      <c r="O80" s="51"/>
      <c r="P80" s="52"/>
      <c r="Q80" s="38"/>
      <c r="R80" s="507"/>
      <c r="S80" s="507"/>
      <c r="T80" s="41"/>
      <c r="U80" s="41"/>
      <c r="V80" s="41"/>
      <c r="W80" s="41"/>
      <c r="X80" s="42"/>
      <c r="Y80" s="218"/>
      <c r="Z80" s="41"/>
      <c r="AA80" s="41"/>
      <c r="AB80" s="41"/>
      <c r="AC80" s="41"/>
      <c r="AD80" s="41">
        <f t="shared" ref="AD80" si="197">+AM80+BC80</f>
        <v>160</v>
      </c>
      <c r="AE80" s="240" t="s">
        <v>634</v>
      </c>
      <c r="AF80" s="41"/>
      <c r="AG80" s="41"/>
      <c r="AH80" s="41"/>
      <c r="AI80" s="509"/>
      <c r="AJ80" s="41"/>
      <c r="AK80" s="41"/>
      <c r="AL80" s="41"/>
      <c r="AM80" s="41">
        <f t="shared" ref="AM80" si="198">SUM(AF80:AL80)+AT80</f>
        <v>0</v>
      </c>
      <c r="AN80" s="41"/>
      <c r="AO80" s="41"/>
      <c r="AP80" s="41">
        <v>160</v>
      </c>
      <c r="AQ80" s="41"/>
      <c r="AR80" s="41">
        <f t="shared" ref="AR80" si="199">SUM(AN80:AQ80)</f>
        <v>160</v>
      </c>
      <c r="AS80" s="41"/>
      <c r="AT80" s="41"/>
      <c r="AU80" s="41"/>
      <c r="AV80" s="41"/>
      <c r="AW80" s="41"/>
      <c r="AX80" s="41"/>
      <c r="AY80" s="41"/>
      <c r="AZ80" s="41"/>
      <c r="BA80" s="41"/>
      <c r="BB80" s="41"/>
      <c r="BC80" s="41">
        <f t="shared" ref="BC80" si="200">+AR80+AS80+AU80+AV80+AX80</f>
        <v>160</v>
      </c>
      <c r="BD80" s="54"/>
      <c r="BE80" s="55"/>
      <c r="BF80" s="55"/>
      <c r="BG80" s="54"/>
      <c r="BH80" s="55"/>
    </row>
    <row r="81" spans="1:60" ht="12.95" customHeight="1">
      <c r="A81" s="44"/>
      <c r="B81" s="45"/>
      <c r="C81" s="451"/>
      <c r="D81" s="45"/>
      <c r="E81" s="46"/>
      <c r="F81" s="46"/>
      <c r="G81" s="47"/>
      <c r="H81" s="47"/>
      <c r="I81" s="49"/>
      <c r="J81" s="89"/>
      <c r="K81" s="89"/>
      <c r="L81" s="39"/>
      <c r="M81" s="39"/>
      <c r="N81" s="50"/>
      <c r="O81" s="51"/>
      <c r="P81" s="52"/>
      <c r="Q81" s="51"/>
      <c r="R81" s="507"/>
      <c r="S81" s="507"/>
      <c r="T81" s="41"/>
      <c r="U81" s="41"/>
      <c r="V81" s="41"/>
      <c r="W81" s="41"/>
      <c r="X81" s="508"/>
      <c r="Y81" s="218"/>
      <c r="Z81" s="41"/>
      <c r="AA81" s="53"/>
      <c r="AB81" s="53"/>
      <c r="AC81" s="41"/>
      <c r="AD81" s="41"/>
      <c r="AE81" s="237"/>
      <c r="AF81" s="41"/>
      <c r="AG81" s="41"/>
      <c r="AH81" s="41"/>
      <c r="AI81" s="509"/>
      <c r="AJ81" s="41"/>
      <c r="AK81" s="41"/>
      <c r="AL81" s="41"/>
      <c r="AM81" s="41"/>
      <c r="AN81" s="41"/>
      <c r="AO81" s="41"/>
      <c r="AP81" s="41"/>
      <c r="AQ81" s="41"/>
      <c r="AR81" s="41"/>
      <c r="AS81" s="41"/>
      <c r="AT81" s="41"/>
      <c r="AU81" s="41"/>
      <c r="AV81" s="41"/>
      <c r="AW81" s="41"/>
      <c r="AX81" s="41"/>
      <c r="AY81" s="41"/>
      <c r="AZ81" s="41"/>
      <c r="BA81" s="41"/>
      <c r="BB81" s="41"/>
      <c r="BC81" s="41"/>
      <c r="BD81" s="37"/>
      <c r="BE81" s="55"/>
      <c r="BF81" s="55"/>
      <c r="BG81" s="55"/>
      <c r="BH81" s="55"/>
    </row>
    <row r="82" spans="1:60" ht="12.95" customHeight="1">
      <c r="A82" s="44">
        <v>46036</v>
      </c>
      <c r="B82" s="45" t="s">
        <v>417</v>
      </c>
      <c r="C82" s="451">
        <f t="shared" ref="C82" si="201">(M82*E82*O82*Q82)/100000000</f>
        <v>53.899560000000001</v>
      </c>
      <c r="D82" s="45" t="s">
        <v>430</v>
      </c>
      <c r="E82" s="46">
        <v>15</v>
      </c>
      <c r="F82" s="46">
        <v>1</v>
      </c>
      <c r="G82" s="506">
        <f>+L82</f>
        <v>1163.3333333333333</v>
      </c>
      <c r="H82" s="48">
        <f t="shared" ref="H82" si="202">+N82</f>
        <v>0.21999999999999997</v>
      </c>
      <c r="I82" s="49">
        <v>0.88</v>
      </c>
      <c r="J82" s="89">
        <f t="shared" ref="J82" si="203">E82*G82*(1-H82)*1440/1000000*2.75</f>
        <v>53.899560000000001</v>
      </c>
      <c r="K82" s="89">
        <f t="shared" ref="K82" si="204">(IF(G82&lt;L82,L82,G82)*(1-IF(H82&lt;N82,H82,N82))*E82*O82*Q82)/100000000</f>
        <v>53.899560000000001</v>
      </c>
      <c r="L82" s="39">
        <v>1163.3333333333333</v>
      </c>
      <c r="M82" s="39">
        <v>907.4</v>
      </c>
      <c r="N82" s="50">
        <f t="shared" ref="N82" si="205">1-(M82/L82)</f>
        <v>0.21999999999999997</v>
      </c>
      <c r="O82" s="51">
        <f>+'Trim Rwd'!H46</f>
        <v>275</v>
      </c>
      <c r="P82" s="52">
        <f t="shared" ref="P82" si="206">O82*(Q82-R82-S82)</f>
        <v>382525</v>
      </c>
      <c r="Q82" s="51">
        <v>1440</v>
      </c>
      <c r="R82" s="507">
        <v>0</v>
      </c>
      <c r="S82" s="507">
        <v>49</v>
      </c>
      <c r="T82" s="41">
        <f t="shared" ref="T82" si="207">E82*M82*O82*Q82/100000000</f>
        <v>53.899560000000001</v>
      </c>
      <c r="U82" s="41">
        <f t="shared" ref="U82" si="208">E82*M82*O82*(Q82-R82-S82)/100000000</f>
        <v>52.065477749999999</v>
      </c>
      <c r="V82" s="41">
        <f t="shared" ref="V82" si="209">E82*G82*(1-N82)*O82/100*(R82+S82)/1000000</f>
        <v>1.83408225</v>
      </c>
      <c r="W82" s="41">
        <f>+'14'!K16/1000</f>
        <v>50.981000000000002</v>
      </c>
      <c r="X82" s="508">
        <f>SUM(W82:W85)/SUM(K82:K85)</f>
        <v>0.94585187708396878</v>
      </c>
      <c r="Y82" s="218">
        <v>0</v>
      </c>
      <c r="Z82" s="41">
        <v>0</v>
      </c>
      <c r="AA82" s="53">
        <f>SUM(U82:U85)-SUM(W82:W85)-SUM(Z82:Z85)-SUM(Y82:Y85)</f>
        <v>1.0844777499999978</v>
      </c>
      <c r="AB82" s="53">
        <f>(SUM(K82:K85)-SUM(W82:W85)-SUM(Y82:Y85)-SUM(Z82:Z85)-SUM(AC82:AC85)-SUM(V82:V85))-AA82</f>
        <v>0</v>
      </c>
      <c r="AC82" s="41">
        <f>K82-T82</f>
        <v>0</v>
      </c>
      <c r="AD82" s="41">
        <f>+AM82+BC82</f>
        <v>1</v>
      </c>
      <c r="AE82" s="237" t="s">
        <v>619</v>
      </c>
      <c r="AF82" s="41">
        <v>1</v>
      </c>
      <c r="AG82" s="41"/>
      <c r="AH82" s="41"/>
      <c r="AI82" s="509"/>
      <c r="AJ82" s="41"/>
      <c r="AK82" s="41"/>
      <c r="AL82" s="41"/>
      <c r="AM82" s="41">
        <f>SUM(AF82:AL82)+AT82</f>
        <v>1</v>
      </c>
      <c r="AN82" s="41"/>
      <c r="AO82" s="41"/>
      <c r="AP82" s="41"/>
      <c r="AQ82" s="41"/>
      <c r="AR82" s="41">
        <f>SUM(AN82:AQ82)</f>
        <v>0</v>
      </c>
      <c r="AS82" s="41"/>
      <c r="AT82" s="41"/>
      <c r="AU82" s="41"/>
      <c r="AV82" s="41"/>
      <c r="AW82" s="41"/>
      <c r="AX82" s="41"/>
      <c r="AY82" s="41"/>
      <c r="AZ82" s="41"/>
      <c r="BA82" s="41"/>
      <c r="BB82" s="41"/>
      <c r="BC82" s="41">
        <f>+AR82+AS82+AU82+AV82+AX82</f>
        <v>0</v>
      </c>
      <c r="BD82" s="37">
        <v>1</v>
      </c>
      <c r="BE82" s="55"/>
      <c r="BF82" s="55"/>
      <c r="BG82" s="37"/>
      <c r="BH82" s="55"/>
    </row>
    <row r="83" spans="1:60" ht="12.95" customHeight="1">
      <c r="A83" s="44"/>
      <c r="B83" s="45"/>
      <c r="C83" s="451"/>
      <c r="D83" s="45"/>
      <c r="E83" s="46"/>
      <c r="F83" s="46"/>
      <c r="G83" s="506"/>
      <c r="H83" s="48"/>
      <c r="I83" s="49"/>
      <c r="J83" s="89"/>
      <c r="K83" s="89"/>
      <c r="L83" s="39"/>
      <c r="M83" s="39"/>
      <c r="N83" s="50"/>
      <c r="O83" s="51"/>
      <c r="P83" s="52"/>
      <c r="Q83" s="51"/>
      <c r="R83" s="507"/>
      <c r="S83" s="507"/>
      <c r="T83" s="41"/>
      <c r="U83" s="41"/>
      <c r="V83" s="41"/>
      <c r="W83" s="41"/>
      <c r="X83" s="42"/>
      <c r="Y83" s="218"/>
      <c r="Z83" s="41"/>
      <c r="AA83" s="41"/>
      <c r="AB83" s="41"/>
      <c r="AC83" s="41">
        <f>K83-T83</f>
        <v>0</v>
      </c>
      <c r="AD83" s="41">
        <f t="shared" ref="AD83:AD85" si="210">+AM83+BC83</f>
        <v>13</v>
      </c>
      <c r="AE83" s="237" t="s">
        <v>640</v>
      </c>
      <c r="AF83" s="41"/>
      <c r="AG83" s="41">
        <v>13</v>
      </c>
      <c r="AH83" s="41"/>
      <c r="AI83" s="509"/>
      <c r="AJ83" s="41"/>
      <c r="AK83" s="41"/>
      <c r="AL83" s="41"/>
      <c r="AM83" s="41">
        <f t="shared" ref="AM83:AM85" si="211">SUM(AF83:AL83)+AT83</f>
        <v>13</v>
      </c>
      <c r="AN83" s="90"/>
      <c r="AO83" s="41"/>
      <c r="AP83" s="41"/>
      <c r="AQ83" s="41"/>
      <c r="AR83" s="41">
        <f t="shared" ref="AR83:AR85" si="212">SUM(AN83:AQ83)</f>
        <v>0</v>
      </c>
      <c r="AS83" s="41"/>
      <c r="AT83" s="41"/>
      <c r="AU83" s="41"/>
      <c r="AV83" s="41"/>
      <c r="AW83" s="41"/>
      <c r="AX83" s="41"/>
      <c r="AY83" s="41"/>
      <c r="AZ83" s="41"/>
      <c r="BA83" s="41"/>
      <c r="BB83" s="41"/>
      <c r="BC83" s="41">
        <f t="shared" ref="BC83:BC85" si="213">+AR83+AS83+AU83+AV83+AX83</f>
        <v>0</v>
      </c>
      <c r="BD83" s="54"/>
      <c r="BE83" s="55">
        <v>10</v>
      </c>
      <c r="BF83" s="55"/>
      <c r="BG83" s="54"/>
      <c r="BH83" s="55"/>
    </row>
    <row r="84" spans="1:60" ht="12.95" customHeight="1">
      <c r="A84" s="44"/>
      <c r="B84" s="45"/>
      <c r="C84" s="451"/>
      <c r="D84" s="45"/>
      <c r="E84" s="46"/>
      <c r="F84" s="46"/>
      <c r="G84" s="47"/>
      <c r="H84" s="48"/>
      <c r="I84" s="49"/>
      <c r="J84" s="89"/>
      <c r="K84" s="89"/>
      <c r="L84" s="39"/>
      <c r="M84" s="39"/>
      <c r="N84" s="50"/>
      <c r="O84" s="51"/>
      <c r="P84" s="52"/>
      <c r="Q84" s="51"/>
      <c r="R84" s="507"/>
      <c r="S84" s="507"/>
      <c r="T84" s="41"/>
      <c r="U84" s="41"/>
      <c r="V84" s="41"/>
      <c r="W84" s="41"/>
      <c r="X84" s="42"/>
      <c r="Y84" s="218"/>
      <c r="Z84" s="41"/>
      <c r="AA84" s="41"/>
      <c r="AB84" s="41"/>
      <c r="AC84" s="41"/>
      <c r="AD84" s="41">
        <f t="shared" si="210"/>
        <v>19</v>
      </c>
      <c r="AE84" s="237" t="s">
        <v>457</v>
      </c>
      <c r="AF84" s="37"/>
      <c r="AG84" s="37"/>
      <c r="AH84" s="37">
        <v>19</v>
      </c>
      <c r="AJ84" s="41"/>
      <c r="AK84" s="41"/>
      <c r="AL84" s="41"/>
      <c r="AM84" s="41">
        <f t="shared" si="211"/>
        <v>19</v>
      </c>
      <c r="AN84" s="41"/>
      <c r="AO84" s="41"/>
      <c r="AP84" s="41"/>
      <c r="AQ84" s="41"/>
      <c r="AR84" s="41">
        <f t="shared" si="212"/>
        <v>0</v>
      </c>
      <c r="AS84" s="41"/>
      <c r="AT84" s="41"/>
      <c r="AU84" s="41"/>
      <c r="AV84" s="41"/>
      <c r="AW84" s="41"/>
      <c r="AX84" s="41"/>
      <c r="AY84" s="41"/>
      <c r="AZ84" s="41"/>
      <c r="BA84" s="41"/>
      <c r="BB84" s="41"/>
      <c r="BC84" s="41">
        <f t="shared" si="213"/>
        <v>0</v>
      </c>
      <c r="BD84" s="37"/>
      <c r="BE84" s="510"/>
      <c r="BF84" s="510"/>
      <c r="BG84" s="37"/>
      <c r="BH84" s="510"/>
    </row>
    <row r="85" spans="1:60" ht="12.95" customHeight="1">
      <c r="A85" s="44"/>
      <c r="B85" s="45"/>
      <c r="C85" s="451"/>
      <c r="D85" s="45"/>
      <c r="E85" s="46"/>
      <c r="F85" s="46"/>
      <c r="G85" s="47"/>
      <c r="H85" s="48"/>
      <c r="I85" s="49"/>
      <c r="J85" s="89"/>
      <c r="K85" s="89"/>
      <c r="L85" s="39"/>
      <c r="M85" s="39"/>
      <c r="N85" s="50"/>
      <c r="O85" s="51"/>
      <c r="P85" s="52"/>
      <c r="Q85" s="38"/>
      <c r="R85" s="507"/>
      <c r="S85" s="507"/>
      <c r="T85" s="41"/>
      <c r="U85" s="41"/>
      <c r="V85" s="41"/>
      <c r="W85" s="41"/>
      <c r="X85" s="42"/>
      <c r="Y85" s="218"/>
      <c r="Z85" s="41"/>
      <c r="AA85" s="41"/>
      <c r="AB85" s="41"/>
      <c r="AC85" s="41"/>
      <c r="AD85" s="41">
        <f t="shared" si="210"/>
        <v>16</v>
      </c>
      <c r="AE85" s="240" t="s">
        <v>225</v>
      </c>
      <c r="AF85" s="41"/>
      <c r="AG85" s="41"/>
      <c r="AH85" s="41"/>
      <c r="AI85" s="509">
        <v>16</v>
      </c>
      <c r="AJ85" s="41"/>
      <c r="AK85" s="41"/>
      <c r="AL85" s="41"/>
      <c r="AM85" s="41">
        <f t="shared" si="211"/>
        <v>16</v>
      </c>
      <c r="AN85" s="41"/>
      <c r="AO85" s="41"/>
      <c r="AP85" s="41"/>
      <c r="AQ85" s="41"/>
      <c r="AR85" s="41">
        <f t="shared" si="212"/>
        <v>0</v>
      </c>
      <c r="AS85" s="41"/>
      <c r="AT85" s="41"/>
      <c r="AU85" s="41"/>
      <c r="AV85" s="41"/>
      <c r="AW85" s="41"/>
      <c r="AX85" s="41"/>
      <c r="AY85" s="41"/>
      <c r="AZ85" s="41"/>
      <c r="BA85" s="41"/>
      <c r="BB85" s="41"/>
      <c r="BC85" s="41">
        <f t="shared" si="213"/>
        <v>0</v>
      </c>
      <c r="BD85" s="54"/>
      <c r="BE85" s="55"/>
      <c r="BF85" s="55"/>
      <c r="BG85" s="54"/>
      <c r="BH85" s="55"/>
    </row>
    <row r="86" spans="1:60" ht="12.95" customHeight="1">
      <c r="A86" s="44"/>
      <c r="B86" s="45"/>
      <c r="C86" s="451"/>
      <c r="D86" s="45"/>
      <c r="E86" s="46"/>
      <c r="F86" s="46"/>
      <c r="G86" s="47"/>
      <c r="H86" s="47"/>
      <c r="I86" s="49"/>
      <c r="J86" s="89"/>
      <c r="K86" s="89"/>
      <c r="L86" s="39"/>
      <c r="M86" s="39"/>
      <c r="N86" s="50"/>
      <c r="O86" s="51"/>
      <c r="P86" s="52"/>
      <c r="Q86" s="51"/>
      <c r="R86" s="507"/>
      <c r="S86" s="507"/>
      <c r="T86" s="41"/>
      <c r="U86" s="41"/>
      <c r="V86" s="41"/>
      <c r="W86" s="41"/>
      <c r="X86" s="508"/>
      <c r="Y86" s="218"/>
      <c r="Z86" s="41"/>
      <c r="AA86" s="53"/>
      <c r="AB86" s="53"/>
      <c r="AC86" s="41"/>
      <c r="AD86" s="41"/>
      <c r="AE86" s="237"/>
      <c r="AF86" s="41"/>
      <c r="AG86" s="41"/>
      <c r="AH86" s="41"/>
      <c r="AI86" s="509"/>
      <c r="AJ86" s="41"/>
      <c r="AK86" s="41"/>
      <c r="AL86" s="41"/>
      <c r="AM86" s="41"/>
      <c r="AN86" s="41"/>
      <c r="AO86" s="41"/>
      <c r="AP86" s="41"/>
      <c r="AQ86" s="41"/>
      <c r="AR86" s="41"/>
      <c r="AS86" s="41"/>
      <c r="AT86" s="41"/>
      <c r="AU86" s="41"/>
      <c r="AV86" s="41"/>
      <c r="AW86" s="41"/>
      <c r="AX86" s="41"/>
      <c r="AY86" s="41"/>
      <c r="AZ86" s="41"/>
      <c r="BA86" s="41"/>
      <c r="BB86" s="41"/>
      <c r="BC86" s="41"/>
      <c r="BD86" s="37"/>
      <c r="BE86" s="55"/>
      <c r="BF86" s="55"/>
      <c r="BG86" s="55"/>
      <c r="BH86" s="55"/>
    </row>
    <row r="87" spans="1:60" ht="12.95" customHeight="1">
      <c r="A87" s="44">
        <v>46037</v>
      </c>
      <c r="B87" s="45" t="s">
        <v>417</v>
      </c>
      <c r="C87" s="451">
        <f t="shared" ref="C87" si="214">(M87*E87*O87*Q87)/100000000</f>
        <v>55.430394591549302</v>
      </c>
      <c r="D87" s="45" t="s">
        <v>430</v>
      </c>
      <c r="E87" s="46">
        <v>15</v>
      </c>
      <c r="F87" s="46">
        <v>1</v>
      </c>
      <c r="G87" s="506">
        <f>+L87</f>
        <v>1170</v>
      </c>
      <c r="H87" s="48">
        <f t="shared" ref="H87" si="215">+N87</f>
        <v>0.19999999999999996</v>
      </c>
      <c r="I87" s="49">
        <v>0.88</v>
      </c>
      <c r="J87" s="89">
        <f t="shared" ref="J87" si="216">E87*G87*(1-H87)*1440/1000000*2.75</f>
        <v>55.598400000000005</v>
      </c>
      <c r="K87" s="89">
        <f t="shared" ref="K87" si="217">(IF(G87&lt;L87,L87,G87)*(1-IF(H87&lt;N87,H87,N87))*E87*O87*Q87)/100000000</f>
        <v>55.430394591549302</v>
      </c>
      <c r="L87" s="39">
        <v>1170</v>
      </c>
      <c r="M87" s="39">
        <v>936</v>
      </c>
      <c r="N87" s="50">
        <f t="shared" ref="N87" si="218">1-(M87/L87)</f>
        <v>0.19999999999999996</v>
      </c>
      <c r="O87" s="51">
        <f>+'Trim Rwd'!H48</f>
        <v>274.16901408450707</v>
      </c>
      <c r="P87" s="52">
        <f t="shared" ref="P87" si="219">O87*(Q87-R87-S87)</f>
        <v>380820.76056338032</v>
      </c>
      <c r="Q87" s="51">
        <v>1440</v>
      </c>
      <c r="R87" s="507">
        <v>0</v>
      </c>
      <c r="S87" s="507">
        <v>51</v>
      </c>
      <c r="T87" s="41">
        <f t="shared" ref="T87" si="220">E87*M87*O87*Q87/100000000</f>
        <v>55.430394591549302</v>
      </c>
      <c r="U87" s="41">
        <f t="shared" ref="U87" si="221">E87*M87*O87*(Q87-R87-S87)/100000000</f>
        <v>53.46723478309859</v>
      </c>
      <c r="V87" s="41">
        <f t="shared" ref="V87" si="222">E87*G87*(1-N87)*O87/100*(R87+S87)/1000000</f>
        <v>1.9631598084507045</v>
      </c>
      <c r="W87" s="41">
        <f>+'15'!K16/1000</f>
        <v>53.661999999999999</v>
      </c>
      <c r="X87" s="508">
        <f>SUM(W87:W90)/SUM(K87:K90)</f>
        <v>0.96809702322020086</v>
      </c>
      <c r="Y87" s="218">
        <v>0</v>
      </c>
      <c r="Z87" s="41">
        <f>+'15'!D34/1000</f>
        <v>0.69</v>
      </c>
      <c r="AA87" s="53">
        <f>SUM(U87:U90)-SUM(W87:W90)-SUM(Z87:Z90)-SUM(Y87:Y90)</f>
        <v>-0.88476521690140908</v>
      </c>
      <c r="AB87" s="53">
        <f>(SUM(K87:K90)-SUM(W87:W90)-SUM(Y87:Y90)-SUM(Z87:Z90)-SUM(AC87:AC90)-SUM(V87:V90))-AA87</f>
        <v>7.3274719625260332E-15</v>
      </c>
      <c r="AC87" s="41">
        <f>K87-T87</f>
        <v>0</v>
      </c>
      <c r="AD87" s="41">
        <f>+AM87+BC87</f>
        <v>0</v>
      </c>
      <c r="AE87" s="237" t="s">
        <v>386</v>
      </c>
      <c r="AF87" s="41">
        <v>0</v>
      </c>
      <c r="AG87" s="41"/>
      <c r="AH87" s="41"/>
      <c r="AI87" s="509"/>
      <c r="AJ87" s="41"/>
      <c r="AK87" s="41"/>
      <c r="AL87" s="41"/>
      <c r="AM87" s="41">
        <f>SUM(AF87:AL87)+AT87</f>
        <v>0</v>
      </c>
      <c r="AN87" s="41"/>
      <c r="AO87" s="41"/>
      <c r="AP87" s="41"/>
      <c r="AQ87" s="41"/>
      <c r="AR87" s="41">
        <f>SUM(AN87:AQ87)</f>
        <v>0</v>
      </c>
      <c r="AS87" s="41"/>
      <c r="AT87" s="41"/>
      <c r="AU87" s="41"/>
      <c r="AV87" s="41"/>
      <c r="AW87" s="41"/>
      <c r="AX87" s="41"/>
      <c r="AY87" s="41"/>
      <c r="AZ87" s="41"/>
      <c r="BA87" s="41"/>
      <c r="BB87" s="41"/>
      <c r="BC87" s="41">
        <f>+AR87+AS87+AU87+AV87+AX87</f>
        <v>0</v>
      </c>
      <c r="BD87" s="37">
        <v>0</v>
      </c>
      <c r="BE87" s="55"/>
      <c r="BF87" s="55"/>
      <c r="BG87" s="37"/>
      <c r="BH87" s="55"/>
    </row>
    <row r="88" spans="1:60" ht="12.95" customHeight="1">
      <c r="A88" s="44"/>
      <c r="B88" s="45"/>
      <c r="C88" s="451"/>
      <c r="D88" s="45"/>
      <c r="E88" s="46"/>
      <c r="F88" s="46"/>
      <c r="G88" s="506"/>
      <c r="H88" s="48"/>
      <c r="I88" s="49"/>
      <c r="J88" s="89"/>
      <c r="K88" s="89"/>
      <c r="L88" s="39"/>
      <c r="M88" s="39"/>
      <c r="N88" s="50"/>
      <c r="O88" s="51"/>
      <c r="P88" s="52"/>
      <c r="Q88" s="51"/>
      <c r="R88" s="507"/>
      <c r="S88" s="507"/>
      <c r="T88" s="41"/>
      <c r="U88" s="41"/>
      <c r="V88" s="41"/>
      <c r="W88" s="41"/>
      <c r="X88" s="42"/>
      <c r="Y88" s="218"/>
      <c r="Z88" s="41"/>
      <c r="AA88" s="41"/>
      <c r="AB88" s="41"/>
      <c r="AC88" s="41">
        <f>K88-T88</f>
        <v>0</v>
      </c>
      <c r="AD88" s="41">
        <f t="shared" ref="AD88:AD90" si="223">+AM88+BC88</f>
        <v>14</v>
      </c>
      <c r="AE88" s="237" t="s">
        <v>651</v>
      </c>
      <c r="AF88" s="41"/>
      <c r="AG88" s="41">
        <v>14</v>
      </c>
      <c r="AH88" s="41"/>
      <c r="AI88" s="509"/>
      <c r="AJ88" s="41"/>
      <c r="AK88" s="41"/>
      <c r="AL88" s="41"/>
      <c r="AM88" s="41">
        <f t="shared" ref="AM88:AM90" si="224">SUM(AF88:AL88)+AT88</f>
        <v>14</v>
      </c>
      <c r="AN88" s="90"/>
      <c r="AO88" s="41"/>
      <c r="AP88" s="41"/>
      <c r="AQ88" s="41"/>
      <c r="AR88" s="41">
        <f t="shared" ref="AR88:AR90" si="225">SUM(AN88:AQ88)</f>
        <v>0</v>
      </c>
      <c r="AS88" s="41"/>
      <c r="AT88" s="41"/>
      <c r="AU88" s="41"/>
      <c r="AV88" s="41"/>
      <c r="AW88" s="41"/>
      <c r="AX88" s="41"/>
      <c r="AY88" s="41"/>
      <c r="AZ88" s="41"/>
      <c r="BA88" s="41"/>
      <c r="BB88" s="41"/>
      <c r="BC88" s="41">
        <f t="shared" ref="BC88:BC90" si="226">+AR88+AS88+AU88+AV88+AX88</f>
        <v>0</v>
      </c>
      <c r="BD88" s="54"/>
      <c r="BE88" s="55">
        <v>13</v>
      </c>
      <c r="BF88" s="55"/>
      <c r="BG88" s="54"/>
      <c r="BH88" s="55"/>
    </row>
    <row r="89" spans="1:60" ht="12.95" customHeight="1">
      <c r="A89" s="44"/>
      <c r="B89" s="45"/>
      <c r="C89" s="451"/>
      <c r="D89" s="45"/>
      <c r="E89" s="46"/>
      <c r="F89" s="46"/>
      <c r="G89" s="47"/>
      <c r="H89" s="48"/>
      <c r="I89" s="49"/>
      <c r="J89" s="89"/>
      <c r="K89" s="89"/>
      <c r="L89" s="39"/>
      <c r="M89" s="39"/>
      <c r="N89" s="50"/>
      <c r="O89" s="51"/>
      <c r="P89" s="52"/>
      <c r="Q89" s="51"/>
      <c r="R89" s="507"/>
      <c r="S89" s="507"/>
      <c r="T89" s="41"/>
      <c r="U89" s="41"/>
      <c r="V89" s="41"/>
      <c r="W89" s="41"/>
      <c r="X89" s="42"/>
      <c r="Y89" s="218"/>
      <c r="Z89" s="41"/>
      <c r="AA89" s="41"/>
      <c r="AB89" s="41"/>
      <c r="AC89" s="41"/>
      <c r="AD89" s="41">
        <f t="shared" si="223"/>
        <v>23</v>
      </c>
      <c r="AE89" s="237" t="s">
        <v>420</v>
      </c>
      <c r="AF89" s="37"/>
      <c r="AG89" s="37"/>
      <c r="AH89" s="37">
        <v>23</v>
      </c>
      <c r="AJ89" s="41"/>
      <c r="AK89" s="41"/>
      <c r="AL89" s="41"/>
      <c r="AM89" s="41">
        <f t="shared" si="224"/>
        <v>23</v>
      </c>
      <c r="AN89" s="41"/>
      <c r="AO89" s="41"/>
      <c r="AP89" s="41"/>
      <c r="AQ89" s="41"/>
      <c r="AR89" s="41">
        <f t="shared" si="225"/>
        <v>0</v>
      </c>
      <c r="AS89" s="41"/>
      <c r="AT89" s="41"/>
      <c r="AU89" s="41"/>
      <c r="AV89" s="41"/>
      <c r="AW89" s="41"/>
      <c r="AX89" s="41"/>
      <c r="AY89" s="41"/>
      <c r="AZ89" s="41"/>
      <c r="BA89" s="41"/>
      <c r="BB89" s="41"/>
      <c r="BC89" s="41">
        <f t="shared" si="226"/>
        <v>0</v>
      </c>
      <c r="BD89" s="37"/>
      <c r="BE89" s="510"/>
      <c r="BF89" s="510"/>
      <c r="BG89" s="37"/>
      <c r="BH89" s="510"/>
    </row>
    <row r="90" spans="1:60" ht="12.95" customHeight="1">
      <c r="A90" s="44"/>
      <c r="B90" s="45"/>
      <c r="C90" s="451"/>
      <c r="D90" s="45"/>
      <c r="E90" s="46"/>
      <c r="F90" s="46"/>
      <c r="G90" s="47"/>
      <c r="H90" s="48"/>
      <c r="I90" s="49"/>
      <c r="J90" s="89"/>
      <c r="K90" s="89"/>
      <c r="L90" s="39"/>
      <c r="M90" s="39"/>
      <c r="N90" s="50"/>
      <c r="O90" s="51"/>
      <c r="P90" s="52"/>
      <c r="Q90" s="38"/>
      <c r="R90" s="507"/>
      <c r="S90" s="507"/>
      <c r="T90" s="41"/>
      <c r="U90" s="41"/>
      <c r="V90" s="41"/>
      <c r="W90" s="41"/>
      <c r="X90" s="42"/>
      <c r="Y90" s="218"/>
      <c r="Z90" s="41"/>
      <c r="AA90" s="41"/>
      <c r="AB90" s="41"/>
      <c r="AC90" s="41"/>
      <c r="AD90" s="41">
        <f t="shared" si="223"/>
        <v>14</v>
      </c>
      <c r="AE90" s="240" t="s">
        <v>225</v>
      </c>
      <c r="AF90" s="41"/>
      <c r="AG90" s="41"/>
      <c r="AH90" s="41"/>
      <c r="AI90" s="509">
        <v>14</v>
      </c>
      <c r="AJ90" s="41"/>
      <c r="AK90" s="41"/>
      <c r="AL90" s="41"/>
      <c r="AM90" s="41">
        <f t="shared" si="224"/>
        <v>14</v>
      </c>
      <c r="AN90" s="41"/>
      <c r="AO90" s="41"/>
      <c r="AP90" s="41"/>
      <c r="AQ90" s="41"/>
      <c r="AR90" s="41">
        <f t="shared" si="225"/>
        <v>0</v>
      </c>
      <c r="AS90" s="41"/>
      <c r="AT90" s="41"/>
      <c r="AU90" s="41"/>
      <c r="AV90" s="41"/>
      <c r="AW90" s="41"/>
      <c r="AX90" s="41"/>
      <c r="AY90" s="41"/>
      <c r="AZ90" s="41"/>
      <c r="BA90" s="41"/>
      <c r="BB90" s="41"/>
      <c r="BC90" s="41">
        <f t="shared" si="226"/>
        <v>0</v>
      </c>
      <c r="BD90" s="54"/>
      <c r="BE90" s="55"/>
      <c r="BF90" s="55"/>
      <c r="BG90" s="54"/>
      <c r="BH90" s="55"/>
    </row>
    <row r="91" spans="1:60" ht="12.95" customHeight="1">
      <c r="A91" s="44"/>
      <c r="B91" s="45"/>
      <c r="C91" s="451"/>
      <c r="D91" s="45"/>
      <c r="E91" s="46"/>
      <c r="F91" s="46"/>
      <c r="G91" s="47"/>
      <c r="H91" s="47"/>
      <c r="I91" s="49"/>
      <c r="J91" s="89"/>
      <c r="K91" s="89"/>
      <c r="L91" s="39"/>
      <c r="M91" s="39"/>
      <c r="N91" s="50"/>
      <c r="O91" s="51"/>
      <c r="P91" s="52"/>
      <c r="Q91" s="51"/>
      <c r="R91" s="507"/>
      <c r="S91" s="507"/>
      <c r="T91" s="41"/>
      <c r="U91" s="41"/>
      <c r="V91" s="41"/>
      <c r="W91" s="41"/>
      <c r="X91" s="42"/>
      <c r="Y91" s="218"/>
      <c r="Z91" s="41"/>
      <c r="AA91" s="41"/>
      <c r="AB91" s="41"/>
      <c r="AC91" s="41"/>
      <c r="AD91" s="41"/>
      <c r="AE91" s="237"/>
      <c r="AF91" s="41"/>
      <c r="AG91" s="41"/>
      <c r="AH91" s="41"/>
      <c r="AI91" s="509"/>
      <c r="AJ91" s="41"/>
      <c r="AK91" s="41"/>
      <c r="AL91" s="41"/>
      <c r="AM91" s="41"/>
      <c r="AN91" s="90"/>
      <c r="AO91" s="41"/>
      <c r="AP91" s="41"/>
      <c r="AQ91" s="41"/>
      <c r="AR91" s="41"/>
      <c r="AS91" s="41"/>
      <c r="AT91" s="41"/>
      <c r="AU91" s="41"/>
      <c r="AV91" s="41"/>
      <c r="AW91" s="41"/>
      <c r="AX91" s="41"/>
      <c r="AY91" s="41"/>
      <c r="AZ91" s="41"/>
      <c r="BA91" s="41"/>
      <c r="BB91" s="41"/>
      <c r="BC91" s="41"/>
      <c r="BD91" s="54"/>
      <c r="BE91" s="55"/>
      <c r="BF91" s="55"/>
      <c r="BG91" s="55"/>
      <c r="BH91" s="55"/>
    </row>
    <row r="92" spans="1:60" ht="12.95" customHeight="1">
      <c r="A92" s="44">
        <v>46038</v>
      </c>
      <c r="B92" s="45" t="s">
        <v>417</v>
      </c>
      <c r="C92" s="451">
        <f t="shared" ref="C92" si="227">(M92*E92*O92*Q92)/100000000</f>
        <v>55.396223999999997</v>
      </c>
      <c r="D92" s="45" t="s">
        <v>430</v>
      </c>
      <c r="E92" s="46">
        <v>15</v>
      </c>
      <c r="F92" s="46">
        <v>1</v>
      </c>
      <c r="G92" s="506">
        <f>+L92</f>
        <v>1170</v>
      </c>
      <c r="H92" s="48">
        <f t="shared" ref="H92" si="228">+N92</f>
        <v>0.19999999999999996</v>
      </c>
      <c r="I92" s="49">
        <v>0.88</v>
      </c>
      <c r="J92" s="89">
        <f t="shared" ref="J92" si="229">E92*G92*(1-H92)*1440/1000000*2.75</f>
        <v>55.598400000000005</v>
      </c>
      <c r="K92" s="89">
        <f t="shared" ref="K92" si="230">(IF(G92&lt;L92,L92,G92)*(1-IF(H92&lt;N92,H92,N92))*E92*O92*Q92)/100000000</f>
        <v>55.396223999999997</v>
      </c>
      <c r="L92" s="39">
        <v>1170</v>
      </c>
      <c r="M92" s="39">
        <v>936</v>
      </c>
      <c r="N92" s="50">
        <f t="shared" ref="N92" si="231">1-(M92/L92)</f>
        <v>0.19999999999999996</v>
      </c>
      <c r="O92" s="51">
        <f>+'Trim Rwd'!H51</f>
        <v>274</v>
      </c>
      <c r="P92" s="52">
        <f t="shared" ref="P92" si="232">O92*(Q92-R92-S92)</f>
        <v>381134</v>
      </c>
      <c r="Q92" s="51">
        <v>1440</v>
      </c>
      <c r="R92" s="507">
        <v>0</v>
      </c>
      <c r="S92" s="507">
        <v>49</v>
      </c>
      <c r="T92" s="41">
        <f t="shared" ref="T92" si="233">E92*M92*O92*Q92/100000000</f>
        <v>55.396223999999997</v>
      </c>
      <c r="U92" s="41">
        <f t="shared" ref="U92" si="234">E92*M92*O92*(Q92-R92-S92)/100000000</f>
        <v>53.511213599999998</v>
      </c>
      <c r="V92" s="41">
        <f t="shared" ref="V92" si="235">E92*G92*(1-N92)*O92/100*(R92+S92)/1000000</f>
        <v>1.8850103999999999</v>
      </c>
      <c r="W92" s="41">
        <f>+'16'!K16/1000</f>
        <v>49.744</v>
      </c>
      <c r="X92" s="508">
        <f>SUM(W92:W95)/SUM(K92:K95)</f>
        <v>0.89796734160075609</v>
      </c>
      <c r="Y92" s="218">
        <v>0</v>
      </c>
      <c r="Z92" s="41">
        <f>+'16'!D34/1000</f>
        <v>0.39</v>
      </c>
      <c r="AA92" s="53">
        <f>SUM(U92:U95)-SUM(W92:W95)-SUM(Z92:Z95)-SUM(Y92:Y95)</f>
        <v>3.3772135999999979</v>
      </c>
      <c r="AB92" s="53">
        <f>(SUM(K92:K95)-SUM(W92:W95)-SUM(Y92:Y95)-SUM(Z92:Z95)-SUM(AC92:AC95)-SUM(V92:V95))-AA92</f>
        <v>0</v>
      </c>
      <c r="AC92" s="41">
        <f>K92-T92</f>
        <v>0</v>
      </c>
      <c r="AD92" s="41">
        <f>+AM92+BC92</f>
        <v>4</v>
      </c>
      <c r="AE92" s="237" t="s">
        <v>394</v>
      </c>
      <c r="AF92" s="41">
        <v>4</v>
      </c>
      <c r="AG92" s="41"/>
      <c r="AH92" s="41"/>
      <c r="AI92" s="509"/>
      <c r="AJ92" s="41"/>
      <c r="AK92" s="41"/>
      <c r="AL92" s="41"/>
      <c r="AM92" s="41">
        <f>SUM(AF92:AL92)+AT92</f>
        <v>4</v>
      </c>
      <c r="AN92" s="41"/>
      <c r="AO92" s="41"/>
      <c r="AP92" s="41"/>
      <c r="AQ92" s="41"/>
      <c r="AR92" s="41">
        <f>SUM(AN92:AQ92)</f>
        <v>0</v>
      </c>
      <c r="AS92" s="41"/>
      <c r="AT92" s="41"/>
      <c r="AU92" s="41"/>
      <c r="AV92" s="41"/>
      <c r="AW92" s="41"/>
      <c r="AX92" s="41"/>
      <c r="AY92" s="41"/>
      <c r="AZ92" s="41"/>
      <c r="BA92" s="41"/>
      <c r="BB92" s="41"/>
      <c r="BC92" s="41">
        <f>+AR92+AS92+AU92+AV92+AX92</f>
        <v>0</v>
      </c>
      <c r="BD92" s="37">
        <v>2</v>
      </c>
      <c r="BE92" s="55"/>
      <c r="BF92" s="55"/>
      <c r="BG92" s="37"/>
      <c r="BH92" s="55"/>
    </row>
    <row r="93" spans="1:60" ht="12.95" customHeight="1">
      <c r="A93" s="44"/>
      <c r="B93" s="45"/>
      <c r="C93" s="451"/>
      <c r="D93" s="45"/>
      <c r="E93" s="46"/>
      <c r="F93" s="46"/>
      <c r="G93" s="506"/>
      <c r="H93" s="48"/>
      <c r="I93" s="49"/>
      <c r="J93" s="89"/>
      <c r="K93" s="89"/>
      <c r="L93" s="39"/>
      <c r="M93" s="39"/>
      <c r="N93" s="50"/>
      <c r="O93" s="51"/>
      <c r="P93" s="52"/>
      <c r="Q93" s="51"/>
      <c r="R93" s="507"/>
      <c r="S93" s="507"/>
      <c r="T93" s="41"/>
      <c r="U93" s="41"/>
      <c r="V93" s="41"/>
      <c r="W93" s="41"/>
      <c r="X93" s="42"/>
      <c r="Y93" s="218"/>
      <c r="Z93" s="41"/>
      <c r="AA93" s="41"/>
      <c r="AB93" s="41"/>
      <c r="AC93" s="41">
        <f>K93-T93</f>
        <v>0</v>
      </c>
      <c r="AD93" s="41">
        <f t="shared" ref="AD93:AD95" si="236">+AM93+BC93</f>
        <v>11</v>
      </c>
      <c r="AE93" s="237" t="s">
        <v>570</v>
      </c>
      <c r="AF93" s="41"/>
      <c r="AG93" s="41">
        <v>11</v>
      </c>
      <c r="AH93" s="41"/>
      <c r="AI93" s="509"/>
      <c r="AJ93" s="41"/>
      <c r="AK93" s="41"/>
      <c r="AL93" s="41"/>
      <c r="AM93" s="41">
        <f t="shared" ref="AM93:AM95" si="237">SUM(AF93:AL93)+AT93</f>
        <v>11</v>
      </c>
      <c r="AN93" s="90"/>
      <c r="AO93" s="41"/>
      <c r="AP93" s="41"/>
      <c r="AQ93" s="41"/>
      <c r="AR93" s="41">
        <f t="shared" ref="AR93:AR95" si="238">SUM(AN93:AQ93)</f>
        <v>0</v>
      </c>
      <c r="AS93" s="41"/>
      <c r="AT93" s="41"/>
      <c r="AU93" s="41"/>
      <c r="AV93" s="41"/>
      <c r="AW93" s="41"/>
      <c r="AX93" s="41"/>
      <c r="AY93" s="41"/>
      <c r="AZ93" s="41"/>
      <c r="BA93" s="41"/>
      <c r="BB93" s="41"/>
      <c r="BC93" s="41">
        <f t="shared" ref="BC93:BC95" si="239">+AR93+AS93+AU93+AV93+AX93</f>
        <v>0</v>
      </c>
      <c r="BD93" s="54"/>
      <c r="BE93" s="55">
        <v>9</v>
      </c>
      <c r="BF93" s="55"/>
      <c r="BG93" s="54"/>
      <c r="BH93" s="55"/>
    </row>
    <row r="94" spans="1:60" ht="12.95" customHeight="1">
      <c r="A94" s="44"/>
      <c r="B94" s="45"/>
      <c r="C94" s="451"/>
      <c r="D94" s="45"/>
      <c r="E94" s="46"/>
      <c r="F94" s="46"/>
      <c r="G94" s="47"/>
      <c r="H94" s="48"/>
      <c r="I94" s="49"/>
      <c r="J94" s="89"/>
      <c r="K94" s="89"/>
      <c r="L94" s="39"/>
      <c r="M94" s="39"/>
      <c r="N94" s="50"/>
      <c r="O94" s="51"/>
      <c r="P94" s="52"/>
      <c r="Q94" s="51"/>
      <c r="R94" s="507"/>
      <c r="S94" s="507"/>
      <c r="T94" s="41"/>
      <c r="U94" s="41"/>
      <c r="V94" s="41"/>
      <c r="W94" s="41"/>
      <c r="X94" s="42"/>
      <c r="Y94" s="218"/>
      <c r="Z94" s="41"/>
      <c r="AA94" s="41"/>
      <c r="AB94" s="41"/>
      <c r="AC94" s="41"/>
      <c r="AD94" s="41">
        <f t="shared" si="236"/>
        <v>20</v>
      </c>
      <c r="AE94" s="237" t="s">
        <v>457</v>
      </c>
      <c r="AF94" s="37"/>
      <c r="AG94" s="37"/>
      <c r="AH94" s="37">
        <v>20</v>
      </c>
      <c r="AJ94" s="41"/>
      <c r="AK94" s="41"/>
      <c r="AL94" s="41"/>
      <c r="AM94" s="41">
        <f t="shared" si="237"/>
        <v>20</v>
      </c>
      <c r="AN94" s="41"/>
      <c r="AO94" s="41"/>
      <c r="AP94" s="41"/>
      <c r="AQ94" s="41"/>
      <c r="AR94" s="41">
        <f t="shared" si="238"/>
        <v>0</v>
      </c>
      <c r="AS94" s="41"/>
      <c r="AT94" s="41"/>
      <c r="AU94" s="41"/>
      <c r="AV94" s="41"/>
      <c r="AW94" s="41"/>
      <c r="AX94" s="41"/>
      <c r="AY94" s="41"/>
      <c r="AZ94" s="41"/>
      <c r="BA94" s="41"/>
      <c r="BB94" s="41"/>
      <c r="BC94" s="41">
        <f t="shared" si="239"/>
        <v>0</v>
      </c>
      <c r="BD94" s="37"/>
      <c r="BE94" s="510"/>
      <c r="BF94" s="510"/>
      <c r="BG94" s="37"/>
      <c r="BH94" s="510"/>
    </row>
    <row r="95" spans="1:60" ht="12.95" customHeight="1">
      <c r="A95" s="44"/>
      <c r="B95" s="45"/>
      <c r="C95" s="451"/>
      <c r="D95" s="45"/>
      <c r="E95" s="46"/>
      <c r="F95" s="46"/>
      <c r="G95" s="47"/>
      <c r="H95" s="48"/>
      <c r="I95" s="49"/>
      <c r="J95" s="89"/>
      <c r="K95" s="89"/>
      <c r="L95" s="39"/>
      <c r="M95" s="39"/>
      <c r="N95" s="50"/>
      <c r="O95" s="51"/>
      <c r="P95" s="52"/>
      <c r="Q95" s="38"/>
      <c r="R95" s="507"/>
      <c r="S95" s="507"/>
      <c r="T95" s="41"/>
      <c r="U95" s="41"/>
      <c r="V95" s="41"/>
      <c r="W95" s="41"/>
      <c r="X95" s="42"/>
      <c r="Y95" s="218"/>
      <c r="Z95" s="41"/>
      <c r="AA95" s="41"/>
      <c r="AB95" s="41"/>
      <c r="AC95" s="41"/>
      <c r="AD95" s="41">
        <f t="shared" si="236"/>
        <v>14</v>
      </c>
      <c r="AE95" s="240" t="s">
        <v>225</v>
      </c>
      <c r="AF95" s="41"/>
      <c r="AG95" s="41"/>
      <c r="AH95" s="41"/>
      <c r="AI95" s="509">
        <v>14</v>
      </c>
      <c r="AJ95" s="41"/>
      <c r="AK95" s="41"/>
      <c r="AL95" s="41"/>
      <c r="AM95" s="41">
        <f t="shared" si="237"/>
        <v>14</v>
      </c>
      <c r="AN95" s="41"/>
      <c r="AO95" s="41"/>
      <c r="AP95" s="41"/>
      <c r="AQ95" s="41"/>
      <c r="AR95" s="41">
        <f t="shared" si="238"/>
        <v>0</v>
      </c>
      <c r="AS95" s="41"/>
      <c r="AT95" s="41"/>
      <c r="AU95" s="41"/>
      <c r="AV95" s="41"/>
      <c r="AW95" s="41"/>
      <c r="AX95" s="41"/>
      <c r="AY95" s="41"/>
      <c r="AZ95" s="41"/>
      <c r="BA95" s="41"/>
      <c r="BB95" s="41"/>
      <c r="BC95" s="41">
        <f t="shared" si="239"/>
        <v>0</v>
      </c>
      <c r="BD95" s="54"/>
      <c r="BE95" s="55"/>
      <c r="BF95" s="55"/>
      <c r="BG95" s="54"/>
      <c r="BH95" s="55"/>
    </row>
    <row r="96" spans="1:60" ht="12.95" customHeight="1">
      <c r="A96" s="44"/>
      <c r="B96" s="45"/>
      <c r="C96" s="451"/>
      <c r="D96" s="45"/>
      <c r="E96" s="46"/>
      <c r="F96" s="46"/>
      <c r="G96" s="47"/>
      <c r="H96" s="47"/>
      <c r="I96" s="49"/>
      <c r="J96" s="89"/>
      <c r="K96" s="89"/>
      <c r="L96" s="39"/>
      <c r="M96" s="39"/>
      <c r="N96" s="50"/>
      <c r="O96" s="51"/>
      <c r="P96" s="52"/>
      <c r="Q96" s="51"/>
      <c r="R96" s="507"/>
      <c r="S96" s="507"/>
      <c r="T96" s="41"/>
      <c r="U96" s="41"/>
      <c r="V96" s="41"/>
      <c r="W96" s="41"/>
      <c r="X96" s="42"/>
      <c r="Y96" s="218"/>
      <c r="Z96" s="41"/>
      <c r="AA96" s="41"/>
      <c r="AB96" s="41"/>
      <c r="AC96" s="41"/>
      <c r="AD96" s="41"/>
      <c r="AE96" s="237"/>
      <c r="AF96" s="41"/>
      <c r="AG96" s="41"/>
      <c r="AH96" s="41"/>
      <c r="AI96" s="509"/>
      <c r="AJ96" s="41"/>
      <c r="AK96" s="41"/>
      <c r="AL96" s="41"/>
      <c r="AM96" s="41"/>
      <c r="AN96" s="90"/>
      <c r="AO96" s="41"/>
      <c r="AP96" s="41"/>
      <c r="AQ96" s="41"/>
      <c r="AR96" s="41"/>
      <c r="AS96" s="41"/>
      <c r="AT96" s="41"/>
      <c r="AU96" s="41"/>
      <c r="AV96" s="41"/>
      <c r="AW96" s="41"/>
      <c r="AX96" s="41"/>
      <c r="AY96" s="41"/>
      <c r="AZ96" s="41"/>
      <c r="BA96" s="41"/>
      <c r="BB96" s="41"/>
      <c r="BC96" s="41"/>
      <c r="BD96" s="54"/>
      <c r="BE96" s="55"/>
      <c r="BF96" s="55"/>
      <c r="BG96" s="55"/>
      <c r="BH96" s="55"/>
    </row>
    <row r="97" spans="1:60" ht="12.95" customHeight="1">
      <c r="A97" s="44">
        <v>46039</v>
      </c>
      <c r="B97" s="45" t="s">
        <v>417</v>
      </c>
      <c r="C97" s="451">
        <f t="shared" ref="C97" si="240">(M97*E97*O97*Q97)/100000000</f>
        <v>12.732454799999998</v>
      </c>
      <c r="D97" s="45" t="s">
        <v>430</v>
      </c>
      <c r="E97" s="46">
        <v>15</v>
      </c>
      <c r="F97" s="46">
        <v>1</v>
      </c>
      <c r="G97" s="506">
        <f>+L97</f>
        <v>1170</v>
      </c>
      <c r="H97" s="48">
        <f t="shared" ref="H97" si="241">+N97</f>
        <v>0.19999999999999996</v>
      </c>
      <c r="I97" s="49">
        <v>0.88</v>
      </c>
      <c r="J97" s="89">
        <f t="shared" ref="J97" si="242">E97*G97*(1-H97)*1440/1000000*2.75</f>
        <v>55.598400000000005</v>
      </c>
      <c r="K97" s="89">
        <f t="shared" ref="K97" si="243">(IF(G97&lt;L97,L97,G97)*(1-IF(H97&lt;N97,H97,N97))*E97*O97*Q97)/100000000</f>
        <v>12.732454799999998</v>
      </c>
      <c r="L97" s="39">
        <v>1170</v>
      </c>
      <c r="M97" s="39">
        <v>936</v>
      </c>
      <c r="N97" s="50">
        <f t="shared" ref="N97" si="244">1-(M97/L97)</f>
        <v>0.19999999999999996</v>
      </c>
      <c r="O97" s="51">
        <f>+'Trim Rwd'!H53</f>
        <v>272.33333333333331</v>
      </c>
      <c r="P97" s="52">
        <f t="shared" ref="P97" si="245">O97*(Q97-R97-S97)</f>
        <v>87963.666666666657</v>
      </c>
      <c r="Q97" s="51">
        <v>333</v>
      </c>
      <c r="R97" s="507">
        <v>0</v>
      </c>
      <c r="S97" s="507">
        <v>10</v>
      </c>
      <c r="T97" s="41">
        <f t="shared" ref="T97" si="246">E97*M97*O97*Q97/100000000</f>
        <v>12.732454799999998</v>
      </c>
      <c r="U97" s="41">
        <f t="shared" ref="U97" si="247">E97*M97*O97*(Q97-R97-S97)/100000000</f>
        <v>12.350098799999998</v>
      </c>
      <c r="V97" s="41">
        <f t="shared" ref="V97" si="248">E97*G97*(1-N97)*O97/100*(R97+S97)/1000000</f>
        <v>0.38235599999999997</v>
      </c>
      <c r="W97" s="41">
        <f>+'17'!K16/1000</f>
        <v>17.858000000000001</v>
      </c>
      <c r="X97" s="508">
        <f>SUM(W97:W100)/SUM(K97:K100)</f>
        <v>0.9300051344179695</v>
      </c>
      <c r="Y97" s="218">
        <v>0</v>
      </c>
      <c r="Z97" s="41">
        <v>0</v>
      </c>
      <c r="AA97" s="53">
        <f>SUM(U97:U100)-SUM(W97:W100)-SUM(Z97:Z100)-SUM(Y97:Y100)</f>
        <v>-2.2998222269951754</v>
      </c>
      <c r="AB97" s="53">
        <f>(SUM(K97:K100)-SUM(W97:W100)-SUM(Y97:Y100)-SUM(Z97:Z100)-SUM(AC97:AC100)-SUM(V97:V100))-AA97</f>
        <v>0.12727680107468586</v>
      </c>
      <c r="AC97" s="41">
        <f>K97-T97</f>
        <v>0</v>
      </c>
      <c r="AD97" s="41">
        <f>+AM97+BC97</f>
        <v>4</v>
      </c>
      <c r="AE97" s="237" t="s">
        <v>394</v>
      </c>
      <c r="AF97" s="41">
        <v>4</v>
      </c>
      <c r="AG97" s="41"/>
      <c r="AH97" s="41"/>
      <c r="AI97" s="509"/>
      <c r="AJ97" s="41"/>
      <c r="AK97" s="41"/>
      <c r="AL97" s="41"/>
      <c r="AM97" s="41">
        <f>SUM(AF97:AL97)+AT97</f>
        <v>4</v>
      </c>
      <c r="AN97" s="41"/>
      <c r="AO97" s="41"/>
      <c r="AP97" s="41"/>
      <c r="AQ97" s="41"/>
      <c r="AR97" s="41">
        <f>SUM(AN97:AQ97)</f>
        <v>0</v>
      </c>
      <c r="AS97" s="41"/>
      <c r="AT97" s="41"/>
      <c r="AU97" s="41"/>
      <c r="AV97" s="41"/>
      <c r="AW97" s="41"/>
      <c r="AX97" s="41"/>
      <c r="AY97" s="41"/>
      <c r="AZ97" s="41"/>
      <c r="BA97" s="41"/>
      <c r="BB97" s="41"/>
      <c r="BC97" s="41">
        <f>+AR97+AS97+AU97+AV97+AX97</f>
        <v>0</v>
      </c>
      <c r="BD97" s="37">
        <v>2</v>
      </c>
      <c r="BE97" s="55"/>
      <c r="BF97" s="55"/>
      <c r="BG97" s="37"/>
      <c r="BH97" s="55"/>
    </row>
    <row r="98" spans="1:60" ht="12.95" customHeight="1">
      <c r="A98" s="44"/>
      <c r="B98" s="45" t="s">
        <v>417</v>
      </c>
      <c r="C98" s="451">
        <f t="shared" ref="C98:C99" si="249">(M98*E98*O98*Q98)/100000000</f>
        <v>20.146567108695653</v>
      </c>
      <c r="D98" s="45" t="s">
        <v>430</v>
      </c>
      <c r="E98" s="46">
        <v>18</v>
      </c>
      <c r="F98" s="46">
        <v>1</v>
      </c>
      <c r="G98" s="506">
        <v>930</v>
      </c>
      <c r="H98" s="48">
        <f t="shared" ref="H98:H99" si="250">+N98</f>
        <v>0.16928953399541635</v>
      </c>
      <c r="I98" s="49">
        <v>0.88</v>
      </c>
      <c r="J98" s="89">
        <f t="shared" ref="J98:J99" si="251">E98*G98*(1-H98)*1440/1000000*2.75</f>
        <v>55.068129075630246</v>
      </c>
      <c r="K98" s="89">
        <f t="shared" ref="K98:K99" si="252">(IF(G98&lt;L98,L98,G98)*(1-IF(H98&lt;N98,H98,N98))*E98*O98*Q98)/100000000</f>
        <v>20.146567108695653</v>
      </c>
      <c r="L98" s="39">
        <v>948.55072463768113</v>
      </c>
      <c r="M98" s="39">
        <v>787.97101449275362</v>
      </c>
      <c r="N98" s="50">
        <f t="shared" ref="N98:N99" si="253">1-(M98/L98)</f>
        <v>0.16928953399541635</v>
      </c>
      <c r="O98" s="51">
        <f>+'Trim Rwd'!H55</f>
        <v>267.5</v>
      </c>
      <c r="P98" s="52">
        <f t="shared" ref="P98:P99" si="254">O98*(Q98-R98-S98)</f>
        <v>106732.5</v>
      </c>
      <c r="Q98" s="51">
        <f>414+117</f>
        <v>531</v>
      </c>
      <c r="R98" s="507">
        <v>117</v>
      </c>
      <c r="S98" s="507">
        <v>15</v>
      </c>
      <c r="T98" s="41">
        <f t="shared" ref="T98:T99" si="255">E98*M98*O98*Q98/100000000</f>
        <v>20.146567108695653</v>
      </c>
      <c r="U98" s="41">
        <f t="shared" ref="U98:U99" si="256">E98*M98*O98*(Q98-R98-S98)/100000000</f>
        <v>15.13838093478261</v>
      </c>
      <c r="V98" s="41">
        <f t="shared" ref="V98:V99" si="257">E98*G98*(1-N98)*O98/100*(R98+S98)/1000000</f>
        <v>4.910241509243698</v>
      </c>
      <c r="W98" s="41">
        <f>+'17'!K19/1000</f>
        <v>32.713000000000001</v>
      </c>
      <c r="X98" s="42"/>
      <c r="Y98" s="218"/>
      <c r="Z98" s="41"/>
      <c r="AA98" s="41"/>
      <c r="AB98" s="41"/>
      <c r="AC98" s="41">
        <f>K98-T98</f>
        <v>0</v>
      </c>
      <c r="AD98" s="41">
        <f t="shared" ref="AD98:AD100" si="258">+AM98+BC98</f>
        <v>14</v>
      </c>
      <c r="AE98" s="237" t="s">
        <v>438</v>
      </c>
      <c r="AF98" s="41"/>
      <c r="AG98" s="41">
        <v>14</v>
      </c>
      <c r="AH98" s="41"/>
      <c r="AI98" s="509"/>
      <c r="AJ98" s="41"/>
      <c r="AK98" s="41"/>
      <c r="AL98" s="41"/>
      <c r="AM98" s="41">
        <f t="shared" ref="AM98:AM100" si="259">SUM(AF98:AL98)+AT98</f>
        <v>14</v>
      </c>
      <c r="AN98" s="90"/>
      <c r="AO98" s="41"/>
      <c r="AP98" s="41"/>
      <c r="AQ98" s="41"/>
      <c r="AR98" s="41">
        <f t="shared" ref="AR98:AR100" si="260">SUM(AN98:AQ98)</f>
        <v>0</v>
      </c>
      <c r="AS98" s="41"/>
      <c r="AT98" s="41"/>
      <c r="AU98" s="41"/>
      <c r="AV98" s="41"/>
      <c r="AW98" s="41"/>
      <c r="AX98" s="41"/>
      <c r="AY98" s="41"/>
      <c r="AZ98" s="41"/>
      <c r="BA98" s="41"/>
      <c r="BB98" s="41"/>
      <c r="BC98" s="41">
        <f t="shared" ref="BC98:BC100" si="261">+AR98+AS98+AU98+AV98+AX98</f>
        <v>0</v>
      </c>
      <c r="BD98" s="54"/>
      <c r="BE98" s="55">
        <v>8</v>
      </c>
      <c r="BF98" s="55"/>
      <c r="BG98" s="54"/>
      <c r="BH98" s="55"/>
    </row>
    <row r="99" spans="1:60" ht="12.95" customHeight="1">
      <c r="A99" s="44"/>
      <c r="B99" s="45" t="s">
        <v>417</v>
      </c>
      <c r="C99" s="451">
        <f t="shared" si="249"/>
        <v>22.378737535999999</v>
      </c>
      <c r="D99" s="45" t="s">
        <v>430</v>
      </c>
      <c r="E99" s="46">
        <v>16</v>
      </c>
      <c r="F99" s="46">
        <v>1</v>
      </c>
      <c r="G99" s="506">
        <v>1040</v>
      </c>
      <c r="H99" s="48">
        <f t="shared" si="250"/>
        <v>0.16167282423619367</v>
      </c>
      <c r="I99" s="49">
        <v>0.88</v>
      </c>
      <c r="J99" s="89">
        <f t="shared" si="251"/>
        <v>55.241066250650569</v>
      </c>
      <c r="K99" s="89">
        <f t="shared" si="252"/>
        <v>22.378737535999999</v>
      </c>
      <c r="L99" s="39">
        <v>1080.7986111111111</v>
      </c>
      <c r="M99" s="39">
        <v>906.06284722222222</v>
      </c>
      <c r="N99" s="50">
        <f t="shared" si="253"/>
        <v>0.16167282423619367</v>
      </c>
      <c r="O99" s="51">
        <f>+'Trim Rwd'!H56</f>
        <v>268</v>
      </c>
      <c r="P99" s="52">
        <f t="shared" si="254"/>
        <v>149008</v>
      </c>
      <c r="Q99" s="51">
        <v>576</v>
      </c>
      <c r="R99" s="507">
        <v>0</v>
      </c>
      <c r="S99" s="507">
        <v>20</v>
      </c>
      <c r="T99" s="41">
        <f t="shared" si="255"/>
        <v>22.378737535999999</v>
      </c>
      <c r="U99" s="41">
        <f t="shared" si="256"/>
        <v>21.601698038222221</v>
      </c>
      <c r="V99" s="41">
        <f t="shared" si="257"/>
        <v>0.74770736137244198</v>
      </c>
      <c r="W99" s="41">
        <f>+'17'!K18/1000</f>
        <v>0.81899999999999995</v>
      </c>
      <c r="X99" s="42"/>
      <c r="Y99" s="218"/>
      <c r="Z99" s="41"/>
      <c r="AA99" s="41"/>
      <c r="AB99" s="41"/>
      <c r="AC99" s="41"/>
      <c r="AD99" s="41">
        <f t="shared" si="258"/>
        <v>19</v>
      </c>
      <c r="AE99" s="237" t="s">
        <v>457</v>
      </c>
      <c r="AF99" s="37"/>
      <c r="AG99" s="37"/>
      <c r="AH99" s="37">
        <v>19</v>
      </c>
      <c r="AJ99" s="41"/>
      <c r="AK99" s="41"/>
      <c r="AL99" s="41"/>
      <c r="AM99" s="41">
        <f t="shared" si="259"/>
        <v>19</v>
      </c>
      <c r="AN99" s="41"/>
      <c r="AO99" s="41"/>
      <c r="AP99" s="41"/>
      <c r="AQ99" s="41"/>
      <c r="AR99" s="41">
        <f t="shared" si="260"/>
        <v>0</v>
      </c>
      <c r="AS99" s="41"/>
      <c r="AT99" s="41"/>
      <c r="AU99" s="41"/>
      <c r="AV99" s="41"/>
      <c r="AW99" s="41"/>
      <c r="AX99" s="41"/>
      <c r="AY99" s="41"/>
      <c r="AZ99" s="41"/>
      <c r="BA99" s="41"/>
      <c r="BB99" s="41"/>
      <c r="BC99" s="41">
        <f t="shared" si="261"/>
        <v>0</v>
      </c>
      <c r="BD99" s="37"/>
      <c r="BE99" s="510"/>
      <c r="BF99" s="510"/>
      <c r="BG99" s="37"/>
      <c r="BH99" s="510"/>
    </row>
    <row r="100" spans="1:60" ht="12.95" customHeight="1">
      <c r="A100" s="44"/>
      <c r="B100" s="45"/>
      <c r="C100" s="451"/>
      <c r="D100" s="45"/>
      <c r="E100" s="46"/>
      <c r="F100" s="46"/>
      <c r="G100" s="47"/>
      <c r="H100" s="48"/>
      <c r="I100" s="49"/>
      <c r="J100" s="89"/>
      <c r="K100" s="89"/>
      <c r="L100" s="39"/>
      <c r="M100" s="39"/>
      <c r="N100" s="50"/>
      <c r="O100" s="51"/>
      <c r="P100" s="52"/>
      <c r="Q100" s="38"/>
      <c r="R100" s="507"/>
      <c r="S100" s="507"/>
      <c r="T100" s="41"/>
      <c r="U100" s="41"/>
      <c r="V100" s="41"/>
      <c r="W100" s="41"/>
      <c r="X100" s="42"/>
      <c r="Y100" s="218"/>
      <c r="Z100" s="41"/>
      <c r="AA100" s="41"/>
      <c r="AB100" s="41"/>
      <c r="AC100" s="41"/>
      <c r="AD100" s="41">
        <f t="shared" si="258"/>
        <v>8</v>
      </c>
      <c r="AE100" s="240" t="s">
        <v>225</v>
      </c>
      <c r="AF100" s="41"/>
      <c r="AG100" s="41"/>
      <c r="AH100" s="41"/>
      <c r="AI100" s="509">
        <v>8</v>
      </c>
      <c r="AJ100" s="41"/>
      <c r="AK100" s="41"/>
      <c r="AL100" s="41"/>
      <c r="AM100" s="41">
        <f t="shared" si="259"/>
        <v>8</v>
      </c>
      <c r="AN100" s="41"/>
      <c r="AO100" s="41"/>
      <c r="AP100" s="41"/>
      <c r="AQ100" s="41"/>
      <c r="AR100" s="41">
        <f t="shared" si="260"/>
        <v>0</v>
      </c>
      <c r="AS100" s="41"/>
      <c r="AT100" s="41"/>
      <c r="AU100" s="41"/>
      <c r="AV100" s="41"/>
      <c r="AW100" s="41"/>
      <c r="AX100" s="41"/>
      <c r="AY100" s="41"/>
      <c r="AZ100" s="41"/>
      <c r="BA100" s="41"/>
      <c r="BB100" s="41"/>
      <c r="BC100" s="41">
        <f t="shared" si="261"/>
        <v>0</v>
      </c>
      <c r="BD100" s="54"/>
      <c r="BE100" s="55"/>
      <c r="BF100" s="55"/>
      <c r="BG100" s="54"/>
      <c r="BH100" s="55"/>
    </row>
    <row r="101" spans="1:60" ht="12.95" customHeight="1">
      <c r="A101" s="44"/>
      <c r="B101" s="45"/>
      <c r="C101" s="451"/>
      <c r="D101" s="45"/>
      <c r="E101" s="46"/>
      <c r="F101" s="46"/>
      <c r="G101" s="47"/>
      <c r="H101" s="48"/>
      <c r="I101" s="49"/>
      <c r="J101" s="89"/>
      <c r="K101" s="89"/>
      <c r="L101" s="39"/>
      <c r="M101" s="39"/>
      <c r="N101" s="50"/>
      <c r="O101" s="51"/>
      <c r="P101" s="52"/>
      <c r="Q101" s="38"/>
      <c r="R101" s="507"/>
      <c r="S101" s="507"/>
      <c r="T101" s="41"/>
      <c r="U101" s="41"/>
      <c r="V101" s="41"/>
      <c r="W101" s="41"/>
      <c r="X101" s="42"/>
      <c r="Y101" s="218"/>
      <c r="Z101" s="41"/>
      <c r="AA101" s="41"/>
      <c r="AB101" s="41"/>
      <c r="AC101" s="41"/>
      <c r="AD101" s="41">
        <f t="shared" ref="AD101" si="262">+AM101+BC101</f>
        <v>117</v>
      </c>
      <c r="AE101" s="240" t="s">
        <v>673</v>
      </c>
      <c r="AF101" s="41"/>
      <c r="AG101" s="41"/>
      <c r="AH101" s="41"/>
      <c r="AI101" s="509"/>
      <c r="AJ101" s="41"/>
      <c r="AK101" s="41"/>
      <c r="AL101" s="41"/>
      <c r="AM101" s="41">
        <f t="shared" ref="AM101" si="263">SUM(AF101:AL101)+AT101</f>
        <v>0</v>
      </c>
      <c r="AN101" s="41"/>
      <c r="AO101" s="41"/>
      <c r="AP101" s="41">
        <v>117</v>
      </c>
      <c r="AQ101" s="41"/>
      <c r="AR101" s="41">
        <f t="shared" ref="AR101" si="264">SUM(AN101:AQ101)</f>
        <v>117</v>
      </c>
      <c r="AS101" s="41"/>
      <c r="AT101" s="41"/>
      <c r="AU101" s="41"/>
      <c r="AV101" s="41"/>
      <c r="AW101" s="41"/>
      <c r="AX101" s="41"/>
      <c r="AY101" s="41"/>
      <c r="AZ101" s="41"/>
      <c r="BA101" s="41"/>
      <c r="BB101" s="41"/>
      <c r="BC101" s="41">
        <f t="shared" ref="BC101" si="265">+AR101+AS101+AU101+AV101+AX101</f>
        <v>117</v>
      </c>
      <c r="BD101" s="54"/>
      <c r="BE101" s="55"/>
      <c r="BF101" s="55"/>
      <c r="BG101" s="54"/>
      <c r="BH101" s="55"/>
    </row>
    <row r="102" spans="1:60" ht="12.95" customHeight="1">
      <c r="A102" s="44"/>
      <c r="B102" s="45"/>
      <c r="C102" s="451"/>
      <c r="D102" s="45"/>
      <c r="E102" s="46"/>
      <c r="F102" s="46"/>
      <c r="G102" s="47"/>
      <c r="H102" s="47"/>
      <c r="I102" s="49"/>
      <c r="J102" s="89"/>
      <c r="K102" s="89"/>
      <c r="L102" s="39"/>
      <c r="M102" s="39"/>
      <c r="N102" s="50"/>
      <c r="O102" s="51"/>
      <c r="P102" s="52"/>
      <c r="Q102" s="51"/>
      <c r="R102" s="507"/>
      <c r="S102" s="507"/>
      <c r="T102" s="41"/>
      <c r="U102" s="41"/>
      <c r="V102" s="41"/>
      <c r="W102" s="41"/>
      <c r="X102" s="508"/>
      <c r="Y102" s="218"/>
      <c r="Z102" s="41"/>
      <c r="AA102" s="53"/>
      <c r="AB102" s="53"/>
      <c r="AC102" s="41"/>
      <c r="AD102" s="41"/>
      <c r="AE102" s="237"/>
      <c r="AF102" s="41"/>
      <c r="AG102" s="41"/>
      <c r="AH102" s="41"/>
      <c r="AI102" s="509"/>
      <c r="AJ102" s="41"/>
      <c r="AK102" s="41"/>
      <c r="AL102" s="41"/>
      <c r="AM102" s="41"/>
      <c r="AN102" s="41"/>
      <c r="AO102" s="41"/>
      <c r="AP102" s="41"/>
      <c r="AQ102" s="41"/>
      <c r="AR102" s="41"/>
      <c r="AS102" s="41"/>
      <c r="AT102" s="41"/>
      <c r="AU102" s="41"/>
      <c r="AV102" s="41"/>
      <c r="AW102" s="41"/>
      <c r="AX102" s="41"/>
      <c r="AY102" s="41"/>
      <c r="AZ102" s="41"/>
      <c r="BA102" s="41"/>
      <c r="BB102" s="41"/>
      <c r="BC102" s="41"/>
      <c r="BD102" s="37"/>
      <c r="BE102" s="55"/>
      <c r="BF102" s="55"/>
      <c r="BG102" s="55"/>
      <c r="BH102" s="55"/>
    </row>
    <row r="103" spans="1:60" ht="12.95" customHeight="1">
      <c r="A103" s="44">
        <v>46040</v>
      </c>
      <c r="B103" s="45" t="s">
        <v>417</v>
      </c>
      <c r="C103" s="451">
        <f t="shared" ref="C103" si="266">(M103*E103*O103*Q103)/100000000</f>
        <v>13.2910848</v>
      </c>
      <c r="D103" s="45" t="s">
        <v>430</v>
      </c>
      <c r="E103" s="46">
        <v>16</v>
      </c>
      <c r="F103" s="46">
        <v>1</v>
      </c>
      <c r="G103" s="506">
        <v>1060</v>
      </c>
      <c r="H103" s="48">
        <f t="shared" ref="H103" si="267">+N103</f>
        <v>0.17999999999999994</v>
      </c>
      <c r="I103" s="49">
        <v>0.88</v>
      </c>
      <c r="J103" s="89">
        <f t="shared" ref="J103" si="268">E103*G103*(1-H103)*1440/1000000*2.75</f>
        <v>55.072512000000003</v>
      </c>
      <c r="K103" s="89">
        <f t="shared" ref="K103" si="269">(IF(G103&lt;L103,L103,G103)*(1-IF(H103&lt;N103,H103,N103))*E103*O103*Q103)/100000000</f>
        <v>13.2910848</v>
      </c>
      <c r="L103" s="39">
        <v>1080</v>
      </c>
      <c r="M103" s="39">
        <v>885.6</v>
      </c>
      <c r="N103" s="50">
        <f t="shared" ref="N103" si="270">1-(M103/L103)</f>
        <v>0.17999999999999994</v>
      </c>
      <c r="O103" s="51">
        <f>+'Trim Rwd'!H58</f>
        <v>268</v>
      </c>
      <c r="P103" s="52">
        <f t="shared" ref="P103" si="271">O103*(Q103-R103-S103)</f>
        <v>89780</v>
      </c>
      <c r="Q103" s="51">
        <v>350</v>
      </c>
      <c r="R103" s="507">
        <v>0</v>
      </c>
      <c r="S103" s="507">
        <v>15</v>
      </c>
      <c r="T103" s="41">
        <f t="shared" ref="T103" si="272">E103*M103*O103*Q103/100000000</f>
        <v>13.2910848</v>
      </c>
      <c r="U103" s="41">
        <f t="shared" ref="U103" si="273">E103*M103*O103*(Q103-R103-S103)/100000000</f>
        <v>12.721466879999999</v>
      </c>
      <c r="V103" s="41">
        <f t="shared" ref="V103" si="274">E103*G103*(1-N103)*O103/100*(R103+S103)/1000000</f>
        <v>0.55906944000000003</v>
      </c>
      <c r="W103" s="41">
        <f>+'18'!K18/1000</f>
        <v>17.131</v>
      </c>
      <c r="X103" s="508">
        <f>SUM(W103:W106)/SUM(K103:K106)</f>
        <v>0.93143981179529367</v>
      </c>
      <c r="Y103" s="218">
        <v>0</v>
      </c>
      <c r="Z103" s="41">
        <v>0</v>
      </c>
      <c r="AA103" s="53">
        <f>SUM(U103:U106)-SUM(W103:W106)-SUM(Z103:Z106)-SUM(Y103:Y106)</f>
        <v>1.3039187520000013</v>
      </c>
      <c r="AB103" s="53">
        <f>(SUM(K103:K106)-SUM(W103:W106)-SUM(Y103:Y106)-SUM(Z103:Z106)-SUM(AC103:AC106)-SUM(V103:V106))-AA103</f>
        <v>6.2292480000003536E-2</v>
      </c>
      <c r="AC103" s="41">
        <f>K103-T103</f>
        <v>0</v>
      </c>
      <c r="AD103" s="41">
        <f>+AM103+BC103</f>
        <v>0</v>
      </c>
      <c r="AE103" s="237" t="s">
        <v>386</v>
      </c>
      <c r="AF103" s="41">
        <v>0</v>
      </c>
      <c r="AG103" s="41"/>
      <c r="AH103" s="41"/>
      <c r="AI103" s="509"/>
      <c r="AJ103" s="41"/>
      <c r="AK103" s="41"/>
      <c r="AL103" s="41"/>
      <c r="AM103" s="41">
        <f>SUM(AF103:AL103)+AT103</f>
        <v>0</v>
      </c>
      <c r="AN103" s="41"/>
      <c r="AO103" s="41"/>
      <c r="AP103" s="41"/>
      <c r="AQ103" s="41"/>
      <c r="AR103" s="41">
        <f>SUM(AN103:AQ103)</f>
        <v>0</v>
      </c>
      <c r="AS103" s="41"/>
      <c r="AT103" s="41"/>
      <c r="AU103" s="41"/>
      <c r="AV103" s="41"/>
      <c r="AW103" s="41"/>
      <c r="AX103" s="41"/>
      <c r="AY103" s="41"/>
      <c r="AZ103" s="41"/>
      <c r="BA103" s="41"/>
      <c r="BB103" s="41"/>
      <c r="BC103" s="41">
        <f>+AR103+AS103+AU103+AV103+AX103</f>
        <v>0</v>
      </c>
      <c r="BD103" s="37">
        <v>0</v>
      </c>
      <c r="BE103" s="55"/>
      <c r="BF103" s="55"/>
      <c r="BG103" s="37"/>
      <c r="BH103" s="55"/>
    </row>
    <row r="104" spans="1:60" ht="12.95" customHeight="1">
      <c r="A104" s="44"/>
      <c r="B104" s="45" t="s">
        <v>417</v>
      </c>
      <c r="C104" s="451">
        <f t="shared" ref="C104:C105" si="275">(M104*E104*O104*Q104)/100000000</f>
        <v>13.600047999999999</v>
      </c>
      <c r="D104" s="45" t="s">
        <v>430</v>
      </c>
      <c r="E104" s="46">
        <v>20</v>
      </c>
      <c r="F104" s="46">
        <v>1</v>
      </c>
      <c r="G104" s="506">
        <v>870</v>
      </c>
      <c r="H104" s="48">
        <f t="shared" ref="H104:H105" si="276">+N104</f>
        <v>0.19999999999999996</v>
      </c>
      <c r="I104" s="49">
        <v>0.88</v>
      </c>
      <c r="J104" s="89">
        <f t="shared" ref="J104:J105" si="277">E104*G104*(1-H104)*1440/1000000*2.75</f>
        <v>55.123199999999997</v>
      </c>
      <c r="K104" s="89">
        <f t="shared" ref="K104:K105" si="278">(IF(G104&lt;L104,L104,G104)*(1-IF(H104&lt;N104,H104,N104))*E104*O104*Q104)/100000000</f>
        <v>13.600047999999999</v>
      </c>
      <c r="L104" s="39">
        <v>950</v>
      </c>
      <c r="M104" s="39">
        <v>760</v>
      </c>
      <c r="N104" s="50">
        <f t="shared" ref="N104:N105" si="279">1-(M104/L104)</f>
        <v>0.19999999999999996</v>
      </c>
      <c r="O104" s="51">
        <f>+'Trim Rwd'!H59</f>
        <v>269.5</v>
      </c>
      <c r="P104" s="52">
        <f t="shared" ref="P104:P105" si="280">O104*(Q104-R104-S104)</f>
        <v>85431.5</v>
      </c>
      <c r="Q104" s="51">
        <v>332</v>
      </c>
      <c r="R104" s="507">
        <v>0</v>
      </c>
      <c r="S104" s="507">
        <v>15</v>
      </c>
      <c r="T104" s="41">
        <f t="shared" ref="T104:T105" si="281">E104*M104*O104*Q104/100000000</f>
        <v>13.600047999999999</v>
      </c>
      <c r="U104" s="41">
        <f t="shared" ref="U104:U105" si="282">E104*M104*O104*(Q104-R104-S104)/100000000</f>
        <v>12.985588</v>
      </c>
      <c r="V104" s="41">
        <f t="shared" ref="V104:V105" si="283">E104*G104*(1-N104)*O104/100*(R104+S104)/1000000</f>
        <v>0.56271599999999999</v>
      </c>
      <c r="W104" s="41">
        <f>+'18'!K20/1000</f>
        <v>12.647</v>
      </c>
      <c r="X104" s="42"/>
      <c r="Y104" s="218"/>
      <c r="Z104" s="41"/>
      <c r="AA104" s="41"/>
      <c r="AB104" s="41"/>
      <c r="AC104" s="41">
        <f>K104-T104</f>
        <v>0</v>
      </c>
      <c r="AD104" s="41">
        <f t="shared" ref="AD104:AD106" si="284">+AM104+BC104</f>
        <v>8</v>
      </c>
      <c r="AE104" s="237" t="s">
        <v>438</v>
      </c>
      <c r="AF104" s="41"/>
      <c r="AG104" s="41">
        <v>8</v>
      </c>
      <c r="AH104" s="41"/>
      <c r="AI104" s="509"/>
      <c r="AJ104" s="41"/>
      <c r="AK104" s="41"/>
      <c r="AL104" s="41"/>
      <c r="AM104" s="41">
        <f t="shared" ref="AM104:AM106" si="285">SUM(AF104:AL104)+AT104</f>
        <v>8</v>
      </c>
      <c r="AN104" s="90"/>
      <c r="AO104" s="41"/>
      <c r="AP104" s="41"/>
      <c r="AQ104" s="41"/>
      <c r="AR104" s="41">
        <f t="shared" ref="AR104:AR106" si="286">SUM(AN104:AQ104)</f>
        <v>0</v>
      </c>
      <c r="AS104" s="41"/>
      <c r="AT104" s="41"/>
      <c r="AU104" s="41"/>
      <c r="AV104" s="41"/>
      <c r="AW104" s="41"/>
      <c r="AX104" s="41"/>
      <c r="AY104" s="41"/>
      <c r="AZ104" s="41"/>
      <c r="BA104" s="41"/>
      <c r="BB104" s="41"/>
      <c r="BC104" s="41">
        <f t="shared" ref="BC104:BC106" si="287">+AR104+AS104+AU104+AV104+AX104</f>
        <v>0</v>
      </c>
      <c r="BD104" s="54"/>
      <c r="BE104" s="55">
        <v>8</v>
      </c>
      <c r="BF104" s="55"/>
      <c r="BG104" s="54"/>
      <c r="BH104" s="55"/>
    </row>
    <row r="105" spans="1:60" ht="12.95" customHeight="1">
      <c r="A105" s="44"/>
      <c r="B105" s="45" t="s">
        <v>417</v>
      </c>
      <c r="C105" s="451">
        <f t="shared" si="275"/>
        <v>27.181067424000002</v>
      </c>
      <c r="D105" s="45" t="s">
        <v>430</v>
      </c>
      <c r="E105" s="46">
        <v>14</v>
      </c>
      <c r="F105" s="46">
        <v>1</v>
      </c>
      <c r="G105" s="506">
        <f>+L105</f>
        <v>1140</v>
      </c>
      <c r="H105" s="48">
        <f t="shared" si="276"/>
        <v>0.18000000000000005</v>
      </c>
      <c r="I105" s="49">
        <v>0.88</v>
      </c>
      <c r="J105" s="89">
        <f t="shared" si="277"/>
        <v>51.825311999999997</v>
      </c>
      <c r="K105" s="89">
        <f t="shared" si="278"/>
        <v>27.181067424000002</v>
      </c>
      <c r="L105" s="39">
        <v>1140</v>
      </c>
      <c r="M105" s="39">
        <v>934.8</v>
      </c>
      <c r="N105" s="50">
        <f t="shared" si="279"/>
        <v>0.18000000000000005</v>
      </c>
      <c r="O105" s="51">
        <f>+'Trim Rwd'!H60</f>
        <v>274</v>
      </c>
      <c r="P105" s="52">
        <f t="shared" si="280"/>
        <v>198376</v>
      </c>
      <c r="Q105" s="51">
        <v>758</v>
      </c>
      <c r="R105" s="507">
        <v>0</v>
      </c>
      <c r="S105" s="507">
        <v>34</v>
      </c>
      <c r="T105" s="41">
        <f t="shared" si="281"/>
        <v>27.181067424000002</v>
      </c>
      <c r="U105" s="41">
        <f t="shared" si="282"/>
        <v>25.961863871999999</v>
      </c>
      <c r="V105" s="41">
        <f t="shared" si="283"/>
        <v>1.219203552</v>
      </c>
      <c r="W105" s="41">
        <f>+'18'!K17/1000</f>
        <v>20.587</v>
      </c>
      <c r="X105" s="42"/>
      <c r="Y105" s="218"/>
      <c r="Z105" s="41"/>
      <c r="AA105" s="41"/>
      <c r="AB105" s="41"/>
      <c r="AC105" s="41">
        <f>K105-T105</f>
        <v>0</v>
      </c>
      <c r="AD105" s="41">
        <f t="shared" si="284"/>
        <v>31</v>
      </c>
      <c r="AE105" s="237" t="s">
        <v>674</v>
      </c>
      <c r="AF105" s="37"/>
      <c r="AG105" s="37"/>
      <c r="AH105" s="37">
        <v>31</v>
      </c>
      <c r="AJ105" s="41"/>
      <c r="AK105" s="41"/>
      <c r="AL105" s="41"/>
      <c r="AM105" s="41">
        <f t="shared" si="285"/>
        <v>31</v>
      </c>
      <c r="AN105" s="41"/>
      <c r="AO105" s="41"/>
      <c r="AP105" s="41"/>
      <c r="AQ105" s="41"/>
      <c r="AR105" s="41">
        <f t="shared" si="286"/>
        <v>0</v>
      </c>
      <c r="AS105" s="41"/>
      <c r="AT105" s="41"/>
      <c r="AU105" s="41"/>
      <c r="AV105" s="41"/>
      <c r="AW105" s="41"/>
      <c r="AX105" s="41"/>
      <c r="AY105" s="41"/>
      <c r="AZ105" s="41"/>
      <c r="BA105" s="41"/>
      <c r="BB105" s="41"/>
      <c r="BC105" s="41">
        <f t="shared" si="287"/>
        <v>0</v>
      </c>
      <c r="BD105" s="37"/>
      <c r="BE105" s="510"/>
      <c r="BF105" s="510"/>
      <c r="BG105" s="37"/>
      <c r="BH105" s="510"/>
    </row>
    <row r="106" spans="1:60" ht="12.95" customHeight="1">
      <c r="A106" s="44"/>
      <c r="B106" s="45"/>
      <c r="C106" s="451"/>
      <c r="D106" s="45"/>
      <c r="E106" s="46"/>
      <c r="F106" s="46"/>
      <c r="G106" s="47"/>
      <c r="H106" s="48"/>
      <c r="I106" s="49"/>
      <c r="J106" s="89"/>
      <c r="K106" s="89"/>
      <c r="L106" s="39"/>
      <c r="M106" s="39"/>
      <c r="N106" s="50"/>
      <c r="O106" s="51"/>
      <c r="P106" s="52"/>
      <c r="Q106" s="38"/>
      <c r="R106" s="507"/>
      <c r="S106" s="507"/>
      <c r="T106" s="41"/>
      <c r="U106" s="41"/>
      <c r="V106" s="41"/>
      <c r="W106" s="41"/>
      <c r="X106" s="42"/>
      <c r="Y106" s="218"/>
      <c r="Z106" s="41"/>
      <c r="AA106" s="41"/>
      <c r="AB106" s="41"/>
      <c r="AC106" s="41"/>
      <c r="AD106" s="41">
        <f t="shared" si="284"/>
        <v>25</v>
      </c>
      <c r="AE106" s="240" t="s">
        <v>225</v>
      </c>
      <c r="AF106" s="41"/>
      <c r="AG106" s="41"/>
      <c r="AH106" s="41"/>
      <c r="AI106" s="509">
        <v>25</v>
      </c>
      <c r="AJ106" s="41"/>
      <c r="AK106" s="41"/>
      <c r="AL106" s="41"/>
      <c r="AM106" s="41">
        <f t="shared" si="285"/>
        <v>25</v>
      </c>
      <c r="AN106" s="41"/>
      <c r="AO106" s="41"/>
      <c r="AP106" s="41"/>
      <c r="AQ106" s="41"/>
      <c r="AR106" s="41">
        <f t="shared" si="286"/>
        <v>0</v>
      </c>
      <c r="AS106" s="41"/>
      <c r="AT106" s="41"/>
      <c r="AU106" s="41"/>
      <c r="AV106" s="41"/>
      <c r="AW106" s="41"/>
      <c r="AX106" s="41"/>
      <c r="AY106" s="41"/>
      <c r="AZ106" s="41"/>
      <c r="BA106" s="41"/>
      <c r="BB106" s="41"/>
      <c r="BC106" s="41">
        <f t="shared" si="287"/>
        <v>0</v>
      </c>
      <c r="BD106" s="54"/>
      <c r="BE106" s="55"/>
      <c r="BF106" s="55"/>
      <c r="BG106" s="54"/>
      <c r="BH106" s="55"/>
    </row>
    <row r="107" spans="1:60" ht="12.95" customHeight="1">
      <c r="A107" s="44"/>
      <c r="B107" s="45"/>
      <c r="C107" s="451"/>
      <c r="D107" s="45"/>
      <c r="E107" s="46"/>
      <c r="F107" s="46"/>
      <c r="G107" s="47"/>
      <c r="H107" s="47"/>
      <c r="I107" s="49"/>
      <c r="J107" s="89"/>
      <c r="K107" s="89"/>
      <c r="L107" s="39"/>
      <c r="M107" s="39"/>
      <c r="N107" s="50"/>
      <c r="O107" s="51"/>
      <c r="P107" s="52"/>
      <c r="Q107" s="51"/>
      <c r="R107" s="507"/>
      <c r="S107" s="507"/>
      <c r="T107" s="41"/>
      <c r="U107" s="41"/>
      <c r="V107" s="41"/>
      <c r="W107" s="41"/>
      <c r="X107" s="42"/>
      <c r="Y107" s="218"/>
      <c r="Z107" s="41"/>
      <c r="AA107" s="53"/>
      <c r="AB107" s="53"/>
      <c r="AC107" s="41"/>
      <c r="AD107" s="41"/>
      <c r="AE107" s="237"/>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37"/>
      <c r="BE107" s="55"/>
      <c r="BF107" s="55"/>
      <c r="BG107" s="55"/>
      <c r="BH107" s="55"/>
    </row>
    <row r="108" spans="1:60" ht="12.95" customHeight="1">
      <c r="A108" s="44">
        <v>46041</v>
      </c>
      <c r="B108" s="45" t="s">
        <v>417</v>
      </c>
      <c r="C108" s="451">
        <f t="shared" ref="C108" si="288">(M108*E108*O108*Q108)/100000000</f>
        <v>42.032126080000005</v>
      </c>
      <c r="D108" s="45" t="s">
        <v>430</v>
      </c>
      <c r="E108" s="46">
        <v>14</v>
      </c>
      <c r="F108" s="46">
        <v>1</v>
      </c>
      <c r="G108" s="506">
        <f>+L108</f>
        <v>1188.9409722222222</v>
      </c>
      <c r="H108" s="48">
        <f t="shared" ref="H108" si="289">+N108</f>
        <v>0.19999999999999996</v>
      </c>
      <c r="I108" s="49">
        <v>0.88</v>
      </c>
      <c r="J108" s="89">
        <f t="shared" ref="J108" si="290">E108*G108*(1-H108)*1440/1000000*2.75</f>
        <v>52.731909999999999</v>
      </c>
      <c r="K108" s="89">
        <f t="shared" ref="K108" si="291">(IF(G108&lt;L108,L108,G108)*(1-IF(H108&lt;N108,H108,N108))*E108*O108*Q108)/100000000</f>
        <v>42.032126080000005</v>
      </c>
      <c r="L108" s="39">
        <v>1188.9409722222222</v>
      </c>
      <c r="M108" s="39">
        <v>951.15277777777783</v>
      </c>
      <c r="N108" s="50">
        <f t="shared" ref="N108" si="292">1-(M108/L108)</f>
        <v>0.19999999999999996</v>
      </c>
      <c r="O108" s="51">
        <f>+'Trim Rwd'!H62</f>
        <v>274</v>
      </c>
      <c r="P108" s="52">
        <f t="shared" ref="P108" si="293">O108*(Q108-R108-S108)</f>
        <v>305510</v>
      </c>
      <c r="Q108" s="51">
        <v>1152</v>
      </c>
      <c r="R108" s="507">
        <v>0</v>
      </c>
      <c r="S108" s="507">
        <v>37</v>
      </c>
      <c r="T108" s="41">
        <f t="shared" ref="T108" si="294">E108*M108*O108*Q108/100000000</f>
        <v>42.032126080000005</v>
      </c>
      <c r="U108" s="41">
        <f t="shared" ref="U108" si="295">E108*M108*O108*(Q108-R108-S108)/100000000</f>
        <v>40.682135919444448</v>
      </c>
      <c r="V108" s="41">
        <f t="shared" ref="V108" si="296">E108*G108*(1-N108)*O108/100*(R108+S108)/1000000</f>
        <v>1.3499901605555555</v>
      </c>
      <c r="W108" s="41">
        <f>+'19'!K17/1000</f>
        <v>44.625999999999998</v>
      </c>
      <c r="X108" s="508">
        <f>SUM(W108:W111)/SUM(K108:K111)</f>
        <v>0.95476788324925643</v>
      </c>
      <c r="Y108" s="218">
        <v>0</v>
      </c>
      <c r="Z108" s="41">
        <v>0</v>
      </c>
      <c r="AA108" s="53">
        <f>SUM(U108:U111)-SUM(W108:W111)-SUM(Z108:Z111)-SUM(Y108:Y111)</f>
        <v>0.66552871944445258</v>
      </c>
      <c r="AB108" s="53">
        <f>(SUM(K108:K111)-SUM(W108:W111)-SUM(Y108:Y111)-SUM(Z108:Z111)-SUM(AC108:AC111)-SUM(V108:V111))-AA108</f>
        <v>3.2279999999946796E-3</v>
      </c>
      <c r="AC108" s="41">
        <f>K108-T108</f>
        <v>0</v>
      </c>
      <c r="AD108" s="41">
        <f>+AM108+BC108</f>
        <v>0</v>
      </c>
      <c r="AE108" s="237" t="s">
        <v>386</v>
      </c>
      <c r="AF108" s="41">
        <v>0</v>
      </c>
      <c r="AG108" s="41"/>
      <c r="AH108" s="41"/>
      <c r="AI108" s="509"/>
      <c r="AJ108" s="41"/>
      <c r="AK108" s="41"/>
      <c r="AL108" s="41"/>
      <c r="AM108" s="41">
        <f>SUM(AF108:AL108)+AT108</f>
        <v>0</v>
      </c>
      <c r="AN108" s="41"/>
      <c r="AO108" s="41"/>
      <c r="AP108" s="41"/>
      <c r="AQ108" s="41"/>
      <c r="AR108" s="41">
        <f>SUM(AN108:AQ108)</f>
        <v>0</v>
      </c>
      <c r="AS108" s="41"/>
      <c r="AT108" s="41"/>
      <c r="AU108" s="41"/>
      <c r="AV108" s="41"/>
      <c r="AW108" s="41"/>
      <c r="AX108" s="41"/>
      <c r="AY108" s="41"/>
      <c r="AZ108" s="41"/>
      <c r="BA108" s="41"/>
      <c r="BB108" s="41"/>
      <c r="BC108" s="41">
        <f>+AR108+AS108+AU108+AV108+AX108</f>
        <v>0</v>
      </c>
      <c r="BD108" s="37">
        <v>0</v>
      </c>
      <c r="BE108" s="55"/>
      <c r="BF108" s="55"/>
      <c r="BG108" s="37"/>
      <c r="BH108" s="55"/>
    </row>
    <row r="109" spans="1:60" ht="12.95" customHeight="1">
      <c r="A109" s="44"/>
      <c r="B109" s="45" t="s">
        <v>417</v>
      </c>
      <c r="C109" s="451">
        <f t="shared" ref="C109" si="297">(M109*E109*O109*Q109)/100000000</f>
        <v>10.8770688</v>
      </c>
      <c r="D109" s="45" t="s">
        <v>430</v>
      </c>
      <c r="E109" s="46">
        <v>15</v>
      </c>
      <c r="F109" s="46">
        <v>1</v>
      </c>
      <c r="G109" s="506">
        <v>1160</v>
      </c>
      <c r="H109" s="48">
        <f t="shared" ref="H109" si="298">+N109</f>
        <v>0.19999999999999996</v>
      </c>
      <c r="I109" s="49">
        <v>0.88</v>
      </c>
      <c r="J109" s="89">
        <f t="shared" ref="J109" si="299">E109*G109*(1-H109)*1440/1000000*2.75</f>
        <v>55.123199999999997</v>
      </c>
      <c r="K109" s="89">
        <f t="shared" ref="K109" si="300">(IF(G109&lt;L109,L109,G109)*(1-IF(H109&lt;N109,H109,N109))*E109*O109*Q109)/100000000</f>
        <v>10.8770688</v>
      </c>
      <c r="L109" s="39">
        <v>1170</v>
      </c>
      <c r="M109" s="39">
        <v>936</v>
      </c>
      <c r="N109" s="50">
        <f t="shared" ref="N109" si="301">1-(M109/L109)</f>
        <v>0.19999999999999996</v>
      </c>
      <c r="O109" s="51">
        <f>+'Trim Rwd'!H63</f>
        <v>269</v>
      </c>
      <c r="P109" s="52">
        <f t="shared" ref="P109" si="302">O109*(Q109-R109-S109)</f>
        <v>74782</v>
      </c>
      <c r="Q109" s="51">
        <f>1440-Q108</f>
        <v>288</v>
      </c>
      <c r="R109" s="507">
        <v>0</v>
      </c>
      <c r="S109" s="507">
        <v>10</v>
      </c>
      <c r="T109" s="41">
        <f t="shared" ref="T109" si="303">E109*M109*O109*Q109/100000000</f>
        <v>10.8770688</v>
      </c>
      <c r="U109" s="41">
        <f t="shared" ref="U109" si="304">E109*M109*O109*(Q109-R109-S109)/100000000</f>
        <v>10.499392800000001</v>
      </c>
      <c r="V109" s="41">
        <f t="shared" ref="V109" si="305">E109*G109*(1-N109)*O109/100*(R109+S109)/1000000</f>
        <v>0.374448</v>
      </c>
      <c r="W109" s="41">
        <f>+'19'!K16/1000</f>
        <v>5.89</v>
      </c>
      <c r="X109" s="42"/>
      <c r="Y109" s="218"/>
      <c r="Z109" s="41"/>
      <c r="AA109" s="41"/>
      <c r="AB109" s="41"/>
      <c r="AC109" s="41">
        <f>K109-T109</f>
        <v>0</v>
      </c>
      <c r="AD109" s="41">
        <f t="shared" ref="AD109:AD111" si="306">+AM109+BC109</f>
        <v>13</v>
      </c>
      <c r="AE109" s="237" t="s">
        <v>640</v>
      </c>
      <c r="AF109" s="41"/>
      <c r="AG109" s="41">
        <v>13</v>
      </c>
      <c r="AH109" s="41"/>
      <c r="AI109" s="509"/>
      <c r="AJ109" s="41"/>
      <c r="AK109" s="41"/>
      <c r="AL109" s="41"/>
      <c r="AM109" s="41">
        <f t="shared" ref="AM109:AM111" si="307">SUM(AF109:AL109)+AT109</f>
        <v>13</v>
      </c>
      <c r="AN109" s="90"/>
      <c r="AO109" s="41"/>
      <c r="AP109" s="41"/>
      <c r="AQ109" s="41"/>
      <c r="AR109" s="41">
        <f t="shared" ref="AR109:AR111" si="308">SUM(AN109:AQ109)</f>
        <v>0</v>
      </c>
      <c r="AS109" s="41"/>
      <c r="AT109" s="41"/>
      <c r="AU109" s="41"/>
      <c r="AV109" s="41"/>
      <c r="AW109" s="41"/>
      <c r="AX109" s="41"/>
      <c r="AY109" s="41"/>
      <c r="AZ109" s="41"/>
      <c r="BA109" s="41"/>
      <c r="BB109" s="41"/>
      <c r="BC109" s="41">
        <f t="shared" ref="BC109:BC111" si="309">+AR109+AS109+AU109+AV109+AX109</f>
        <v>0</v>
      </c>
      <c r="BD109" s="54"/>
      <c r="BE109" s="55">
        <v>10</v>
      </c>
      <c r="BF109" s="55"/>
      <c r="BG109" s="54"/>
      <c r="BH109" s="55"/>
    </row>
    <row r="110" spans="1:60" ht="12.95" customHeight="1">
      <c r="A110" s="44"/>
      <c r="B110" s="45"/>
      <c r="C110" s="451"/>
      <c r="D110" s="45"/>
      <c r="E110" s="46"/>
      <c r="F110" s="46"/>
      <c r="G110" s="47"/>
      <c r="H110" s="48"/>
      <c r="I110" s="49"/>
      <c r="J110" s="89"/>
      <c r="K110" s="89"/>
      <c r="L110" s="39"/>
      <c r="M110" s="39"/>
      <c r="N110" s="50"/>
      <c r="O110" s="51"/>
      <c r="P110" s="52"/>
      <c r="Q110" s="51"/>
      <c r="R110" s="507"/>
      <c r="S110" s="507"/>
      <c r="T110" s="41"/>
      <c r="U110" s="41"/>
      <c r="V110" s="41"/>
      <c r="W110" s="41"/>
      <c r="X110" s="42"/>
      <c r="Y110" s="218"/>
      <c r="Z110" s="41"/>
      <c r="AA110" s="41"/>
      <c r="AB110" s="41"/>
      <c r="AC110" s="41"/>
      <c r="AD110" s="41">
        <f t="shared" si="306"/>
        <v>26</v>
      </c>
      <c r="AE110" s="237" t="s">
        <v>457</v>
      </c>
      <c r="AF110" s="37"/>
      <c r="AG110" s="37"/>
      <c r="AH110" s="37">
        <v>26</v>
      </c>
      <c r="AJ110" s="41"/>
      <c r="AK110" s="41"/>
      <c r="AL110" s="41"/>
      <c r="AM110" s="41">
        <f t="shared" si="307"/>
        <v>26</v>
      </c>
      <c r="AN110" s="41"/>
      <c r="AO110" s="41"/>
      <c r="AP110" s="41"/>
      <c r="AQ110" s="41"/>
      <c r="AR110" s="41">
        <f t="shared" si="308"/>
        <v>0</v>
      </c>
      <c r="AS110" s="41"/>
      <c r="AT110" s="41"/>
      <c r="AU110" s="41"/>
      <c r="AV110" s="41"/>
      <c r="AW110" s="41"/>
      <c r="AX110" s="41"/>
      <c r="AY110" s="41"/>
      <c r="AZ110" s="41"/>
      <c r="BA110" s="41"/>
      <c r="BB110" s="41"/>
      <c r="BC110" s="41">
        <f t="shared" si="309"/>
        <v>0</v>
      </c>
      <c r="BD110" s="37"/>
      <c r="BE110" s="510"/>
      <c r="BF110" s="510"/>
      <c r="BG110" s="37"/>
      <c r="BH110" s="510"/>
    </row>
    <row r="111" spans="1:60" ht="12.95" customHeight="1">
      <c r="A111" s="44"/>
      <c r="B111" s="45"/>
      <c r="C111" s="451"/>
      <c r="D111" s="45"/>
      <c r="E111" s="46"/>
      <c r="F111" s="46"/>
      <c r="G111" s="47"/>
      <c r="H111" s="48"/>
      <c r="I111" s="49"/>
      <c r="J111" s="89"/>
      <c r="K111" s="89"/>
      <c r="L111" s="39"/>
      <c r="M111" s="39"/>
      <c r="N111" s="50"/>
      <c r="O111" s="51"/>
      <c r="P111" s="52"/>
      <c r="Q111" s="38"/>
      <c r="R111" s="507"/>
      <c r="S111" s="507"/>
      <c r="T111" s="41"/>
      <c r="U111" s="41"/>
      <c r="V111" s="41"/>
      <c r="W111" s="41"/>
      <c r="X111" s="42"/>
      <c r="Y111" s="218"/>
      <c r="Z111" s="41"/>
      <c r="AA111" s="41"/>
      <c r="AB111" s="41"/>
      <c r="AC111" s="41"/>
      <c r="AD111" s="41">
        <f t="shared" si="306"/>
        <v>8</v>
      </c>
      <c r="AE111" s="240" t="s">
        <v>225</v>
      </c>
      <c r="AF111" s="41"/>
      <c r="AG111" s="41"/>
      <c r="AH111" s="41"/>
      <c r="AI111" s="509">
        <v>8</v>
      </c>
      <c r="AJ111" s="41"/>
      <c r="AK111" s="41"/>
      <c r="AL111" s="41"/>
      <c r="AM111" s="41">
        <f t="shared" si="307"/>
        <v>8</v>
      </c>
      <c r="AN111" s="41"/>
      <c r="AO111" s="41"/>
      <c r="AP111" s="41"/>
      <c r="AQ111" s="41"/>
      <c r="AR111" s="41">
        <f t="shared" si="308"/>
        <v>0</v>
      </c>
      <c r="AS111" s="41"/>
      <c r="AT111" s="41"/>
      <c r="AU111" s="41"/>
      <c r="AV111" s="41"/>
      <c r="AW111" s="41"/>
      <c r="AX111" s="41"/>
      <c r="AY111" s="41"/>
      <c r="AZ111" s="41"/>
      <c r="BA111" s="41"/>
      <c r="BB111" s="41"/>
      <c r="BC111" s="41">
        <f t="shared" si="309"/>
        <v>0</v>
      </c>
      <c r="BD111" s="54"/>
      <c r="BE111" s="55"/>
      <c r="BF111" s="55"/>
      <c r="BG111" s="54"/>
      <c r="BH111" s="55"/>
    </row>
    <row r="112" spans="1:60" ht="12.95" customHeight="1">
      <c r="A112" s="44"/>
      <c r="B112" s="45"/>
      <c r="C112" s="451"/>
      <c r="D112" s="45"/>
      <c r="E112" s="46"/>
      <c r="F112" s="46"/>
      <c r="G112" s="47"/>
      <c r="H112" s="47"/>
      <c r="I112" s="49"/>
      <c r="J112" s="89"/>
      <c r="K112" s="89"/>
      <c r="L112" s="39"/>
      <c r="M112" s="39"/>
      <c r="N112" s="50"/>
      <c r="O112" s="51"/>
      <c r="P112" s="52"/>
      <c r="Q112" s="51"/>
      <c r="R112" s="507"/>
      <c r="S112" s="507"/>
      <c r="T112" s="41"/>
      <c r="U112" s="41"/>
      <c r="V112" s="41"/>
      <c r="W112" s="41"/>
      <c r="X112" s="508"/>
      <c r="Y112" s="218"/>
      <c r="Z112" s="41"/>
      <c r="AA112" s="53"/>
      <c r="AB112" s="53"/>
      <c r="AC112" s="41"/>
      <c r="AD112" s="41"/>
      <c r="AE112" s="237"/>
      <c r="AF112" s="41"/>
      <c r="AG112" s="41"/>
      <c r="AH112" s="41"/>
      <c r="AI112" s="509"/>
      <c r="AJ112" s="41"/>
      <c r="AK112" s="41"/>
      <c r="AL112" s="41"/>
      <c r="AM112" s="41"/>
      <c r="AN112" s="41"/>
      <c r="AO112" s="41"/>
      <c r="AP112" s="41"/>
      <c r="AQ112" s="41"/>
      <c r="AR112" s="41"/>
      <c r="AS112" s="41"/>
      <c r="AT112" s="41"/>
      <c r="AU112" s="41"/>
      <c r="AV112" s="41"/>
      <c r="AW112" s="41"/>
      <c r="AX112" s="41"/>
      <c r="AY112" s="41"/>
      <c r="AZ112" s="41"/>
      <c r="BA112" s="41"/>
      <c r="BB112" s="41"/>
      <c r="BC112" s="41"/>
      <c r="BD112" s="37"/>
      <c r="BE112" s="55"/>
      <c r="BF112" s="55"/>
      <c r="BG112" s="55"/>
      <c r="BH112" s="55"/>
    </row>
    <row r="113" spans="1:60" ht="12.95" customHeight="1">
      <c r="A113" s="44">
        <v>46042</v>
      </c>
      <c r="B113" s="45" t="s">
        <v>417</v>
      </c>
      <c r="C113" s="451">
        <f t="shared" ref="C113" si="310">(M113*E113*O113*Q113)/100000000</f>
        <v>55.327176000000001</v>
      </c>
      <c r="D113" s="45" t="s">
        <v>430</v>
      </c>
      <c r="E113" s="46">
        <v>15</v>
      </c>
      <c r="F113" s="46">
        <v>1</v>
      </c>
      <c r="G113" s="506">
        <v>1175</v>
      </c>
      <c r="H113" s="48">
        <f t="shared" ref="H113" si="311">+N113</f>
        <v>0.20999999999999996</v>
      </c>
      <c r="I113" s="49">
        <v>0.88</v>
      </c>
      <c r="J113" s="89">
        <f t="shared" ref="J113" si="312">E113*G113*(1-H113)*1440/1000000*2.75</f>
        <v>55.13805</v>
      </c>
      <c r="K113" s="89">
        <f t="shared" ref="K113" si="313">(IF(G113&lt;L113,L113,G113)*(1-IF(H113&lt;N113,H113,N113))*E113*O113*Q113)/100000000</f>
        <v>55.327176000000001</v>
      </c>
      <c r="L113" s="39">
        <v>1183.3333333333333</v>
      </c>
      <c r="M113" s="39">
        <v>934.83333333333337</v>
      </c>
      <c r="N113" s="50">
        <f t="shared" ref="N113" si="314">1-(M113/L113)</f>
        <v>0.20999999999999996</v>
      </c>
      <c r="O113" s="51">
        <f>+'Trim Rwd'!H65</f>
        <v>274</v>
      </c>
      <c r="P113" s="52">
        <f t="shared" ref="P113" si="315">O113*(Q113-R113-S113)</f>
        <v>383052</v>
      </c>
      <c r="Q113" s="51">
        <f>1440-Q112</f>
        <v>1440</v>
      </c>
      <c r="R113" s="507">
        <v>0</v>
      </c>
      <c r="S113" s="507">
        <v>42</v>
      </c>
      <c r="T113" s="41">
        <f t="shared" ref="T113" si="316">E113*M113*O113*Q113/100000000</f>
        <v>55.327176000000001</v>
      </c>
      <c r="U113" s="41">
        <f t="shared" ref="U113" si="317">E113*M113*O113*(Q113-R113-S113)/100000000</f>
        <v>53.713466699999998</v>
      </c>
      <c r="V113" s="41">
        <f t="shared" ref="V113" si="318">E113*G113*(1-N113)*O113/100*(R113+S113)/1000000</f>
        <v>1.6023451499999999</v>
      </c>
      <c r="W113" s="41">
        <f>+'20'!K16/1000</f>
        <v>54.661000000000001</v>
      </c>
      <c r="X113" s="508">
        <f>SUM(W113:W116)/SUM(K113:K116)</f>
        <v>0.98795933484839349</v>
      </c>
      <c r="Y113" s="218">
        <v>0</v>
      </c>
      <c r="Z113" s="41">
        <v>0</v>
      </c>
      <c r="AA113" s="53">
        <f>SUM(U113:U116)-SUM(W113:W116)-SUM(Z113:Z116)-SUM(Y113:Y116)</f>
        <v>-0.94753330000000346</v>
      </c>
      <c r="AB113" s="53">
        <f>(SUM(K113:K116)-SUM(W113:W116)-SUM(Y113:Y116)-SUM(Z113:Z116)-SUM(AC113:AC116)-SUM(V113:V116))-AA113</f>
        <v>1.1364150000003681E-2</v>
      </c>
      <c r="AC113" s="41">
        <f>K113-T113</f>
        <v>0</v>
      </c>
      <c r="AD113" s="41">
        <f>+AM113+BC113</f>
        <v>0</v>
      </c>
      <c r="AE113" s="237" t="s">
        <v>386</v>
      </c>
      <c r="AF113" s="41">
        <v>0</v>
      </c>
      <c r="AG113" s="41"/>
      <c r="AH113" s="41"/>
      <c r="AI113" s="509"/>
      <c r="AJ113" s="41"/>
      <c r="AK113" s="41"/>
      <c r="AL113" s="41"/>
      <c r="AM113" s="41">
        <f>SUM(AF113:AL113)+AT113</f>
        <v>0</v>
      </c>
      <c r="AN113" s="41"/>
      <c r="AO113" s="41"/>
      <c r="AP113" s="41"/>
      <c r="AQ113" s="41"/>
      <c r="AR113" s="41">
        <f>SUM(AN113:AQ113)</f>
        <v>0</v>
      </c>
      <c r="AS113" s="41"/>
      <c r="AT113" s="41"/>
      <c r="AU113" s="41"/>
      <c r="AV113" s="41"/>
      <c r="AW113" s="41"/>
      <c r="AX113" s="41"/>
      <c r="AY113" s="41"/>
      <c r="AZ113" s="41"/>
      <c r="BA113" s="41"/>
      <c r="BB113" s="41"/>
      <c r="BC113" s="41">
        <f>+AR113+AS113+AU113+AV113+AX113</f>
        <v>0</v>
      </c>
      <c r="BD113" s="37">
        <v>0</v>
      </c>
      <c r="BE113" s="55"/>
      <c r="BF113" s="55"/>
      <c r="BG113" s="37"/>
      <c r="BH113" s="55"/>
    </row>
    <row r="114" spans="1:60" ht="12.95" customHeight="1">
      <c r="A114" s="44"/>
      <c r="B114" s="45"/>
      <c r="C114" s="451"/>
      <c r="D114" s="45"/>
      <c r="E114" s="46"/>
      <c r="F114" s="46"/>
      <c r="G114" s="506"/>
      <c r="H114" s="48"/>
      <c r="I114" s="49"/>
      <c r="J114" s="89"/>
      <c r="K114" s="89"/>
      <c r="L114" s="39"/>
      <c r="M114" s="39"/>
      <c r="N114" s="50"/>
      <c r="O114" s="51"/>
      <c r="P114" s="52"/>
      <c r="Q114" s="51"/>
      <c r="R114" s="507"/>
      <c r="S114" s="507"/>
      <c r="T114" s="41"/>
      <c r="U114" s="41"/>
      <c r="V114" s="41"/>
      <c r="W114" s="41"/>
      <c r="X114" s="42"/>
      <c r="Y114" s="218"/>
      <c r="Z114" s="41"/>
      <c r="AA114" s="41"/>
      <c r="AB114" s="41"/>
      <c r="AC114" s="41">
        <f>K114-T114</f>
        <v>0</v>
      </c>
      <c r="AD114" s="41">
        <f t="shared" ref="AD114:AD116" si="319">+AM114+BC114</f>
        <v>15</v>
      </c>
      <c r="AE114" s="237" t="s">
        <v>475</v>
      </c>
      <c r="AF114" s="41"/>
      <c r="AG114" s="41">
        <v>15</v>
      </c>
      <c r="AH114" s="41"/>
      <c r="AI114" s="509"/>
      <c r="AJ114" s="41"/>
      <c r="AK114" s="41"/>
      <c r="AL114" s="41"/>
      <c r="AM114" s="41">
        <f t="shared" ref="AM114:AM116" si="320">SUM(AF114:AL114)+AT114</f>
        <v>15</v>
      </c>
      <c r="AN114" s="90"/>
      <c r="AO114" s="41"/>
      <c r="AP114" s="41"/>
      <c r="AQ114" s="41"/>
      <c r="AR114" s="41">
        <f t="shared" ref="AR114:AR116" si="321">SUM(AN114:AQ114)</f>
        <v>0</v>
      </c>
      <c r="AS114" s="41"/>
      <c r="AT114" s="41"/>
      <c r="AU114" s="41"/>
      <c r="AV114" s="41"/>
      <c r="AW114" s="41"/>
      <c r="AX114" s="41"/>
      <c r="AY114" s="41"/>
      <c r="AZ114" s="41"/>
      <c r="BA114" s="41"/>
      <c r="BB114" s="41"/>
      <c r="BC114" s="41">
        <f t="shared" ref="BC114:BC116" si="322">+AR114+AS114+AU114+AV114+AX114</f>
        <v>0</v>
      </c>
      <c r="BD114" s="54"/>
      <c r="BE114" s="55">
        <v>12</v>
      </c>
      <c r="BF114" s="55"/>
      <c r="BG114" s="54"/>
      <c r="BH114" s="55"/>
    </row>
    <row r="115" spans="1:60" ht="12.95" customHeight="1">
      <c r="A115" s="44"/>
      <c r="B115" s="45"/>
      <c r="C115" s="451"/>
      <c r="D115" s="45"/>
      <c r="E115" s="46"/>
      <c r="F115" s="46"/>
      <c r="G115" s="47"/>
      <c r="H115" s="48"/>
      <c r="I115" s="49"/>
      <c r="J115" s="89"/>
      <c r="K115" s="89"/>
      <c r="L115" s="39"/>
      <c r="M115" s="39"/>
      <c r="N115" s="50"/>
      <c r="O115" s="51"/>
      <c r="P115" s="52"/>
      <c r="Q115" s="51"/>
      <c r="R115" s="507"/>
      <c r="S115" s="507"/>
      <c r="T115" s="41"/>
      <c r="U115" s="41"/>
      <c r="V115" s="41"/>
      <c r="W115" s="41"/>
      <c r="X115" s="42"/>
      <c r="Y115" s="218"/>
      <c r="Z115" s="41"/>
      <c r="AA115" s="41"/>
      <c r="AB115" s="41"/>
      <c r="AC115" s="41"/>
      <c r="AD115" s="41">
        <f t="shared" si="319"/>
        <v>21</v>
      </c>
      <c r="AE115" s="237" t="s">
        <v>598</v>
      </c>
      <c r="AF115" s="37"/>
      <c r="AG115" s="37"/>
      <c r="AH115" s="37">
        <v>21</v>
      </c>
      <c r="AJ115" s="41"/>
      <c r="AK115" s="41"/>
      <c r="AL115" s="41"/>
      <c r="AM115" s="41">
        <f t="shared" si="320"/>
        <v>21</v>
      </c>
      <c r="AN115" s="41"/>
      <c r="AO115" s="41"/>
      <c r="AP115" s="41"/>
      <c r="AQ115" s="41"/>
      <c r="AR115" s="41">
        <f t="shared" si="321"/>
        <v>0</v>
      </c>
      <c r="AS115" s="41"/>
      <c r="AT115" s="41"/>
      <c r="AU115" s="41"/>
      <c r="AV115" s="41"/>
      <c r="AW115" s="41"/>
      <c r="AX115" s="41"/>
      <c r="AY115" s="41"/>
      <c r="AZ115" s="41"/>
      <c r="BA115" s="41"/>
      <c r="BB115" s="41"/>
      <c r="BC115" s="41">
        <f t="shared" si="322"/>
        <v>0</v>
      </c>
      <c r="BD115" s="37"/>
      <c r="BE115" s="510"/>
      <c r="BF115" s="510"/>
      <c r="BG115" s="37"/>
      <c r="BH115" s="510"/>
    </row>
    <row r="116" spans="1:60" ht="12.95" customHeight="1">
      <c r="A116" s="44"/>
      <c r="B116" s="45"/>
      <c r="C116" s="451"/>
      <c r="D116" s="45"/>
      <c r="E116" s="46"/>
      <c r="F116" s="46"/>
      <c r="G116" s="47"/>
      <c r="H116" s="48"/>
      <c r="I116" s="49"/>
      <c r="J116" s="89"/>
      <c r="K116" s="89"/>
      <c r="L116" s="39"/>
      <c r="M116" s="39"/>
      <c r="N116" s="50"/>
      <c r="O116" s="51"/>
      <c r="P116" s="52"/>
      <c r="Q116" s="38"/>
      <c r="R116" s="507"/>
      <c r="S116" s="507"/>
      <c r="T116" s="41"/>
      <c r="U116" s="41"/>
      <c r="V116" s="41"/>
      <c r="W116" s="41"/>
      <c r="X116" s="42"/>
      <c r="Y116" s="218"/>
      <c r="Z116" s="41"/>
      <c r="AA116" s="41"/>
      <c r="AB116" s="41"/>
      <c r="AC116" s="41"/>
      <c r="AD116" s="41">
        <f t="shared" si="319"/>
        <v>6</v>
      </c>
      <c r="AE116" s="240" t="s">
        <v>225</v>
      </c>
      <c r="AF116" s="41"/>
      <c r="AG116" s="41"/>
      <c r="AH116" s="41"/>
      <c r="AI116" s="509">
        <v>6</v>
      </c>
      <c r="AJ116" s="41"/>
      <c r="AK116" s="41"/>
      <c r="AL116" s="41"/>
      <c r="AM116" s="41">
        <f t="shared" si="320"/>
        <v>6</v>
      </c>
      <c r="AN116" s="41"/>
      <c r="AO116" s="41"/>
      <c r="AP116" s="41"/>
      <c r="AQ116" s="41"/>
      <c r="AR116" s="41">
        <f t="shared" si="321"/>
        <v>0</v>
      </c>
      <c r="AS116" s="41"/>
      <c r="AT116" s="41"/>
      <c r="AU116" s="41"/>
      <c r="AV116" s="41"/>
      <c r="AW116" s="41"/>
      <c r="AX116" s="41"/>
      <c r="AY116" s="41"/>
      <c r="AZ116" s="41"/>
      <c r="BA116" s="41"/>
      <c r="BB116" s="41"/>
      <c r="BC116" s="41">
        <f t="shared" si="322"/>
        <v>0</v>
      </c>
      <c r="BD116" s="54"/>
      <c r="BE116" s="55"/>
      <c r="BF116" s="55"/>
      <c r="BG116" s="54"/>
      <c r="BH116" s="55"/>
    </row>
    <row r="117" spans="1:60" ht="12.95" customHeight="1">
      <c r="A117" s="44"/>
      <c r="B117" s="45"/>
      <c r="C117" s="451"/>
      <c r="D117" s="45"/>
      <c r="E117" s="46"/>
      <c r="F117" s="46"/>
      <c r="G117" s="47"/>
      <c r="H117" s="47"/>
      <c r="I117" s="49"/>
      <c r="J117" s="89"/>
      <c r="K117" s="89"/>
      <c r="L117" s="39"/>
      <c r="M117" s="39"/>
      <c r="N117" s="50"/>
      <c r="O117" s="51"/>
      <c r="P117" s="52"/>
      <c r="Q117" s="51"/>
      <c r="R117" s="507"/>
      <c r="S117" s="507"/>
      <c r="T117" s="41"/>
      <c r="U117" s="41"/>
      <c r="V117" s="41"/>
      <c r="W117" s="41"/>
      <c r="X117" s="508"/>
      <c r="Y117" s="218"/>
      <c r="Z117" s="41"/>
      <c r="AA117" s="53"/>
      <c r="AB117" s="53"/>
      <c r="AC117" s="41"/>
      <c r="AD117" s="41"/>
      <c r="AE117" s="237"/>
      <c r="AF117" s="41"/>
      <c r="AG117" s="41"/>
      <c r="AH117" s="41"/>
      <c r="AI117" s="509"/>
      <c r="AJ117" s="41"/>
      <c r="AK117" s="41"/>
      <c r="AL117" s="41"/>
      <c r="AM117" s="41"/>
      <c r="AN117" s="41"/>
      <c r="AO117" s="41"/>
      <c r="AP117" s="41"/>
      <c r="AQ117" s="41"/>
      <c r="AR117" s="41"/>
      <c r="AS117" s="41"/>
      <c r="AT117" s="41"/>
      <c r="AU117" s="41"/>
      <c r="AV117" s="41"/>
      <c r="AW117" s="41"/>
      <c r="AX117" s="41"/>
      <c r="AY117" s="41"/>
      <c r="AZ117" s="41"/>
      <c r="BA117" s="41"/>
      <c r="BB117" s="41"/>
      <c r="BC117" s="41"/>
      <c r="BD117" s="37"/>
      <c r="BE117" s="55"/>
      <c r="BF117" s="55"/>
      <c r="BG117" s="55"/>
      <c r="BH117" s="55"/>
    </row>
    <row r="118" spans="1:60" ht="12.95" customHeight="1">
      <c r="A118" s="44">
        <v>46043</v>
      </c>
      <c r="B118" s="45" t="s">
        <v>417</v>
      </c>
      <c r="C118" s="451">
        <f t="shared" ref="C118" si="323">(M118*E118*O118*Q118)/100000000</f>
        <v>39.509404898478266</v>
      </c>
      <c r="D118" s="45" t="s">
        <v>430</v>
      </c>
      <c r="E118" s="46">
        <v>15</v>
      </c>
      <c r="F118" s="46">
        <v>1</v>
      </c>
      <c r="G118" s="506">
        <v>1175</v>
      </c>
      <c r="H118" s="48">
        <f t="shared" ref="H118" si="324">+N118</f>
        <v>0.20999999999999996</v>
      </c>
      <c r="I118" s="49">
        <v>0.88</v>
      </c>
      <c r="J118" s="89">
        <f t="shared" ref="J118" si="325">E118*G118*(1-H118)*1440/1000000*2.75</f>
        <v>55.13805</v>
      </c>
      <c r="K118" s="89">
        <f t="shared" ref="K118" si="326">(IF(G118&lt;L118,L118,G118)*(1-IF(H118&lt;N118,H118,N118))*E118*O118*Q118)/100000000</f>
        <v>39.509404898478266</v>
      </c>
      <c r="L118" s="39">
        <v>1179.3113482056256</v>
      </c>
      <c r="M118" s="39">
        <v>931.65596508244425</v>
      </c>
      <c r="N118" s="50">
        <f t="shared" ref="N118" si="327">1-(M118/L118)</f>
        <v>0.20999999999999996</v>
      </c>
      <c r="O118" s="51">
        <f>+'Trim Rwd'!H68</f>
        <v>274.21739130434781</v>
      </c>
      <c r="P118" s="52">
        <f t="shared" ref="P118" si="328">O118*(Q118-R118-S118)</f>
        <v>275862.69565217389</v>
      </c>
      <c r="Q118" s="51">
        <v>1031</v>
      </c>
      <c r="R118" s="507">
        <v>0</v>
      </c>
      <c r="S118" s="507">
        <f>48-S119-S120</f>
        <v>25</v>
      </c>
      <c r="T118" s="41">
        <f t="shared" ref="T118" si="329">E118*M118*O118*Q118/100000000</f>
        <v>39.509404898478266</v>
      </c>
      <c r="U118" s="41">
        <f t="shared" ref="U118" si="330">E118*M118*O118*(Q118-R118-S118)/100000000</f>
        <v>38.551368892210604</v>
      </c>
      <c r="V118" s="41">
        <f t="shared" ref="V118" si="331">E118*G118*(1-N118)*O118/100*(R118+S118)/1000000</f>
        <v>0.95453360054347824</v>
      </c>
      <c r="W118" s="41">
        <f>+'21'!K16/1000</f>
        <v>42.070999999999998</v>
      </c>
      <c r="X118" s="508">
        <f>SUM(W118:W121)/SUM(K118:K121)</f>
        <v>0.93541317286663883</v>
      </c>
      <c r="Y118" s="218">
        <v>0</v>
      </c>
      <c r="Z118" s="41">
        <v>0</v>
      </c>
      <c r="AA118" s="53">
        <v>0</v>
      </c>
      <c r="AB118" s="53">
        <f>(SUM(K118:K121)-SUM(W118:W121)-SUM(Y118:Y121)-SUM(Z118:Z121)-SUM(AC118:AC121)-SUM(V118:V121))-AA118</f>
        <v>0.81352955593479392</v>
      </c>
      <c r="AC118" s="41">
        <f>K118-T118</f>
        <v>0</v>
      </c>
      <c r="AD118" s="41">
        <f>+AM118+BC118</f>
        <v>2</v>
      </c>
      <c r="AE118" s="237" t="s">
        <v>386</v>
      </c>
      <c r="AF118" s="41">
        <v>2</v>
      </c>
      <c r="AG118" s="41"/>
      <c r="AH118" s="41"/>
      <c r="AI118" s="509"/>
      <c r="AJ118" s="41"/>
      <c r="AK118" s="41"/>
      <c r="AL118" s="41"/>
      <c r="AM118" s="41">
        <f>SUM(AF118:AL118)+AT118</f>
        <v>2</v>
      </c>
      <c r="AN118" s="41"/>
      <c r="AO118" s="41"/>
      <c r="AP118" s="41"/>
      <c r="AQ118" s="41"/>
      <c r="AR118" s="41">
        <f>SUM(AN118:AQ118)</f>
        <v>0</v>
      </c>
      <c r="AS118" s="41"/>
      <c r="AT118" s="41"/>
      <c r="AU118" s="41"/>
      <c r="AV118" s="41"/>
      <c r="AW118" s="41"/>
      <c r="AX118" s="41"/>
      <c r="AY118" s="41"/>
      <c r="AZ118" s="41"/>
      <c r="BA118" s="41"/>
      <c r="BB118" s="41"/>
      <c r="BC118" s="41">
        <f>+AR118+AS118+AU118+AV118+AX118</f>
        <v>0</v>
      </c>
      <c r="BD118" s="37">
        <v>0</v>
      </c>
      <c r="BE118" s="55"/>
      <c r="BF118" s="55"/>
      <c r="BG118" s="37"/>
      <c r="BH118" s="55"/>
    </row>
    <row r="119" spans="1:60" ht="12.95" customHeight="1">
      <c r="A119" s="44"/>
      <c r="B119" s="45" t="s">
        <v>417</v>
      </c>
      <c r="C119" s="451">
        <f t="shared" ref="C119:C120" si="332">(M119*E119*O119*Q119)/100000000</f>
        <v>11.611475023499999</v>
      </c>
      <c r="D119" s="45" t="s">
        <v>430</v>
      </c>
      <c r="E119" s="46">
        <v>13.5</v>
      </c>
      <c r="F119" s="46">
        <v>1</v>
      </c>
      <c r="G119" s="506">
        <v>1305</v>
      </c>
      <c r="H119" s="48">
        <f>+N119</f>
        <v>0.20999999999999996</v>
      </c>
      <c r="I119" s="49">
        <v>0.88</v>
      </c>
      <c r="J119" s="89">
        <f t="shared" ref="J119:J120" si="333">E119*G119*(1-H119)*1440/1000000*2.75</f>
        <v>55.114587</v>
      </c>
      <c r="K119" s="89">
        <f t="shared" ref="K119:K120" si="334">(IF(G119&lt;L119,L119,G119)*(1-IF(H119&lt;N119,H119,N119))*E119*O119*Q119)/100000000</f>
        <v>12.523119756750003</v>
      </c>
      <c r="L119" s="39">
        <v>1210</v>
      </c>
      <c r="M119" s="39">
        <v>955.9</v>
      </c>
      <c r="N119" s="50">
        <f t="shared" ref="N119:N120" si="335">1-(M119/L119)</f>
        <v>0.20999999999999996</v>
      </c>
      <c r="O119" s="51">
        <f>+'Trim Rwd'!H70</f>
        <v>267</v>
      </c>
      <c r="P119" s="52">
        <f t="shared" ref="P119:P120" si="336">O119*(Q119-R119-S119)</f>
        <v>85173</v>
      </c>
      <c r="Q119" s="51">
        <v>337</v>
      </c>
      <c r="R119" s="507">
        <v>0</v>
      </c>
      <c r="S119" s="507">
        <v>18</v>
      </c>
      <c r="T119" s="41">
        <f t="shared" ref="T119:T120" si="337">E119*M119*O119*Q119/100000000</f>
        <v>11.611475023499999</v>
      </c>
      <c r="U119" s="41">
        <f t="shared" ref="U119:U120" si="338">E119*M119*O119*(Q119-R119-S119)/100000000</f>
        <v>10.991277544500001</v>
      </c>
      <c r="V119" s="41">
        <f t="shared" ref="V119:V120" si="339">E119*G119*(1-N119)*O119/100*(R119+S119)/1000000</f>
        <v>0.66889066950000009</v>
      </c>
      <c r="W119" s="41">
        <f>+'21'!K7/1000</f>
        <v>8.9149999999999991</v>
      </c>
      <c r="X119" s="42"/>
      <c r="Y119" s="218"/>
      <c r="Z119" s="41"/>
      <c r="AA119" s="41"/>
      <c r="AB119" s="41"/>
      <c r="AC119" s="41">
        <f>K119-T119</f>
        <v>0.91164473325000372</v>
      </c>
      <c r="AD119" s="41">
        <f t="shared" ref="AD119:AD121" si="340">+AM119+BC119</f>
        <v>17</v>
      </c>
      <c r="AE119" s="237" t="s">
        <v>570</v>
      </c>
      <c r="AF119" s="41"/>
      <c r="AG119" s="41">
        <v>17</v>
      </c>
      <c r="AH119" s="41"/>
      <c r="AI119" s="509"/>
      <c r="AJ119" s="41"/>
      <c r="AK119" s="41"/>
      <c r="AL119" s="41"/>
      <c r="AM119" s="41">
        <f t="shared" ref="AM119:AM121" si="341">SUM(AF119:AL119)+AT119</f>
        <v>17</v>
      </c>
      <c r="AN119" s="90"/>
      <c r="AO119" s="41"/>
      <c r="AP119" s="41"/>
      <c r="AQ119" s="41"/>
      <c r="AR119" s="41">
        <f t="shared" ref="AR119:AR121" si="342">SUM(AN119:AQ119)</f>
        <v>0</v>
      </c>
      <c r="AS119" s="41"/>
      <c r="AT119" s="41"/>
      <c r="AU119" s="41"/>
      <c r="AV119" s="41"/>
      <c r="AW119" s="41"/>
      <c r="AX119" s="41"/>
      <c r="AY119" s="41"/>
      <c r="AZ119" s="41"/>
      <c r="BA119" s="41"/>
      <c r="BB119" s="41"/>
      <c r="BC119" s="41">
        <f t="shared" ref="BC119:BC121" si="343">+AR119+AS119+AU119+AV119+AX119</f>
        <v>0</v>
      </c>
      <c r="BD119" s="54"/>
      <c r="BE119" s="55">
        <v>9</v>
      </c>
      <c r="BF119" s="55"/>
      <c r="BG119" s="54"/>
      <c r="BH119" s="55"/>
    </row>
    <row r="120" spans="1:60" ht="12.95" customHeight="1">
      <c r="A120" s="44"/>
      <c r="B120" s="45" t="s">
        <v>417</v>
      </c>
      <c r="C120" s="451">
        <f t="shared" si="332"/>
        <v>2.473870464</v>
      </c>
      <c r="D120" s="45" t="s">
        <v>430</v>
      </c>
      <c r="E120" s="46">
        <v>13</v>
      </c>
      <c r="F120" s="46">
        <v>1</v>
      </c>
      <c r="G120" s="506">
        <f>+L120</f>
        <v>1230</v>
      </c>
      <c r="H120" s="48">
        <f>+N120</f>
        <v>0.20999999999999996</v>
      </c>
      <c r="I120" s="49">
        <v>0.88</v>
      </c>
      <c r="J120" s="89">
        <f t="shared" si="333"/>
        <v>50.023116000000002</v>
      </c>
      <c r="K120" s="89">
        <f t="shared" si="334"/>
        <v>2.473870464</v>
      </c>
      <c r="L120" s="39">
        <v>1230</v>
      </c>
      <c r="M120" s="39">
        <v>971.7</v>
      </c>
      <c r="N120" s="50">
        <f t="shared" si="335"/>
        <v>0.20999999999999996</v>
      </c>
      <c r="O120" s="51">
        <f>+'Trim Rwd'!H71</f>
        <v>272</v>
      </c>
      <c r="P120" s="52">
        <f t="shared" si="336"/>
        <v>18224</v>
      </c>
      <c r="Q120" s="51">
        <v>72</v>
      </c>
      <c r="R120" s="507">
        <v>0</v>
      </c>
      <c r="S120" s="507">
        <v>5</v>
      </c>
      <c r="T120" s="41">
        <f t="shared" si="337"/>
        <v>2.473870464</v>
      </c>
      <c r="U120" s="41">
        <f t="shared" si="338"/>
        <v>2.3020739040000002</v>
      </c>
      <c r="V120" s="41">
        <f t="shared" si="339"/>
        <v>0.17179656000000001</v>
      </c>
      <c r="W120" s="41">
        <f>+'20'!K23/1000</f>
        <v>0</v>
      </c>
      <c r="X120" s="42"/>
      <c r="Y120" s="218"/>
      <c r="Z120" s="41"/>
      <c r="AA120" s="41"/>
      <c r="AB120" s="41"/>
      <c r="AC120" s="41">
        <f>K120-T120</f>
        <v>0</v>
      </c>
      <c r="AD120" s="41">
        <f t="shared" si="340"/>
        <v>23</v>
      </c>
      <c r="AE120" s="237" t="s">
        <v>420</v>
      </c>
      <c r="AF120" s="37"/>
      <c r="AG120" s="37"/>
      <c r="AH120" s="37">
        <v>23</v>
      </c>
      <c r="AJ120" s="41"/>
      <c r="AK120" s="41"/>
      <c r="AL120" s="41"/>
      <c r="AM120" s="41">
        <f t="shared" si="341"/>
        <v>23</v>
      </c>
      <c r="AN120" s="41"/>
      <c r="AO120" s="41"/>
      <c r="AP120" s="41"/>
      <c r="AQ120" s="41"/>
      <c r="AR120" s="41">
        <f t="shared" si="342"/>
        <v>0</v>
      </c>
      <c r="AS120" s="41"/>
      <c r="AT120" s="41"/>
      <c r="AU120" s="41"/>
      <c r="AV120" s="41"/>
      <c r="AW120" s="41"/>
      <c r="AX120" s="41"/>
      <c r="AY120" s="41"/>
      <c r="AZ120" s="41"/>
      <c r="BA120" s="41"/>
      <c r="BB120" s="41"/>
      <c r="BC120" s="41">
        <f t="shared" si="343"/>
        <v>0</v>
      </c>
      <c r="BD120" s="37"/>
      <c r="BE120" s="510"/>
      <c r="BF120" s="510"/>
      <c r="BG120" s="37"/>
      <c r="BH120" s="510"/>
    </row>
    <row r="121" spans="1:60" ht="12.95" customHeight="1">
      <c r="A121" s="44"/>
      <c r="B121" s="45"/>
      <c r="C121" s="451"/>
      <c r="D121" s="45"/>
      <c r="E121" s="46"/>
      <c r="F121" s="46"/>
      <c r="G121" s="47"/>
      <c r="H121" s="48"/>
      <c r="I121" s="49"/>
      <c r="J121" s="89"/>
      <c r="K121" s="89"/>
      <c r="L121" s="39"/>
      <c r="M121" s="39"/>
      <c r="N121" s="50"/>
      <c r="O121" s="51"/>
      <c r="P121" s="52"/>
      <c r="Q121" s="38"/>
      <c r="R121" s="507"/>
      <c r="S121" s="507"/>
      <c r="T121" s="41"/>
      <c r="U121" s="41"/>
      <c r="V121" s="41"/>
      <c r="W121" s="41"/>
      <c r="X121" s="42"/>
      <c r="Y121" s="218"/>
      <c r="Z121" s="41"/>
      <c r="AA121" s="41"/>
      <c r="AB121" s="41"/>
      <c r="AC121" s="41"/>
      <c r="AD121" s="41">
        <f t="shared" si="340"/>
        <v>6</v>
      </c>
      <c r="AE121" s="240" t="s">
        <v>225</v>
      </c>
      <c r="AF121" s="41"/>
      <c r="AG121" s="41"/>
      <c r="AH121" s="41"/>
      <c r="AI121" s="509">
        <v>6</v>
      </c>
      <c r="AJ121" s="41"/>
      <c r="AK121" s="41"/>
      <c r="AL121" s="41"/>
      <c r="AM121" s="41">
        <f t="shared" si="341"/>
        <v>6</v>
      </c>
      <c r="AN121" s="41"/>
      <c r="AO121" s="41"/>
      <c r="AP121" s="41"/>
      <c r="AQ121" s="41"/>
      <c r="AR121" s="41">
        <f t="shared" si="342"/>
        <v>0</v>
      </c>
      <c r="AS121" s="41"/>
      <c r="AT121" s="41"/>
      <c r="AU121" s="41"/>
      <c r="AV121" s="41"/>
      <c r="AW121" s="41"/>
      <c r="AX121" s="41"/>
      <c r="AY121" s="41"/>
      <c r="AZ121" s="41"/>
      <c r="BA121" s="41"/>
      <c r="BB121" s="41"/>
      <c r="BC121" s="41">
        <f t="shared" si="343"/>
        <v>0</v>
      </c>
      <c r="BD121" s="54"/>
      <c r="BE121" s="55"/>
      <c r="BF121" s="55"/>
      <c r="BG121" s="54"/>
      <c r="BH121" s="55"/>
    </row>
    <row r="122" spans="1:60" ht="12.95" customHeight="1">
      <c r="A122" s="44"/>
      <c r="B122" s="3"/>
      <c r="C122" s="451"/>
      <c r="D122" s="45"/>
      <c r="E122" s="46"/>
      <c r="F122" s="46"/>
      <c r="G122" s="47"/>
      <c r="H122" s="47"/>
      <c r="I122" s="49"/>
      <c r="J122" s="89"/>
      <c r="K122" s="89"/>
      <c r="L122" s="39"/>
      <c r="M122" s="39"/>
      <c r="N122" s="50"/>
      <c r="O122" s="51"/>
      <c r="P122" s="52"/>
      <c r="Q122" s="38"/>
      <c r="R122" s="507"/>
      <c r="S122" s="507"/>
      <c r="T122" s="41"/>
      <c r="U122" s="41"/>
      <c r="V122" s="41"/>
      <c r="W122" s="41"/>
      <c r="X122" s="42"/>
      <c r="Y122" s="42"/>
      <c r="Z122" s="41"/>
      <c r="AA122" s="53"/>
      <c r="AB122" s="53"/>
      <c r="AC122" s="41"/>
      <c r="AD122" s="41"/>
      <c r="AE122" s="24"/>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37"/>
      <c r="BE122" s="55"/>
      <c r="BF122" s="55"/>
      <c r="BG122" s="55"/>
      <c r="BH122" s="55"/>
    </row>
    <row r="123" spans="1:60" ht="12.95" customHeight="1">
      <c r="A123" s="44">
        <v>46044</v>
      </c>
      <c r="B123" s="45" t="s">
        <v>417</v>
      </c>
      <c r="C123" s="451">
        <f t="shared" ref="C123" si="344">(M123*E123*O123*Q123)/100000000</f>
        <v>51.354600959999999</v>
      </c>
      <c r="D123" s="45" t="s">
        <v>430</v>
      </c>
      <c r="E123" s="46">
        <v>13</v>
      </c>
      <c r="F123" s="46">
        <v>1</v>
      </c>
      <c r="G123" s="506">
        <f>+L123</f>
        <v>1276.6666666666667</v>
      </c>
      <c r="H123" s="48">
        <f>+N123</f>
        <v>0.20999999999999996</v>
      </c>
      <c r="I123" s="49">
        <v>0.88</v>
      </c>
      <c r="J123" s="89">
        <f t="shared" ref="J123" si="345">E123*G123*(1-H123)*1440/1000000*2.75</f>
        <v>51.921012000000012</v>
      </c>
      <c r="K123" s="89">
        <f t="shared" ref="K123" si="346">(IF(G123&lt;L123,L123,G123)*(1-IF(H123&lt;N123,H123,N123))*E123*O123*Q123)/100000000</f>
        <v>51.354600959999999</v>
      </c>
      <c r="L123" s="39">
        <v>1276.6666666666667</v>
      </c>
      <c r="M123" s="39">
        <v>1008.5666666666667</v>
      </c>
      <c r="N123" s="50">
        <f t="shared" ref="N123" si="347">1-(M123/L123)</f>
        <v>0.20999999999999996</v>
      </c>
      <c r="O123" s="51">
        <f>+'Trim Rwd'!H73</f>
        <v>272</v>
      </c>
      <c r="P123" s="52">
        <f t="shared" ref="P123" si="348">O123*(Q123-R123-S123)</f>
        <v>374544</v>
      </c>
      <c r="Q123" s="51">
        <v>1440</v>
      </c>
      <c r="R123" s="507">
        <v>0</v>
      </c>
      <c r="S123" s="507">
        <v>63</v>
      </c>
      <c r="T123" s="41">
        <f t="shared" ref="T123" si="349">E123*M123*O123*Q123/100000000</f>
        <v>51.354600959999999</v>
      </c>
      <c r="U123" s="41">
        <f t="shared" ref="U123" si="350">E123*M123*O123*(Q123-R123-S123)/100000000</f>
        <v>49.107837168000003</v>
      </c>
      <c r="V123" s="41">
        <f t="shared" ref="V123" si="351">E123*G123*(1-N123)*O123/100*(R123+S123)/1000000</f>
        <v>2.2467637920000003</v>
      </c>
      <c r="W123" s="41">
        <f>+'22'!K21/1000</f>
        <v>45.847000000000001</v>
      </c>
      <c r="X123" s="508">
        <f>SUM(W123:W126)/SUM(K123:K126)</f>
        <v>0.94571857422918626</v>
      </c>
      <c r="Y123" s="218">
        <v>0</v>
      </c>
      <c r="Z123" s="41">
        <v>0</v>
      </c>
      <c r="AA123" s="53">
        <v>0</v>
      </c>
      <c r="AB123" s="53">
        <f>(SUM(K123:K126)-SUM(W123:W126)-SUM(Y123:Y126)-SUM(Z123:Z126)-SUM(AC123:AC126)-SUM(V123:V126))-AA123</f>
        <v>0.54083716799999859</v>
      </c>
      <c r="AC123" s="41">
        <f>K123-T123</f>
        <v>0</v>
      </c>
      <c r="AD123" s="41">
        <f>+AM123+BC123</f>
        <v>10</v>
      </c>
      <c r="AE123" s="237" t="s">
        <v>394</v>
      </c>
      <c r="AF123" s="41">
        <v>10</v>
      </c>
      <c r="AG123" s="41"/>
      <c r="AH123" s="41"/>
      <c r="AI123" s="509"/>
      <c r="AJ123" s="41"/>
      <c r="AK123" s="41"/>
      <c r="AL123" s="41"/>
      <c r="AM123" s="41">
        <f>SUM(AF123:AL123)+AT123</f>
        <v>10</v>
      </c>
      <c r="AN123" s="41"/>
      <c r="AO123" s="41"/>
      <c r="AP123" s="41"/>
      <c r="AQ123" s="41"/>
      <c r="AR123" s="41">
        <f>SUM(AN123:AQ123)</f>
        <v>0</v>
      </c>
      <c r="AS123" s="41"/>
      <c r="AT123" s="41"/>
      <c r="AU123" s="41"/>
      <c r="AV123" s="41"/>
      <c r="AW123" s="41"/>
      <c r="AX123" s="41"/>
      <c r="AY123" s="41"/>
      <c r="AZ123" s="41"/>
      <c r="BA123" s="41"/>
      <c r="BB123" s="41"/>
      <c r="BC123" s="41">
        <f>+AR123+AS123+AU123+AV123+AX123</f>
        <v>0</v>
      </c>
      <c r="BD123" s="37">
        <v>2</v>
      </c>
      <c r="BE123" s="55"/>
      <c r="BF123" s="55"/>
      <c r="BG123" s="37"/>
      <c r="BH123" s="55"/>
    </row>
    <row r="124" spans="1:60" ht="12.95" customHeight="1">
      <c r="A124" s="44"/>
      <c r="B124" s="45" t="s">
        <v>417</v>
      </c>
      <c r="C124" s="451"/>
      <c r="D124" s="45"/>
      <c r="E124" s="46">
        <v>13.5</v>
      </c>
      <c r="F124" s="46"/>
      <c r="G124" s="506"/>
      <c r="H124" s="48"/>
      <c r="I124" s="49"/>
      <c r="J124" s="89"/>
      <c r="K124" s="89"/>
      <c r="L124" s="39"/>
      <c r="M124" s="39"/>
      <c r="N124" s="50"/>
      <c r="O124" s="51"/>
      <c r="P124" s="52"/>
      <c r="Q124" s="51"/>
      <c r="R124" s="507"/>
      <c r="S124" s="507"/>
      <c r="T124" s="41"/>
      <c r="U124" s="41"/>
      <c r="V124" s="41"/>
      <c r="W124" s="41">
        <f>+'22'!K7/1000</f>
        <v>2.72</v>
      </c>
      <c r="X124" s="42"/>
      <c r="Y124" s="218"/>
      <c r="Z124" s="41"/>
      <c r="AA124" s="41"/>
      <c r="AB124" s="41"/>
      <c r="AC124" s="41">
        <f>K124-T124</f>
        <v>0</v>
      </c>
      <c r="AD124" s="41">
        <f t="shared" ref="AD124:AD126" si="352">+AM124+BC124</f>
        <v>17</v>
      </c>
      <c r="AE124" s="237" t="s">
        <v>570</v>
      </c>
      <c r="AF124" s="41"/>
      <c r="AG124" s="41">
        <v>17</v>
      </c>
      <c r="AH124" s="41"/>
      <c r="AI124" s="509"/>
      <c r="AJ124" s="41"/>
      <c r="AK124" s="41"/>
      <c r="AL124" s="41"/>
      <c r="AM124" s="41">
        <f t="shared" ref="AM124:AM126" si="353">SUM(AF124:AL124)+AT124</f>
        <v>17</v>
      </c>
      <c r="AN124" s="90"/>
      <c r="AO124" s="41"/>
      <c r="AP124" s="41"/>
      <c r="AQ124" s="41"/>
      <c r="AR124" s="41">
        <f t="shared" ref="AR124:AR126" si="354">SUM(AN124:AQ124)</f>
        <v>0</v>
      </c>
      <c r="AS124" s="41"/>
      <c r="AT124" s="41"/>
      <c r="AU124" s="41"/>
      <c r="AV124" s="41"/>
      <c r="AW124" s="41"/>
      <c r="AX124" s="41"/>
      <c r="AY124" s="41"/>
      <c r="AZ124" s="41"/>
      <c r="BA124" s="41"/>
      <c r="BB124" s="41"/>
      <c r="BC124" s="41">
        <f t="shared" ref="BC124:BC126" si="355">+AR124+AS124+AU124+AV124+AX124</f>
        <v>0</v>
      </c>
      <c r="BD124" s="54"/>
      <c r="BE124" s="55">
        <v>9</v>
      </c>
      <c r="BF124" s="55"/>
      <c r="BG124" s="54"/>
      <c r="BH124" s="55"/>
    </row>
    <row r="125" spans="1:60" ht="12.95" customHeight="1">
      <c r="A125" s="44"/>
      <c r="B125" s="45"/>
      <c r="C125" s="451"/>
      <c r="D125" s="45"/>
      <c r="E125" s="46"/>
      <c r="F125" s="46"/>
      <c r="G125" s="506"/>
      <c r="H125" s="48"/>
      <c r="I125" s="49"/>
      <c r="J125" s="89"/>
      <c r="K125" s="89"/>
      <c r="L125" s="39"/>
      <c r="M125" s="39"/>
      <c r="N125" s="50"/>
      <c r="O125" s="51"/>
      <c r="P125" s="52"/>
      <c r="Q125" s="51"/>
      <c r="R125" s="507"/>
      <c r="S125" s="507"/>
      <c r="T125" s="41"/>
      <c r="U125" s="41"/>
      <c r="V125" s="41"/>
      <c r="W125" s="41"/>
      <c r="X125" s="42"/>
      <c r="Y125" s="218"/>
      <c r="Z125" s="41"/>
      <c r="AA125" s="41"/>
      <c r="AB125" s="41"/>
      <c r="AC125" s="41"/>
      <c r="AD125" s="41">
        <f t="shared" si="352"/>
        <v>28</v>
      </c>
      <c r="AE125" s="237" t="s">
        <v>457</v>
      </c>
      <c r="AF125" s="37"/>
      <c r="AG125" s="37"/>
      <c r="AH125" s="37">
        <v>28</v>
      </c>
      <c r="AJ125" s="41"/>
      <c r="AK125" s="41"/>
      <c r="AL125" s="41"/>
      <c r="AM125" s="41">
        <f t="shared" si="353"/>
        <v>28</v>
      </c>
      <c r="AN125" s="41"/>
      <c r="AO125" s="41"/>
      <c r="AP125" s="41"/>
      <c r="AQ125" s="41"/>
      <c r="AR125" s="41">
        <f t="shared" si="354"/>
        <v>0</v>
      </c>
      <c r="AS125" s="41"/>
      <c r="AT125" s="41"/>
      <c r="AU125" s="41"/>
      <c r="AV125" s="41"/>
      <c r="AW125" s="41"/>
      <c r="AX125" s="41"/>
      <c r="AY125" s="41"/>
      <c r="AZ125" s="41"/>
      <c r="BA125" s="41"/>
      <c r="BB125" s="41"/>
      <c r="BC125" s="41">
        <f t="shared" si="355"/>
        <v>0</v>
      </c>
      <c r="BD125" s="37"/>
      <c r="BE125" s="510"/>
      <c r="BF125" s="510"/>
      <c r="BG125" s="37"/>
      <c r="BH125" s="510"/>
    </row>
    <row r="126" spans="1:60" ht="12.95" customHeight="1">
      <c r="A126" s="44"/>
      <c r="B126" s="45"/>
      <c r="C126" s="451"/>
      <c r="D126" s="45"/>
      <c r="E126" s="46"/>
      <c r="F126" s="46"/>
      <c r="G126" s="47"/>
      <c r="H126" s="48"/>
      <c r="I126" s="49"/>
      <c r="J126" s="89"/>
      <c r="K126" s="89"/>
      <c r="L126" s="39"/>
      <c r="M126" s="39"/>
      <c r="N126" s="50"/>
      <c r="O126" s="51"/>
      <c r="P126" s="52"/>
      <c r="Q126" s="38"/>
      <c r="R126" s="507"/>
      <c r="S126" s="507"/>
      <c r="T126" s="41"/>
      <c r="U126" s="41"/>
      <c r="V126" s="41"/>
      <c r="W126" s="41"/>
      <c r="X126" s="42"/>
      <c r="Y126" s="218"/>
      <c r="Z126" s="41"/>
      <c r="AA126" s="41"/>
      <c r="AB126" s="41"/>
      <c r="AC126" s="41"/>
      <c r="AD126" s="41">
        <f t="shared" si="352"/>
        <v>8</v>
      </c>
      <c r="AE126" s="240" t="s">
        <v>225</v>
      </c>
      <c r="AF126" s="41"/>
      <c r="AG126" s="41"/>
      <c r="AH126" s="41"/>
      <c r="AI126" s="509">
        <v>8</v>
      </c>
      <c r="AJ126" s="41"/>
      <c r="AK126" s="41"/>
      <c r="AL126" s="41"/>
      <c r="AM126" s="41">
        <f t="shared" si="353"/>
        <v>8</v>
      </c>
      <c r="AN126" s="41"/>
      <c r="AO126" s="41"/>
      <c r="AP126" s="41"/>
      <c r="AQ126" s="41"/>
      <c r="AR126" s="41">
        <f t="shared" si="354"/>
        <v>0</v>
      </c>
      <c r="AS126" s="41"/>
      <c r="AT126" s="41"/>
      <c r="AU126" s="41"/>
      <c r="AV126" s="41"/>
      <c r="AW126" s="41"/>
      <c r="AX126" s="41"/>
      <c r="AY126" s="41"/>
      <c r="AZ126" s="41"/>
      <c r="BA126" s="41"/>
      <c r="BB126" s="41"/>
      <c r="BC126" s="41">
        <f t="shared" si="355"/>
        <v>0</v>
      </c>
      <c r="BD126" s="54"/>
      <c r="BE126" s="55"/>
      <c r="BF126" s="55"/>
      <c r="BG126" s="54"/>
      <c r="BH126" s="55"/>
    </row>
    <row r="127" spans="1:60" ht="12.95" customHeight="1">
      <c r="A127" s="44"/>
      <c r="B127" s="561"/>
      <c r="C127" s="451"/>
      <c r="D127" s="45"/>
      <c r="E127" s="46"/>
      <c r="F127" s="46"/>
      <c r="G127" s="47"/>
      <c r="H127" s="47"/>
      <c r="I127" s="49"/>
      <c r="J127" s="89"/>
      <c r="K127" s="89"/>
      <c r="L127" s="39"/>
      <c r="M127" s="39"/>
      <c r="N127" s="50"/>
      <c r="O127" s="51"/>
      <c r="P127" s="52"/>
      <c r="Q127" s="38"/>
      <c r="R127" s="507"/>
      <c r="S127" s="507"/>
      <c r="T127" s="41"/>
      <c r="U127" s="41"/>
      <c r="V127" s="41"/>
      <c r="W127" s="41"/>
      <c r="X127" s="42"/>
      <c r="Y127" s="42"/>
      <c r="Z127" s="41"/>
      <c r="AA127" s="53"/>
      <c r="AB127" s="53"/>
      <c r="AC127" s="41"/>
      <c r="AD127" s="41"/>
      <c r="AE127" s="24"/>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37"/>
      <c r="BE127" s="55"/>
      <c r="BF127" s="55"/>
      <c r="BG127" s="55"/>
      <c r="BH127" s="55"/>
    </row>
    <row r="128" spans="1:60" ht="12.95" customHeight="1">
      <c r="A128" s="44">
        <v>46045</v>
      </c>
      <c r="B128" s="45" t="s">
        <v>417</v>
      </c>
      <c r="C128" s="451">
        <f t="shared" ref="C128" si="356">(M128*E128*O128*Q128)/100000000</f>
        <v>7.8048713599999999</v>
      </c>
      <c r="D128" s="45" t="s">
        <v>430</v>
      </c>
      <c r="E128" s="46">
        <v>13</v>
      </c>
      <c r="F128" s="46">
        <v>1</v>
      </c>
      <c r="G128" s="506">
        <f>+L128</f>
        <v>1270</v>
      </c>
      <c r="H128" s="48">
        <f>+N128</f>
        <v>0.21000000000000008</v>
      </c>
      <c r="I128" s="49">
        <v>0.88</v>
      </c>
      <c r="J128" s="89">
        <f t="shared" ref="J128" si="357">E128*G128*(1-H128)*1440/1000000*2.75</f>
        <v>51.649884</v>
      </c>
      <c r="K128" s="89">
        <f t="shared" ref="K128" si="358">(IF(G128&lt;L128,L128,G128)*(1-IF(H128&lt;N128,H128,N128))*E128*O128*Q128)/100000000</f>
        <v>7.8048713599999999</v>
      </c>
      <c r="L128" s="39">
        <v>1270</v>
      </c>
      <c r="M128" s="39">
        <v>1003.3</v>
      </c>
      <c r="N128" s="50">
        <f t="shared" ref="N128" si="359">1-(M128/L128)</f>
        <v>0.21000000000000008</v>
      </c>
      <c r="O128" s="51">
        <f>+'Trim Rwd'!H78</f>
        <v>272</v>
      </c>
      <c r="P128" s="52">
        <f t="shared" ref="P128" si="360">O128*(Q128-R128-S128)</f>
        <v>56576</v>
      </c>
      <c r="Q128" s="51">
        <v>220</v>
      </c>
      <c r="R128" s="507">
        <v>0</v>
      </c>
      <c r="S128" s="507">
        <v>12</v>
      </c>
      <c r="T128" s="41">
        <f t="shared" ref="T128" si="361">E128*M128*O128*Q128/100000000</f>
        <v>7.8048713599999999</v>
      </c>
      <c r="U128" s="41">
        <f t="shared" ref="U128" si="362">E128*M128*O128*(Q128-R128-S128)/100000000</f>
        <v>7.379151104</v>
      </c>
      <c r="V128" s="41">
        <f t="shared" ref="V128" si="363">E128*G128*(1-N128)*O128/100*(R128+S128)/1000000</f>
        <v>0.42572025599999991</v>
      </c>
      <c r="W128" s="41">
        <f>+'23'!K21/1000</f>
        <v>10.394</v>
      </c>
      <c r="X128" s="508">
        <f>SUM(W128:W131)/SUM(K128:K131)</f>
        <v>0.90487851529879437</v>
      </c>
      <c r="Y128" s="218">
        <v>0</v>
      </c>
      <c r="Z128" s="41">
        <v>0</v>
      </c>
      <c r="AA128" s="53">
        <v>0</v>
      </c>
      <c r="AB128" s="53">
        <f>(SUM(K128:K131)-SUM(W128:W131)-SUM(Y128:Y131)-SUM(Z128:Z131)-SUM(AC128:AC131)-SUM(V128:V131))-AA128</f>
        <v>-1.4341993575384626</v>
      </c>
      <c r="AC128" s="41">
        <f>K128-T128</f>
        <v>0</v>
      </c>
      <c r="AD128" s="41">
        <f>+AM128+BC128</f>
        <v>0</v>
      </c>
      <c r="AE128" s="237" t="s">
        <v>386</v>
      </c>
      <c r="AF128" s="41">
        <v>0</v>
      </c>
      <c r="AG128" s="41"/>
      <c r="AH128" s="41"/>
      <c r="AI128" s="509"/>
      <c r="AJ128" s="41"/>
      <c r="AK128" s="41"/>
      <c r="AL128" s="41"/>
      <c r="AM128" s="41">
        <f>SUM(AF128:AL128)+AT128</f>
        <v>0</v>
      </c>
      <c r="AN128" s="41"/>
      <c r="AO128" s="41"/>
      <c r="AP128" s="41"/>
      <c r="AQ128" s="41"/>
      <c r="AR128" s="41">
        <f>SUM(AN128:AQ128)</f>
        <v>0</v>
      </c>
      <c r="AS128" s="41"/>
      <c r="AT128" s="41"/>
      <c r="AU128" s="41"/>
      <c r="AV128" s="41"/>
      <c r="AW128" s="41"/>
      <c r="AX128" s="41"/>
      <c r="AY128" s="41"/>
      <c r="AZ128" s="41"/>
      <c r="BA128" s="41"/>
      <c r="BB128" s="41"/>
      <c r="BC128" s="41">
        <f>+AR128+AS128+AU128+AV128+AX128</f>
        <v>0</v>
      </c>
      <c r="BD128" s="37">
        <v>0</v>
      </c>
      <c r="BE128" s="55"/>
      <c r="BF128" s="55"/>
      <c r="BG128" s="37"/>
      <c r="BH128" s="55"/>
    </row>
    <row r="129" spans="1:60" ht="12.95" customHeight="1">
      <c r="A129" s="44"/>
      <c r="B129" s="45" t="s">
        <v>417</v>
      </c>
      <c r="C129" s="451">
        <f t="shared" ref="C129" si="364">(M129*E129*O129*Q129)/100000000</f>
        <v>38.435977439999995</v>
      </c>
      <c r="D129" s="45" t="s">
        <v>430</v>
      </c>
      <c r="E129" s="46">
        <v>13.5</v>
      </c>
      <c r="F129" s="46">
        <v>1</v>
      </c>
      <c r="G129" s="506">
        <v>1270</v>
      </c>
      <c r="H129" s="48">
        <f>+N129</f>
        <v>0.21000000000000008</v>
      </c>
      <c r="I129" s="49">
        <v>0.88</v>
      </c>
      <c r="J129" s="89">
        <f t="shared" ref="J129" si="365">E129*G129*(1-H129)*1440/1000000*2.75</f>
        <v>53.636418000000006</v>
      </c>
      <c r="K129" s="89">
        <f t="shared" ref="K129" si="366">(IF(G129&lt;L129,L129,G129)*(1-IF(H129&lt;N129,H129,N129))*E129*O129*Q129)/100000000</f>
        <v>42.70909181538461</v>
      </c>
      <c r="L129" s="39">
        <v>1142.9344262295083</v>
      </c>
      <c r="M129" s="39">
        <v>902.91819672131146</v>
      </c>
      <c r="N129" s="50">
        <f t="shared" ref="N129" si="367">1-(M129/L129)</f>
        <v>0.21000000000000008</v>
      </c>
      <c r="O129" s="51">
        <f>+'Trim Rwd'!H76</f>
        <v>258.46153846153845</v>
      </c>
      <c r="P129" s="52">
        <f t="shared" ref="P129" si="368">O129*(Q129-R129-S129)</f>
        <v>303950.76923076925</v>
      </c>
      <c r="Q129" s="51">
        <v>1220</v>
      </c>
      <c r="R129" s="507">
        <v>0</v>
      </c>
      <c r="S129" s="507">
        <f>166-122</f>
        <v>44</v>
      </c>
      <c r="T129" s="41">
        <f t="shared" ref="T129" si="369">E129*M129*O129*Q129/100000000</f>
        <v>38.435977439999995</v>
      </c>
      <c r="U129" s="41">
        <f t="shared" ref="U129" si="370">E129*M129*O129*(Q129-R129-S129)/100000000</f>
        <v>37.049761860196718</v>
      </c>
      <c r="V129" s="41">
        <f t="shared" ref="V129" si="371">E129*G129*(1-N129)*O129/100*(R129+S129)/1000000</f>
        <v>1.5403279015384614</v>
      </c>
      <c r="W129" s="41">
        <f>+'23'!K7/1000</f>
        <v>35.314999999999998</v>
      </c>
      <c r="X129" s="42"/>
      <c r="Y129" s="218"/>
      <c r="Z129" s="41"/>
      <c r="AA129" s="41"/>
      <c r="AB129" s="41"/>
      <c r="AC129" s="41">
        <f>K129-T129</f>
        <v>4.2731143753846155</v>
      </c>
      <c r="AD129" s="41">
        <f t="shared" ref="AD129:AD132" si="372">+AM129+BC129</f>
        <v>15</v>
      </c>
      <c r="AE129" s="237" t="s">
        <v>640</v>
      </c>
      <c r="AF129" s="41"/>
      <c r="AG129" s="41">
        <v>15</v>
      </c>
      <c r="AH129" s="41"/>
      <c r="AI129" s="509"/>
      <c r="AJ129" s="41"/>
      <c r="AK129" s="41"/>
      <c r="AL129" s="41"/>
      <c r="AM129" s="41">
        <f t="shared" ref="AM129:AM131" si="373">SUM(AF129:AL129)+AT129</f>
        <v>15</v>
      </c>
      <c r="AN129" s="90"/>
      <c r="AO129" s="41"/>
      <c r="AP129" s="41"/>
      <c r="AQ129" s="41"/>
      <c r="AR129" s="41">
        <f t="shared" ref="AR129:AR131" si="374">SUM(AN129:AQ129)</f>
        <v>0</v>
      </c>
      <c r="AS129" s="41"/>
      <c r="AT129" s="41"/>
      <c r="AU129" s="41"/>
      <c r="AV129" s="41"/>
      <c r="AW129" s="41"/>
      <c r="AX129" s="41"/>
      <c r="AY129" s="41"/>
      <c r="AZ129" s="41"/>
      <c r="BA129" s="41"/>
      <c r="BB129" s="41"/>
      <c r="BC129" s="41">
        <f t="shared" ref="BC129:BC131" si="375">+AR129+AS129+AU129+AV129+AX129</f>
        <v>0</v>
      </c>
      <c r="BD129" s="54"/>
      <c r="BE129" s="55">
        <v>10</v>
      </c>
      <c r="BF129" s="55"/>
      <c r="BG129" s="54"/>
      <c r="BH129" s="55"/>
    </row>
    <row r="130" spans="1:60" ht="12.95" customHeight="1">
      <c r="A130" s="44"/>
      <c r="B130" s="45"/>
      <c r="C130" s="451"/>
      <c r="D130" s="45"/>
      <c r="E130" s="46"/>
      <c r="F130" s="46"/>
      <c r="G130" s="506"/>
      <c r="H130" s="48"/>
      <c r="I130" s="49"/>
      <c r="J130" s="89"/>
      <c r="K130" s="89"/>
      <c r="L130" s="39"/>
      <c r="M130" s="39"/>
      <c r="N130" s="50"/>
      <c r="O130" s="51"/>
      <c r="P130" s="52"/>
      <c r="Q130" s="51"/>
      <c r="R130" s="507"/>
      <c r="S130" s="507"/>
      <c r="T130" s="41"/>
      <c r="U130" s="41"/>
      <c r="V130" s="41"/>
      <c r="W130" s="41"/>
      <c r="X130" s="42"/>
      <c r="Y130" s="218"/>
      <c r="Z130" s="41"/>
      <c r="AA130" s="41"/>
      <c r="AB130" s="41"/>
      <c r="AC130" s="41"/>
      <c r="AD130" s="41">
        <f t="shared" si="372"/>
        <v>27</v>
      </c>
      <c r="AE130" s="237" t="s">
        <v>674</v>
      </c>
      <c r="AF130" s="37"/>
      <c r="AG130" s="37"/>
      <c r="AH130" s="37">
        <v>27</v>
      </c>
      <c r="AJ130" s="41"/>
      <c r="AK130" s="41"/>
      <c r="AL130" s="41"/>
      <c r="AM130" s="41">
        <f t="shared" si="373"/>
        <v>27</v>
      </c>
      <c r="AN130" s="41"/>
      <c r="AO130" s="41"/>
      <c r="AP130" s="41"/>
      <c r="AQ130" s="41"/>
      <c r="AR130" s="41">
        <f t="shared" si="374"/>
        <v>0</v>
      </c>
      <c r="AS130" s="41"/>
      <c r="AT130" s="41"/>
      <c r="AU130" s="41"/>
      <c r="AV130" s="41"/>
      <c r="AW130" s="41"/>
      <c r="AX130" s="41"/>
      <c r="AY130" s="41"/>
      <c r="AZ130" s="41"/>
      <c r="BA130" s="41"/>
      <c r="BB130" s="41"/>
      <c r="BC130" s="41">
        <f t="shared" si="375"/>
        <v>0</v>
      </c>
      <c r="BD130" s="37"/>
      <c r="BE130" s="510"/>
      <c r="BF130" s="510"/>
      <c r="BG130" s="37"/>
      <c r="BH130" s="510"/>
    </row>
    <row r="131" spans="1:60" ht="15.75" customHeight="1">
      <c r="A131" s="44"/>
      <c r="B131" s="45"/>
      <c r="C131" s="451"/>
      <c r="D131" s="45"/>
      <c r="E131" s="46"/>
      <c r="F131" s="46"/>
      <c r="G131" s="47"/>
      <c r="H131" s="48"/>
      <c r="I131" s="49"/>
      <c r="J131" s="89"/>
      <c r="K131" s="89"/>
      <c r="L131" s="39"/>
      <c r="M131" s="39"/>
      <c r="N131" s="50"/>
      <c r="O131" s="51"/>
      <c r="P131" s="52"/>
      <c r="Q131" s="38"/>
      <c r="R131" s="507"/>
      <c r="S131" s="507"/>
      <c r="T131" s="41"/>
      <c r="U131" s="41"/>
      <c r="V131" s="41"/>
      <c r="W131" s="41"/>
      <c r="X131" s="42"/>
      <c r="Y131" s="218"/>
      <c r="Z131" s="41"/>
      <c r="AA131" s="41"/>
      <c r="AB131" s="41"/>
      <c r="AC131" s="41"/>
      <c r="AD131" s="41">
        <f t="shared" si="372"/>
        <v>14</v>
      </c>
      <c r="AE131" s="240" t="s">
        <v>225</v>
      </c>
      <c r="AF131" s="41"/>
      <c r="AG131" s="41"/>
      <c r="AH131" s="41"/>
      <c r="AI131" s="509">
        <v>14</v>
      </c>
      <c r="AJ131" s="41"/>
      <c r="AK131" s="41"/>
      <c r="AL131" s="41"/>
      <c r="AM131" s="41">
        <f t="shared" si="373"/>
        <v>14</v>
      </c>
      <c r="AN131" s="41"/>
      <c r="AO131" s="41"/>
      <c r="AP131" s="41"/>
      <c r="AQ131" s="41"/>
      <c r="AR131" s="41">
        <f t="shared" si="374"/>
        <v>0</v>
      </c>
      <c r="AS131" s="41"/>
      <c r="AT131" s="41"/>
      <c r="AU131" s="41"/>
      <c r="AV131" s="41"/>
      <c r="AW131" s="41"/>
      <c r="AX131" s="41"/>
      <c r="AY131" s="41"/>
      <c r="AZ131" s="41"/>
      <c r="BA131" s="41"/>
      <c r="BB131" s="41"/>
      <c r="BC131" s="41">
        <f t="shared" si="375"/>
        <v>0</v>
      </c>
      <c r="BD131" s="54"/>
      <c r="BE131" s="55"/>
      <c r="BF131" s="55"/>
      <c r="BG131" s="54"/>
      <c r="BH131" s="55"/>
    </row>
    <row r="132" spans="1:60" ht="12.95" customHeight="1">
      <c r="A132" s="44"/>
      <c r="B132" s="45"/>
      <c r="C132" s="451"/>
      <c r="D132" s="45"/>
      <c r="E132" s="46"/>
      <c r="F132" s="46"/>
      <c r="G132" s="47"/>
      <c r="H132" s="48"/>
      <c r="I132" s="49"/>
      <c r="J132" s="89"/>
      <c r="K132" s="89"/>
      <c r="L132" s="39"/>
      <c r="M132" s="39"/>
      <c r="N132" s="50"/>
      <c r="O132" s="51"/>
      <c r="P132" s="52"/>
      <c r="Q132" s="38"/>
      <c r="R132" s="507"/>
      <c r="S132" s="507"/>
      <c r="T132" s="41"/>
      <c r="U132" s="41"/>
      <c r="V132" s="41"/>
      <c r="W132" s="41"/>
      <c r="X132" s="42"/>
      <c r="Y132" s="218"/>
      <c r="Z132" s="41"/>
      <c r="AA132" s="41"/>
      <c r="AB132" s="41"/>
      <c r="AC132" s="41"/>
      <c r="AD132" s="41">
        <f t="shared" si="372"/>
        <v>0</v>
      </c>
      <c r="AE132" s="240" t="s">
        <v>609</v>
      </c>
      <c r="AF132" s="41"/>
      <c r="AG132" s="41"/>
      <c r="AH132" s="41"/>
      <c r="AI132" s="509"/>
      <c r="AJ132" s="41"/>
      <c r="AK132" s="41"/>
      <c r="AL132" s="41"/>
      <c r="AM132" s="41">
        <f>SUM(AF132:AL132)+AT132+AV132+AX132+AZ132</f>
        <v>0</v>
      </c>
      <c r="AN132" s="41"/>
      <c r="AO132" s="41"/>
      <c r="AP132" s="41"/>
      <c r="AQ132" s="41"/>
      <c r="AR132" s="41">
        <f t="shared" ref="AR132" si="376">SUM(AN132:AQ132)</f>
        <v>0</v>
      </c>
      <c r="AS132" s="41"/>
      <c r="AT132" s="41"/>
      <c r="AU132" s="41"/>
      <c r="AV132" s="41"/>
      <c r="AW132" s="41"/>
      <c r="AX132" s="41"/>
      <c r="AY132" s="41"/>
      <c r="AZ132" s="41">
        <f>122-122</f>
        <v>0</v>
      </c>
      <c r="BA132" s="41"/>
      <c r="BB132" s="41"/>
      <c r="BC132" s="41">
        <f>+AR132+AS132+AU132+AV132+AX132+BA132</f>
        <v>0</v>
      </c>
      <c r="BD132" s="54"/>
      <c r="BE132" s="55"/>
      <c r="BF132" s="55"/>
      <c r="BG132" s="54"/>
      <c r="BH132" s="55"/>
    </row>
    <row r="133" spans="1:60" ht="12.95" customHeight="1">
      <c r="A133" s="44"/>
      <c r="B133" s="45"/>
      <c r="C133" s="451"/>
      <c r="D133" s="45"/>
      <c r="E133" s="46"/>
      <c r="F133" s="46"/>
      <c r="G133" s="47"/>
      <c r="H133" s="48"/>
      <c r="I133" s="49"/>
      <c r="J133" s="89"/>
      <c r="K133" s="89"/>
      <c r="L133" s="39"/>
      <c r="M133" s="39"/>
      <c r="N133" s="50"/>
      <c r="O133" s="51"/>
      <c r="P133" s="52"/>
      <c r="Q133" s="51"/>
      <c r="R133" s="507"/>
      <c r="S133" s="507"/>
      <c r="T133" s="41"/>
      <c r="U133" s="41"/>
      <c r="V133" s="41"/>
      <c r="W133" s="41"/>
      <c r="X133" s="508"/>
      <c r="Y133" s="218"/>
      <c r="Z133" s="41"/>
      <c r="AA133" s="53"/>
      <c r="AB133" s="53"/>
      <c r="AC133" s="41"/>
      <c r="AD133" s="41"/>
      <c r="AE133"/>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37"/>
      <c r="BE133" s="55"/>
      <c r="BF133" s="55"/>
      <c r="BG133" s="55"/>
      <c r="BH133" s="55"/>
    </row>
    <row r="134" spans="1:60" ht="12.95" customHeight="1">
      <c r="A134" s="44">
        <v>46046</v>
      </c>
      <c r="B134" s="45" t="s">
        <v>417</v>
      </c>
      <c r="C134" s="451">
        <f t="shared" ref="C134" si="377">(M134*E134*O134*Q134)/100000000</f>
        <v>50.719342609505702</v>
      </c>
      <c r="D134" s="45" t="s">
        <v>430</v>
      </c>
      <c r="E134" s="46">
        <v>13.5</v>
      </c>
      <c r="F134" s="46">
        <v>1</v>
      </c>
      <c r="G134" s="506">
        <v>1270</v>
      </c>
      <c r="H134" s="48">
        <f>+N134</f>
        <v>0.21000000000000008</v>
      </c>
      <c r="I134" s="49">
        <v>0.88</v>
      </c>
      <c r="J134" s="89">
        <f t="shared" ref="J134" si="378">E134*G134*(1-H134)*1440/1000000*2.75</f>
        <v>53.636418000000006</v>
      </c>
      <c r="K134" s="89">
        <f t="shared" ref="K134" si="379">(IF(G134&lt;L134,L134,G134)*(1-IF(H134&lt;N134,H134,N134))*E134*O134*Q134)/100000000</f>
        <v>53.197574580000001</v>
      </c>
      <c r="L134" s="39">
        <v>1210.8365019011408</v>
      </c>
      <c r="M134" s="39">
        <v>956.56083650190112</v>
      </c>
      <c r="N134" s="50">
        <f t="shared" ref="N134" si="380">1-(M134/L134)</f>
        <v>0.21000000000000008</v>
      </c>
      <c r="O134" s="51">
        <f>+'Trim Rwd'!H80</f>
        <v>272.75</v>
      </c>
      <c r="P134" s="52">
        <f t="shared" ref="P134" si="381">O134*(Q134-R134-S134)</f>
        <v>345028.75</v>
      </c>
      <c r="Q134" s="51">
        <v>1440</v>
      </c>
      <c r="R134" s="507">
        <v>125</v>
      </c>
      <c r="S134" s="507">
        <f>122-72</f>
        <v>50</v>
      </c>
      <c r="T134" s="41">
        <f t="shared" ref="T134" si="382">E134*M134*O134*Q134/100000000</f>
        <v>50.719342609505702</v>
      </c>
      <c r="U134" s="41">
        <f t="shared" ref="U134" si="383">E134*M134*O134*(Q134-R134-S134)/100000000</f>
        <v>44.555533611822717</v>
      </c>
      <c r="V134" s="41">
        <f t="shared" ref="V134" si="384">E134*G134*(1-N134)*O134/100*(R134+S134)/1000000</f>
        <v>6.4649830218750006</v>
      </c>
      <c r="W134" s="41">
        <f>+'24'!K7/1000</f>
        <v>41.923000000000002</v>
      </c>
      <c r="X134" s="508">
        <f>SUM(W134:W137)/SUM(K134:K137)</f>
        <v>0.78806224402120106</v>
      </c>
      <c r="Y134" s="218">
        <v>0</v>
      </c>
      <c r="Z134" s="41">
        <v>0</v>
      </c>
      <c r="AA134" s="53">
        <v>0</v>
      </c>
      <c r="AB134" s="53">
        <f>(SUM(K134:K137)-SUM(W134:W137)-SUM(Y134:Y137)-SUM(Z134:Z137)-SUM(AC134:AC137)-SUM(V134:V137))-AA134</f>
        <v>2.3313595876306996</v>
      </c>
      <c r="AC134" s="41">
        <f>K134-T134</f>
        <v>2.4782319704942992</v>
      </c>
      <c r="AD134" s="41">
        <f>+AM134+BC134</f>
        <v>0</v>
      </c>
      <c r="AE134" s="237" t="s">
        <v>386</v>
      </c>
      <c r="AF134" s="41">
        <v>0</v>
      </c>
      <c r="AG134" s="41"/>
      <c r="AH134" s="41"/>
      <c r="AI134" s="509"/>
      <c r="AJ134" s="41"/>
      <c r="AK134" s="41"/>
      <c r="AL134" s="41"/>
      <c r="AM134" s="41">
        <f>SUM(AF134:AL134)+AT134</f>
        <v>0</v>
      </c>
      <c r="AN134" s="41"/>
      <c r="AO134" s="41"/>
      <c r="AP134" s="41"/>
      <c r="AQ134" s="41"/>
      <c r="AR134" s="41">
        <f>SUM(AN134:AQ134)</f>
        <v>0</v>
      </c>
      <c r="AS134" s="41"/>
      <c r="AT134" s="41"/>
      <c r="AU134" s="41"/>
      <c r="AV134" s="41"/>
      <c r="AW134" s="41"/>
      <c r="AX134" s="41"/>
      <c r="AY134" s="41"/>
      <c r="AZ134" s="41"/>
      <c r="BA134" s="41"/>
      <c r="BB134" s="41"/>
      <c r="BC134" s="41">
        <f>+AR134+AS134+AU134+AV134+AX134</f>
        <v>0</v>
      </c>
      <c r="BD134" s="37">
        <v>0</v>
      </c>
      <c r="BE134" s="55"/>
      <c r="BF134" s="55"/>
      <c r="BG134" s="37"/>
      <c r="BH134" s="55"/>
    </row>
    <row r="135" spans="1:60" ht="12.95" customHeight="1">
      <c r="A135" s="44"/>
      <c r="B135" s="45"/>
      <c r="C135" s="451"/>
      <c r="D135" s="45"/>
      <c r="E135" s="46"/>
      <c r="F135" s="46"/>
      <c r="G135" s="506"/>
      <c r="H135" s="48"/>
      <c r="I135" s="49"/>
      <c r="J135" s="89"/>
      <c r="K135" s="89"/>
      <c r="L135" s="39"/>
      <c r="M135" s="39"/>
      <c r="N135" s="50"/>
      <c r="O135" s="51"/>
      <c r="P135" s="52"/>
      <c r="Q135" s="51"/>
      <c r="R135" s="507"/>
      <c r="S135" s="507"/>
      <c r="T135" s="41"/>
      <c r="U135" s="41"/>
      <c r="V135" s="41"/>
      <c r="W135" s="41"/>
      <c r="X135" s="42"/>
      <c r="Y135" s="218"/>
      <c r="Z135" s="41"/>
      <c r="AA135" s="41"/>
      <c r="AB135" s="41"/>
      <c r="AC135" s="41"/>
      <c r="AD135" s="41">
        <f t="shared" ref="AD135:AD137" si="385">+AM135+BC135</f>
        <v>13</v>
      </c>
      <c r="AE135" s="237" t="s">
        <v>438</v>
      </c>
      <c r="AF135" s="41"/>
      <c r="AG135" s="41">
        <v>13</v>
      </c>
      <c r="AH135" s="41"/>
      <c r="AI135" s="509"/>
      <c r="AJ135" s="41"/>
      <c r="AK135" s="41"/>
      <c r="AL135" s="41"/>
      <c r="AM135" s="41">
        <f t="shared" ref="AM135:AM137" si="386">SUM(AF135:AL135)+AT135</f>
        <v>13</v>
      </c>
      <c r="AN135" s="90"/>
      <c r="AO135" s="41"/>
      <c r="AP135" s="41"/>
      <c r="AQ135" s="41"/>
      <c r="AR135" s="41">
        <f t="shared" ref="AR135:AR137" si="387">SUM(AN135:AQ135)</f>
        <v>0</v>
      </c>
      <c r="AS135" s="41"/>
      <c r="AT135" s="41"/>
      <c r="AU135" s="41"/>
      <c r="AV135" s="41"/>
      <c r="AW135" s="41"/>
      <c r="AX135" s="41"/>
      <c r="AY135" s="41"/>
      <c r="AZ135" s="41"/>
      <c r="BA135" s="41"/>
      <c r="BB135" s="41"/>
      <c r="BC135" s="41">
        <f t="shared" ref="BC135:BC137" si="388">+AR135+AS135+AU135+AV135+AX135</f>
        <v>0</v>
      </c>
      <c r="BD135" s="54"/>
      <c r="BE135" s="55">
        <v>8</v>
      </c>
      <c r="BF135" s="55"/>
      <c r="BG135" s="54"/>
      <c r="BH135" s="55"/>
    </row>
    <row r="136" spans="1:60" ht="12.95" customHeight="1">
      <c r="A136" s="44"/>
      <c r="B136" s="45"/>
      <c r="C136" s="451"/>
      <c r="D136" s="45"/>
      <c r="E136" s="46"/>
      <c r="F136" s="46"/>
      <c r="G136" s="506"/>
      <c r="H136" s="48"/>
      <c r="I136" s="49"/>
      <c r="J136" s="89"/>
      <c r="K136" s="89"/>
      <c r="L136" s="39"/>
      <c r="M136" s="39"/>
      <c r="N136" s="50"/>
      <c r="O136" s="51"/>
      <c r="P136" s="52"/>
      <c r="Q136" s="51"/>
      <c r="R136" s="507"/>
      <c r="S136" s="507"/>
      <c r="T136" s="41"/>
      <c r="U136" s="41"/>
      <c r="V136" s="41"/>
      <c r="W136" s="41"/>
      <c r="X136" s="42"/>
      <c r="Y136" s="218"/>
      <c r="Z136" s="41"/>
      <c r="AA136" s="41"/>
      <c r="AB136" s="41"/>
      <c r="AC136" s="41"/>
      <c r="AD136" s="41">
        <f t="shared" si="385"/>
        <v>23</v>
      </c>
      <c r="AE136" s="237" t="s">
        <v>524</v>
      </c>
      <c r="AF136" s="37"/>
      <c r="AG136" s="37"/>
      <c r="AH136" s="37">
        <v>23</v>
      </c>
      <c r="AJ136" s="41"/>
      <c r="AK136" s="41"/>
      <c r="AL136" s="41"/>
      <c r="AM136" s="41">
        <f t="shared" si="386"/>
        <v>23</v>
      </c>
      <c r="AN136" s="41"/>
      <c r="AO136" s="41"/>
      <c r="AP136" s="41"/>
      <c r="AQ136" s="41"/>
      <c r="AR136" s="41">
        <f t="shared" si="387"/>
        <v>0</v>
      </c>
      <c r="AS136" s="41"/>
      <c r="AT136" s="41"/>
      <c r="AU136" s="41"/>
      <c r="AV136" s="41"/>
      <c r="AW136" s="41"/>
      <c r="AX136" s="41"/>
      <c r="AY136" s="41"/>
      <c r="AZ136" s="41"/>
      <c r="BA136" s="41"/>
      <c r="BB136" s="41"/>
      <c r="BC136" s="41">
        <f t="shared" si="388"/>
        <v>0</v>
      </c>
      <c r="BD136" s="37"/>
      <c r="BE136" s="510"/>
      <c r="BF136" s="510"/>
      <c r="BG136" s="37"/>
      <c r="BH136" s="510"/>
    </row>
    <row r="137" spans="1:60" ht="12.95" customHeight="1">
      <c r="A137" s="44"/>
      <c r="B137" s="45"/>
      <c r="C137" s="451"/>
      <c r="D137" s="45"/>
      <c r="E137" s="46"/>
      <c r="F137" s="46"/>
      <c r="G137" s="47"/>
      <c r="H137" s="48"/>
      <c r="I137" s="49"/>
      <c r="J137" s="89"/>
      <c r="K137" s="89"/>
      <c r="L137" s="39"/>
      <c r="M137" s="39"/>
      <c r="N137" s="50"/>
      <c r="O137" s="51"/>
      <c r="P137" s="52"/>
      <c r="Q137" s="38"/>
      <c r="R137" s="507"/>
      <c r="S137" s="507"/>
      <c r="T137" s="41"/>
      <c r="U137" s="41"/>
      <c r="V137" s="41"/>
      <c r="W137" s="41"/>
      <c r="X137" s="42"/>
      <c r="Y137" s="218"/>
      <c r="Z137" s="41"/>
      <c r="AA137" s="41"/>
      <c r="AB137" s="41"/>
      <c r="AC137" s="41"/>
      <c r="AD137" s="41">
        <f t="shared" si="385"/>
        <v>14</v>
      </c>
      <c r="AE137" s="240" t="s">
        <v>225</v>
      </c>
      <c r="AF137" s="41"/>
      <c r="AG137" s="41"/>
      <c r="AH137" s="41"/>
      <c r="AI137" s="509">
        <v>14</v>
      </c>
      <c r="AJ137" s="41"/>
      <c r="AK137" s="41"/>
      <c r="AL137" s="41"/>
      <c r="AM137" s="41">
        <f t="shared" si="386"/>
        <v>14</v>
      </c>
      <c r="AN137" s="41"/>
      <c r="AO137" s="41"/>
      <c r="AP137" s="41"/>
      <c r="AQ137" s="41"/>
      <c r="AR137" s="41">
        <f t="shared" si="387"/>
        <v>0</v>
      </c>
      <c r="AS137" s="41"/>
      <c r="AT137" s="41"/>
      <c r="AU137" s="41"/>
      <c r="AV137" s="41"/>
      <c r="AW137" s="41"/>
      <c r="AX137" s="41"/>
      <c r="AY137" s="41"/>
      <c r="AZ137" s="41"/>
      <c r="BA137" s="41"/>
      <c r="BB137" s="41"/>
      <c r="BC137" s="41">
        <f t="shared" si="388"/>
        <v>0</v>
      </c>
      <c r="BD137" s="54"/>
      <c r="BE137" s="55"/>
      <c r="BF137" s="55"/>
      <c r="BG137" s="54"/>
      <c r="BH137" s="55"/>
    </row>
    <row r="138" spans="1:60" ht="12.95" customHeight="1">
      <c r="A138" s="44"/>
      <c r="B138" s="45"/>
      <c r="C138" s="451"/>
      <c r="D138" s="45"/>
      <c r="E138" s="46"/>
      <c r="F138" s="46"/>
      <c r="G138" s="47"/>
      <c r="H138" s="48"/>
      <c r="I138" s="49"/>
      <c r="J138" s="89"/>
      <c r="K138" s="89"/>
      <c r="L138" s="39"/>
      <c r="M138" s="39"/>
      <c r="N138" s="50"/>
      <c r="O138" s="51"/>
      <c r="P138" s="52"/>
      <c r="Q138" s="38"/>
      <c r="R138" s="507"/>
      <c r="S138" s="507"/>
      <c r="T138" s="41"/>
      <c r="U138" s="41"/>
      <c r="V138" s="41"/>
      <c r="W138" s="41"/>
      <c r="X138" s="42"/>
      <c r="Y138" s="218"/>
      <c r="Z138" s="41"/>
      <c r="AA138" s="41"/>
      <c r="AB138" s="41"/>
      <c r="AC138" s="41"/>
      <c r="AD138" s="41">
        <f t="shared" ref="AD138:AD139" si="389">+AM138+BC138</f>
        <v>125</v>
      </c>
      <c r="AE138" s="240" t="s">
        <v>750</v>
      </c>
      <c r="AF138" s="41"/>
      <c r="AG138" s="41"/>
      <c r="AH138" s="41"/>
      <c r="AI138" s="509"/>
      <c r="AJ138" s="41"/>
      <c r="AK138" s="41"/>
      <c r="AL138" s="41"/>
      <c r="AM138" s="41">
        <f t="shared" ref="AM138" si="390">SUM(AF138:AL138)+AT138</f>
        <v>0</v>
      </c>
      <c r="AN138" s="41"/>
      <c r="AO138" s="41"/>
      <c r="AP138" s="41"/>
      <c r="AQ138" s="41"/>
      <c r="AR138" s="41">
        <f t="shared" ref="AR138" si="391">SUM(AN138:AQ138)</f>
        <v>0</v>
      </c>
      <c r="AS138" s="41"/>
      <c r="AT138" s="41"/>
      <c r="AU138" s="41"/>
      <c r="AV138" s="41"/>
      <c r="AW138" s="41"/>
      <c r="AX138" s="41"/>
      <c r="AY138" s="41"/>
      <c r="AZ138" s="41"/>
      <c r="BA138" s="41">
        <v>125</v>
      </c>
      <c r="BB138" s="41"/>
      <c r="BC138" s="41">
        <f>+AR138+AS138+AU138+AV138+AX138+BA138</f>
        <v>125</v>
      </c>
      <c r="BD138" s="54"/>
      <c r="BE138" s="55"/>
      <c r="BF138" s="55"/>
      <c r="BG138" s="54"/>
      <c r="BH138" s="55"/>
    </row>
    <row r="139" spans="1:60" ht="12.95" customHeight="1">
      <c r="A139" s="44"/>
      <c r="B139" s="45"/>
      <c r="C139" s="451"/>
      <c r="D139" s="45"/>
      <c r="E139" s="46"/>
      <c r="F139" s="46"/>
      <c r="G139" s="47"/>
      <c r="H139" s="48"/>
      <c r="I139" s="49"/>
      <c r="J139" s="89"/>
      <c r="K139" s="89"/>
      <c r="L139" s="39"/>
      <c r="M139" s="39"/>
      <c r="N139" s="50"/>
      <c r="O139" s="51"/>
      <c r="P139" s="52"/>
      <c r="Q139" s="38"/>
      <c r="R139" s="507"/>
      <c r="S139" s="507"/>
      <c r="T139" s="41"/>
      <c r="U139" s="41"/>
      <c r="V139" s="41"/>
      <c r="W139" s="41"/>
      <c r="X139" s="42"/>
      <c r="Y139" s="218"/>
      <c r="Z139" s="41"/>
      <c r="AA139" s="41"/>
      <c r="AB139" s="41"/>
      <c r="AC139" s="41"/>
      <c r="AD139" s="41">
        <f t="shared" si="389"/>
        <v>0</v>
      </c>
      <c r="AE139" s="240" t="s">
        <v>609</v>
      </c>
      <c r="AF139" s="41"/>
      <c r="AG139" s="41"/>
      <c r="AH139" s="41"/>
      <c r="AI139" s="509"/>
      <c r="AJ139" s="41"/>
      <c r="AK139" s="41"/>
      <c r="AL139" s="41"/>
      <c r="AM139" s="41">
        <f>SUM(AF139:AL139)+AT139+AV139+AX139+AZ139</f>
        <v>0</v>
      </c>
      <c r="AN139" s="41"/>
      <c r="AO139" s="41"/>
      <c r="AP139" s="41"/>
      <c r="AQ139" s="41"/>
      <c r="AR139" s="41"/>
      <c r="AS139" s="41"/>
      <c r="AT139" s="41"/>
      <c r="AU139" s="41"/>
      <c r="AV139" s="41"/>
      <c r="AW139" s="41"/>
      <c r="AX139" s="41"/>
      <c r="AY139" s="41"/>
      <c r="AZ139" s="41">
        <f>72-72</f>
        <v>0</v>
      </c>
      <c r="BA139" s="41"/>
      <c r="BB139" s="41"/>
      <c r="BC139" s="41"/>
      <c r="BD139" s="54"/>
      <c r="BE139" s="55"/>
      <c r="BF139" s="55"/>
      <c r="BG139" s="54"/>
      <c r="BH139" s="55"/>
    </row>
    <row r="140" spans="1:60" ht="12.95" customHeight="1">
      <c r="A140" s="44"/>
      <c r="B140" s="45"/>
      <c r="C140" s="451"/>
      <c r="D140" s="45"/>
      <c r="E140" s="46"/>
      <c r="F140" s="46"/>
      <c r="G140" s="506"/>
      <c r="H140" s="48"/>
      <c r="I140" s="49"/>
      <c r="J140" s="89"/>
      <c r="K140" s="89"/>
      <c r="L140" s="39"/>
      <c r="M140" s="39"/>
      <c r="N140" s="50"/>
      <c r="O140" s="51"/>
      <c r="P140" s="52"/>
      <c r="Q140" s="51"/>
      <c r="R140" s="507"/>
      <c r="S140" s="507"/>
      <c r="T140" s="41"/>
      <c r="U140" s="41"/>
      <c r="V140" s="41"/>
      <c r="W140" s="41"/>
      <c r="X140" s="508"/>
      <c r="Y140" s="218"/>
      <c r="Z140" s="41"/>
      <c r="AA140" s="53"/>
      <c r="AB140" s="53"/>
      <c r="AC140" s="41"/>
      <c r="AD140" s="41"/>
      <c r="AE140" s="237"/>
      <c r="AF140" s="41"/>
      <c r="AG140" s="41"/>
      <c r="AH140" s="41"/>
      <c r="AI140" s="509"/>
      <c r="AJ140" s="41"/>
      <c r="AK140" s="41"/>
      <c r="AL140" s="41"/>
      <c r="AM140" s="41"/>
      <c r="AN140" s="41"/>
      <c r="AO140" s="41"/>
      <c r="AP140" s="41"/>
      <c r="AQ140" s="41"/>
      <c r="AR140" s="41"/>
      <c r="AS140" s="41"/>
      <c r="AT140" s="41"/>
      <c r="AU140" s="41"/>
      <c r="AV140" s="41"/>
      <c r="AW140" s="41"/>
      <c r="AX140" s="41"/>
      <c r="AY140" s="41"/>
      <c r="AZ140" s="41"/>
      <c r="BA140" s="41"/>
      <c r="BB140" s="41"/>
      <c r="BC140" s="41"/>
      <c r="BD140" s="37"/>
      <c r="BE140" s="55"/>
      <c r="BF140" s="55"/>
      <c r="BG140" s="55"/>
      <c r="BH140" s="55"/>
    </row>
    <row r="141" spans="1:60" ht="12.95" customHeight="1">
      <c r="A141" s="44">
        <v>46047</v>
      </c>
      <c r="B141" s="45" t="s">
        <v>417</v>
      </c>
      <c r="C141" s="451">
        <f t="shared" ref="C141" si="392">(M141*E141*O141*Q141)/100000000</f>
        <v>29.459112476071972</v>
      </c>
      <c r="D141" s="45" t="s">
        <v>430</v>
      </c>
      <c r="E141" s="46">
        <v>13.5</v>
      </c>
      <c r="F141" s="46">
        <v>1</v>
      </c>
      <c r="G141" s="506">
        <v>1270</v>
      </c>
      <c r="H141" s="48">
        <f>+N141</f>
        <v>0.20999999999999996</v>
      </c>
      <c r="I141" s="49">
        <v>0.88</v>
      </c>
      <c r="J141" s="89">
        <f t="shared" ref="J141" si="393">E141*G141*(1-H141)*1440/1000000*2.75</f>
        <v>53.636418000000006</v>
      </c>
      <c r="K141" s="89">
        <f t="shared" ref="K141" si="394">(IF(G141&lt;L141,L141,G141)*(1-IF(H141&lt;N141,H141,N141))*E141*O141*Q141)/100000000</f>
        <v>31.660385625000004</v>
      </c>
      <c r="L141" s="39">
        <v>1181.6998468606432</v>
      </c>
      <c r="M141" s="39">
        <v>933.54287901990813</v>
      </c>
      <c r="N141" s="50">
        <f t="shared" ref="N141" si="395">1-(M141/L141)</f>
        <v>0.20999999999999996</v>
      </c>
      <c r="O141" s="51">
        <f>+'Trim Rwd'!H83</f>
        <v>275</v>
      </c>
      <c r="P141" s="52">
        <f t="shared" ref="P141" si="396">O141*(Q141-R141-S141)</f>
        <v>172425</v>
      </c>
      <c r="Q141" s="51">
        <f>653+197</f>
        <v>850</v>
      </c>
      <c r="R141" s="507">
        <v>197</v>
      </c>
      <c r="S141" s="507">
        <f>80-54</f>
        <v>26</v>
      </c>
      <c r="T141" s="41">
        <f t="shared" ref="T141" si="397">E141*M141*O141*Q141/100000000</f>
        <v>29.459112476071972</v>
      </c>
      <c r="U141" s="41">
        <f t="shared" ref="U141" si="398">E141*M141*O141*(Q141-R141-S141)/100000000</f>
        <v>21.730427673526034</v>
      </c>
      <c r="V141" s="41">
        <f t="shared" ref="V141" si="399">E141*G141*(1-N141)*O141/100*(R141+S141)/1000000</f>
        <v>8.3061952875000014</v>
      </c>
      <c r="W141" s="41">
        <f>+'25'!K7/1000</f>
        <v>20.866</v>
      </c>
      <c r="X141" s="508">
        <f>SUM(W141:W144)/SUM(K141:K144)</f>
        <v>0.63429219451223562</v>
      </c>
      <c r="Y141" s="218">
        <v>0</v>
      </c>
      <c r="Z141" s="41">
        <v>0</v>
      </c>
      <c r="AA141" s="53">
        <v>0</v>
      </c>
      <c r="AB141" s="53">
        <f>(SUM(K141:K144)-SUM(W141:W144)-SUM(Y141:Y144)-SUM(Z141:Z144)-SUM(AC141:AC144)-SUM(V141:V144))-AA141</f>
        <v>4.5540469021419092</v>
      </c>
      <c r="AC141" s="41">
        <f>K141-T141</f>
        <v>2.2012731489280313</v>
      </c>
      <c r="AD141" s="41">
        <f>+AM141+BC141</f>
        <v>0</v>
      </c>
      <c r="AE141" s="237" t="s">
        <v>386</v>
      </c>
      <c r="AF141" s="41">
        <v>0</v>
      </c>
      <c r="AG141" s="41"/>
      <c r="AH141" s="41"/>
      <c r="AI141" s="509"/>
      <c r="AJ141" s="41"/>
      <c r="AK141" s="41"/>
      <c r="AL141" s="41"/>
      <c r="AM141" s="41">
        <f>SUM(AF141:AL141)+AT141</f>
        <v>0</v>
      </c>
      <c r="AN141" s="41"/>
      <c r="AO141" s="41"/>
      <c r="AP141" s="41"/>
      <c r="AQ141" s="41"/>
      <c r="AR141" s="41">
        <f>SUM(AN141:AQ141)</f>
        <v>0</v>
      </c>
      <c r="AS141" s="41"/>
      <c r="AT141" s="41"/>
      <c r="AU141" s="41"/>
      <c r="AV141" s="41"/>
      <c r="AW141" s="41"/>
      <c r="AX141" s="41"/>
      <c r="AY141" s="41"/>
      <c r="AZ141" s="41"/>
      <c r="BA141" s="41"/>
      <c r="BB141" s="41"/>
      <c r="BC141" s="41">
        <f>+AR141+AS141+AU141+AV141+AX141</f>
        <v>0</v>
      </c>
      <c r="BD141" s="37">
        <v>0</v>
      </c>
      <c r="BE141" s="55"/>
      <c r="BF141" s="55"/>
      <c r="BG141" s="37"/>
      <c r="BH141" s="55"/>
    </row>
    <row r="142" spans="1:60" ht="12.95" customHeight="1">
      <c r="A142" s="44"/>
      <c r="B142" s="45" t="s">
        <v>417</v>
      </c>
      <c r="C142" s="451">
        <f t="shared" ref="C142" si="400">(M142*E142*O142*Q142)/100000000</f>
        <v>22.147986833569941</v>
      </c>
      <c r="D142" s="45" t="s">
        <v>430</v>
      </c>
      <c r="E142" s="46">
        <v>14</v>
      </c>
      <c r="F142" s="46">
        <v>1</v>
      </c>
      <c r="G142" s="506">
        <v>1260</v>
      </c>
      <c r="H142" s="48">
        <f>+N142</f>
        <v>0.20999999999999985</v>
      </c>
      <c r="I142" s="49">
        <v>0.88</v>
      </c>
      <c r="J142" s="89">
        <f t="shared" ref="J142" si="401">E142*G142*(1-H142)*1440/1000000*2.75</f>
        <v>55.184976000000013</v>
      </c>
      <c r="K142" s="89">
        <f t="shared" ref="K142" si="402">(IF(G142&lt;L142,L142,G142)*(1-IF(H142&lt;N142,H142,N142))*E142*O142*Q142)/100000000</f>
        <v>22.281630840000005</v>
      </c>
      <c r="L142" s="39">
        <v>1252.4425887265136</v>
      </c>
      <c r="M142" s="39">
        <v>989.42964509394585</v>
      </c>
      <c r="N142" s="50">
        <f t="shared" ref="N142" si="403">1-(M142/L142)</f>
        <v>0.20999999999999985</v>
      </c>
      <c r="O142" s="51">
        <f>+'Trim Rwd'!H84</f>
        <v>271</v>
      </c>
      <c r="P142" s="52">
        <f t="shared" ref="P142" si="404">O142*(Q142-R142-S142)</f>
        <v>127370</v>
      </c>
      <c r="Q142" s="51">
        <f>479+111</f>
        <v>590</v>
      </c>
      <c r="R142" s="507">
        <v>111</v>
      </c>
      <c r="S142" s="507">
        <v>9</v>
      </c>
      <c r="T142" s="41">
        <f t="shared" ref="T142" si="405">E142*M142*O142*Q142/100000000</f>
        <v>22.147986833569941</v>
      </c>
      <c r="U142" s="41">
        <f t="shared" ref="U142" si="406">E142*M142*O142*(Q142-R142-S142)/100000000</f>
        <v>17.643311545386222</v>
      </c>
      <c r="V142" s="41">
        <f t="shared" ref="V142" si="407">E142*G142*(1-N142)*O142/100*(R142+S142)/1000000</f>
        <v>4.5318571199999997</v>
      </c>
      <c r="W142" s="41">
        <f>+'25'!K17/1000</f>
        <v>13.349</v>
      </c>
      <c r="X142" s="42"/>
      <c r="Y142" s="218"/>
      <c r="Z142" s="41"/>
      <c r="AA142" s="41"/>
      <c r="AB142" s="41"/>
      <c r="AC142" s="41">
        <f>K142-T142</f>
        <v>0.13364400643006391</v>
      </c>
      <c r="AD142" s="41">
        <f t="shared" ref="AD142:AD145" si="408">+AM142+BC142</f>
        <v>9</v>
      </c>
      <c r="AE142" s="237" t="s">
        <v>438</v>
      </c>
      <c r="AF142" s="41"/>
      <c r="AG142" s="41">
        <v>9</v>
      </c>
      <c r="AH142" s="41"/>
      <c r="AI142" s="509"/>
      <c r="AJ142" s="41"/>
      <c r="AK142" s="41"/>
      <c r="AL142" s="41"/>
      <c r="AM142" s="41">
        <f t="shared" ref="AM142:AM145" si="409">SUM(AF142:AL142)+AT142</f>
        <v>9</v>
      </c>
      <c r="AN142" s="90"/>
      <c r="AO142" s="41"/>
      <c r="AP142" s="41"/>
      <c r="AQ142" s="41"/>
      <c r="AR142" s="41">
        <f t="shared" ref="AR142:AR145" si="410">SUM(AN142:AQ142)</f>
        <v>0</v>
      </c>
      <c r="AS142" s="41"/>
      <c r="AT142" s="41"/>
      <c r="AU142" s="41"/>
      <c r="AV142" s="41"/>
      <c r="AW142" s="41"/>
      <c r="AX142" s="41"/>
      <c r="AY142" s="41"/>
      <c r="AZ142" s="41"/>
      <c r="BA142" s="41"/>
      <c r="BB142" s="41"/>
      <c r="BC142" s="41">
        <f t="shared" ref="BC142:BC144" si="411">+AR142+AS142+AU142+AV142+AX142</f>
        <v>0</v>
      </c>
      <c r="BD142" s="54"/>
      <c r="BE142" s="55">
        <v>8</v>
      </c>
      <c r="BF142" s="55"/>
      <c r="BG142" s="54"/>
      <c r="BH142" s="55"/>
    </row>
    <row r="143" spans="1:60" ht="12.95" customHeight="1">
      <c r="A143" s="44"/>
      <c r="B143" s="45"/>
      <c r="C143" s="451"/>
      <c r="D143" s="45"/>
      <c r="E143" s="46"/>
      <c r="F143" s="46"/>
      <c r="G143" s="506"/>
      <c r="H143" s="48"/>
      <c r="I143" s="49"/>
      <c r="J143" s="89"/>
      <c r="K143" s="89"/>
      <c r="L143" s="39"/>
      <c r="M143" s="39"/>
      <c r="N143" s="50"/>
      <c r="O143" s="51"/>
      <c r="P143" s="52"/>
      <c r="Q143" s="51"/>
      <c r="R143" s="507"/>
      <c r="S143" s="507"/>
      <c r="T143" s="41"/>
      <c r="U143" s="41"/>
      <c r="V143" s="41"/>
      <c r="W143" s="41"/>
      <c r="X143" s="42"/>
      <c r="Y143" s="218"/>
      <c r="Z143" s="41"/>
      <c r="AA143" s="41"/>
      <c r="AB143" s="41"/>
      <c r="AC143" s="41"/>
      <c r="AD143" s="41">
        <f t="shared" si="408"/>
        <v>18</v>
      </c>
      <c r="AE143" s="237" t="s">
        <v>674</v>
      </c>
      <c r="AF143" s="37"/>
      <c r="AG143" s="37"/>
      <c r="AH143" s="37">
        <v>18</v>
      </c>
      <c r="AJ143" s="41"/>
      <c r="AK143" s="41"/>
      <c r="AL143" s="41"/>
      <c r="AM143" s="41">
        <f t="shared" si="409"/>
        <v>18</v>
      </c>
      <c r="AN143" s="41"/>
      <c r="AO143" s="41"/>
      <c r="AP143" s="41"/>
      <c r="AQ143" s="41"/>
      <c r="AR143" s="41">
        <f t="shared" si="410"/>
        <v>0</v>
      </c>
      <c r="AS143" s="41"/>
      <c r="AT143" s="41"/>
      <c r="AU143" s="41"/>
      <c r="AV143" s="41"/>
      <c r="AW143" s="41"/>
      <c r="AX143" s="41"/>
      <c r="AY143" s="41"/>
      <c r="AZ143" s="41"/>
      <c r="BA143" s="41"/>
      <c r="BB143" s="41"/>
      <c r="BC143" s="41">
        <f t="shared" si="411"/>
        <v>0</v>
      </c>
      <c r="BD143" s="37"/>
      <c r="BE143" s="510"/>
      <c r="BF143" s="510"/>
      <c r="BG143" s="37"/>
      <c r="BH143" s="510"/>
    </row>
    <row r="144" spans="1:60" ht="12.95" customHeight="1">
      <c r="A144" s="44"/>
      <c r="B144" s="45"/>
      <c r="C144" s="451"/>
      <c r="D144" s="45"/>
      <c r="E144" s="46"/>
      <c r="F144" s="46"/>
      <c r="G144" s="47"/>
      <c r="H144" s="48"/>
      <c r="I144" s="49"/>
      <c r="J144" s="89"/>
      <c r="K144" s="89"/>
      <c r="L144" s="39"/>
      <c r="M144" s="39"/>
      <c r="N144" s="50"/>
      <c r="O144" s="51"/>
      <c r="P144" s="52"/>
      <c r="Q144" s="38"/>
      <c r="R144" s="507"/>
      <c r="S144" s="507"/>
      <c r="T144" s="41"/>
      <c r="U144" s="41"/>
      <c r="V144" s="41"/>
      <c r="W144" s="41"/>
      <c r="X144" s="42"/>
      <c r="Y144" s="218"/>
      <c r="Z144" s="41"/>
      <c r="AA144" s="41"/>
      <c r="AB144" s="41"/>
      <c r="AC144" s="41"/>
      <c r="AD144" s="41">
        <f t="shared" si="408"/>
        <v>8</v>
      </c>
      <c r="AE144" s="240" t="s">
        <v>225</v>
      </c>
      <c r="AF144" s="41"/>
      <c r="AG144" s="41"/>
      <c r="AH144" s="41"/>
      <c r="AI144" s="509">
        <v>8</v>
      </c>
      <c r="AJ144" s="41"/>
      <c r="AK144" s="41"/>
      <c r="AL144" s="41"/>
      <c r="AM144" s="41">
        <f t="shared" si="409"/>
        <v>8</v>
      </c>
      <c r="AN144" s="41"/>
      <c r="AO144" s="41"/>
      <c r="AP144" s="41"/>
      <c r="AQ144" s="41"/>
      <c r="AR144" s="41">
        <f t="shared" si="410"/>
        <v>0</v>
      </c>
      <c r="AS144" s="41"/>
      <c r="AT144" s="41"/>
      <c r="AU144" s="41"/>
      <c r="AV144" s="41"/>
      <c r="AW144" s="41"/>
      <c r="AX144" s="41"/>
      <c r="AY144" s="41"/>
      <c r="AZ144" s="41"/>
      <c r="BA144" s="41"/>
      <c r="BB144" s="41"/>
      <c r="BC144" s="41">
        <f t="shared" si="411"/>
        <v>0</v>
      </c>
      <c r="BD144" s="54"/>
      <c r="BE144" s="55"/>
      <c r="BF144" s="55"/>
      <c r="BG144" s="54"/>
      <c r="BH144" s="55"/>
    </row>
    <row r="145" spans="1:60" ht="12.95" customHeight="1">
      <c r="A145" s="44"/>
      <c r="B145" s="45"/>
      <c r="C145" s="451"/>
      <c r="D145" s="45"/>
      <c r="E145" s="46"/>
      <c r="F145" s="46"/>
      <c r="G145" s="47"/>
      <c r="H145" s="48"/>
      <c r="I145" s="49"/>
      <c r="J145" s="89"/>
      <c r="K145" s="89"/>
      <c r="L145" s="39"/>
      <c r="M145" s="39"/>
      <c r="N145" s="50"/>
      <c r="O145" s="51"/>
      <c r="P145" s="52"/>
      <c r="Q145" s="38"/>
      <c r="R145" s="507"/>
      <c r="S145" s="507"/>
      <c r="T145" s="41"/>
      <c r="U145" s="41"/>
      <c r="V145" s="41"/>
      <c r="W145" s="41"/>
      <c r="X145" s="42"/>
      <c r="Y145" s="218"/>
      <c r="Z145" s="41"/>
      <c r="AA145" s="41"/>
      <c r="AB145" s="41"/>
      <c r="AC145" s="41"/>
      <c r="AD145" s="41">
        <f t="shared" si="408"/>
        <v>197</v>
      </c>
      <c r="AE145" s="240" t="s">
        <v>751</v>
      </c>
      <c r="AF145" s="41"/>
      <c r="AG145" s="41"/>
      <c r="AH145" s="41"/>
      <c r="AI145" s="509"/>
      <c r="AJ145" s="41"/>
      <c r="AK145" s="41"/>
      <c r="AL145" s="41"/>
      <c r="AM145" s="41">
        <f t="shared" si="409"/>
        <v>0</v>
      </c>
      <c r="AN145" s="41"/>
      <c r="AO145" s="41"/>
      <c r="AP145" s="41"/>
      <c r="AQ145" s="41"/>
      <c r="AR145" s="41">
        <f t="shared" si="410"/>
        <v>0</v>
      </c>
      <c r="AS145" s="41"/>
      <c r="AT145" s="41"/>
      <c r="AU145" s="41"/>
      <c r="AV145" s="41"/>
      <c r="AW145" s="41">
        <v>197</v>
      </c>
      <c r="AX145" s="41"/>
      <c r="AY145" s="41"/>
      <c r="AZ145" s="41"/>
      <c r="BA145" s="41"/>
      <c r="BB145" s="41"/>
      <c r="BC145" s="41">
        <f>+AR145+AS145+AU145+AV145+AW145</f>
        <v>197</v>
      </c>
      <c r="BD145" s="54"/>
      <c r="BE145" s="55"/>
      <c r="BF145" s="55"/>
      <c r="BG145" s="54"/>
      <c r="BH145" s="55"/>
    </row>
    <row r="146" spans="1:60" ht="12.95" customHeight="1">
      <c r="A146" s="44"/>
      <c r="B146" s="45"/>
      <c r="C146" s="451"/>
      <c r="D146" s="45"/>
      <c r="E146" s="46"/>
      <c r="F146" s="46"/>
      <c r="G146" s="47"/>
      <c r="H146" s="48"/>
      <c r="I146" s="49"/>
      <c r="J146" s="89"/>
      <c r="K146" s="89"/>
      <c r="L146" s="39"/>
      <c r="M146" s="39"/>
      <c r="N146" s="50"/>
      <c r="O146" s="51"/>
      <c r="P146" s="52"/>
      <c r="Q146" s="38"/>
      <c r="R146" s="507"/>
      <c r="S146" s="507"/>
      <c r="T146" s="41"/>
      <c r="U146" s="41"/>
      <c r="V146" s="41"/>
      <c r="W146" s="41"/>
      <c r="X146" s="42"/>
      <c r="Y146" s="218"/>
      <c r="Z146" s="41"/>
      <c r="AA146" s="41"/>
      <c r="AB146" s="41"/>
      <c r="AC146" s="41"/>
      <c r="AD146" s="41">
        <f t="shared" ref="AD146:AD147" si="412">+AM146+BC146</f>
        <v>111</v>
      </c>
      <c r="AE146" s="240" t="s">
        <v>752</v>
      </c>
      <c r="AF146" s="41"/>
      <c r="AG146" s="41"/>
      <c r="AH146" s="41"/>
      <c r="AI146" s="509"/>
      <c r="AJ146" s="41"/>
      <c r="AK146" s="41"/>
      <c r="AL146" s="41"/>
      <c r="AM146" s="41">
        <f t="shared" ref="AM146" si="413">SUM(AF146:AL146)+AT146</f>
        <v>0</v>
      </c>
      <c r="AN146" s="41"/>
      <c r="AO146" s="41">
        <v>111</v>
      </c>
      <c r="AP146" s="41"/>
      <c r="AQ146" s="41"/>
      <c r="AR146" s="41">
        <f t="shared" ref="AR146" si="414">SUM(AN146:AQ146)</f>
        <v>111</v>
      </c>
      <c r="AS146" s="41"/>
      <c r="AT146" s="41"/>
      <c r="AU146" s="41"/>
      <c r="AV146" s="41"/>
      <c r="AW146" s="41"/>
      <c r="AX146" s="41"/>
      <c r="AY146" s="41"/>
      <c r="AZ146" s="41"/>
      <c r="BA146" s="41"/>
      <c r="BB146" s="41"/>
      <c r="BC146" s="41">
        <f t="shared" ref="BC146" si="415">+AR146+AS146+AU146+AV146+AX146</f>
        <v>111</v>
      </c>
      <c r="BD146" s="54"/>
      <c r="BE146" s="55"/>
      <c r="BF146" s="55"/>
      <c r="BG146" s="54"/>
      <c r="BH146" s="55"/>
    </row>
    <row r="147" spans="1:60" ht="12.95" customHeight="1">
      <c r="A147" s="44"/>
      <c r="B147" s="45"/>
      <c r="C147" s="451"/>
      <c r="D147" s="45"/>
      <c r="E147" s="46"/>
      <c r="F147" s="46"/>
      <c r="G147" s="47"/>
      <c r="H147" s="48"/>
      <c r="I147" s="49"/>
      <c r="J147" s="89"/>
      <c r="K147" s="89"/>
      <c r="L147" s="39"/>
      <c r="M147" s="39"/>
      <c r="N147" s="50"/>
      <c r="O147" s="51"/>
      <c r="P147" s="52"/>
      <c r="Q147" s="38"/>
      <c r="R147" s="507"/>
      <c r="S147" s="507"/>
      <c r="T147" s="41"/>
      <c r="U147" s="41"/>
      <c r="V147" s="41"/>
      <c r="W147" s="41"/>
      <c r="X147" s="42"/>
      <c r="Y147" s="218"/>
      <c r="Z147" s="41"/>
      <c r="AA147" s="41"/>
      <c r="AB147" s="41"/>
      <c r="AC147" s="41"/>
      <c r="AD147" s="41">
        <f t="shared" si="412"/>
        <v>0</v>
      </c>
      <c r="AE147" s="240" t="s">
        <v>609</v>
      </c>
      <c r="AF147" s="41"/>
      <c r="AG147" s="41"/>
      <c r="AH147" s="41"/>
      <c r="AI147" s="509"/>
      <c r="AJ147" s="41"/>
      <c r="AK147" s="41"/>
      <c r="AL147" s="41"/>
      <c r="AM147" s="41">
        <f>SUM(AF147:AL147)+AT147+AV147+AX147+AZ147</f>
        <v>0</v>
      </c>
      <c r="AN147" s="41"/>
      <c r="AO147" s="41"/>
      <c r="AP147" s="41"/>
      <c r="AQ147" s="41"/>
      <c r="AR147" s="41">
        <f t="shared" ref="AR147" si="416">SUM(AN147:AQ147)</f>
        <v>0</v>
      </c>
      <c r="AS147" s="41"/>
      <c r="AT147" s="41"/>
      <c r="AU147" s="41"/>
      <c r="AV147" s="41"/>
      <c r="AW147" s="41"/>
      <c r="AX147" s="41"/>
      <c r="AY147" s="41"/>
      <c r="AZ147" s="41">
        <f>54-54</f>
        <v>0</v>
      </c>
      <c r="BA147" s="41"/>
      <c r="BB147" s="41"/>
      <c r="BC147" s="41">
        <f>+AR147+AS147+AU147+AV147+AX147+BA147</f>
        <v>0</v>
      </c>
      <c r="BD147" s="54"/>
      <c r="BE147" s="55"/>
      <c r="BF147" s="55"/>
      <c r="BG147" s="54"/>
      <c r="BH147" s="55"/>
    </row>
    <row r="148" spans="1:60" ht="12.95" customHeight="1">
      <c r="A148" s="44"/>
      <c r="B148" s="558"/>
      <c r="C148" s="451"/>
      <c r="D148" s="45"/>
      <c r="E148" s="46"/>
      <c r="F148" s="46"/>
      <c r="G148" s="47"/>
      <c r="H148" s="48"/>
      <c r="I148" s="49"/>
      <c r="J148" s="89"/>
      <c r="K148" s="89"/>
      <c r="L148" s="39"/>
      <c r="M148" s="39"/>
      <c r="N148" s="50"/>
      <c r="O148" s="51"/>
      <c r="P148" s="52"/>
      <c r="Q148" s="38"/>
      <c r="R148" s="507"/>
      <c r="S148" s="507"/>
      <c r="T148" s="41"/>
      <c r="U148" s="41"/>
      <c r="V148" s="41"/>
      <c r="W148" s="41"/>
      <c r="X148" s="42"/>
      <c r="Y148" s="42"/>
      <c r="Z148" s="41"/>
      <c r="AA148" s="53"/>
      <c r="AB148" s="53"/>
      <c r="AC148" s="41"/>
      <c r="AD148" s="41"/>
      <c r="AE148" s="237"/>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37"/>
      <c r="BE148" s="55"/>
      <c r="BF148" s="510"/>
      <c r="BG148" s="37"/>
      <c r="BH148" s="510"/>
    </row>
    <row r="149" spans="1:60" ht="12.95" customHeight="1">
      <c r="A149" s="44">
        <v>46048</v>
      </c>
      <c r="B149" s="45" t="s">
        <v>417</v>
      </c>
      <c r="C149" s="451">
        <f t="shared" ref="C149" si="417">(M149*E149*O149*Q149)/100000000</f>
        <v>39.500433378452293</v>
      </c>
      <c r="D149" s="45" t="s">
        <v>430</v>
      </c>
      <c r="E149" s="46">
        <v>14</v>
      </c>
      <c r="F149" s="46">
        <v>1</v>
      </c>
      <c r="G149" s="506">
        <v>1270</v>
      </c>
      <c r="H149" s="48">
        <f>+N149</f>
        <v>0.21648760229032005</v>
      </c>
      <c r="I149" s="49">
        <v>0.88</v>
      </c>
      <c r="J149" s="89">
        <f t="shared" ref="J149" si="418">E149*G149*(1-H149)*1440/1000000*2.75</f>
        <v>55.16616770786132</v>
      </c>
      <c r="K149" s="89">
        <f t="shared" ref="K149" si="419">(IF(G149&lt;L149,L149,G149)*(1-IF(H149&lt;N149,H149,N149))*E149*O149*Q149)/100000000</f>
        <v>54.694376239922015</v>
      </c>
      <c r="L149" s="39">
        <v>917.19759579263712</v>
      </c>
      <c r="M149" s="39">
        <v>718.63568745304292</v>
      </c>
      <c r="N149" s="50">
        <f t="shared" ref="N149" si="420">1-(M149/L149)</f>
        <v>0.21648760229032005</v>
      </c>
      <c r="O149" s="51">
        <f>+'Trim Rwd'!H86</f>
        <v>272.64814814814815</v>
      </c>
      <c r="P149" s="52">
        <f t="shared" ref="P149" si="421">O149*(Q149-R149-S149)</f>
        <v>348171.68518518517</v>
      </c>
      <c r="Q149" s="51">
        <v>1440</v>
      </c>
      <c r="R149" s="507">
        <v>109</v>
      </c>
      <c r="S149" s="507">
        <f>443-389</f>
        <v>54</v>
      </c>
      <c r="T149" s="41">
        <f t="shared" ref="T149" si="422">E149*M149*O149*Q149/100000000</f>
        <v>39.500433378452293</v>
      </c>
      <c r="U149" s="41">
        <f t="shared" ref="U149" si="423">E149*M149*O149*(Q149-R149-S149)/100000000</f>
        <v>35.029203766863596</v>
      </c>
      <c r="V149" s="41">
        <f t="shared" ref="V149" si="424">E149*G149*(1-N149)*O149/100*(R149+S149)/1000000</f>
        <v>6.1910995327133955</v>
      </c>
      <c r="W149" s="41">
        <f>+'26'!K17/1000</f>
        <v>38.465000000000003</v>
      </c>
      <c r="X149" s="508">
        <f>SUM(W149:W152)/SUM(K149:K152)</f>
        <v>0.7032715727713883</v>
      </c>
      <c r="Y149" s="218">
        <v>0</v>
      </c>
      <c r="Z149" s="41">
        <v>0</v>
      </c>
      <c r="AA149" s="53">
        <v>0</v>
      </c>
      <c r="AB149" s="53">
        <f>(SUM(K149:K152)-SUM(W149:W152)-SUM(Y149:Y152)-SUM(Z149:Z152)-SUM(AC149:AC152)-SUM(V149:V152))-AA149</f>
        <v>-5.1556661542611062</v>
      </c>
      <c r="AC149" s="41">
        <f>K149-T149</f>
        <v>15.193942861469722</v>
      </c>
      <c r="AD149" s="41">
        <f>+AM149+BC149</f>
        <v>0</v>
      </c>
      <c r="AE149" s="237" t="s">
        <v>386</v>
      </c>
      <c r="AF149" s="41">
        <v>0</v>
      </c>
      <c r="AG149" s="41"/>
      <c r="AH149" s="41"/>
      <c r="AI149" s="509"/>
      <c r="AJ149" s="41"/>
      <c r="AK149" s="41"/>
      <c r="AL149" s="41"/>
      <c r="AM149" s="41">
        <f>SUM(AF149:AL149)+AT149</f>
        <v>0</v>
      </c>
      <c r="AN149" s="41"/>
      <c r="AO149" s="41"/>
      <c r="AP149" s="41"/>
      <c r="AQ149" s="41"/>
      <c r="AR149" s="41">
        <f>SUM(AN149:AQ149)</f>
        <v>0</v>
      </c>
      <c r="AS149" s="41"/>
      <c r="AT149" s="41"/>
      <c r="AU149" s="41"/>
      <c r="AV149" s="41"/>
      <c r="AW149" s="41"/>
      <c r="AX149" s="41"/>
      <c r="AY149" s="41"/>
      <c r="AZ149" s="41"/>
      <c r="BA149" s="41"/>
      <c r="BB149" s="41"/>
      <c r="BC149" s="41">
        <f>+AR149+AS149+AU149+AV149+AX149</f>
        <v>0</v>
      </c>
      <c r="BD149" s="37">
        <v>0</v>
      </c>
      <c r="BE149" s="55"/>
      <c r="BF149" s="55"/>
      <c r="BG149" s="37"/>
      <c r="BH149" s="55"/>
    </row>
    <row r="150" spans="1:60" ht="12.95" customHeight="1">
      <c r="A150" s="44"/>
      <c r="B150" s="45"/>
      <c r="C150" s="451"/>
      <c r="D150" s="45"/>
      <c r="E150" s="46"/>
      <c r="F150" s="46"/>
      <c r="G150" s="506"/>
      <c r="H150" s="48"/>
      <c r="I150" s="49"/>
      <c r="J150" s="89"/>
      <c r="K150" s="89"/>
      <c r="L150" s="39"/>
      <c r="M150" s="39"/>
      <c r="N150" s="50"/>
      <c r="O150" s="51"/>
      <c r="P150" s="52"/>
      <c r="Q150" s="51"/>
      <c r="R150" s="507"/>
      <c r="S150" s="507"/>
      <c r="T150" s="41"/>
      <c r="U150" s="41"/>
      <c r="V150" s="41"/>
      <c r="W150" s="41"/>
      <c r="X150" s="42"/>
      <c r="Y150" s="218"/>
      <c r="Z150" s="41"/>
      <c r="AA150" s="41"/>
      <c r="AB150" s="41"/>
      <c r="AC150" s="41"/>
      <c r="AD150" s="41">
        <f t="shared" ref="AD150:AD152" si="425">+AM150+BC150</f>
        <v>11</v>
      </c>
      <c r="AE150" s="237" t="s">
        <v>570</v>
      </c>
      <c r="AF150" s="41"/>
      <c r="AG150" s="41">
        <v>11</v>
      </c>
      <c r="AH150" s="41"/>
      <c r="AI150" s="509"/>
      <c r="AJ150" s="41"/>
      <c r="AK150" s="41"/>
      <c r="AL150" s="41"/>
      <c r="AM150" s="41">
        <f t="shared" ref="AM150:AM152" si="426">SUM(AF150:AL150)+AT150</f>
        <v>11</v>
      </c>
      <c r="AN150" s="90"/>
      <c r="AO150" s="41"/>
      <c r="AP150" s="41"/>
      <c r="AQ150" s="41"/>
      <c r="AR150" s="41">
        <f t="shared" ref="AR150:AR152" si="427">SUM(AN150:AQ150)</f>
        <v>0</v>
      </c>
      <c r="AS150" s="41"/>
      <c r="AT150" s="41"/>
      <c r="AU150" s="41"/>
      <c r="AV150" s="41"/>
      <c r="AW150" s="41"/>
      <c r="AX150" s="41"/>
      <c r="AY150" s="41"/>
      <c r="AZ150" s="41"/>
      <c r="BA150" s="41"/>
      <c r="BB150" s="41"/>
      <c r="BC150" s="41">
        <f t="shared" ref="BC150:BC152" si="428">+AR150+AS150+AU150+AV150+AX150</f>
        <v>0</v>
      </c>
      <c r="BD150" s="54"/>
      <c r="BE150" s="55">
        <v>9</v>
      </c>
      <c r="BF150" s="55"/>
      <c r="BG150" s="54"/>
      <c r="BH150" s="55"/>
    </row>
    <row r="151" spans="1:60" ht="12.95" customHeight="1">
      <c r="A151" s="44"/>
      <c r="B151" s="45"/>
      <c r="C151" s="451"/>
      <c r="D151" s="45"/>
      <c r="E151" s="46"/>
      <c r="F151" s="46"/>
      <c r="G151" s="506"/>
      <c r="H151" s="48"/>
      <c r="I151" s="49"/>
      <c r="J151" s="89"/>
      <c r="K151" s="89"/>
      <c r="L151" s="39"/>
      <c r="M151" s="39"/>
      <c r="N151" s="50"/>
      <c r="O151" s="51"/>
      <c r="P151" s="52"/>
      <c r="Q151" s="51"/>
      <c r="R151" s="507"/>
      <c r="S151" s="507"/>
      <c r="T151" s="41"/>
      <c r="U151" s="41"/>
      <c r="V151" s="41"/>
      <c r="W151" s="41"/>
      <c r="X151" s="42"/>
      <c r="Y151" s="218"/>
      <c r="Z151" s="41"/>
      <c r="AA151" s="41"/>
      <c r="AB151" s="41"/>
      <c r="AC151" s="41"/>
      <c r="AD151" s="41">
        <f t="shared" si="425"/>
        <v>25</v>
      </c>
      <c r="AE151" s="237" t="s">
        <v>571</v>
      </c>
      <c r="AF151" s="37"/>
      <c r="AG151" s="37"/>
      <c r="AH151" s="37">
        <v>25</v>
      </c>
      <c r="AJ151" s="41"/>
      <c r="AK151" s="41"/>
      <c r="AL151" s="41"/>
      <c r="AM151" s="41">
        <f t="shared" si="426"/>
        <v>25</v>
      </c>
      <c r="AN151" s="41"/>
      <c r="AO151" s="41"/>
      <c r="AP151" s="41"/>
      <c r="AQ151" s="41"/>
      <c r="AR151" s="41">
        <f t="shared" si="427"/>
        <v>0</v>
      </c>
      <c r="AS151" s="41"/>
      <c r="AT151" s="41"/>
      <c r="AU151" s="41"/>
      <c r="AV151" s="41"/>
      <c r="AW151" s="41"/>
      <c r="AX151" s="41"/>
      <c r="AY151" s="41"/>
      <c r="AZ151" s="41"/>
      <c r="BA151" s="41"/>
      <c r="BB151" s="41"/>
      <c r="BC151" s="41">
        <f t="shared" si="428"/>
        <v>0</v>
      </c>
      <c r="BD151" s="37"/>
      <c r="BE151" s="510"/>
      <c r="BF151" s="510"/>
      <c r="BG151" s="37"/>
      <c r="BH151" s="510"/>
    </row>
    <row r="152" spans="1:60" ht="12.95" customHeight="1">
      <c r="A152" s="44"/>
      <c r="B152" s="45"/>
      <c r="C152" s="451"/>
      <c r="D152" s="45"/>
      <c r="E152" s="46"/>
      <c r="F152" s="46"/>
      <c r="G152" s="47"/>
      <c r="H152" s="48"/>
      <c r="I152" s="49"/>
      <c r="J152" s="89"/>
      <c r="K152" s="89"/>
      <c r="L152" s="39"/>
      <c r="M152" s="39"/>
      <c r="N152" s="50"/>
      <c r="O152" s="51"/>
      <c r="P152" s="52"/>
      <c r="Q152" s="38"/>
      <c r="R152" s="507"/>
      <c r="S152" s="507"/>
      <c r="T152" s="41"/>
      <c r="U152" s="41"/>
      <c r="V152" s="41"/>
      <c r="W152" s="41"/>
      <c r="X152" s="42"/>
      <c r="Y152" s="218"/>
      <c r="Z152" s="41"/>
      <c r="AA152" s="41"/>
      <c r="AB152" s="41"/>
      <c r="AC152" s="41"/>
      <c r="AD152" s="41">
        <f t="shared" si="425"/>
        <v>8</v>
      </c>
      <c r="AE152" s="240" t="s">
        <v>225</v>
      </c>
      <c r="AF152" s="41"/>
      <c r="AG152" s="41"/>
      <c r="AH152" s="41"/>
      <c r="AI152" s="509">
        <v>8</v>
      </c>
      <c r="AJ152" s="41"/>
      <c r="AK152" s="41"/>
      <c r="AL152" s="41"/>
      <c r="AM152" s="41">
        <f t="shared" si="426"/>
        <v>8</v>
      </c>
      <c r="AN152" s="41"/>
      <c r="AO152" s="41"/>
      <c r="AP152" s="41"/>
      <c r="AQ152" s="41"/>
      <c r="AR152" s="41">
        <f t="shared" si="427"/>
        <v>0</v>
      </c>
      <c r="AS152" s="41"/>
      <c r="AT152" s="41"/>
      <c r="AU152" s="41"/>
      <c r="AV152" s="41"/>
      <c r="AW152" s="41"/>
      <c r="AX152" s="41"/>
      <c r="AY152" s="41"/>
      <c r="AZ152" s="41"/>
      <c r="BA152" s="41"/>
      <c r="BB152" s="41"/>
      <c r="BC152" s="41">
        <f t="shared" si="428"/>
        <v>0</v>
      </c>
      <c r="BD152" s="54"/>
      <c r="BE152" s="55"/>
      <c r="BF152" s="55"/>
      <c r="BG152" s="54"/>
      <c r="BH152" s="55"/>
    </row>
    <row r="153" spans="1:60" ht="12.95" customHeight="1">
      <c r="A153" s="44"/>
      <c r="B153" s="45"/>
      <c r="C153" s="451"/>
      <c r="D153" s="45"/>
      <c r="E153" s="46"/>
      <c r="F153" s="46"/>
      <c r="G153" s="47"/>
      <c r="H153" s="48"/>
      <c r="I153" s="49"/>
      <c r="J153" s="89"/>
      <c r="K153" s="89"/>
      <c r="L153" s="39"/>
      <c r="M153" s="39"/>
      <c r="N153" s="50"/>
      <c r="O153" s="51"/>
      <c r="P153" s="52"/>
      <c r="Q153" s="38"/>
      <c r="R153" s="507"/>
      <c r="S153" s="507"/>
      <c r="T153" s="41"/>
      <c r="U153" s="41"/>
      <c r="V153" s="41"/>
      <c r="W153" s="41"/>
      <c r="X153" s="42"/>
      <c r="Y153" s="218"/>
      <c r="Z153" s="41"/>
      <c r="AA153" s="41"/>
      <c r="AB153" s="41"/>
      <c r="AC153" s="41"/>
      <c r="AD153" s="41">
        <f t="shared" ref="AD153:AD154" si="429">+AM153+BC153</f>
        <v>10</v>
      </c>
      <c r="AE153" s="237" t="s">
        <v>766</v>
      </c>
      <c r="AF153" s="41"/>
      <c r="AG153" s="41"/>
      <c r="AH153" s="41"/>
      <c r="AI153" s="509"/>
      <c r="AJ153" s="41"/>
      <c r="AK153" s="41">
        <v>10</v>
      </c>
      <c r="AL153" s="41"/>
      <c r="AM153" s="41">
        <f t="shared" ref="AM153" si="430">SUM(AF153:AL153)+AT153</f>
        <v>10</v>
      </c>
      <c r="AN153" s="41"/>
      <c r="AO153" s="41"/>
      <c r="AP153" s="41"/>
      <c r="AQ153" s="41"/>
      <c r="AR153" s="41">
        <f t="shared" ref="AR153" si="431">SUM(AN153:AQ153)</f>
        <v>0</v>
      </c>
      <c r="AS153" s="41"/>
      <c r="AT153" s="41"/>
      <c r="AU153" s="41"/>
      <c r="AV153" s="41"/>
      <c r="AW153" s="41"/>
      <c r="AX153" s="41"/>
      <c r="AY153" s="41"/>
      <c r="AZ153" s="41"/>
      <c r="BA153" s="41"/>
      <c r="BB153" s="41"/>
      <c r="BC153" s="41">
        <f t="shared" ref="BC153" si="432">+AR153+AS153+AU153+AV153+AX153</f>
        <v>0</v>
      </c>
      <c r="BD153" s="54"/>
      <c r="BE153" s="55"/>
      <c r="BF153" s="55"/>
      <c r="BG153" s="54"/>
      <c r="BH153" s="55"/>
    </row>
    <row r="154" spans="1:60" ht="12.95" customHeight="1">
      <c r="A154" s="44"/>
      <c r="B154" s="45"/>
      <c r="C154" s="451"/>
      <c r="D154" s="45"/>
      <c r="E154" s="46"/>
      <c r="F154" s="46"/>
      <c r="G154" s="47"/>
      <c r="H154" s="48"/>
      <c r="I154" s="49"/>
      <c r="J154" s="89"/>
      <c r="K154" s="89"/>
      <c r="L154" s="39"/>
      <c r="M154" s="39"/>
      <c r="N154" s="50"/>
      <c r="O154" s="51"/>
      <c r="P154" s="52"/>
      <c r="Q154" s="38"/>
      <c r="R154" s="507"/>
      <c r="S154" s="507"/>
      <c r="T154" s="41"/>
      <c r="U154" s="41"/>
      <c r="V154" s="41"/>
      <c r="W154" s="41"/>
      <c r="X154" s="42"/>
      <c r="Y154" s="218"/>
      <c r="Z154" s="41"/>
      <c r="AA154" s="41"/>
      <c r="AB154" s="41"/>
      <c r="AC154" s="41"/>
      <c r="AD154" s="41">
        <f t="shared" si="429"/>
        <v>109</v>
      </c>
      <c r="AE154" s="240" t="s">
        <v>765</v>
      </c>
      <c r="AF154" s="41"/>
      <c r="AG154" s="41"/>
      <c r="AH154" s="41"/>
      <c r="AI154" s="509"/>
      <c r="AJ154" s="41"/>
      <c r="AK154" s="41"/>
      <c r="AL154" s="41"/>
      <c r="AM154" s="41">
        <f>SUM(AF154:AL154)+AT154+AV154+AX154+AZ154</f>
        <v>0</v>
      </c>
      <c r="AN154" s="41"/>
      <c r="AO154" s="41"/>
      <c r="AP154" s="41"/>
      <c r="AQ154" s="41"/>
      <c r="AR154" s="41">
        <f t="shared" ref="AR154" si="433">SUM(AN154:AQ154)</f>
        <v>0</v>
      </c>
      <c r="AS154" s="41"/>
      <c r="AT154" s="41"/>
      <c r="AU154" s="41"/>
      <c r="AV154" s="41"/>
      <c r="AW154" s="41"/>
      <c r="AX154" s="41"/>
      <c r="AY154" s="41"/>
      <c r="AZ154" s="41"/>
      <c r="BA154" s="41">
        <v>109</v>
      </c>
      <c r="BB154" s="41"/>
      <c r="BC154" s="41">
        <f>+AR154+AS154+AU154+AV154+AX154+BA154</f>
        <v>109</v>
      </c>
      <c r="BD154" s="54"/>
      <c r="BE154" s="55"/>
      <c r="BF154" s="55"/>
      <c r="BG154" s="54"/>
      <c r="BH154" s="55"/>
    </row>
    <row r="155" spans="1:60" ht="12.95" customHeight="1">
      <c r="A155" s="44"/>
      <c r="B155" s="45"/>
      <c r="C155" s="451"/>
      <c r="D155" s="45"/>
      <c r="E155" s="46"/>
      <c r="F155" s="46"/>
      <c r="G155" s="47"/>
      <c r="H155" s="48"/>
      <c r="I155" s="49"/>
      <c r="J155" s="89"/>
      <c r="K155" s="89"/>
      <c r="L155" s="39"/>
      <c r="M155" s="39"/>
      <c r="N155" s="50"/>
      <c r="O155" s="51"/>
      <c r="P155" s="52"/>
      <c r="Q155" s="38"/>
      <c r="R155" s="507"/>
      <c r="S155" s="507"/>
      <c r="T155" s="41"/>
      <c r="U155" s="41"/>
      <c r="V155" s="41"/>
      <c r="W155" s="41"/>
      <c r="X155" s="42"/>
      <c r="Y155" s="218"/>
      <c r="Z155" s="41"/>
      <c r="AA155" s="41"/>
      <c r="AB155" s="41"/>
      <c r="AC155" s="41"/>
      <c r="AD155" s="41">
        <f t="shared" ref="AD155" si="434">+AM155+BC155</f>
        <v>0</v>
      </c>
      <c r="AE155" s="240" t="s">
        <v>609</v>
      </c>
      <c r="AF155" s="41"/>
      <c r="AG155" s="41"/>
      <c r="AH155" s="41"/>
      <c r="AI155" s="509"/>
      <c r="AJ155" s="41"/>
      <c r="AK155" s="41"/>
      <c r="AL155" s="41"/>
      <c r="AM155" s="41">
        <f>SUM(AF155:AL155)+AT155+AV155+AX155+AZ155</f>
        <v>0</v>
      </c>
      <c r="AN155" s="41"/>
      <c r="AO155" s="41"/>
      <c r="AP155" s="41"/>
      <c r="AQ155" s="41"/>
      <c r="AR155" s="41">
        <f t="shared" ref="AR155" si="435">SUM(AN155:AQ155)</f>
        <v>0</v>
      </c>
      <c r="AS155" s="41"/>
      <c r="AT155" s="41"/>
      <c r="AU155" s="41"/>
      <c r="AV155" s="41"/>
      <c r="AW155" s="41"/>
      <c r="AX155" s="41"/>
      <c r="AY155" s="41"/>
      <c r="AZ155" s="41">
        <f>389-389</f>
        <v>0</v>
      </c>
      <c r="BA155" s="41"/>
      <c r="BB155" s="41"/>
      <c r="BC155" s="41">
        <f>+AR155+AS155+AU155+AV155+AX155+BA155</f>
        <v>0</v>
      </c>
      <c r="BD155" s="54"/>
      <c r="BE155" s="55"/>
      <c r="BF155" s="55"/>
      <c r="BG155" s="54"/>
      <c r="BH155" s="55"/>
    </row>
    <row r="156" spans="1:60" ht="12.95" customHeight="1">
      <c r="A156" s="44"/>
      <c r="B156" s="45"/>
      <c r="C156" s="451"/>
      <c r="D156" s="45"/>
      <c r="E156" s="46"/>
      <c r="F156" s="46"/>
      <c r="G156" s="506"/>
      <c r="H156" s="48"/>
      <c r="I156" s="49"/>
      <c r="J156" s="89"/>
      <c r="K156" s="89"/>
      <c r="L156" s="39"/>
      <c r="M156" s="39"/>
      <c r="N156" s="50"/>
      <c r="O156" s="51"/>
      <c r="P156" s="52"/>
      <c r="Q156" s="51"/>
      <c r="R156" s="507"/>
      <c r="S156" s="507"/>
      <c r="T156" s="41"/>
      <c r="U156" s="41"/>
      <c r="V156" s="41"/>
      <c r="W156" s="41"/>
      <c r="X156" s="42"/>
      <c r="Y156" s="218"/>
      <c r="Z156" s="41"/>
      <c r="AA156" s="41"/>
      <c r="AB156" s="41"/>
      <c r="AC156" s="41"/>
      <c r="AD156" s="41"/>
      <c r="AE156" s="237"/>
      <c r="AF156" s="37"/>
      <c r="AG156" s="37"/>
      <c r="AH156" s="37"/>
      <c r="AJ156" s="41"/>
      <c r="AK156" s="41"/>
      <c r="AL156" s="41"/>
      <c r="AM156" s="41"/>
      <c r="AN156" s="41"/>
      <c r="AO156" s="41"/>
      <c r="AP156" s="41"/>
      <c r="AQ156" s="41"/>
      <c r="AR156" s="41"/>
      <c r="AS156" s="41"/>
      <c r="AT156" s="41"/>
      <c r="AU156" s="41"/>
      <c r="AV156" s="41"/>
      <c r="AW156" s="41"/>
      <c r="AX156" s="41"/>
      <c r="AY156" s="41"/>
      <c r="AZ156" s="41"/>
      <c r="BA156" s="41"/>
      <c r="BB156" s="41"/>
      <c r="BC156" s="41"/>
      <c r="BD156" s="37"/>
      <c r="BE156" s="510"/>
      <c r="BF156" s="510"/>
      <c r="BG156" s="37"/>
      <c r="BH156" s="510"/>
    </row>
    <row r="157" spans="1:60" ht="12.95" customHeight="1">
      <c r="A157" s="44">
        <v>46049</v>
      </c>
      <c r="B157" s="45" t="s">
        <v>417</v>
      </c>
      <c r="C157" s="451">
        <f t="shared" ref="C157" si="436">(M157*E157*O157*Q157)/100000000</f>
        <v>38.628949631999994</v>
      </c>
      <c r="D157" s="45" t="s">
        <v>430</v>
      </c>
      <c r="E157" s="46">
        <v>14</v>
      </c>
      <c r="F157" s="46">
        <v>1</v>
      </c>
      <c r="G157" s="506">
        <v>1275</v>
      </c>
      <c r="H157" s="48">
        <f>+N157</f>
        <v>0.22000000000000008</v>
      </c>
      <c r="I157" s="49">
        <v>0.88</v>
      </c>
      <c r="J157" s="89">
        <f t="shared" ref="J157" si="437">E157*G157*(1-H157)*1440/1000000*2.75</f>
        <v>55.135079999999988</v>
      </c>
      <c r="K157" s="89">
        <f t="shared" ref="K157" si="438">(IF(G157&lt;L157,L157,G157)*(1-IF(H157&lt;N157,H157,N157))*E157*O157*Q157)/100000000</f>
        <v>54.934588799999993</v>
      </c>
      <c r="L157" s="39">
        <v>896.55555555555554</v>
      </c>
      <c r="M157" s="39">
        <v>699.31333333333328</v>
      </c>
      <c r="N157" s="50">
        <f t="shared" ref="N157" si="439">1-(M157/L157)</f>
        <v>0.22000000000000008</v>
      </c>
      <c r="O157" s="51">
        <f>+'Trim Rwd'!H90</f>
        <v>274</v>
      </c>
      <c r="P157" s="52">
        <f t="shared" ref="P157" si="440">O157*(Q157-R157-S157)</f>
        <v>382504</v>
      </c>
      <c r="Q157" s="51">
        <v>1440</v>
      </c>
      <c r="R157" s="507">
        <v>0</v>
      </c>
      <c r="S157" s="507">
        <f>471-427</f>
        <v>44</v>
      </c>
      <c r="T157" s="41">
        <f t="shared" ref="T157" si="441">E157*M157*O157*Q157/100000000</f>
        <v>38.628949631999994</v>
      </c>
      <c r="U157" s="41">
        <f t="shared" ref="U157" si="442">E157*M157*O157*(Q157-R157-S157)/100000000</f>
        <v>37.448620615466659</v>
      </c>
      <c r="V157" s="41">
        <f t="shared" ref="V157" si="443">E157*G157*(1-N157)*O157/100*(R157+S157)/1000000</f>
        <v>1.6785568799999999</v>
      </c>
      <c r="W157" s="41">
        <f>+'27'!K17/1000</f>
        <v>34.753</v>
      </c>
      <c r="X157" s="508">
        <f>SUM(W157:W160)/SUM(K157:K160)</f>
        <v>0.63262510485925405</v>
      </c>
      <c r="Y157" s="218">
        <v>0</v>
      </c>
      <c r="Z157" s="41">
        <v>0</v>
      </c>
      <c r="AA157" s="53">
        <v>0</v>
      </c>
      <c r="AB157" s="53">
        <f>(SUM(K157:K160)-SUM(W157:W160)-SUM(Y157:Y160)-SUM(Z157:Z160)-SUM(AC157:AC160)-SUM(V157:V160))-AA157</f>
        <v>2.1973927519999941</v>
      </c>
      <c r="AC157" s="41">
        <f>K157-T157</f>
        <v>16.305639167999999</v>
      </c>
      <c r="AD157" s="41">
        <f>+AM157+BC157</f>
        <v>0</v>
      </c>
      <c r="AE157" s="237" t="s">
        <v>386</v>
      </c>
      <c r="AF157" s="41">
        <v>0</v>
      </c>
      <c r="AG157" s="41"/>
      <c r="AH157" s="41"/>
      <c r="AI157" s="509"/>
      <c r="AJ157" s="41"/>
      <c r="AK157" s="41"/>
      <c r="AL157" s="41"/>
      <c r="AM157" s="41">
        <f>SUM(AF157:AL157)+AT157</f>
        <v>0</v>
      </c>
      <c r="AN157" s="41"/>
      <c r="AO157" s="41"/>
      <c r="AP157" s="41"/>
      <c r="AQ157" s="41"/>
      <c r="AR157" s="41">
        <f>SUM(AN157:AQ157)</f>
        <v>0</v>
      </c>
      <c r="AS157" s="41"/>
      <c r="AT157" s="41"/>
      <c r="AU157" s="41"/>
      <c r="AV157" s="41"/>
      <c r="AW157" s="41"/>
      <c r="AX157" s="41"/>
      <c r="AY157" s="41"/>
      <c r="AZ157" s="41"/>
      <c r="BA157" s="41"/>
      <c r="BB157" s="41"/>
      <c r="BC157" s="41">
        <f>+AR157+AS157+AU157+AV157+AX157</f>
        <v>0</v>
      </c>
      <c r="BD157" s="37">
        <v>0</v>
      </c>
      <c r="BE157" s="55"/>
      <c r="BF157" s="55"/>
      <c r="BG157" s="37"/>
      <c r="BH157" s="55"/>
    </row>
    <row r="158" spans="1:60" ht="12.95" customHeight="1">
      <c r="A158" s="44"/>
      <c r="B158" s="45"/>
      <c r="C158" s="451"/>
      <c r="D158" s="45"/>
      <c r="E158" s="46"/>
      <c r="F158" s="46"/>
      <c r="G158" s="506"/>
      <c r="H158" s="48"/>
      <c r="I158" s="49"/>
      <c r="J158" s="89"/>
      <c r="K158" s="89"/>
      <c r="L158" s="39"/>
      <c r="M158" s="39"/>
      <c r="N158" s="50"/>
      <c r="O158" s="51"/>
      <c r="P158" s="52"/>
      <c r="Q158" s="51"/>
      <c r="R158" s="507"/>
      <c r="S158" s="507"/>
      <c r="T158" s="41"/>
      <c r="U158" s="41"/>
      <c r="V158" s="41"/>
      <c r="W158" s="41"/>
      <c r="X158" s="42"/>
      <c r="Y158" s="218"/>
      <c r="Z158" s="41"/>
      <c r="AA158" s="41"/>
      <c r="AB158" s="41"/>
      <c r="AC158" s="41"/>
      <c r="AD158" s="41">
        <f t="shared" ref="AD158:AD161" si="444">+AM158+BC158</f>
        <v>12</v>
      </c>
      <c r="AE158" s="237" t="s">
        <v>778</v>
      </c>
      <c r="AF158" s="41"/>
      <c r="AG158" s="41">
        <v>12</v>
      </c>
      <c r="AH158" s="41"/>
      <c r="AI158" s="509"/>
      <c r="AJ158" s="41"/>
      <c r="AK158" s="41"/>
      <c r="AL158" s="41"/>
      <c r="AM158" s="41">
        <f t="shared" ref="AM158:AM160" si="445">SUM(AF158:AL158)+AT158</f>
        <v>12</v>
      </c>
      <c r="AN158" s="90"/>
      <c r="AO158" s="41"/>
      <c r="AP158" s="41"/>
      <c r="AQ158" s="41"/>
      <c r="AR158" s="41">
        <f t="shared" ref="AR158:AR160" si="446">SUM(AN158:AQ158)</f>
        <v>0</v>
      </c>
      <c r="AS158" s="41"/>
      <c r="AT158" s="41"/>
      <c r="AU158" s="41"/>
      <c r="AV158" s="41"/>
      <c r="AW158" s="41"/>
      <c r="AX158" s="41"/>
      <c r="AY158" s="41"/>
      <c r="AZ158" s="41"/>
      <c r="BA158" s="41"/>
      <c r="BB158" s="41"/>
      <c r="BC158" s="41">
        <f t="shared" ref="BC158:BC160" si="447">+AR158+AS158+AU158+AV158+AX158</f>
        <v>0</v>
      </c>
      <c r="BD158" s="54"/>
      <c r="BE158" s="55">
        <v>7</v>
      </c>
      <c r="BF158" s="55"/>
      <c r="BG158" s="54"/>
      <c r="BH158" s="55"/>
    </row>
    <row r="159" spans="1:60" ht="12.95" customHeight="1">
      <c r="A159" s="44"/>
      <c r="B159" s="45"/>
      <c r="C159" s="451"/>
      <c r="D159" s="45"/>
      <c r="E159" s="46"/>
      <c r="F159" s="46"/>
      <c r="G159" s="506"/>
      <c r="H159" s="48"/>
      <c r="I159" s="49"/>
      <c r="J159" s="89"/>
      <c r="K159" s="89"/>
      <c r="L159" s="39"/>
      <c r="M159" s="39"/>
      <c r="N159" s="50"/>
      <c r="O159" s="51"/>
      <c r="P159" s="52"/>
      <c r="Q159" s="51"/>
      <c r="R159" s="507"/>
      <c r="S159" s="507"/>
      <c r="T159" s="41"/>
      <c r="U159" s="41"/>
      <c r="V159" s="41"/>
      <c r="W159" s="41"/>
      <c r="X159" s="42"/>
      <c r="Y159" s="218"/>
      <c r="Z159" s="41"/>
      <c r="AA159" s="41"/>
      <c r="AB159" s="41"/>
      <c r="AC159" s="41"/>
      <c r="AD159" s="41">
        <f t="shared" si="444"/>
        <v>16</v>
      </c>
      <c r="AE159" s="237" t="s">
        <v>779</v>
      </c>
      <c r="AF159" s="37"/>
      <c r="AG159" s="37"/>
      <c r="AH159" s="37">
        <v>16</v>
      </c>
      <c r="AJ159" s="41"/>
      <c r="AK159" s="41"/>
      <c r="AL159" s="41"/>
      <c r="AM159" s="41">
        <f t="shared" si="445"/>
        <v>16</v>
      </c>
      <c r="AN159" s="41"/>
      <c r="AO159" s="41"/>
      <c r="AP159" s="41"/>
      <c r="AQ159" s="41"/>
      <c r="AR159" s="41">
        <f t="shared" si="446"/>
        <v>0</v>
      </c>
      <c r="AS159" s="41"/>
      <c r="AT159" s="41"/>
      <c r="AU159" s="41"/>
      <c r="AV159" s="41"/>
      <c r="AW159" s="41"/>
      <c r="AX159" s="41"/>
      <c r="AY159" s="41"/>
      <c r="AZ159" s="41"/>
      <c r="BA159" s="41"/>
      <c r="BB159" s="41"/>
      <c r="BC159" s="41">
        <f t="shared" si="447"/>
        <v>0</v>
      </c>
      <c r="BD159" s="37"/>
      <c r="BE159" s="510"/>
      <c r="BF159" s="510"/>
      <c r="BG159" s="37"/>
      <c r="BH159" s="510"/>
    </row>
    <row r="160" spans="1:60" ht="12.95" customHeight="1">
      <c r="A160" s="44"/>
      <c r="B160" s="45"/>
      <c r="C160" s="451"/>
      <c r="D160" s="45"/>
      <c r="E160" s="46"/>
      <c r="F160" s="46"/>
      <c r="G160" s="47"/>
      <c r="H160" s="48"/>
      <c r="I160" s="49"/>
      <c r="J160" s="89"/>
      <c r="K160" s="89"/>
      <c r="L160" s="39"/>
      <c r="M160" s="39"/>
      <c r="N160" s="50"/>
      <c r="O160" s="51"/>
      <c r="P160" s="52"/>
      <c r="Q160" s="38"/>
      <c r="R160" s="507"/>
      <c r="S160" s="507"/>
      <c r="T160" s="41"/>
      <c r="U160" s="41"/>
      <c r="V160" s="41"/>
      <c r="W160" s="41"/>
      <c r="X160" s="42"/>
      <c r="Y160" s="218"/>
      <c r="Z160" s="41"/>
      <c r="AA160" s="41"/>
      <c r="AB160" s="41"/>
      <c r="AC160" s="41"/>
      <c r="AD160" s="41">
        <f t="shared" si="444"/>
        <v>16</v>
      </c>
      <c r="AE160" s="240" t="s">
        <v>225</v>
      </c>
      <c r="AF160" s="41"/>
      <c r="AG160" s="41"/>
      <c r="AH160" s="41"/>
      <c r="AI160" s="509">
        <v>16</v>
      </c>
      <c r="AJ160" s="41"/>
      <c r="AK160" s="41"/>
      <c r="AL160" s="41"/>
      <c r="AM160" s="41">
        <f t="shared" si="445"/>
        <v>16</v>
      </c>
      <c r="AN160" s="41"/>
      <c r="AO160" s="41"/>
      <c r="AP160" s="41"/>
      <c r="AQ160" s="41"/>
      <c r="AR160" s="41">
        <f t="shared" si="446"/>
        <v>0</v>
      </c>
      <c r="AS160" s="41"/>
      <c r="AT160" s="41"/>
      <c r="AU160" s="41"/>
      <c r="AV160" s="41"/>
      <c r="AW160" s="41"/>
      <c r="AX160" s="41"/>
      <c r="AY160" s="41"/>
      <c r="AZ160" s="41"/>
      <c r="BA160" s="41"/>
      <c r="BB160" s="41"/>
      <c r="BC160" s="41">
        <f t="shared" si="447"/>
        <v>0</v>
      </c>
      <c r="BD160" s="54"/>
      <c r="BE160" s="55"/>
      <c r="BF160" s="55"/>
      <c r="BG160" s="54"/>
      <c r="BH160" s="55"/>
    </row>
    <row r="161" spans="1:60" ht="12.95" customHeight="1">
      <c r="A161" s="44"/>
      <c r="B161" s="45"/>
      <c r="C161" s="451"/>
      <c r="D161" s="45"/>
      <c r="E161" s="46"/>
      <c r="F161" s="46"/>
      <c r="G161" s="47"/>
      <c r="H161" s="48"/>
      <c r="I161" s="49"/>
      <c r="J161" s="89"/>
      <c r="K161" s="89"/>
      <c r="L161" s="39"/>
      <c r="M161" s="39"/>
      <c r="N161" s="50"/>
      <c r="O161" s="51"/>
      <c r="P161" s="52"/>
      <c r="Q161" s="38"/>
      <c r="R161" s="507"/>
      <c r="S161" s="507"/>
      <c r="T161" s="41"/>
      <c r="U161" s="41"/>
      <c r="V161" s="41"/>
      <c r="W161" s="41"/>
      <c r="X161" s="42"/>
      <c r="Y161" s="218"/>
      <c r="Z161" s="41"/>
      <c r="AA161" s="41"/>
      <c r="AB161" s="41"/>
      <c r="AC161" s="41"/>
      <c r="AD161" s="41">
        <f t="shared" si="444"/>
        <v>0</v>
      </c>
      <c r="AE161" s="240" t="s">
        <v>609</v>
      </c>
      <c r="AF161" s="41"/>
      <c r="AG161" s="41"/>
      <c r="AH161" s="41"/>
      <c r="AI161" s="509"/>
      <c r="AJ161" s="41"/>
      <c r="AK161" s="41"/>
      <c r="AL161" s="41"/>
      <c r="AM161" s="41">
        <f>SUM(AF161:AL161)+AT161+AV161+AX161+AZ161</f>
        <v>0</v>
      </c>
      <c r="AN161" s="41"/>
      <c r="AO161" s="41"/>
      <c r="AP161" s="41"/>
      <c r="AQ161" s="41"/>
      <c r="AR161" s="41">
        <f t="shared" ref="AR161" si="448">SUM(AN161:AQ161)</f>
        <v>0</v>
      </c>
      <c r="AS161" s="41"/>
      <c r="AT161" s="41"/>
      <c r="AU161" s="41"/>
      <c r="AV161" s="41"/>
      <c r="AW161" s="41"/>
      <c r="AX161" s="41"/>
      <c r="AY161" s="41"/>
      <c r="AZ161" s="41">
        <f>427-427</f>
        <v>0</v>
      </c>
      <c r="BA161" s="41"/>
      <c r="BB161" s="41"/>
      <c r="BC161" s="41">
        <f>+AR161+AS161+AU161+AV161+AX161+BA161</f>
        <v>0</v>
      </c>
      <c r="BD161" s="54"/>
      <c r="BE161" s="55"/>
      <c r="BF161" s="55"/>
      <c r="BG161" s="54"/>
      <c r="BH161" s="55"/>
    </row>
    <row r="162" spans="1:60" ht="12.95" customHeight="1">
      <c r="A162" s="44"/>
      <c r="B162" s="561"/>
      <c r="C162" s="451"/>
      <c r="D162" s="45"/>
      <c r="E162" s="46"/>
      <c r="F162" s="46"/>
      <c r="G162" s="47"/>
      <c r="H162" s="48"/>
      <c r="I162" s="49"/>
      <c r="J162" s="89"/>
      <c r="K162" s="89"/>
      <c r="L162" s="39"/>
      <c r="M162" s="39"/>
      <c r="N162" s="50"/>
      <c r="O162" s="51"/>
      <c r="P162" s="52"/>
      <c r="Q162" s="38"/>
      <c r="R162" s="507"/>
      <c r="S162" s="507"/>
      <c r="T162" s="41"/>
      <c r="U162" s="41"/>
      <c r="V162" s="41"/>
      <c r="W162" s="41"/>
      <c r="X162" s="42"/>
      <c r="Y162" s="42"/>
      <c r="Z162" s="41"/>
      <c r="AA162" s="53"/>
      <c r="AB162" s="53"/>
      <c r="AC162" s="41"/>
      <c r="AD162" s="41"/>
      <c r="AE162" s="240"/>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37"/>
      <c r="BE162" s="55"/>
      <c r="BF162" s="510"/>
      <c r="BG162" s="37"/>
      <c r="BH162" s="510"/>
    </row>
    <row r="163" spans="1:60" ht="12.95" customHeight="1">
      <c r="A163" s="44">
        <v>46050</v>
      </c>
      <c r="B163" s="45" t="s">
        <v>417</v>
      </c>
      <c r="C163" s="451">
        <f t="shared" ref="C163" si="449">(M163*E163*O163*Q163)/100000000</f>
        <v>35.889999599999996</v>
      </c>
      <c r="D163" s="45" t="s">
        <v>430</v>
      </c>
      <c r="E163" s="46">
        <v>14</v>
      </c>
      <c r="F163" s="46">
        <v>1</v>
      </c>
      <c r="G163" s="506">
        <v>1275</v>
      </c>
      <c r="H163" s="48">
        <f>+N163</f>
        <v>0.21999999999999997</v>
      </c>
      <c r="I163" s="49">
        <v>0.88</v>
      </c>
      <c r="J163" s="89">
        <f t="shared" ref="J163" si="450">E163*G163*(1-H163)*1440/1000000*2.75</f>
        <v>55.135079999999995</v>
      </c>
      <c r="K163" s="89">
        <f t="shared" ref="K163" si="451">(IF(G163&lt;L163,L163,G163)*(1-IF(H163&lt;N163,H163,N163))*E163*O163*Q163)/100000000</f>
        <v>54.9345888</v>
      </c>
      <c r="L163" s="39">
        <v>832.98611111111109</v>
      </c>
      <c r="M163" s="39">
        <v>649.72916666666663</v>
      </c>
      <c r="N163" s="50">
        <f t="shared" ref="N163" si="452">1-(M163/L163)</f>
        <v>0.21999999999999997</v>
      </c>
      <c r="O163" s="51">
        <f>+'Trim Rwd'!H92</f>
        <v>274</v>
      </c>
      <c r="P163" s="52">
        <f t="shared" ref="P163" si="453">O163*(Q163-R163-S163)</f>
        <v>385792</v>
      </c>
      <c r="Q163" s="51">
        <v>1440</v>
      </c>
      <c r="R163" s="507">
        <v>0</v>
      </c>
      <c r="S163" s="507">
        <f>531-499</f>
        <v>32</v>
      </c>
      <c r="T163" s="41">
        <f t="shared" ref="T163" si="454">E163*M163*O163*Q163/100000000</f>
        <v>35.889999599999996</v>
      </c>
      <c r="U163" s="41">
        <f t="shared" ref="U163" si="455">E163*M163*O163*(Q163-R163-S163)/100000000</f>
        <v>35.092444053333331</v>
      </c>
      <c r="V163" s="41">
        <f t="shared" ref="V163" si="456">E163*G163*(1-N163)*O163/100*(R163+S163)/1000000</f>
        <v>1.22076864</v>
      </c>
      <c r="W163" s="41">
        <f>+'28'!K17/1000</f>
        <v>33.441000000000003</v>
      </c>
      <c r="X163" s="508">
        <f>SUM(W163:W166)/SUM(K163:K166)</f>
        <v>0.60874215554335787</v>
      </c>
      <c r="Y163" s="218">
        <v>0</v>
      </c>
      <c r="Z163" s="41">
        <v>0</v>
      </c>
      <c r="AA163" s="53">
        <v>0</v>
      </c>
      <c r="AB163" s="53">
        <f>(SUM(K163:K166)-SUM(W163:W166)-SUM(Y163:Y166)-SUM(Z163:Z166)-SUM(AC163:AC166)-SUM(V163:V166))-AA163</f>
        <v>1.2282309599999934</v>
      </c>
      <c r="AC163" s="41">
        <f>K163-T163</f>
        <v>19.044589200000004</v>
      </c>
      <c r="AD163" s="41">
        <f>+AM163+BC163</f>
        <v>2</v>
      </c>
      <c r="AE163" s="237" t="s">
        <v>619</v>
      </c>
      <c r="AF163" s="41">
        <v>2</v>
      </c>
      <c r="AG163" s="41"/>
      <c r="AH163" s="41"/>
      <c r="AI163" s="509"/>
      <c r="AJ163" s="41"/>
      <c r="AK163" s="41"/>
      <c r="AL163" s="41"/>
      <c r="AM163" s="41">
        <f>SUM(AF163:AL163)+AT163</f>
        <v>2</v>
      </c>
      <c r="AN163" s="41"/>
      <c r="AO163" s="41"/>
      <c r="AP163" s="41"/>
      <c r="AQ163" s="41"/>
      <c r="AR163" s="41">
        <f>SUM(AN163:AQ163)</f>
        <v>0</v>
      </c>
      <c r="AS163" s="41"/>
      <c r="AT163" s="41"/>
      <c r="AU163" s="41"/>
      <c r="AV163" s="41"/>
      <c r="AW163" s="41"/>
      <c r="AX163" s="41"/>
      <c r="AY163" s="41"/>
      <c r="AZ163" s="41"/>
      <c r="BA163" s="41"/>
      <c r="BB163" s="41"/>
      <c r="BC163" s="41">
        <f>+AR163+AS163+AU163+AV163+AX163</f>
        <v>0</v>
      </c>
      <c r="BD163" s="37">
        <v>1</v>
      </c>
      <c r="BE163" s="55"/>
      <c r="BF163" s="55"/>
      <c r="BG163" s="37"/>
      <c r="BH163" s="55"/>
    </row>
    <row r="164" spans="1:60" ht="12.95" customHeight="1">
      <c r="A164" s="44"/>
      <c r="B164" s="45"/>
      <c r="C164" s="451"/>
      <c r="D164" s="45"/>
      <c r="E164" s="46"/>
      <c r="F164" s="46"/>
      <c r="G164" s="506"/>
      <c r="H164" s="48"/>
      <c r="I164" s="49"/>
      <c r="J164" s="89"/>
      <c r="K164" s="89"/>
      <c r="L164" s="39"/>
      <c r="M164" s="39"/>
      <c r="N164" s="50"/>
      <c r="O164" s="51"/>
      <c r="P164" s="52"/>
      <c r="Q164" s="51"/>
      <c r="R164" s="507"/>
      <c r="S164" s="507"/>
      <c r="T164" s="41"/>
      <c r="U164" s="41"/>
      <c r="V164" s="41"/>
      <c r="W164" s="41"/>
      <c r="X164" s="42"/>
      <c r="Y164" s="218"/>
      <c r="Z164" s="41"/>
      <c r="AA164" s="41"/>
      <c r="AB164" s="41"/>
      <c r="AC164" s="41"/>
      <c r="AD164" s="41">
        <f t="shared" ref="AD164:AD167" si="457">+AM164+BC164</f>
        <v>11</v>
      </c>
      <c r="AE164" s="237" t="s">
        <v>437</v>
      </c>
      <c r="AF164" s="41"/>
      <c r="AG164" s="41">
        <v>11</v>
      </c>
      <c r="AH164" s="41"/>
      <c r="AI164" s="509"/>
      <c r="AJ164" s="41"/>
      <c r="AK164" s="41"/>
      <c r="AL164" s="41"/>
      <c r="AM164" s="41">
        <f t="shared" ref="AM164:AM166" si="458">SUM(AF164:AL164)+AT164</f>
        <v>11</v>
      </c>
      <c r="AN164" s="90"/>
      <c r="AO164" s="41"/>
      <c r="AP164" s="41"/>
      <c r="AQ164" s="41"/>
      <c r="AR164" s="41">
        <f t="shared" ref="AR164:AR166" si="459">SUM(AN164:AQ164)</f>
        <v>0</v>
      </c>
      <c r="AS164" s="41"/>
      <c r="AT164" s="41"/>
      <c r="AU164" s="41"/>
      <c r="AV164" s="41"/>
      <c r="AW164" s="41"/>
      <c r="AX164" s="41"/>
      <c r="AY164" s="41"/>
      <c r="AZ164" s="41"/>
      <c r="BA164" s="41"/>
      <c r="BB164" s="41"/>
      <c r="BC164" s="41">
        <f t="shared" ref="BC164:BC166" si="460">+AR164+AS164+AU164+AV164+AX164</f>
        <v>0</v>
      </c>
      <c r="BD164" s="54"/>
      <c r="BE164" s="55">
        <v>5</v>
      </c>
      <c r="BF164" s="55"/>
      <c r="BG164" s="54"/>
      <c r="BH164" s="55"/>
    </row>
    <row r="165" spans="1:60" ht="12.95" customHeight="1">
      <c r="A165" s="44"/>
      <c r="B165" s="45"/>
      <c r="C165" s="451"/>
      <c r="D165" s="45"/>
      <c r="E165" s="46"/>
      <c r="F165" s="46"/>
      <c r="G165" s="506"/>
      <c r="H165" s="48"/>
      <c r="I165" s="49"/>
      <c r="J165" s="89"/>
      <c r="K165" s="89"/>
      <c r="L165" s="39"/>
      <c r="M165" s="39"/>
      <c r="N165" s="50"/>
      <c r="O165" s="51"/>
      <c r="P165" s="52"/>
      <c r="Q165" s="51"/>
      <c r="R165" s="507"/>
      <c r="S165" s="507"/>
      <c r="T165" s="41"/>
      <c r="U165" s="41"/>
      <c r="V165" s="41"/>
      <c r="W165" s="41"/>
      <c r="X165" s="42"/>
      <c r="Y165" s="218"/>
      <c r="Z165" s="41"/>
      <c r="AA165" s="41"/>
      <c r="AB165" s="41"/>
      <c r="AC165" s="41"/>
      <c r="AD165" s="41">
        <f t="shared" si="457"/>
        <v>19</v>
      </c>
      <c r="AE165" s="237" t="s">
        <v>788</v>
      </c>
      <c r="AF165" s="37"/>
      <c r="AG165" s="37"/>
      <c r="AH165" s="37">
        <v>19</v>
      </c>
      <c r="AJ165" s="41"/>
      <c r="AK165" s="41"/>
      <c r="AL165" s="41"/>
      <c r="AM165" s="41">
        <f t="shared" si="458"/>
        <v>19</v>
      </c>
      <c r="AN165" s="41"/>
      <c r="AO165" s="41"/>
      <c r="AP165" s="41"/>
      <c r="AQ165" s="41"/>
      <c r="AR165" s="41">
        <f t="shared" si="459"/>
        <v>0</v>
      </c>
      <c r="AS165" s="41"/>
      <c r="AT165" s="41"/>
      <c r="AU165" s="41"/>
      <c r="AV165" s="41"/>
      <c r="AW165" s="41"/>
      <c r="AX165" s="41"/>
      <c r="AY165" s="41"/>
      <c r="AZ165" s="41"/>
      <c r="BA165" s="41"/>
      <c r="BB165" s="41"/>
      <c r="BC165" s="41">
        <f t="shared" si="460"/>
        <v>0</v>
      </c>
      <c r="BD165" s="37"/>
      <c r="BE165" s="510"/>
      <c r="BF165" s="510"/>
      <c r="BG165" s="37"/>
      <c r="BH165" s="510"/>
    </row>
    <row r="166" spans="1:60" ht="12.95" customHeight="1">
      <c r="A166" s="44"/>
      <c r="B166" s="45"/>
      <c r="C166" s="451"/>
      <c r="D166" s="45"/>
      <c r="E166" s="46"/>
      <c r="F166" s="46"/>
      <c r="G166" s="47"/>
      <c r="H166" s="48"/>
      <c r="I166" s="49"/>
      <c r="J166" s="89"/>
      <c r="K166" s="89"/>
      <c r="L166" s="39"/>
      <c r="M166" s="39"/>
      <c r="N166" s="50"/>
      <c r="O166" s="51"/>
      <c r="P166" s="52"/>
      <c r="Q166" s="38"/>
      <c r="R166" s="507"/>
      <c r="S166" s="507"/>
      <c r="T166" s="41"/>
      <c r="U166" s="41"/>
      <c r="V166" s="41"/>
      <c r="W166" s="41"/>
      <c r="X166" s="42"/>
      <c r="Y166" s="218"/>
      <c r="Z166" s="41"/>
      <c r="AA166" s="41"/>
      <c r="AB166" s="41"/>
      <c r="AC166" s="41"/>
      <c r="AD166" s="41">
        <f t="shared" si="457"/>
        <v>0</v>
      </c>
      <c r="AE166" s="240" t="s">
        <v>225</v>
      </c>
      <c r="AF166" s="41"/>
      <c r="AG166" s="41"/>
      <c r="AH166" s="41"/>
      <c r="AI166" s="509">
        <v>0</v>
      </c>
      <c r="AJ166" s="41"/>
      <c r="AK166" s="41"/>
      <c r="AL166" s="41"/>
      <c r="AM166" s="41">
        <f t="shared" si="458"/>
        <v>0</v>
      </c>
      <c r="AN166" s="41"/>
      <c r="AO166" s="41"/>
      <c r="AP166" s="41"/>
      <c r="AQ166" s="41"/>
      <c r="AR166" s="41">
        <f t="shared" si="459"/>
        <v>0</v>
      </c>
      <c r="AS166" s="41"/>
      <c r="AT166" s="41"/>
      <c r="AU166" s="41"/>
      <c r="AV166" s="41"/>
      <c r="AW166" s="41"/>
      <c r="AX166" s="41"/>
      <c r="AY166" s="41"/>
      <c r="AZ166" s="41"/>
      <c r="BA166" s="41"/>
      <c r="BB166" s="41"/>
      <c r="BC166" s="41">
        <f t="shared" si="460"/>
        <v>0</v>
      </c>
      <c r="BD166" s="54"/>
      <c r="BE166" s="55"/>
      <c r="BF166" s="55"/>
      <c r="BG166" s="54"/>
      <c r="BH166" s="55"/>
    </row>
    <row r="167" spans="1:60" ht="12.95" customHeight="1">
      <c r="A167" s="44"/>
      <c r="B167" s="45"/>
      <c r="C167" s="451"/>
      <c r="D167" s="45"/>
      <c r="E167" s="46"/>
      <c r="F167" s="46"/>
      <c r="G167" s="47"/>
      <c r="H167" s="48"/>
      <c r="I167" s="49"/>
      <c r="J167" s="89"/>
      <c r="K167" s="89"/>
      <c r="L167" s="39"/>
      <c r="M167" s="39"/>
      <c r="N167" s="50"/>
      <c r="O167" s="51"/>
      <c r="P167" s="52"/>
      <c r="Q167" s="38"/>
      <c r="R167" s="507"/>
      <c r="S167" s="507"/>
      <c r="T167" s="41"/>
      <c r="U167" s="41"/>
      <c r="V167" s="41"/>
      <c r="W167" s="41"/>
      <c r="X167" s="42"/>
      <c r="Y167" s="218"/>
      <c r="Z167" s="41"/>
      <c r="AA167" s="41"/>
      <c r="AB167" s="41"/>
      <c r="AC167" s="41"/>
      <c r="AD167" s="41">
        <f t="shared" si="457"/>
        <v>0</v>
      </c>
      <c r="AE167" s="240" t="s">
        <v>609</v>
      </c>
      <c r="AF167" s="41"/>
      <c r="AG167" s="41"/>
      <c r="AH167" s="41"/>
      <c r="AI167" s="509"/>
      <c r="AJ167" s="41"/>
      <c r="AK167" s="41"/>
      <c r="AL167" s="41"/>
      <c r="AM167" s="41">
        <f>SUM(AF167:AL167)+AT167+AV167+AX167+AZ167</f>
        <v>0</v>
      </c>
      <c r="AN167" s="41"/>
      <c r="AO167" s="41"/>
      <c r="AP167" s="41"/>
      <c r="AQ167" s="41"/>
      <c r="AR167" s="41">
        <f t="shared" ref="AR167" si="461">SUM(AN167:AQ167)</f>
        <v>0</v>
      </c>
      <c r="AS167" s="41"/>
      <c r="AT167" s="41"/>
      <c r="AU167" s="41"/>
      <c r="AV167" s="41"/>
      <c r="AW167" s="41"/>
      <c r="AX167" s="41"/>
      <c r="AY167" s="41"/>
      <c r="AZ167" s="41">
        <f>499-499</f>
        <v>0</v>
      </c>
      <c r="BA167" s="41"/>
      <c r="BB167" s="41"/>
      <c r="BC167" s="41">
        <f>+AR167+AS167+AU167+AV167+AX167+BA167</f>
        <v>0</v>
      </c>
      <c r="BD167" s="54"/>
      <c r="BE167" s="55"/>
      <c r="BF167" s="55"/>
      <c r="BG167" s="54"/>
      <c r="BH167" s="55"/>
    </row>
    <row r="168" spans="1:60" ht="12.95" customHeight="1">
      <c r="A168" s="44"/>
      <c r="B168" s="559"/>
      <c r="C168" s="451"/>
      <c r="D168" s="45"/>
      <c r="E168" s="46"/>
      <c r="F168" s="46"/>
      <c r="G168" s="47"/>
      <c r="H168" s="48"/>
      <c r="I168" s="49"/>
      <c r="J168" s="89"/>
      <c r="K168" s="89"/>
      <c r="L168" s="39"/>
      <c r="M168" s="39"/>
      <c r="N168" s="50"/>
      <c r="O168" s="51"/>
      <c r="P168" s="52"/>
      <c r="Q168" s="38"/>
      <c r="R168" s="507"/>
      <c r="S168" s="507"/>
      <c r="T168" s="41"/>
      <c r="U168" s="41"/>
      <c r="V168" s="41"/>
      <c r="W168" s="41"/>
      <c r="X168" s="42"/>
      <c r="Y168" s="42"/>
      <c r="Z168" s="41"/>
      <c r="AA168" s="53"/>
      <c r="AB168" s="53"/>
      <c r="AC168" s="41"/>
      <c r="AD168" s="41"/>
      <c r="AE168" s="237"/>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37"/>
      <c r="BE168" s="55"/>
      <c r="BF168" s="510"/>
      <c r="BG168" s="37"/>
      <c r="BH168" s="510"/>
    </row>
    <row r="169" spans="1:60" ht="12.95" customHeight="1">
      <c r="A169" s="44">
        <v>46051</v>
      </c>
      <c r="B169" s="45" t="s">
        <v>417</v>
      </c>
      <c r="C169" s="451">
        <f t="shared" ref="C169" si="462">(M169*E169*O169*Q169)/100000000</f>
        <v>37.058821800000004</v>
      </c>
      <c r="D169" s="45" t="s">
        <v>430</v>
      </c>
      <c r="E169" s="46">
        <v>14</v>
      </c>
      <c r="F169" s="46">
        <v>1</v>
      </c>
      <c r="G169" s="506">
        <v>1275</v>
      </c>
      <c r="H169" s="48">
        <f>+N169</f>
        <v>0.21999999999999997</v>
      </c>
      <c r="I169" s="49">
        <v>0.88</v>
      </c>
      <c r="J169" s="89">
        <f t="shared" ref="J169" si="463">E169*G169*(1-H169)*1440/1000000*2.75</f>
        <v>55.135079999999995</v>
      </c>
      <c r="K169" s="89">
        <f t="shared" ref="K169" si="464">(IF(G169&lt;L169,L169,G169)*(1-IF(H169&lt;N169,H169,N169))*E169*O169*Q169)/100000000</f>
        <v>55.135080000000002</v>
      </c>
      <c r="L169" s="39">
        <v>856.98611111111109</v>
      </c>
      <c r="M169" s="39">
        <v>668.44916666666666</v>
      </c>
      <c r="N169" s="50">
        <f t="shared" ref="N169" si="465">1-(M169/L169)</f>
        <v>0.21999999999999997</v>
      </c>
      <c r="O169" s="51">
        <f>+'Trim Rwd'!H95</f>
        <v>275</v>
      </c>
      <c r="P169" s="52">
        <f t="shared" ref="P169" si="466">O169*(Q169-R169-S169)</f>
        <v>385275</v>
      </c>
      <c r="Q169" s="51">
        <v>1440</v>
      </c>
      <c r="R169" s="507">
        <v>0</v>
      </c>
      <c r="S169" s="507">
        <f>511-472</f>
        <v>39</v>
      </c>
      <c r="T169" s="41">
        <f t="shared" ref="T169" si="467">E169*M169*O169*Q169/100000000</f>
        <v>37.058821800000004</v>
      </c>
      <c r="U169" s="41">
        <f t="shared" ref="U169" si="468">E169*M169*O169*(Q169-R169-S169)/100000000</f>
        <v>36.055145376250003</v>
      </c>
      <c r="V169" s="41">
        <f t="shared" ref="V169" si="469">E169*G169*(1-N169)*O169/100*(R169+S169)/1000000</f>
        <v>1.4932417499999999</v>
      </c>
      <c r="W169" s="41">
        <f>+'29'!K17/1000</f>
        <v>35.091999999999999</v>
      </c>
      <c r="X169" s="508">
        <f>SUM(W169:W172)/SUM(K169:K172)</f>
        <v>0.6364731854927933</v>
      </c>
      <c r="Y169" s="218">
        <v>0</v>
      </c>
      <c r="Z169" s="41">
        <v>0</v>
      </c>
      <c r="AA169" s="53">
        <v>0</v>
      </c>
      <c r="AB169" s="53">
        <f>(SUM(K169:K172)-SUM(W169:W172)-SUM(Y169:Y172)-SUM(Z169:Z172)-SUM(AC169:AC172)-SUM(V169:V172))-AA169</f>
        <v>0.47358005000000536</v>
      </c>
      <c r="AC169" s="41">
        <f>K169-T169</f>
        <v>18.076258199999998</v>
      </c>
      <c r="AD169" s="41">
        <f>+AM169+BC169</f>
        <v>0</v>
      </c>
      <c r="AE169" s="237" t="s">
        <v>386</v>
      </c>
      <c r="AF169" s="41">
        <v>0</v>
      </c>
      <c r="AG169" s="41"/>
      <c r="AH169" s="41"/>
      <c r="AI169" s="509"/>
      <c r="AJ169" s="41"/>
      <c r="AK169" s="41"/>
      <c r="AL169" s="41"/>
      <c r="AM169" s="41">
        <f>SUM(AF169:AL169)+AT169</f>
        <v>0</v>
      </c>
      <c r="AN169" s="41"/>
      <c r="AO169" s="41"/>
      <c r="AP169" s="41"/>
      <c r="AQ169" s="41"/>
      <c r="AR169" s="41">
        <f>SUM(AN169:AQ169)</f>
        <v>0</v>
      </c>
      <c r="AS169" s="41"/>
      <c r="AT169" s="41"/>
      <c r="AU169" s="41"/>
      <c r="AV169" s="41"/>
      <c r="AW169" s="41"/>
      <c r="AX169" s="41"/>
      <c r="AY169" s="41"/>
      <c r="AZ169" s="41"/>
      <c r="BA169" s="41"/>
      <c r="BB169" s="41"/>
      <c r="BC169" s="41">
        <f>+AR169+AS169+AU169+AV169+AX169</f>
        <v>0</v>
      </c>
      <c r="BD169" s="37">
        <v>0</v>
      </c>
      <c r="BE169" s="55"/>
      <c r="BF169" s="55"/>
      <c r="BG169" s="37"/>
      <c r="BH169" s="55"/>
    </row>
    <row r="170" spans="1:60" ht="12.95" customHeight="1">
      <c r="A170" s="44"/>
      <c r="B170" s="45"/>
      <c r="C170" s="451"/>
      <c r="D170" s="45"/>
      <c r="E170" s="46"/>
      <c r="F170" s="46"/>
      <c r="G170" s="506"/>
      <c r="H170" s="48"/>
      <c r="I170" s="49"/>
      <c r="J170" s="89"/>
      <c r="K170" s="89"/>
      <c r="L170" s="39"/>
      <c r="M170" s="39"/>
      <c r="N170" s="50"/>
      <c r="O170" s="51"/>
      <c r="P170" s="52"/>
      <c r="Q170" s="51"/>
      <c r="R170" s="507"/>
      <c r="S170" s="507"/>
      <c r="T170" s="41"/>
      <c r="U170" s="41"/>
      <c r="V170" s="41"/>
      <c r="W170" s="41"/>
      <c r="X170" s="42"/>
      <c r="Y170" s="218"/>
      <c r="Z170" s="41"/>
      <c r="AA170" s="41"/>
      <c r="AB170" s="41"/>
      <c r="AC170" s="41"/>
      <c r="AD170" s="41">
        <f t="shared" ref="AD170:AD173" si="470">+AM170+BC170</f>
        <v>13</v>
      </c>
      <c r="AE170" s="237" t="s">
        <v>650</v>
      </c>
      <c r="AF170" s="41"/>
      <c r="AG170" s="41">
        <v>13</v>
      </c>
      <c r="AH170" s="41"/>
      <c r="AI170" s="509"/>
      <c r="AJ170" s="41"/>
      <c r="AK170" s="41"/>
      <c r="AL170" s="41"/>
      <c r="AM170" s="41">
        <f t="shared" ref="AM170:AM172" si="471">SUM(AF170:AL170)+AT170</f>
        <v>13</v>
      </c>
      <c r="AN170" s="90"/>
      <c r="AO170" s="41"/>
      <c r="AP170" s="41"/>
      <c r="AQ170" s="41"/>
      <c r="AR170" s="41">
        <f t="shared" ref="AR170:AR172" si="472">SUM(AN170:AQ170)</f>
        <v>0</v>
      </c>
      <c r="AS170" s="41"/>
      <c r="AT170" s="41"/>
      <c r="AU170" s="41"/>
      <c r="AV170" s="41"/>
      <c r="AW170" s="41"/>
      <c r="AX170" s="41"/>
      <c r="AY170" s="41"/>
      <c r="AZ170" s="41"/>
      <c r="BA170" s="41"/>
      <c r="BB170" s="41"/>
      <c r="BC170" s="41">
        <f t="shared" ref="BC170:BC172" si="473">+AR170+AS170+AU170+AV170+AX170</f>
        <v>0</v>
      </c>
      <c r="BD170" s="54"/>
      <c r="BE170" s="55">
        <v>6</v>
      </c>
      <c r="BF170" s="55"/>
      <c r="BG170" s="54"/>
      <c r="BH170" s="55"/>
    </row>
    <row r="171" spans="1:60" ht="12.95" customHeight="1">
      <c r="A171" s="44"/>
      <c r="B171" s="45"/>
      <c r="C171" s="451"/>
      <c r="D171" s="45"/>
      <c r="E171" s="46"/>
      <c r="F171" s="46"/>
      <c r="G171" s="506"/>
      <c r="H171" s="48"/>
      <c r="I171" s="49"/>
      <c r="J171" s="89"/>
      <c r="K171" s="89"/>
      <c r="L171" s="39"/>
      <c r="M171" s="39"/>
      <c r="N171" s="50"/>
      <c r="O171" s="51"/>
      <c r="P171" s="52"/>
      <c r="Q171" s="51"/>
      <c r="R171" s="507"/>
      <c r="S171" s="507"/>
      <c r="T171" s="41"/>
      <c r="U171" s="41"/>
      <c r="V171" s="41"/>
      <c r="W171" s="41"/>
      <c r="X171" s="42"/>
      <c r="Y171" s="218"/>
      <c r="Z171" s="41"/>
      <c r="AA171" s="41"/>
      <c r="AB171" s="41"/>
      <c r="AC171" s="41"/>
      <c r="AD171" s="41">
        <f t="shared" si="470"/>
        <v>20</v>
      </c>
      <c r="AE171" s="237" t="s">
        <v>543</v>
      </c>
      <c r="AF171" s="37"/>
      <c r="AG171" s="37"/>
      <c r="AH171" s="37">
        <v>20</v>
      </c>
      <c r="AJ171" s="41"/>
      <c r="AK171" s="41"/>
      <c r="AL171" s="41"/>
      <c r="AM171" s="41">
        <f t="shared" si="471"/>
        <v>20</v>
      </c>
      <c r="AN171" s="41"/>
      <c r="AO171" s="41"/>
      <c r="AP171" s="41"/>
      <c r="AQ171" s="41"/>
      <c r="AR171" s="41">
        <f t="shared" si="472"/>
        <v>0</v>
      </c>
      <c r="AS171" s="41"/>
      <c r="AT171" s="41"/>
      <c r="AU171" s="41"/>
      <c r="AV171" s="41"/>
      <c r="AW171" s="41"/>
      <c r="AX171" s="41"/>
      <c r="AY171" s="41"/>
      <c r="AZ171" s="41"/>
      <c r="BA171" s="41"/>
      <c r="BB171" s="41"/>
      <c r="BC171" s="41">
        <f t="shared" si="473"/>
        <v>0</v>
      </c>
      <c r="BD171" s="37"/>
      <c r="BE171" s="510"/>
      <c r="BF171" s="510"/>
      <c r="BG171" s="37"/>
      <c r="BH171" s="510"/>
    </row>
    <row r="172" spans="1:60" ht="12.95" customHeight="1">
      <c r="A172" s="44"/>
      <c r="B172" s="45"/>
      <c r="C172" s="451"/>
      <c r="D172" s="45"/>
      <c r="E172" s="46"/>
      <c r="F172" s="46"/>
      <c r="G172" s="47"/>
      <c r="H172" s="48"/>
      <c r="I172" s="49"/>
      <c r="J172" s="89"/>
      <c r="K172" s="89"/>
      <c r="L172" s="39"/>
      <c r="M172" s="39"/>
      <c r="N172" s="50"/>
      <c r="O172" s="51"/>
      <c r="P172" s="52"/>
      <c r="Q172" s="38"/>
      <c r="R172" s="507"/>
      <c r="S172" s="507"/>
      <c r="T172" s="41"/>
      <c r="U172" s="41"/>
      <c r="V172" s="41"/>
      <c r="W172" s="41"/>
      <c r="X172" s="42"/>
      <c r="Y172" s="218"/>
      <c r="Z172" s="41"/>
      <c r="AA172" s="41"/>
      <c r="AB172" s="41"/>
      <c r="AC172" s="41"/>
      <c r="AD172" s="41">
        <f t="shared" si="470"/>
        <v>6</v>
      </c>
      <c r="AE172" s="240" t="s">
        <v>225</v>
      </c>
      <c r="AF172" s="41"/>
      <c r="AG172" s="41"/>
      <c r="AH172" s="41"/>
      <c r="AI172" s="509">
        <v>6</v>
      </c>
      <c r="AJ172" s="41"/>
      <c r="AK172" s="41"/>
      <c r="AL172" s="41"/>
      <c r="AM172" s="41">
        <f t="shared" si="471"/>
        <v>6</v>
      </c>
      <c r="AN172" s="41"/>
      <c r="AO172" s="41"/>
      <c r="AP172" s="41"/>
      <c r="AQ172" s="41"/>
      <c r="AR172" s="41">
        <f t="shared" si="472"/>
        <v>0</v>
      </c>
      <c r="AS172" s="41"/>
      <c r="AT172" s="41"/>
      <c r="AU172" s="41"/>
      <c r="AV172" s="41"/>
      <c r="AW172" s="41"/>
      <c r="AX172" s="41"/>
      <c r="AY172" s="41"/>
      <c r="AZ172" s="41"/>
      <c r="BA172" s="41"/>
      <c r="BB172" s="41"/>
      <c r="BC172" s="41">
        <f t="shared" si="473"/>
        <v>0</v>
      </c>
      <c r="BD172" s="54"/>
      <c r="BE172" s="55"/>
      <c r="BF172" s="55"/>
      <c r="BG172" s="54"/>
      <c r="BH172" s="55"/>
    </row>
    <row r="173" spans="1:60" ht="12.95" customHeight="1">
      <c r="A173" s="44"/>
      <c r="B173" s="45"/>
      <c r="C173" s="451"/>
      <c r="D173" s="45"/>
      <c r="E173" s="46"/>
      <c r="F173" s="46"/>
      <c r="G173" s="47"/>
      <c r="H173" s="48"/>
      <c r="I173" s="49"/>
      <c r="J173" s="89"/>
      <c r="K173" s="89"/>
      <c r="L173" s="39"/>
      <c r="M173" s="39"/>
      <c r="N173" s="50"/>
      <c r="O173" s="51"/>
      <c r="P173" s="52"/>
      <c r="Q173" s="38"/>
      <c r="R173" s="507"/>
      <c r="S173" s="507"/>
      <c r="T173" s="41"/>
      <c r="U173" s="41"/>
      <c r="V173" s="41"/>
      <c r="W173" s="41"/>
      <c r="X173" s="42"/>
      <c r="Y173" s="218"/>
      <c r="Z173" s="41"/>
      <c r="AA173" s="41"/>
      <c r="AB173" s="41"/>
      <c r="AC173" s="41"/>
      <c r="AD173" s="41">
        <f t="shared" si="470"/>
        <v>0</v>
      </c>
      <c r="AE173" s="240" t="s">
        <v>609</v>
      </c>
      <c r="AF173" s="41"/>
      <c r="AG173" s="41"/>
      <c r="AH173" s="41"/>
      <c r="AI173" s="509"/>
      <c r="AJ173" s="41"/>
      <c r="AK173" s="41"/>
      <c r="AL173" s="41"/>
      <c r="AM173" s="41">
        <f>SUM(AF173:AL173)+AT173+AV173+AX173+AZ173</f>
        <v>0</v>
      </c>
      <c r="AN173" s="41"/>
      <c r="AO173" s="41"/>
      <c r="AP173" s="41"/>
      <c r="AQ173" s="41"/>
      <c r="AR173" s="41">
        <f t="shared" ref="AR173" si="474">SUM(AN173:AQ173)</f>
        <v>0</v>
      </c>
      <c r="AS173" s="41"/>
      <c r="AT173" s="41"/>
      <c r="AU173" s="41"/>
      <c r="AV173" s="41"/>
      <c r="AW173" s="41"/>
      <c r="AX173" s="41"/>
      <c r="AY173" s="41"/>
      <c r="AZ173" s="41">
        <f>472-472</f>
        <v>0</v>
      </c>
      <c r="BA173" s="41"/>
      <c r="BB173" s="41"/>
      <c r="BC173" s="41">
        <f>+AR173+AS173+AU173+AV173+AX173+BA173</f>
        <v>0</v>
      </c>
      <c r="BD173" s="54"/>
      <c r="BE173" s="55"/>
      <c r="BF173" s="55"/>
      <c r="BG173" s="54"/>
      <c r="BH173" s="55"/>
    </row>
    <row r="174" spans="1:60" ht="12.95" customHeight="1">
      <c r="A174" s="44"/>
      <c r="B174" s="559"/>
      <c r="C174" s="451"/>
      <c r="D174" s="45"/>
      <c r="E174" s="46"/>
      <c r="F174" s="46"/>
      <c r="G174" s="47"/>
      <c r="H174" s="48"/>
      <c r="I174" s="49"/>
      <c r="J174" s="89"/>
      <c r="K174" s="89"/>
      <c r="L174" s="39"/>
      <c r="M174" s="39"/>
      <c r="N174" s="50"/>
      <c r="O174" s="51"/>
      <c r="P174" s="52"/>
      <c r="Q174" s="38"/>
      <c r="R174" s="507"/>
      <c r="S174" s="507"/>
      <c r="T174" s="41"/>
      <c r="U174" s="41"/>
      <c r="V174" s="41"/>
      <c r="W174" s="41"/>
      <c r="X174" s="42"/>
      <c r="Y174" s="42"/>
      <c r="Z174" s="41"/>
      <c r="AA174" s="53"/>
      <c r="AB174" s="53"/>
      <c r="AC174" s="41"/>
      <c r="AD174" s="41"/>
      <c r="AE174" s="237"/>
      <c r="AF174" s="41"/>
      <c r="AG174" s="41"/>
      <c r="AH174" s="41"/>
      <c r="AI174" s="41"/>
      <c r="AJ174" s="41"/>
      <c r="AK174" s="41"/>
      <c r="AL174" s="41"/>
      <c r="AM174" s="41"/>
      <c r="AN174" s="41"/>
      <c r="AO174" s="41"/>
      <c r="AP174" s="41"/>
      <c r="AQ174" s="41"/>
      <c r="AR174" s="41"/>
      <c r="AS174" s="41"/>
      <c r="AT174" s="41"/>
      <c r="AU174" s="41"/>
      <c r="AV174" s="41"/>
      <c r="AW174" s="41"/>
      <c r="AX174" s="41"/>
      <c r="AY174" s="41"/>
      <c r="BA174" s="41"/>
      <c r="BB174" s="41"/>
      <c r="BC174" s="41"/>
      <c r="BD174" s="37"/>
      <c r="BE174" s="55"/>
      <c r="BF174" s="510"/>
      <c r="BG174" s="37"/>
      <c r="BH174" s="510"/>
    </row>
    <row r="175" spans="1:60" ht="12.95" customHeight="1">
      <c r="A175" s="44">
        <v>46052</v>
      </c>
      <c r="B175" s="45" t="s">
        <v>417</v>
      </c>
      <c r="C175" s="451">
        <f t="shared" ref="C175" si="475">(M175*E175*O175*Q175)/100000000</f>
        <v>4.4180135999999992</v>
      </c>
      <c r="D175" s="45" t="s">
        <v>430</v>
      </c>
      <c r="E175" s="46">
        <v>14</v>
      </c>
      <c r="F175" s="46">
        <v>1</v>
      </c>
      <c r="G175" s="506">
        <v>1275</v>
      </c>
      <c r="H175" s="48">
        <f>+N175</f>
        <v>0.22000000000000008</v>
      </c>
      <c r="I175" s="49">
        <v>0.88</v>
      </c>
      <c r="J175" s="89">
        <f t="shared" ref="J175" si="476">E175*G175*(1-H175)*1440/1000000*2.75</f>
        <v>55.135079999999988</v>
      </c>
      <c r="K175" s="89">
        <f t="shared" ref="K175" si="477">(IF(G175&lt;L175,L175,G175)*(1-IF(H175&lt;N175,H175,N175))*E175*O175*Q175)/100000000</f>
        <v>5.8198139999999992</v>
      </c>
      <c r="L175" s="39">
        <v>967.89473684210532</v>
      </c>
      <c r="M175" s="39">
        <v>754.95789473684204</v>
      </c>
      <c r="N175" s="50">
        <f t="shared" ref="N175" si="478">1-(M175/L175)</f>
        <v>0.22000000000000008</v>
      </c>
      <c r="O175" s="51">
        <f>+'Trim Rwd'!H97</f>
        <v>275</v>
      </c>
      <c r="P175" s="52">
        <f t="shared" ref="P175" si="479">O175*(Q175-R175-S175)</f>
        <v>41800</v>
      </c>
      <c r="Q175" s="51">
        <v>152</v>
      </c>
      <c r="R175" s="507">
        <v>0</v>
      </c>
      <c r="S175" s="507">
        <f>37-37</f>
        <v>0</v>
      </c>
      <c r="T175" s="41">
        <f t="shared" ref="T175" si="480">E175*M175*O175*Q175/100000000</f>
        <v>4.4180135999999992</v>
      </c>
      <c r="U175" s="41">
        <f t="shared" ref="U175" si="481">E175*M175*O175*(Q175-R175-S175)/100000000</f>
        <v>4.4180135999999992</v>
      </c>
      <c r="V175" s="41">
        <f t="shared" ref="V175" si="482">E175*G175*(1-N175)*O175/100*(R175+S175)/1000000</f>
        <v>0</v>
      </c>
      <c r="W175" s="41">
        <f>+'30'!K17/1000</f>
        <v>7.8040000000000003</v>
      </c>
      <c r="X175" s="508">
        <f>SUM(W175:W178)/SUM(K175:K178)</f>
        <v>0.82686522419796304</v>
      </c>
      <c r="Y175" s="218">
        <v>0</v>
      </c>
      <c r="Z175" s="41">
        <v>0</v>
      </c>
      <c r="AA175" s="53">
        <v>0</v>
      </c>
      <c r="AB175" s="53">
        <f>(SUM(K175:K178)-SUM(W175:W178)-SUM(Y175:Y178)-SUM(Z175:Z178)-SUM(AC175:AC178)-SUM(V175:V178))-AA175</f>
        <v>-2.1551929117011084</v>
      </c>
      <c r="AC175" s="41">
        <f>K175-T175</f>
        <v>1.4018003999999999</v>
      </c>
      <c r="AD175" s="41">
        <f>+AM175+BC175</f>
        <v>6</v>
      </c>
      <c r="AE175" s="237" t="s">
        <v>819</v>
      </c>
      <c r="AF175" s="41">
        <v>6</v>
      </c>
      <c r="AG175" s="41"/>
      <c r="AH175" s="41"/>
      <c r="AI175" s="509"/>
      <c r="AJ175" s="41"/>
      <c r="AK175" s="41"/>
      <c r="AL175" s="41"/>
      <c r="AM175" s="41">
        <f>SUM(AF175:AL175)+AT175</f>
        <v>6</v>
      </c>
      <c r="AN175" s="41"/>
      <c r="AO175" s="41"/>
      <c r="AP175" s="41"/>
      <c r="AQ175" s="41"/>
      <c r="AR175" s="41">
        <f>SUM(AN175:AQ175)</f>
        <v>0</v>
      </c>
      <c r="AS175" s="41"/>
      <c r="AT175" s="41"/>
      <c r="AU175" s="41"/>
      <c r="AV175" s="41"/>
      <c r="AW175" s="41"/>
      <c r="AX175" s="41"/>
      <c r="AY175" s="41"/>
      <c r="AZ175" s="41"/>
      <c r="BA175" s="41"/>
      <c r="BB175" s="41"/>
      <c r="BC175" s="41">
        <f>+AR175+AS175+AU175+AV175+AX175</f>
        <v>0</v>
      </c>
      <c r="BD175" s="37">
        <v>3</v>
      </c>
      <c r="BE175" s="55"/>
      <c r="BF175" s="55"/>
      <c r="BG175" s="37"/>
      <c r="BH175" s="55"/>
    </row>
    <row r="176" spans="1:60" ht="12.95" customHeight="1">
      <c r="A176" s="44"/>
      <c r="B176" s="45" t="s">
        <v>417</v>
      </c>
      <c r="C176" s="451">
        <f t="shared" ref="C176" si="483">(M176*E176*O176*Q176)/100000000</f>
        <v>42.186758228298892</v>
      </c>
      <c r="D176" s="45" t="s">
        <v>430</v>
      </c>
      <c r="E176" s="46">
        <v>15</v>
      </c>
      <c r="F176" s="46">
        <v>1</v>
      </c>
      <c r="G176" s="506">
        <v>1190</v>
      </c>
      <c r="H176" s="48">
        <f>+N176</f>
        <v>0.21999999999999997</v>
      </c>
      <c r="I176" s="49">
        <v>0.88</v>
      </c>
      <c r="J176" s="89">
        <f t="shared" ref="J176" si="484">E176*G176*(1-H176)*1440/1000000*2.75</f>
        <v>55.135079999999995</v>
      </c>
      <c r="K176" s="89">
        <f t="shared" ref="K176" si="485">(IF(G176&lt;L176,L176,G176)*(1-IF(H176&lt;N176,H176,N176))*E176*O176*Q176)/100000000</f>
        <v>49.135937759999997</v>
      </c>
      <c r="L176" s="39">
        <v>1021.7011128775835</v>
      </c>
      <c r="M176" s="39">
        <v>796.92686804451512</v>
      </c>
      <c r="N176" s="50">
        <f t="shared" ref="N176" si="486">1-(M176/L176)</f>
        <v>0.21999999999999997</v>
      </c>
      <c r="O176" s="51">
        <f>+'Trim Rwd'!H98</f>
        <v>274</v>
      </c>
      <c r="P176" s="52">
        <f t="shared" ref="P176" si="487">O176*(Q176-R176-S176)</f>
        <v>329074</v>
      </c>
      <c r="Q176" s="51">
        <f>1258+30</f>
        <v>1288</v>
      </c>
      <c r="R176" s="507">
        <v>30</v>
      </c>
      <c r="S176" s="507">
        <v>57</v>
      </c>
      <c r="T176" s="41">
        <f t="shared" ref="T176" si="488">E176*M176*O176*Q176/100000000</f>
        <v>42.186758228298892</v>
      </c>
      <c r="U176" s="41">
        <f t="shared" ref="U176" si="489">E176*M176*O176*(Q176-R176-S176)/100000000</f>
        <v>39.33718682623212</v>
      </c>
      <c r="V176" s="41">
        <f t="shared" ref="V176" si="490">E176*G176*(1-N176)*O176/100*(R176+S176)/1000000</f>
        <v>3.3189647399999997</v>
      </c>
      <c r="W176" s="41">
        <f>+'30'!K16/1000</f>
        <v>37.637</v>
      </c>
      <c r="X176" s="42"/>
      <c r="Y176" s="218"/>
      <c r="Z176" s="41"/>
      <c r="AA176" s="41"/>
      <c r="AB176" s="41"/>
      <c r="AC176" s="41">
        <f>K176-T176</f>
        <v>6.9491795317011054</v>
      </c>
      <c r="AD176" s="41">
        <f t="shared" ref="AD176:AD180" si="491">+AM176+BC176</f>
        <v>12</v>
      </c>
      <c r="AE176" s="237" t="s">
        <v>438</v>
      </c>
      <c r="AF176" s="41"/>
      <c r="AG176" s="41">
        <v>12</v>
      </c>
      <c r="AH176" s="41"/>
      <c r="AI176" s="509"/>
      <c r="AJ176" s="41"/>
      <c r="AK176" s="41"/>
      <c r="AL176" s="41"/>
      <c r="AM176" s="41">
        <f t="shared" ref="AM176:AM178" si="492">SUM(AF176:AL176)+AT176</f>
        <v>12</v>
      </c>
      <c r="AN176" s="90"/>
      <c r="AO176" s="41"/>
      <c r="AP176" s="41"/>
      <c r="AQ176" s="41"/>
      <c r="AR176" s="41">
        <f t="shared" ref="AR176:AR178" si="493">SUM(AN176:AQ176)</f>
        <v>0</v>
      </c>
      <c r="AS176" s="41"/>
      <c r="AT176" s="41"/>
      <c r="AU176" s="41"/>
      <c r="AV176" s="41"/>
      <c r="AW176" s="41"/>
      <c r="AX176" s="41"/>
      <c r="AY176" s="41"/>
      <c r="AZ176" s="41"/>
      <c r="BA176" s="41"/>
      <c r="BB176" s="41"/>
      <c r="BC176" s="41">
        <f t="shared" ref="BC176:BC178" si="494">+AR176+AS176+AU176+AV176+AX176</f>
        <v>0</v>
      </c>
      <c r="BD176" s="54"/>
      <c r="BE176" s="55">
        <v>8</v>
      </c>
      <c r="BF176" s="55"/>
      <c r="BG176" s="54"/>
      <c r="BH176" s="55"/>
    </row>
    <row r="177" spans="1:60" ht="12.95" customHeight="1">
      <c r="A177" s="44"/>
      <c r="B177" s="45"/>
      <c r="C177" s="451"/>
      <c r="D177" s="45"/>
      <c r="E177" s="46"/>
      <c r="F177" s="46"/>
      <c r="G177" s="506"/>
      <c r="H177" s="48"/>
      <c r="I177" s="49"/>
      <c r="J177" s="89"/>
      <c r="K177" s="89"/>
      <c r="L177" s="39"/>
      <c r="M177" s="39"/>
      <c r="N177" s="50"/>
      <c r="O177" s="51"/>
      <c r="P177" s="52"/>
      <c r="Q177" s="51"/>
      <c r="R177" s="507"/>
      <c r="S177" s="507"/>
      <c r="T177" s="41"/>
      <c r="U177" s="41"/>
      <c r="V177" s="41"/>
      <c r="W177" s="41"/>
      <c r="X177" s="42"/>
      <c r="Y177" s="218"/>
      <c r="Z177" s="41"/>
      <c r="AA177" s="41"/>
      <c r="AB177" s="41"/>
      <c r="AC177" s="41"/>
      <c r="AD177" s="41">
        <f t="shared" si="491"/>
        <v>25</v>
      </c>
      <c r="AE177" s="237" t="s">
        <v>524</v>
      </c>
      <c r="AF177" s="37"/>
      <c r="AG177" s="37"/>
      <c r="AH177" s="37">
        <v>25</v>
      </c>
      <c r="AJ177" s="41"/>
      <c r="AK177" s="41"/>
      <c r="AL177" s="41"/>
      <c r="AM177" s="41">
        <f t="shared" si="492"/>
        <v>25</v>
      </c>
      <c r="AN177" s="41"/>
      <c r="AO177" s="41"/>
      <c r="AP177" s="41"/>
      <c r="AQ177" s="41"/>
      <c r="AR177" s="41">
        <f t="shared" si="493"/>
        <v>0</v>
      </c>
      <c r="AS177" s="41"/>
      <c r="AT177" s="41"/>
      <c r="AU177" s="41"/>
      <c r="AV177" s="41"/>
      <c r="AW177" s="41"/>
      <c r="AX177" s="41"/>
      <c r="AY177" s="41"/>
      <c r="AZ177" s="41"/>
      <c r="BA177" s="41"/>
      <c r="BB177" s="41"/>
      <c r="BC177" s="41">
        <f t="shared" si="494"/>
        <v>0</v>
      </c>
      <c r="BD177" s="37"/>
      <c r="BE177" s="510"/>
      <c r="BF177" s="510"/>
      <c r="BG177" s="37"/>
      <c r="BH177" s="510"/>
    </row>
    <row r="178" spans="1:60" ht="12.95" customHeight="1">
      <c r="A178" s="44"/>
      <c r="B178" s="45"/>
      <c r="C178" s="451"/>
      <c r="D178" s="45"/>
      <c r="E178" s="46"/>
      <c r="F178" s="46"/>
      <c r="G178" s="47"/>
      <c r="H178" s="48"/>
      <c r="I178" s="49"/>
      <c r="J178" s="89"/>
      <c r="K178" s="89"/>
      <c r="L178" s="39"/>
      <c r="M178" s="39"/>
      <c r="N178" s="50"/>
      <c r="O178" s="51"/>
      <c r="P178" s="52"/>
      <c r="Q178" s="38"/>
      <c r="R178" s="507"/>
      <c r="S178" s="507"/>
      <c r="T178" s="41"/>
      <c r="U178" s="41"/>
      <c r="V178" s="41"/>
      <c r="W178" s="41"/>
      <c r="X178" s="42"/>
      <c r="Y178" s="218"/>
      <c r="Z178" s="41"/>
      <c r="AA178" s="41"/>
      <c r="AB178" s="41"/>
      <c r="AC178" s="41"/>
      <c r="AD178" s="41">
        <f t="shared" si="491"/>
        <v>14</v>
      </c>
      <c r="AE178" s="240" t="s">
        <v>225</v>
      </c>
      <c r="AF178" s="41"/>
      <c r="AG178" s="41"/>
      <c r="AH178" s="41"/>
      <c r="AI178" s="509">
        <v>14</v>
      </c>
      <c r="AJ178" s="41"/>
      <c r="AK178" s="41"/>
      <c r="AL178" s="41"/>
      <c r="AM178" s="41">
        <f t="shared" si="492"/>
        <v>14</v>
      </c>
      <c r="AN178" s="41"/>
      <c r="AO178" s="41"/>
      <c r="AP178" s="41"/>
      <c r="AQ178" s="41"/>
      <c r="AR178" s="41">
        <f t="shared" si="493"/>
        <v>0</v>
      </c>
      <c r="AS178" s="41"/>
      <c r="AT178" s="41"/>
      <c r="AU178" s="41"/>
      <c r="AV178" s="41"/>
      <c r="AW178" s="41"/>
      <c r="AX178" s="41"/>
      <c r="AY178" s="41"/>
      <c r="AZ178" s="41"/>
      <c r="BA178" s="41"/>
      <c r="BB178" s="41"/>
      <c r="BC178" s="41">
        <f t="shared" si="494"/>
        <v>0</v>
      </c>
      <c r="BD178" s="54"/>
      <c r="BE178" s="55"/>
      <c r="BF178" s="55"/>
      <c r="BG178" s="54"/>
      <c r="BH178" s="55"/>
    </row>
    <row r="179" spans="1:60" ht="12.95" customHeight="1">
      <c r="A179" s="44"/>
      <c r="B179" s="45"/>
      <c r="C179" s="451"/>
      <c r="D179" s="45"/>
      <c r="E179" s="46"/>
      <c r="F179" s="46"/>
      <c r="G179" s="47"/>
      <c r="H179" s="48"/>
      <c r="I179" s="49"/>
      <c r="J179" s="89"/>
      <c r="K179" s="89"/>
      <c r="L179" s="39"/>
      <c r="M179" s="39"/>
      <c r="N179" s="50"/>
      <c r="O179" s="51"/>
      <c r="P179" s="52"/>
      <c r="Q179" s="38"/>
      <c r="R179" s="507"/>
      <c r="S179" s="507"/>
      <c r="T179" s="41"/>
      <c r="U179" s="41"/>
      <c r="V179" s="41"/>
      <c r="W179" s="41"/>
      <c r="X179" s="42"/>
      <c r="Y179" s="218"/>
      <c r="Z179" s="41"/>
      <c r="AA179" s="41"/>
      <c r="AB179" s="41"/>
      <c r="AC179" s="41"/>
      <c r="AD179" s="41">
        <f t="shared" ref="AD179" si="495">+AM179+BC179</f>
        <v>30</v>
      </c>
      <c r="AE179" s="240" t="s">
        <v>820</v>
      </c>
      <c r="AF179" s="41"/>
      <c r="AG179" s="41"/>
      <c r="AH179" s="41"/>
      <c r="AI179" s="509"/>
      <c r="AJ179" s="41"/>
      <c r="AK179" s="41"/>
      <c r="AL179" s="41"/>
      <c r="AM179" s="41">
        <f t="shared" ref="AM179" si="496">SUM(AF179:AL179)+AT179</f>
        <v>0</v>
      </c>
      <c r="AN179" s="41"/>
      <c r="AO179" s="41"/>
      <c r="AP179" s="41">
        <v>30</v>
      </c>
      <c r="AQ179" s="41"/>
      <c r="AR179" s="41">
        <f t="shared" ref="AR179" si="497">SUM(AN179:AQ179)</f>
        <v>30</v>
      </c>
      <c r="AS179" s="41"/>
      <c r="AT179" s="41"/>
      <c r="AU179" s="41"/>
      <c r="AV179" s="41"/>
      <c r="AW179" s="41"/>
      <c r="AX179" s="41"/>
      <c r="AY179" s="41"/>
      <c r="AZ179" s="41"/>
      <c r="BA179" s="41"/>
      <c r="BB179" s="41"/>
      <c r="BC179" s="41">
        <f t="shared" ref="BC179" si="498">+AR179+AS179+AU179+AV179+AX179</f>
        <v>30</v>
      </c>
      <c r="BD179" s="54"/>
      <c r="BE179" s="55"/>
      <c r="BF179" s="55"/>
      <c r="BG179" s="54"/>
      <c r="BH179" s="55"/>
    </row>
    <row r="180" spans="1:60" ht="12.95" customHeight="1">
      <c r="A180" s="44"/>
      <c r="B180" s="45"/>
      <c r="C180" s="451"/>
      <c r="D180" s="45"/>
      <c r="E180" s="46"/>
      <c r="F180" s="46"/>
      <c r="G180" s="47"/>
      <c r="H180" s="48"/>
      <c r="I180" s="49"/>
      <c r="J180" s="89"/>
      <c r="K180" s="89"/>
      <c r="L180" s="39"/>
      <c r="M180" s="39"/>
      <c r="N180" s="50"/>
      <c r="O180" s="51"/>
      <c r="P180" s="52"/>
      <c r="Q180" s="38"/>
      <c r="R180" s="507"/>
      <c r="S180" s="507"/>
      <c r="T180" s="41"/>
      <c r="U180" s="41"/>
      <c r="V180" s="41"/>
      <c r="W180" s="41"/>
      <c r="X180" s="42"/>
      <c r="Y180" s="218"/>
      <c r="Z180" s="41"/>
      <c r="AA180" s="41"/>
      <c r="AB180" s="41"/>
      <c r="AC180" s="41"/>
      <c r="AD180" s="41">
        <f t="shared" si="491"/>
        <v>0</v>
      </c>
      <c r="AE180" s="240" t="s">
        <v>609</v>
      </c>
      <c r="AF180" s="41"/>
      <c r="AG180" s="41"/>
      <c r="AH180" s="41"/>
      <c r="AI180" s="509"/>
      <c r="AJ180" s="41"/>
      <c r="AK180" s="41"/>
      <c r="AL180" s="41"/>
      <c r="AM180" s="41">
        <f>SUM(AF180:AL180)+AT180+AV180+AX180+AZ180</f>
        <v>0</v>
      </c>
      <c r="AN180" s="41"/>
      <c r="AO180" s="41"/>
      <c r="AP180" s="41"/>
      <c r="AQ180" s="41"/>
      <c r="AR180" s="41">
        <f t="shared" ref="AR180" si="499">SUM(AN180:AQ180)</f>
        <v>0</v>
      </c>
      <c r="AS180" s="41"/>
      <c r="AT180" s="41"/>
      <c r="AU180" s="41"/>
      <c r="AV180" s="41"/>
      <c r="AW180" s="41"/>
      <c r="AX180" s="41"/>
      <c r="AY180" s="41"/>
      <c r="AZ180" s="41">
        <f>37-37</f>
        <v>0</v>
      </c>
      <c r="BA180" s="41"/>
      <c r="BB180" s="41"/>
      <c r="BC180" s="41">
        <f>+AR180+AS180+AU180+AV180+AX180+BA180</f>
        <v>0</v>
      </c>
      <c r="BD180" s="54"/>
      <c r="BE180" s="55"/>
      <c r="BF180" s="55"/>
      <c r="BG180" s="54"/>
      <c r="BH180" s="55"/>
    </row>
    <row r="181" spans="1:60" ht="12.95" customHeight="1">
      <c r="A181" s="44"/>
      <c r="B181" s="45"/>
      <c r="C181" s="451"/>
      <c r="D181" s="45"/>
      <c r="E181" s="46"/>
      <c r="F181" s="46"/>
      <c r="G181" s="47"/>
      <c r="H181" s="48"/>
      <c r="I181" s="49"/>
      <c r="J181" s="89"/>
      <c r="K181" s="89"/>
      <c r="L181" s="39"/>
      <c r="M181" s="39"/>
      <c r="N181" s="50"/>
      <c r="O181" s="51"/>
      <c r="P181" s="52"/>
      <c r="Q181" s="38"/>
      <c r="R181" s="507"/>
      <c r="S181" s="507"/>
      <c r="T181" s="41"/>
      <c r="U181" s="41"/>
      <c r="V181" s="41"/>
      <c r="W181" s="41"/>
      <c r="X181" s="42"/>
      <c r="Y181" s="218"/>
      <c r="Z181" s="41"/>
      <c r="AA181" s="41"/>
      <c r="AB181" s="41"/>
      <c r="AC181" s="41"/>
      <c r="AD181" s="41"/>
      <c r="AE181" s="240"/>
      <c r="AF181" s="41"/>
      <c r="AG181" s="41"/>
      <c r="AH181" s="41"/>
      <c r="AI181" s="509"/>
      <c r="AJ181" s="41"/>
      <c r="AK181" s="41"/>
      <c r="AL181" s="41"/>
      <c r="AM181" s="41"/>
      <c r="AN181" s="41"/>
      <c r="AO181" s="41"/>
      <c r="AP181" s="41"/>
      <c r="AQ181" s="41"/>
      <c r="AR181" s="41"/>
      <c r="AS181" s="41"/>
      <c r="AT181" s="41"/>
      <c r="AU181" s="41"/>
      <c r="AV181" s="41"/>
      <c r="AW181" s="41"/>
      <c r="AX181" s="41"/>
      <c r="AY181" s="41"/>
      <c r="AZ181" s="41"/>
      <c r="BA181" s="41"/>
      <c r="BB181" s="41"/>
      <c r="BC181" s="41"/>
      <c r="BD181" s="54"/>
      <c r="BE181" s="55"/>
      <c r="BF181" s="55"/>
      <c r="BG181" s="54"/>
      <c r="BH181" s="55"/>
    </row>
    <row r="182" spans="1:60" ht="12.95" customHeight="1">
      <c r="A182" s="44">
        <v>46053</v>
      </c>
      <c r="B182" s="45" t="s">
        <v>417</v>
      </c>
      <c r="C182" s="451">
        <f t="shared" ref="C182" si="500">(M182*E182*O182*Q182)/100000000</f>
        <v>47.165319758346584</v>
      </c>
      <c r="D182" s="45" t="s">
        <v>430</v>
      </c>
      <c r="E182" s="46">
        <v>15</v>
      </c>
      <c r="F182" s="46">
        <v>1</v>
      </c>
      <c r="G182" s="506">
        <v>1190</v>
      </c>
      <c r="H182" s="48">
        <f>+N182</f>
        <v>0.21999999999999997</v>
      </c>
      <c r="I182" s="49">
        <v>0.88</v>
      </c>
      <c r="J182" s="89">
        <f t="shared" ref="J182" si="501">E182*G182*(1-H182)*1440/1000000*2.75</f>
        <v>55.135079999999995</v>
      </c>
      <c r="K182" s="89">
        <f t="shared" ref="K182" si="502">(IF(G182&lt;L182,L182,G182)*(1-IF(H182&lt;N182,H182,N182))*E182*O182*Q182)/100000000</f>
        <v>54.9345888</v>
      </c>
      <c r="L182" s="39">
        <v>1021.7011128775835</v>
      </c>
      <c r="M182" s="39">
        <v>796.92686804451512</v>
      </c>
      <c r="N182" s="50">
        <f t="shared" ref="N182" si="503">1-(M182/L182)</f>
        <v>0.21999999999999997</v>
      </c>
      <c r="O182" s="51">
        <f>+'Trim Rwd'!H100</f>
        <v>274</v>
      </c>
      <c r="P182" s="52">
        <f t="shared" ref="P182" si="504">O182*(Q182-R182-S182)</f>
        <v>0</v>
      </c>
      <c r="Q182" s="51">
        <v>1440</v>
      </c>
      <c r="R182" s="507">
        <v>1440</v>
      </c>
      <c r="S182" s="507">
        <v>0</v>
      </c>
      <c r="T182" s="41">
        <f t="shared" ref="T182" si="505">E182*M182*O182*Q182/100000000</f>
        <v>47.165319758346584</v>
      </c>
      <c r="U182" s="41">
        <f t="shared" ref="U182" si="506">E182*M182*O182*(Q182-R182-S182)/100000000</f>
        <v>0</v>
      </c>
      <c r="V182" s="41">
        <f t="shared" ref="V182" si="507">E182*G182*(1-N182)*O182/100*(R182+S182)/1000000</f>
        <v>54.9345888</v>
      </c>
      <c r="W182" s="41">
        <f>+'31'!K16/1000</f>
        <v>2.919</v>
      </c>
      <c r="X182" s="508">
        <f>SUM(W182:W185)/SUM(K182:K185)</f>
        <v>5.313592153437581E-2</v>
      </c>
      <c r="Y182" s="218">
        <v>0</v>
      </c>
      <c r="Z182" s="41">
        <v>0</v>
      </c>
      <c r="AA182" s="53">
        <v>0</v>
      </c>
      <c r="AB182" s="53">
        <f>(SUM(K182:K185)-SUM(W182:W185)-SUM(Y182:Y185)-SUM(Z182:Z185)-SUM(AC182:AC185)-SUM(V182:V185))-AA182</f>
        <v>-10.688269041653413</v>
      </c>
      <c r="AC182" s="41">
        <f>K182-T182</f>
        <v>7.7692690416534163</v>
      </c>
      <c r="AD182" s="41">
        <f>+AM182+BC182</f>
        <v>0</v>
      </c>
      <c r="AE182" s="237" t="s">
        <v>386</v>
      </c>
      <c r="AF182" s="41">
        <v>0</v>
      </c>
      <c r="AG182" s="41"/>
      <c r="AH182" s="41"/>
      <c r="AI182" s="509"/>
      <c r="AJ182" s="41"/>
      <c r="AK182" s="41"/>
      <c r="AL182" s="41"/>
      <c r="AM182" s="41">
        <f>SUM(AF182:AL182)+AT182</f>
        <v>0</v>
      </c>
      <c r="AN182" s="41"/>
      <c r="AO182" s="41"/>
      <c r="AP182" s="41"/>
      <c r="AQ182" s="41"/>
      <c r="AR182" s="41">
        <f>SUM(AN182:AQ182)</f>
        <v>0</v>
      </c>
      <c r="AS182" s="41"/>
      <c r="AT182" s="41"/>
      <c r="AU182" s="41"/>
      <c r="AV182" s="41"/>
      <c r="AW182" s="41"/>
      <c r="AX182" s="41"/>
      <c r="AY182" s="41"/>
      <c r="AZ182" s="41"/>
      <c r="BA182" s="41"/>
      <c r="BB182" s="41"/>
      <c r="BC182" s="41">
        <f>+AR182+AS182+AU182+AV182+AX182</f>
        <v>0</v>
      </c>
      <c r="BD182" s="37">
        <v>0</v>
      </c>
      <c r="BE182" s="55"/>
      <c r="BF182" s="55"/>
      <c r="BG182" s="37"/>
      <c r="BH182" s="55"/>
    </row>
    <row r="183" spans="1:60" ht="12.95" customHeight="1">
      <c r="A183" s="44"/>
      <c r="B183" s="45"/>
      <c r="C183" s="451"/>
      <c r="D183" s="45"/>
      <c r="E183" s="46"/>
      <c r="F183" s="46"/>
      <c r="G183" s="506"/>
      <c r="H183" s="48"/>
      <c r="I183" s="49"/>
      <c r="J183" s="89"/>
      <c r="K183" s="89"/>
      <c r="L183" s="39"/>
      <c r="M183" s="39"/>
      <c r="N183" s="50"/>
      <c r="O183" s="51"/>
      <c r="P183" s="52"/>
      <c r="Q183" s="51"/>
      <c r="R183" s="507"/>
      <c r="S183" s="507"/>
      <c r="T183" s="41"/>
      <c r="U183" s="41"/>
      <c r="V183" s="41"/>
      <c r="W183" s="41"/>
      <c r="X183" s="42"/>
      <c r="Y183" s="218"/>
      <c r="Z183" s="41"/>
      <c r="AA183" s="41"/>
      <c r="AB183" s="41"/>
      <c r="AC183" s="41"/>
      <c r="AD183" s="41">
        <f t="shared" ref="AD183:AD185" si="508">+AM183+BC183</f>
        <v>0</v>
      </c>
      <c r="AE183" s="237" t="s">
        <v>387</v>
      </c>
      <c r="AF183" s="41"/>
      <c r="AG183" s="41">
        <v>0</v>
      </c>
      <c r="AH183" s="41"/>
      <c r="AI183" s="509"/>
      <c r="AJ183" s="41"/>
      <c r="AK183" s="41"/>
      <c r="AL183" s="41"/>
      <c r="AM183" s="41">
        <f t="shared" ref="AM183:AM185" si="509">SUM(AF183:AL183)+AT183</f>
        <v>0</v>
      </c>
      <c r="AN183" s="90"/>
      <c r="AO183" s="41"/>
      <c r="AP183" s="41"/>
      <c r="AQ183" s="41"/>
      <c r="AR183" s="41">
        <f t="shared" ref="AR183:AR185" si="510">SUM(AN183:AQ183)</f>
        <v>0</v>
      </c>
      <c r="AS183" s="41"/>
      <c r="AT183" s="41"/>
      <c r="AU183" s="41"/>
      <c r="AV183" s="41"/>
      <c r="AW183" s="41"/>
      <c r="AX183" s="41"/>
      <c r="AY183" s="41"/>
      <c r="AZ183" s="41"/>
      <c r="BA183" s="41"/>
      <c r="BB183" s="41"/>
      <c r="BC183" s="41">
        <f t="shared" ref="BC183:BC185" si="511">+AR183+AS183+AU183+AV183+AX183</f>
        <v>0</v>
      </c>
      <c r="BD183" s="54"/>
      <c r="BE183" s="55">
        <v>0</v>
      </c>
      <c r="BF183" s="55"/>
      <c r="BG183" s="54"/>
      <c r="BH183" s="55"/>
    </row>
    <row r="184" spans="1:60" ht="12.95" customHeight="1">
      <c r="A184" s="44"/>
      <c r="B184" s="45"/>
      <c r="C184" s="451"/>
      <c r="D184" s="45"/>
      <c r="E184" s="46"/>
      <c r="F184" s="46"/>
      <c r="G184" s="506"/>
      <c r="H184" s="48"/>
      <c r="I184" s="49"/>
      <c r="J184" s="89"/>
      <c r="K184" s="89"/>
      <c r="L184" s="39"/>
      <c r="M184" s="39"/>
      <c r="N184" s="50"/>
      <c r="O184" s="51"/>
      <c r="P184" s="52"/>
      <c r="Q184" s="51"/>
      <c r="R184" s="507"/>
      <c r="S184" s="507"/>
      <c r="T184" s="41"/>
      <c r="U184" s="41"/>
      <c r="V184" s="41"/>
      <c r="W184" s="41"/>
      <c r="X184" s="42"/>
      <c r="Y184" s="218"/>
      <c r="Z184" s="41"/>
      <c r="AA184" s="41"/>
      <c r="AB184" s="41"/>
      <c r="AC184" s="41"/>
      <c r="AD184" s="41">
        <f t="shared" si="508"/>
        <v>0</v>
      </c>
      <c r="AE184" s="237" t="s">
        <v>827</v>
      </c>
      <c r="AF184" s="37"/>
      <c r="AG184" s="37"/>
      <c r="AH184" s="37">
        <v>0</v>
      </c>
      <c r="AJ184" s="41"/>
      <c r="AK184" s="41"/>
      <c r="AL184" s="41"/>
      <c r="AM184" s="41">
        <f t="shared" si="509"/>
        <v>0</v>
      </c>
      <c r="AN184" s="41"/>
      <c r="AO184" s="41"/>
      <c r="AP184" s="41"/>
      <c r="AQ184" s="41"/>
      <c r="AR184" s="41">
        <f t="shared" si="510"/>
        <v>0</v>
      </c>
      <c r="AS184" s="41"/>
      <c r="AT184" s="41"/>
      <c r="AU184" s="41"/>
      <c r="AV184" s="41"/>
      <c r="AW184" s="41"/>
      <c r="AX184" s="41"/>
      <c r="AY184" s="41"/>
      <c r="AZ184" s="41"/>
      <c r="BA184" s="41"/>
      <c r="BB184" s="41"/>
      <c r="BC184" s="41">
        <f t="shared" si="511"/>
        <v>0</v>
      </c>
      <c r="BD184" s="37"/>
      <c r="BE184" s="510"/>
      <c r="BF184" s="510"/>
      <c r="BG184" s="37"/>
      <c r="BH184" s="510"/>
    </row>
    <row r="185" spans="1:60" ht="12.95" customHeight="1">
      <c r="A185" s="44"/>
      <c r="B185" s="45"/>
      <c r="C185" s="451"/>
      <c r="D185" s="45"/>
      <c r="E185" s="46"/>
      <c r="F185" s="46"/>
      <c r="G185" s="47"/>
      <c r="H185" s="48"/>
      <c r="I185" s="49"/>
      <c r="J185" s="89"/>
      <c r="K185" s="89"/>
      <c r="L185" s="39"/>
      <c r="M185" s="39"/>
      <c r="N185" s="50"/>
      <c r="O185" s="51"/>
      <c r="P185" s="52"/>
      <c r="Q185" s="38"/>
      <c r="R185" s="507"/>
      <c r="S185" s="507"/>
      <c r="T185" s="41"/>
      <c r="U185" s="41"/>
      <c r="V185" s="41"/>
      <c r="W185" s="41"/>
      <c r="X185" s="42"/>
      <c r="Y185" s="218"/>
      <c r="Z185" s="41"/>
      <c r="AA185" s="41"/>
      <c r="AB185" s="41"/>
      <c r="AC185" s="41"/>
      <c r="AD185" s="41">
        <f t="shared" si="508"/>
        <v>750</v>
      </c>
      <c r="AE185" s="240" t="s">
        <v>829</v>
      </c>
      <c r="AF185" s="41"/>
      <c r="AG185" s="41"/>
      <c r="AH185" s="41"/>
      <c r="AI185" s="509">
        <v>0</v>
      </c>
      <c r="AJ185" s="41"/>
      <c r="AK185" s="41"/>
      <c r="AL185" s="41"/>
      <c r="AM185" s="41">
        <f t="shared" si="509"/>
        <v>0</v>
      </c>
      <c r="AN185" s="41"/>
      <c r="AO185" s="41"/>
      <c r="AP185" s="41">
        <v>750</v>
      </c>
      <c r="AQ185" s="41"/>
      <c r="AR185" s="41">
        <f t="shared" si="510"/>
        <v>750</v>
      </c>
      <c r="AS185" s="41"/>
      <c r="AT185" s="41"/>
      <c r="AU185" s="41"/>
      <c r="AV185" s="41"/>
      <c r="AW185" s="41"/>
      <c r="AX185" s="41"/>
      <c r="AY185" s="41"/>
      <c r="AZ185" s="41"/>
      <c r="BA185" s="41"/>
      <c r="BB185" s="41"/>
      <c r="BC185" s="41">
        <f t="shared" si="511"/>
        <v>750</v>
      </c>
      <c r="BD185" s="54"/>
      <c r="BE185" s="55"/>
      <c r="BF185" s="55"/>
      <c r="BG185" s="54"/>
      <c r="BH185" s="55"/>
    </row>
    <row r="186" spans="1:60" ht="12.95" customHeight="1">
      <c r="A186" s="44"/>
      <c r="B186" s="45"/>
      <c r="C186" s="451"/>
      <c r="D186" s="45"/>
      <c r="E186" s="46"/>
      <c r="F186" s="46"/>
      <c r="G186" s="47"/>
      <c r="H186" s="48"/>
      <c r="I186" s="49"/>
      <c r="J186" s="89"/>
      <c r="K186" s="89"/>
      <c r="L186" s="39"/>
      <c r="M186" s="39"/>
      <c r="N186" s="50"/>
      <c r="O186" s="51"/>
      <c r="P186" s="52"/>
      <c r="Q186" s="38"/>
      <c r="R186" s="507"/>
      <c r="S186" s="507"/>
      <c r="T186" s="41"/>
      <c r="U186" s="41"/>
      <c r="V186" s="41"/>
      <c r="W186" s="41"/>
      <c r="X186" s="42"/>
      <c r="Y186" s="218"/>
      <c r="Z186" s="41"/>
      <c r="AA186" s="41"/>
      <c r="AB186" s="41"/>
      <c r="AC186" s="41"/>
      <c r="AD186" s="41">
        <f t="shared" ref="AD186" si="512">+AM186+BC186</f>
        <v>690</v>
      </c>
      <c r="AE186" s="240" t="s">
        <v>829</v>
      </c>
      <c r="AF186" s="41"/>
      <c r="AG186" s="41"/>
      <c r="AH186" s="41"/>
      <c r="AI186" s="509">
        <v>0</v>
      </c>
      <c r="AJ186" s="41"/>
      <c r="AK186" s="41"/>
      <c r="AL186" s="41"/>
      <c r="AM186" s="41">
        <f t="shared" ref="AM186" si="513">SUM(AF186:AL186)+AT186</f>
        <v>0</v>
      </c>
      <c r="AN186" s="41"/>
      <c r="AO186" s="41">
        <f>1440-750</f>
        <v>690</v>
      </c>
      <c r="AP186" s="41"/>
      <c r="AQ186" s="41"/>
      <c r="AR186" s="41">
        <f t="shared" ref="AR186" si="514">SUM(AN186:AQ186)</f>
        <v>690</v>
      </c>
      <c r="AS186" s="41"/>
      <c r="AT186" s="41"/>
      <c r="AU186" s="41"/>
      <c r="AV186" s="41"/>
      <c r="AW186" s="41"/>
      <c r="AX186" s="41"/>
      <c r="AY186" s="41"/>
      <c r="AZ186" s="41"/>
      <c r="BA186" s="41"/>
      <c r="BB186" s="41"/>
      <c r="BC186" s="41">
        <f t="shared" ref="BC186" si="515">+AR186+AS186+AU186+AV186+AX186</f>
        <v>690</v>
      </c>
      <c r="BD186" s="54"/>
      <c r="BE186" s="55"/>
      <c r="BF186" s="55"/>
      <c r="BG186" s="54"/>
      <c r="BH186" s="55"/>
    </row>
    <row r="187" spans="1:60" ht="12.95" customHeight="1">
      <c r="A187" s="44"/>
      <c r="B187" s="45"/>
      <c r="C187" s="451"/>
      <c r="D187" s="45"/>
      <c r="E187" s="46"/>
      <c r="F187" s="46"/>
      <c r="G187" s="47"/>
      <c r="H187" s="48"/>
      <c r="I187" s="49"/>
      <c r="J187" s="89"/>
      <c r="K187" s="89"/>
      <c r="L187" s="39"/>
      <c r="M187" s="39"/>
      <c r="N187" s="50"/>
      <c r="O187" s="51"/>
      <c r="P187" s="52"/>
      <c r="Q187" s="38"/>
      <c r="R187" s="507"/>
      <c r="S187" s="507"/>
      <c r="T187" s="41"/>
      <c r="U187" s="41"/>
      <c r="V187" s="41"/>
      <c r="W187" s="41"/>
      <c r="X187" s="42"/>
      <c r="Y187" s="218"/>
      <c r="Z187" s="41"/>
      <c r="AA187" s="41"/>
      <c r="AB187" s="41"/>
      <c r="AC187" s="41"/>
      <c r="AD187" s="41"/>
      <c r="AE187" s="240"/>
      <c r="AF187" s="41"/>
      <c r="AG187" s="41"/>
      <c r="AH187" s="41"/>
      <c r="AI187" s="509"/>
      <c r="AJ187" s="41"/>
      <c r="AK187" s="41"/>
      <c r="AL187" s="41"/>
      <c r="AM187" s="41"/>
      <c r="AN187" s="41"/>
      <c r="AO187" s="41"/>
      <c r="AP187" s="41"/>
      <c r="AQ187" s="41"/>
      <c r="AR187" s="41"/>
      <c r="AS187" s="41"/>
      <c r="AT187" s="41"/>
      <c r="AU187" s="41"/>
      <c r="AV187" s="41"/>
      <c r="AW187" s="41"/>
      <c r="AX187" s="41"/>
      <c r="AY187" s="41"/>
      <c r="AZ187" s="41"/>
      <c r="BA187" s="41"/>
      <c r="BB187" s="41"/>
      <c r="BC187" s="41"/>
      <c r="BD187" s="54"/>
      <c r="BE187" s="55"/>
      <c r="BF187" s="55"/>
      <c r="BG187" s="54"/>
      <c r="BH187" s="55"/>
    </row>
    <row r="188" spans="1:60" ht="12.95" customHeight="1">
      <c r="A188" s="44"/>
      <c r="B188" s="559"/>
      <c r="C188" s="451"/>
      <c r="D188" s="45"/>
      <c r="E188" s="46"/>
      <c r="F188" s="46"/>
      <c r="G188" s="47"/>
      <c r="H188" s="48"/>
      <c r="I188" s="49"/>
      <c r="J188" s="89"/>
      <c r="K188" s="89"/>
      <c r="L188" s="39"/>
      <c r="M188" s="39"/>
      <c r="N188" s="50"/>
      <c r="O188" s="51"/>
      <c r="P188" s="52"/>
      <c r="Q188" s="38"/>
      <c r="R188" s="507"/>
      <c r="S188" s="507"/>
      <c r="T188" s="41"/>
      <c r="U188" s="41"/>
      <c r="V188" s="41"/>
      <c r="W188" s="41"/>
      <c r="X188" s="42"/>
      <c r="Y188" s="42"/>
      <c r="Z188" s="41"/>
      <c r="AA188" s="53"/>
      <c r="AB188" s="53"/>
      <c r="AC188" s="41"/>
      <c r="AD188" s="41"/>
      <c r="AE188" s="237"/>
      <c r="AF188" s="41"/>
      <c r="AG188" s="41"/>
      <c r="AH188" s="41"/>
      <c r="AI188" s="41"/>
      <c r="AJ188" s="41"/>
      <c r="AK188" s="41"/>
      <c r="AL188" s="41"/>
      <c r="AM188" s="41"/>
      <c r="AN188" s="41"/>
      <c r="AO188" s="41"/>
      <c r="AP188" s="41"/>
      <c r="AQ188" s="41"/>
      <c r="AR188" s="41"/>
      <c r="AS188" s="41"/>
      <c r="AT188" s="41"/>
      <c r="AU188" s="41"/>
      <c r="AV188" s="41"/>
      <c r="AW188" s="41"/>
      <c r="AX188" s="41"/>
      <c r="AY188" s="41"/>
      <c r="AZ188" s="41"/>
      <c r="BA188" s="41"/>
      <c r="BB188" s="41"/>
      <c r="BC188" s="41"/>
      <c r="BD188" s="37"/>
      <c r="BE188" s="55"/>
      <c r="BF188" s="510"/>
      <c r="BG188" s="37"/>
      <c r="BH188" s="510"/>
    </row>
    <row r="189" spans="1:60" ht="12.95" customHeight="1">
      <c r="A189" s="44"/>
      <c r="B189" s="559"/>
      <c r="C189" s="451"/>
      <c r="D189" s="45"/>
      <c r="E189" s="46"/>
      <c r="F189" s="46"/>
      <c r="G189" s="47"/>
      <c r="H189" s="48"/>
      <c r="I189" s="49"/>
      <c r="J189" s="89"/>
      <c r="K189" s="89"/>
      <c r="L189" s="39"/>
      <c r="M189" s="39"/>
      <c r="N189" s="50"/>
      <c r="O189" s="51"/>
      <c r="P189" s="52"/>
      <c r="Q189" s="38"/>
      <c r="R189" s="507"/>
      <c r="S189" s="507"/>
      <c r="T189" s="41"/>
      <c r="U189" s="41"/>
      <c r="V189" s="41"/>
      <c r="W189" s="41"/>
      <c r="X189" s="42"/>
      <c r="Y189" s="42"/>
      <c r="Z189" s="41"/>
      <c r="AA189" s="53"/>
      <c r="AB189" s="53"/>
      <c r="AC189" s="41"/>
      <c r="AD189" s="41"/>
      <c r="AE189" s="237"/>
      <c r="AF189" s="41"/>
      <c r="AG189" s="41"/>
      <c r="AH189" s="41"/>
      <c r="AI189" s="41"/>
      <c r="AJ189" s="41"/>
      <c r="AK189" s="41"/>
      <c r="AL189" s="41"/>
      <c r="AM189" s="41"/>
      <c r="AN189" s="41"/>
      <c r="AO189" s="41"/>
      <c r="AP189" s="41"/>
      <c r="AQ189" s="41"/>
      <c r="AR189" s="41"/>
      <c r="AS189" s="41"/>
      <c r="AT189" s="41"/>
      <c r="AU189" s="41"/>
      <c r="AV189" s="41"/>
      <c r="AW189" s="41"/>
      <c r="AX189" s="41"/>
      <c r="AY189" s="41"/>
      <c r="AZ189" s="41"/>
      <c r="BA189" s="41"/>
      <c r="BB189" s="41"/>
      <c r="BC189" s="41"/>
      <c r="BD189" s="37"/>
      <c r="BE189" s="55"/>
      <c r="BF189" s="510"/>
      <c r="BG189" s="37"/>
      <c r="BH189" s="510"/>
    </row>
    <row r="190" spans="1:60" ht="12.95" customHeight="1">
      <c r="A190" s="44"/>
      <c r="B190" s="559"/>
      <c r="C190" s="451"/>
      <c r="D190" s="45"/>
      <c r="E190" s="46"/>
      <c r="F190" s="46"/>
      <c r="G190" s="47"/>
      <c r="H190" s="48"/>
      <c r="I190" s="49"/>
      <c r="J190" s="89"/>
      <c r="K190" s="89"/>
      <c r="L190" s="39"/>
      <c r="M190" s="39"/>
      <c r="N190" s="50"/>
      <c r="O190" s="51"/>
      <c r="P190" s="52"/>
      <c r="Q190" s="38"/>
      <c r="R190" s="507"/>
      <c r="S190" s="507"/>
      <c r="T190" s="41"/>
      <c r="U190" s="41"/>
      <c r="V190" s="41"/>
      <c r="W190" s="41"/>
      <c r="X190" s="42"/>
      <c r="Y190" s="42"/>
      <c r="Z190" s="41"/>
      <c r="AA190" s="53"/>
      <c r="AB190" s="53"/>
      <c r="AC190" s="41"/>
      <c r="AD190" s="41"/>
      <c r="AE190" s="237"/>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37"/>
      <c r="BE190" s="55"/>
      <c r="BF190" s="510"/>
      <c r="BG190" s="37"/>
      <c r="BH190" s="510"/>
    </row>
    <row r="191" spans="1:60" ht="12.95" customHeight="1">
      <c r="A191" s="44"/>
      <c r="B191" s="559"/>
      <c r="C191" s="451"/>
      <c r="D191" s="45"/>
      <c r="E191" s="46"/>
      <c r="F191" s="46"/>
      <c r="G191" s="47"/>
      <c r="H191" s="48"/>
      <c r="I191" s="49"/>
      <c r="J191" s="89"/>
      <c r="K191" s="89"/>
      <c r="L191" s="39"/>
      <c r="M191" s="39"/>
      <c r="N191" s="50"/>
      <c r="O191" s="51"/>
      <c r="P191" s="52"/>
      <c r="Q191" s="38"/>
      <c r="R191" s="507"/>
      <c r="S191" s="507"/>
      <c r="T191" s="41"/>
      <c r="U191" s="41"/>
      <c r="V191" s="41"/>
      <c r="W191" s="41"/>
      <c r="X191" s="42"/>
      <c r="Y191" s="42"/>
      <c r="Z191" s="41"/>
      <c r="AA191" s="53"/>
      <c r="AB191" s="53"/>
      <c r="AC191" s="41"/>
      <c r="AD191" s="41"/>
      <c r="AE191" s="237"/>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37"/>
      <c r="BE191" s="55"/>
      <c r="BF191" s="510"/>
      <c r="BG191" s="37"/>
      <c r="BH191" s="510"/>
    </row>
    <row r="192" spans="1:60" ht="12.95" customHeight="1">
      <c r="A192" s="44"/>
      <c r="B192" s="3"/>
      <c r="C192" s="451"/>
      <c r="D192" s="45"/>
      <c r="E192" s="46"/>
      <c r="F192" s="46"/>
      <c r="G192" s="47"/>
      <c r="H192" s="48"/>
      <c r="I192" s="49"/>
      <c r="J192" s="89"/>
      <c r="K192" s="89"/>
      <c r="L192" s="39"/>
      <c r="M192" s="39"/>
      <c r="N192" s="50"/>
      <c r="O192" s="51"/>
      <c r="P192" s="52"/>
      <c r="Q192" s="38"/>
      <c r="R192" s="507"/>
      <c r="S192" s="507"/>
      <c r="T192" s="41"/>
      <c r="U192" s="41"/>
      <c r="V192" s="41"/>
      <c r="W192" s="41"/>
      <c r="X192" s="42"/>
      <c r="Y192" s="42"/>
      <c r="Z192" s="41"/>
      <c r="AA192" s="53"/>
      <c r="AB192" s="53"/>
      <c r="AC192" s="41"/>
      <c r="AD192" s="41"/>
      <c r="AE192" s="23"/>
      <c r="AF192" s="41"/>
      <c r="AG192" s="41"/>
      <c r="AH192" s="41"/>
      <c r="AI192" s="41"/>
      <c r="AJ192" s="41"/>
      <c r="AK192" s="41"/>
      <c r="AL192" s="41"/>
      <c r="AM192" s="41"/>
      <c r="AN192" s="41"/>
      <c r="AO192" s="41"/>
      <c r="AP192" s="41"/>
      <c r="AQ192" s="41"/>
      <c r="AR192" s="41"/>
      <c r="AS192" s="41"/>
      <c r="AT192" s="41"/>
      <c r="AU192" s="41"/>
      <c r="AV192" s="41"/>
      <c r="AW192" s="41"/>
      <c r="AX192" s="41"/>
      <c r="AY192" s="41"/>
      <c r="AZ192" s="41"/>
      <c r="BA192" s="41"/>
      <c r="BB192" s="41"/>
      <c r="BC192" s="41"/>
      <c r="BD192" s="37"/>
      <c r="BE192" s="55"/>
      <c r="BF192" s="510"/>
      <c r="BG192" s="37"/>
      <c r="BH192" s="510"/>
    </row>
    <row r="193" spans="1:99" ht="12.75">
      <c r="A193" s="44"/>
      <c r="B193" s="3"/>
      <c r="C193" s="451"/>
      <c r="D193" s="45"/>
      <c r="E193" s="46"/>
      <c r="F193" s="46"/>
      <c r="G193" s="47"/>
      <c r="H193" s="48"/>
      <c r="I193" s="49"/>
      <c r="J193" s="89"/>
      <c r="K193" s="89"/>
      <c r="L193" s="39"/>
      <c r="M193" s="39"/>
      <c r="N193" s="50"/>
      <c r="O193" s="51"/>
      <c r="P193" s="52"/>
      <c r="Q193" s="38"/>
      <c r="R193" s="507"/>
      <c r="S193" s="507"/>
      <c r="T193" s="41"/>
      <c r="U193" s="41"/>
      <c r="V193" s="41"/>
      <c r="W193" s="41"/>
      <c r="X193" s="42"/>
      <c r="Y193" s="42"/>
      <c r="Z193" s="41"/>
      <c r="AA193" s="53"/>
      <c r="AB193" s="53"/>
      <c r="AC193" s="41"/>
      <c r="AD193" s="41"/>
      <c r="AE193" s="23"/>
      <c r="AF193" s="41"/>
      <c r="AG193" s="41"/>
      <c r="AH193" s="41"/>
      <c r="AI193" s="41"/>
      <c r="AJ193" s="41"/>
      <c r="AK193" s="41"/>
      <c r="AL193" s="41"/>
      <c r="AM193" s="41"/>
      <c r="AN193" s="41"/>
      <c r="AO193" s="41"/>
      <c r="AP193" s="41"/>
      <c r="AQ193" s="41"/>
      <c r="AR193" s="41"/>
      <c r="AS193" s="41"/>
      <c r="AT193" s="41"/>
      <c r="AU193" s="41"/>
      <c r="AV193" s="41"/>
      <c r="AW193" s="41"/>
      <c r="AX193" s="41"/>
      <c r="AY193" s="41"/>
      <c r="AZ193" s="41"/>
      <c r="BA193" s="41"/>
      <c r="BB193" s="41"/>
      <c r="BC193" s="41"/>
      <c r="BD193" s="37"/>
      <c r="BE193" s="55"/>
      <c r="BF193" s="510"/>
      <c r="BG193" s="37"/>
      <c r="BH193" s="510"/>
    </row>
    <row r="194" spans="1:99" ht="12.75">
      <c r="A194" s="44"/>
      <c r="B194" s="45"/>
      <c r="C194" s="451"/>
      <c r="D194" s="45"/>
      <c r="E194" s="46"/>
      <c r="F194" s="46"/>
      <c r="G194" s="57"/>
      <c r="H194" s="58"/>
      <c r="I194" s="49"/>
      <c r="J194" s="89"/>
      <c r="K194" s="89"/>
      <c r="L194" s="39"/>
      <c r="M194" s="39"/>
      <c r="N194" s="50"/>
      <c r="O194" s="51"/>
      <c r="P194" s="52"/>
      <c r="Q194" s="379"/>
      <c r="R194" s="54"/>
      <c r="S194" s="54"/>
      <c r="T194" s="41"/>
      <c r="U194" s="41"/>
      <c r="V194" s="41"/>
      <c r="W194" s="37"/>
      <c r="X194" s="42"/>
      <c r="Y194" s="42"/>
      <c r="Z194" s="37"/>
      <c r="AA194" s="53"/>
      <c r="AB194" s="53"/>
      <c r="AC194" s="41"/>
      <c r="AD194" s="41"/>
      <c r="AE194" s="23"/>
      <c r="AF194" s="41"/>
      <c r="AG194" s="41"/>
      <c r="AH194" s="41"/>
      <c r="AI194" s="41"/>
      <c r="AJ194" s="41"/>
      <c r="AK194" s="41"/>
      <c r="AL194" s="41"/>
      <c r="AM194" s="41"/>
      <c r="AN194" s="41"/>
      <c r="AO194" s="41"/>
      <c r="AP194" s="41"/>
      <c r="AQ194" s="41"/>
      <c r="AR194" s="41"/>
      <c r="AS194" s="41"/>
      <c r="AT194" s="41"/>
      <c r="AU194" s="41"/>
      <c r="AV194" s="41"/>
      <c r="AW194" s="41"/>
      <c r="AX194" s="41"/>
      <c r="AY194" s="41"/>
      <c r="AZ194" s="41"/>
      <c r="BA194" s="41"/>
      <c r="BB194" s="41"/>
      <c r="BC194" s="41"/>
      <c r="BD194" s="37"/>
      <c r="BE194" s="55"/>
      <c r="BF194" s="510"/>
      <c r="BG194" s="37"/>
      <c r="BH194" s="510"/>
    </row>
    <row r="195" spans="1:99" ht="12.75">
      <c r="A195" s="44"/>
      <c r="B195" s="45"/>
      <c r="C195" s="451"/>
      <c r="D195" s="45"/>
      <c r="E195" s="46"/>
      <c r="F195" s="46"/>
      <c r="G195" s="57"/>
      <c r="H195" s="58"/>
      <c r="I195" s="49"/>
      <c r="J195" s="89"/>
      <c r="K195" s="89"/>
      <c r="L195" s="39"/>
      <c r="M195" s="39"/>
      <c r="N195" s="50"/>
      <c r="O195" s="51"/>
      <c r="P195" s="52"/>
      <c r="Q195" s="379"/>
      <c r="R195" s="54"/>
      <c r="S195" s="54"/>
      <c r="T195" s="41"/>
      <c r="U195" s="41"/>
      <c r="V195" s="41"/>
      <c r="W195" s="37"/>
      <c r="X195" s="42"/>
      <c r="Y195" s="42"/>
      <c r="Z195" s="37"/>
      <c r="AA195" s="53">
        <f>U195-W195-Z195</f>
        <v>0</v>
      </c>
      <c r="AB195" s="53"/>
      <c r="AC195" s="41">
        <f>K195-T195</f>
        <v>0</v>
      </c>
      <c r="AD195" s="41"/>
      <c r="AE195" s="59"/>
      <c r="AF195" s="41"/>
      <c r="AG195" s="41"/>
      <c r="AH195" s="41"/>
      <c r="AI195" s="41"/>
      <c r="AJ195" s="41"/>
      <c r="AK195" s="41"/>
      <c r="AL195" s="41"/>
      <c r="AM195" s="41"/>
      <c r="AN195" s="41"/>
      <c r="AO195" s="41"/>
      <c r="AP195" s="41"/>
      <c r="AQ195" s="41"/>
      <c r="AR195" s="41"/>
      <c r="AS195" s="41"/>
      <c r="AT195" s="41"/>
      <c r="AU195" s="41"/>
      <c r="AV195" s="41"/>
      <c r="AW195" s="41"/>
      <c r="AX195" s="41"/>
      <c r="AY195" s="41"/>
      <c r="AZ195" s="41"/>
      <c r="BA195" s="41"/>
      <c r="BB195" s="41"/>
      <c r="BC195" s="41"/>
      <c r="BD195" s="37"/>
      <c r="BE195" s="55"/>
      <c r="BF195" s="510"/>
      <c r="BG195" s="37"/>
      <c r="BH195" s="510"/>
    </row>
    <row r="196" spans="1:99">
      <c r="R196" s="511"/>
      <c r="S196" s="511"/>
      <c r="AA196" s="254">
        <f>U196-W196-Z196</f>
        <v>0</v>
      </c>
      <c r="AB196" s="254"/>
      <c r="AC196" s="255">
        <f>K196-T196</f>
        <v>0</v>
      </c>
      <c r="AD196" s="41"/>
      <c r="AF196" s="56"/>
      <c r="AG196" s="56"/>
      <c r="AH196" s="56"/>
      <c r="AI196" s="56"/>
      <c r="AJ196" s="56"/>
      <c r="AK196" s="56"/>
      <c r="AL196" s="56"/>
      <c r="AM196" s="41"/>
      <c r="AN196" s="56"/>
      <c r="AO196" s="56"/>
      <c r="AP196" s="56"/>
      <c r="AQ196" s="56"/>
      <c r="AR196" s="41"/>
      <c r="AS196" s="56"/>
      <c r="AT196" s="56"/>
      <c r="AU196" s="56"/>
      <c r="AV196" s="56"/>
      <c r="AW196" s="56"/>
      <c r="AX196" s="56"/>
      <c r="AY196" s="56"/>
      <c r="AZ196" s="56"/>
      <c r="BA196" s="56"/>
      <c r="BB196" s="56"/>
      <c r="BC196" s="41"/>
      <c r="BD196" s="37"/>
      <c r="BE196" s="55"/>
      <c r="BF196" s="510"/>
      <c r="BG196" s="37"/>
      <c r="BH196" s="510"/>
    </row>
    <row r="197" spans="1:99">
      <c r="A197" s="63"/>
      <c r="B197" s="64"/>
      <c r="C197" s="453">
        <f>SUM(C6:C195)</f>
        <v>1534.7438767727278</v>
      </c>
      <c r="D197" s="64"/>
      <c r="E197" s="65"/>
      <c r="F197" s="65"/>
      <c r="G197" s="66"/>
      <c r="H197" s="66"/>
      <c r="I197" s="67">
        <v>0.85</v>
      </c>
      <c r="J197" s="89"/>
      <c r="K197" s="91">
        <f>SUM(K6:K195)</f>
        <v>1673.1439990184613</v>
      </c>
      <c r="L197" s="69"/>
      <c r="M197" s="69"/>
      <c r="N197" s="70"/>
      <c r="O197" s="71">
        <f>P197/(Q197-R197-S197)</f>
        <v>270.4164312511391</v>
      </c>
      <c r="P197" s="68">
        <f>SUM(P6:P195)</f>
        <v>10659545.303488651</v>
      </c>
      <c r="Q197" s="381">
        <f>SUM(Q6:Q196)</f>
        <v>44640</v>
      </c>
      <c r="R197" s="68">
        <f t="shared" ref="R197:W197" si="516">SUM(R6:R195)</f>
        <v>3757</v>
      </c>
      <c r="S197" s="68">
        <f t="shared" si="516"/>
        <v>1464</v>
      </c>
      <c r="T197" s="68">
        <f t="shared" si="516"/>
        <v>1534.7438767727278</v>
      </c>
      <c r="U197" s="68">
        <f t="shared" si="516"/>
        <v>1359.0633295280352</v>
      </c>
      <c r="V197" s="405">
        <f t="shared" si="516"/>
        <v>194.74530506517235</v>
      </c>
      <c r="W197" s="456">
        <f t="shared" si="516"/>
        <v>1332.2299999999998</v>
      </c>
      <c r="X197" s="512">
        <f>W197/K197</f>
        <v>0.79624347980899646</v>
      </c>
      <c r="Y197" s="406">
        <f>SUM(Y6:Y195)</f>
        <v>0</v>
      </c>
      <c r="Z197" s="456">
        <f>SUM(Z6:Z195)</f>
        <v>5.3169999999999993</v>
      </c>
      <c r="AA197" s="68">
        <f>SUM(AA6:AA195)</f>
        <v>16.335971986247319</v>
      </c>
      <c r="AB197" s="68">
        <f>SUM(AB6:AB195)</f>
        <v>-11.132334678425289</v>
      </c>
      <c r="AC197" s="68">
        <f>SUM(AC6:AC195)</f>
        <v>135.64805664546657</v>
      </c>
      <c r="AD197" s="41">
        <f>SUM(AD6:AD196)</f>
        <v>5221</v>
      </c>
      <c r="AE197" s="72"/>
      <c r="AF197" s="68">
        <f t="shared" ref="AF197:BC197" si="517">SUM(AF6:AF196)</f>
        <v>39</v>
      </c>
      <c r="AG197" s="68">
        <f t="shared" si="517"/>
        <v>378</v>
      </c>
      <c r="AH197" s="68">
        <f t="shared" si="517"/>
        <v>741</v>
      </c>
      <c r="AI197" s="68">
        <f t="shared" si="517"/>
        <v>274</v>
      </c>
      <c r="AJ197" s="68">
        <f t="shared" si="517"/>
        <v>22</v>
      </c>
      <c r="AK197" s="68">
        <f t="shared" si="517"/>
        <v>10</v>
      </c>
      <c r="AL197" s="68">
        <f t="shared" si="517"/>
        <v>0</v>
      </c>
      <c r="AM197" s="68">
        <f t="shared" si="517"/>
        <v>1464</v>
      </c>
      <c r="AN197" s="56">
        <f t="shared" si="517"/>
        <v>245</v>
      </c>
      <c r="AO197" s="56">
        <f t="shared" si="517"/>
        <v>801</v>
      </c>
      <c r="AP197" s="56">
        <f t="shared" si="517"/>
        <v>1319</v>
      </c>
      <c r="AQ197" s="56">
        <f t="shared" si="517"/>
        <v>0</v>
      </c>
      <c r="AR197" s="68">
        <f t="shared" si="517"/>
        <v>2365</v>
      </c>
      <c r="AS197" s="68">
        <f t="shared" si="517"/>
        <v>394</v>
      </c>
      <c r="AT197" s="68">
        <f t="shared" si="517"/>
        <v>0</v>
      </c>
      <c r="AU197" s="68">
        <f t="shared" si="517"/>
        <v>480</v>
      </c>
      <c r="AV197" s="68">
        <f t="shared" si="517"/>
        <v>0</v>
      </c>
      <c r="AW197" s="68">
        <f t="shared" si="517"/>
        <v>197</v>
      </c>
      <c r="AX197" s="68">
        <f t="shared" si="517"/>
        <v>0</v>
      </c>
      <c r="AY197" s="68">
        <f t="shared" si="517"/>
        <v>0</v>
      </c>
      <c r="AZ197" s="68">
        <f t="shared" ref="AZ197:BA197" si="518">SUM(AZ6:AZ196)</f>
        <v>0</v>
      </c>
      <c r="BA197" s="68">
        <f t="shared" si="518"/>
        <v>321</v>
      </c>
      <c r="BB197" s="68">
        <f t="shared" si="517"/>
        <v>0</v>
      </c>
      <c r="BC197" s="68">
        <f t="shared" si="517"/>
        <v>3757</v>
      </c>
      <c r="BD197" s="56">
        <f>SUM(BD6:BD196)</f>
        <v>18</v>
      </c>
      <c r="BE197" s="56">
        <f>SUM(BE6:BE196)</f>
        <v>281</v>
      </c>
      <c r="BF197" s="56">
        <f>SUM(BF6:BF196)</f>
        <v>0</v>
      </c>
      <c r="BG197" s="56">
        <f>SUM(BG6:BG196)</f>
        <v>0</v>
      </c>
      <c r="BH197" s="56">
        <f>SUM(BH6:BH196)</f>
        <v>1</v>
      </c>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row>
    <row r="198" spans="1:99">
      <c r="A198" s="63"/>
      <c r="B198" s="64"/>
      <c r="C198" s="64"/>
      <c r="D198" s="64"/>
      <c r="E198" s="65"/>
      <c r="F198" s="65"/>
      <c r="G198" s="66"/>
      <c r="H198" s="66"/>
      <c r="I198" s="66"/>
      <c r="J198" s="92"/>
      <c r="K198" s="92"/>
      <c r="L198" s="69"/>
      <c r="M198" s="69"/>
      <c r="N198" s="70"/>
      <c r="O198" s="724"/>
      <c r="P198" s="725"/>
      <c r="Q198" s="66">
        <f>31*1440-Q197</f>
        <v>0</v>
      </c>
      <c r="R198" s="73">
        <f>R197/Q197</f>
        <v>8.4162186379928311E-2</v>
      </c>
      <c r="S198" s="73">
        <f>S197/Q197</f>
        <v>3.2795698924731186E-2</v>
      </c>
      <c r="T198" s="392"/>
      <c r="U198" s="392"/>
      <c r="V198" s="394">
        <f>V197/K197</f>
        <v>0.116394826254894</v>
      </c>
      <c r="W198" s="410" t="s">
        <v>181</v>
      </c>
      <c r="X198" s="513">
        <v>0.85</v>
      </c>
      <c r="Y198" s="407">
        <f>Y197/K197</f>
        <v>0</v>
      </c>
      <c r="Z198" s="74">
        <f>Z197/K197</f>
        <v>3.1778496071582494E-3</v>
      </c>
      <c r="AA198" s="74">
        <f>AA197/K197</f>
        <v>9.7636377955697233E-3</v>
      </c>
      <c r="AB198" s="74">
        <f>AB197/K197</f>
        <v>-6.6535424834658578E-3</v>
      </c>
      <c r="AC198" s="514">
        <f>AC197/K197</f>
        <v>8.107374901684708E-2</v>
      </c>
      <c r="AD198" s="395"/>
      <c r="AE198" s="43"/>
      <c r="AF198" s="74">
        <f>AF197/$AD$197*$V$198</f>
        <v>8.6944995670194716E-4</v>
      </c>
      <c r="AG198" s="74">
        <f>AG197/$AD$197*$V$198</f>
        <v>8.4269765034188735E-3</v>
      </c>
      <c r="AH198" s="74">
        <f>AH197/$AD$197*$V$198</f>
        <v>1.6519549177336997E-2</v>
      </c>
      <c r="AI198" s="74">
        <f>AI197/$AD$197*$V$198</f>
        <v>6.108443285547013E-3</v>
      </c>
      <c r="AJ198" s="74">
        <f t="shared" ref="AJ198:BC198" si="519">AJ197/$AD$197*$V$198</f>
        <v>4.9045894993443172E-4</v>
      </c>
      <c r="AK198" s="74">
        <f t="shared" si="519"/>
        <v>2.2293588633383259E-4</v>
      </c>
      <c r="AL198" s="74">
        <f t="shared" si="519"/>
        <v>0</v>
      </c>
      <c r="AM198" s="74">
        <f t="shared" si="519"/>
        <v>3.2637813759273097E-2</v>
      </c>
      <c r="AN198" s="74">
        <f t="shared" si="519"/>
        <v>5.4619292151788989E-3</v>
      </c>
      <c r="AO198" s="74">
        <f t="shared" si="519"/>
        <v>1.7857164495339993E-2</v>
      </c>
      <c r="AP198" s="74">
        <f t="shared" si="519"/>
        <v>2.9405243407432523E-2</v>
      </c>
      <c r="AQ198" s="74">
        <f t="shared" si="519"/>
        <v>0</v>
      </c>
      <c r="AR198" s="74">
        <f t="shared" si="519"/>
        <v>5.2724337117951409E-2</v>
      </c>
      <c r="AS198" s="74">
        <f t="shared" si="519"/>
        <v>8.7836739215530046E-3</v>
      </c>
      <c r="AT198" s="74">
        <f t="shared" si="519"/>
        <v>0</v>
      </c>
      <c r="AU198" s="74">
        <f t="shared" si="519"/>
        <v>1.0700922544023965E-2</v>
      </c>
      <c r="AV198" s="74">
        <f>AV197/$AD$197*$V$198</f>
        <v>0</v>
      </c>
      <c r="AW198" s="74">
        <f t="shared" ref="AW198:BB198" si="520">AW197/$AD$197*$V$198</f>
        <v>4.3918369607765023E-3</v>
      </c>
      <c r="AX198" s="74">
        <f t="shared" si="520"/>
        <v>0</v>
      </c>
      <c r="AY198" s="74">
        <f t="shared" si="520"/>
        <v>0</v>
      </c>
      <c r="AZ198" s="74">
        <f t="shared" ref="AZ198:BA198" si="521">AZ197/$AD$197*$V$198</f>
        <v>0</v>
      </c>
      <c r="BA198" s="74">
        <f t="shared" si="521"/>
        <v>7.1562419513160266E-3</v>
      </c>
      <c r="BB198" s="74">
        <f t="shared" si="520"/>
        <v>0</v>
      </c>
      <c r="BC198" s="74">
        <f t="shared" si="519"/>
        <v>8.3757012495620911E-2</v>
      </c>
      <c r="BD198" s="38" t="s">
        <v>180</v>
      </c>
      <c r="BE198" s="38" t="s">
        <v>180</v>
      </c>
      <c r="BF198" s="38" t="s">
        <v>370</v>
      </c>
      <c r="BG198" s="38" t="s">
        <v>370</v>
      </c>
      <c r="BH198" s="38" t="s">
        <v>370</v>
      </c>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row>
    <row r="199" spans="1:99">
      <c r="A199" s="63"/>
      <c r="B199" s="64"/>
      <c r="C199" s="64"/>
      <c r="D199" s="64"/>
      <c r="E199" s="65"/>
      <c r="F199" s="65"/>
      <c r="G199" s="38"/>
      <c r="H199" s="38"/>
      <c r="I199" s="38"/>
      <c r="J199" s="89"/>
      <c r="K199" s="89"/>
      <c r="L199" s="39"/>
      <c r="M199" s="39"/>
      <c r="N199" s="37"/>
      <c r="O199" s="40"/>
      <c r="P199" s="32"/>
      <c r="Q199" s="38"/>
      <c r="R199" s="41">
        <f>R197-(BC197)</f>
        <v>0</v>
      </c>
      <c r="S199" s="41">
        <f>+S197-AM197</f>
        <v>0</v>
      </c>
      <c r="T199" s="37"/>
      <c r="U199" s="37"/>
      <c r="V199" s="37"/>
      <c r="W199" s="408">
        <f>+W197-'31'!M34/1000</f>
        <v>0</v>
      </c>
      <c r="X199" s="409"/>
      <c r="Y199" s="75">
        <f>+Y197-(SUM(RBP!AG3:AG4))</f>
        <v>0</v>
      </c>
      <c r="Z199" s="41">
        <f>+Z197-'31'!J56/1000</f>
        <v>0</v>
      </c>
      <c r="AA199" s="37"/>
      <c r="AB199" s="37"/>
      <c r="AC199" s="37"/>
      <c r="AD199" s="37"/>
      <c r="AE199" s="43"/>
      <c r="AF199" s="382"/>
      <c r="AG199" s="382"/>
      <c r="AH199" s="382"/>
      <c r="AI199" s="382"/>
      <c r="AJ199" s="84"/>
      <c r="AK199" s="84"/>
      <c r="AL199" s="84"/>
      <c r="AM199" s="84"/>
      <c r="AN199" s="84"/>
      <c r="AO199" s="84"/>
      <c r="AP199" s="84"/>
      <c r="AQ199" s="84"/>
      <c r="AR199" s="84"/>
      <c r="AS199" s="84"/>
      <c r="AT199" s="84"/>
      <c r="AU199" s="84"/>
      <c r="AV199" s="84"/>
      <c r="AW199" s="84"/>
      <c r="AX199" s="84"/>
      <c r="AY199" s="84"/>
      <c r="AZ199" s="84"/>
      <c r="BA199" s="84"/>
      <c r="BB199" s="84"/>
      <c r="BC199" s="84"/>
      <c r="BD199" s="515">
        <f>BD197/($Q$197/1440)/2</f>
        <v>0.29032258064516131</v>
      </c>
      <c r="BE199" s="515">
        <f>BE197/($Q$197/1440)/2</f>
        <v>4.532258064516129</v>
      </c>
      <c r="BF199" s="515">
        <f>BF197/($Q$197/1440)</f>
        <v>0</v>
      </c>
      <c r="BG199" s="515">
        <f t="shared" ref="BG199:BH199" si="522">BG197/($Q$197/1440)</f>
        <v>0</v>
      </c>
      <c r="BH199" s="515">
        <f t="shared" si="522"/>
        <v>3.2258064516129031E-2</v>
      </c>
    </row>
    <row r="200" spans="1:99">
      <c r="A200" s="76"/>
      <c r="B200" s="77"/>
      <c r="C200" s="77"/>
      <c r="D200" s="77"/>
      <c r="E200" s="78"/>
      <c r="F200" s="78"/>
      <c r="G200" s="79"/>
      <c r="H200" s="79"/>
      <c r="I200" s="79"/>
      <c r="J200" s="93"/>
      <c r="K200" s="93"/>
      <c r="O200" s="80"/>
      <c r="P200" s="81"/>
      <c r="Q200" s="79"/>
      <c r="R200" s="60"/>
      <c r="S200" s="60"/>
      <c r="U200" s="82"/>
      <c r="V200" s="82"/>
      <c r="W200" s="83" t="s">
        <v>133</v>
      </c>
      <c r="X200" s="516">
        <f>W197/U197</f>
        <v>0.98025601239836713</v>
      </c>
      <c r="Y200" s="516"/>
      <c r="Z200" s="562"/>
      <c r="AD200" s="90"/>
      <c r="AE200" s="85"/>
      <c r="AF200" s="86"/>
      <c r="AG200" s="86"/>
      <c r="AH200" s="86"/>
      <c r="AI200" s="86"/>
      <c r="AJ200" s="86"/>
      <c r="AK200" s="86"/>
      <c r="AL200" s="86"/>
      <c r="AM200" s="86"/>
      <c r="AN200" s="84"/>
      <c r="AO200" s="84"/>
      <c r="AP200" s="84"/>
      <c r="AQ200" s="84"/>
      <c r="AR200" s="84"/>
      <c r="AS200" s="86"/>
      <c r="AT200" s="86"/>
      <c r="AU200" s="86"/>
      <c r="AV200" s="86"/>
      <c r="AW200" s="86"/>
      <c r="AX200" s="86"/>
      <c r="AY200" s="86"/>
      <c r="AZ200" s="86"/>
      <c r="BA200" s="86"/>
      <c r="BB200" s="86"/>
      <c r="BC200" s="84"/>
      <c r="BD200" s="31"/>
      <c r="BE200" s="84"/>
      <c r="BF200" s="84"/>
      <c r="BG200" s="31"/>
      <c r="BH200" s="84"/>
    </row>
    <row r="201" spans="1:99">
      <c r="A201" s="76"/>
      <c r="B201" s="77"/>
      <c r="C201" s="77"/>
      <c r="D201" s="77"/>
      <c r="E201" s="78"/>
      <c r="F201" s="78"/>
      <c r="G201" s="79"/>
      <c r="H201" s="79"/>
      <c r="I201" s="79"/>
      <c r="J201" s="93"/>
      <c r="K201" s="93"/>
      <c r="O201" s="80"/>
      <c r="P201" s="81"/>
      <c r="Q201" s="79"/>
      <c r="R201" s="60"/>
      <c r="S201" s="60"/>
      <c r="U201" s="82"/>
      <c r="V201" s="82"/>
      <c r="W201" s="83"/>
      <c r="X201" s="84"/>
      <c r="Y201" s="84"/>
      <c r="Z201" s="60">
        <f>+Z197-'25'!J56/1000</f>
        <v>0</v>
      </c>
      <c r="AA201" s="96"/>
      <c r="AB201" s="96"/>
      <c r="AD201" s="90"/>
      <c r="AE201" s="85"/>
      <c r="AF201" s="86"/>
      <c r="AG201" s="86"/>
      <c r="AH201" s="86"/>
      <c r="AI201" s="86"/>
      <c r="AJ201" s="86"/>
      <c r="AK201" s="86"/>
      <c r="AL201" s="86"/>
      <c r="AM201" s="86"/>
      <c r="AN201" s="86"/>
      <c r="AO201" s="84"/>
      <c r="AP201" s="84"/>
      <c r="AQ201" s="84"/>
      <c r="AR201" s="86"/>
      <c r="AS201" s="84"/>
      <c r="AT201" s="84"/>
      <c r="AU201" s="84"/>
      <c r="AV201" s="84"/>
      <c r="AW201" s="84"/>
      <c r="AX201" s="84"/>
      <c r="AY201" s="84"/>
      <c r="AZ201" s="84"/>
      <c r="BA201" s="84"/>
      <c r="BB201" s="84"/>
      <c r="BC201" s="84"/>
      <c r="BD201" s="31"/>
      <c r="BE201" s="84"/>
      <c r="BF201" s="84"/>
      <c r="BG201" s="31"/>
      <c r="BH201" s="84"/>
    </row>
    <row r="202" spans="1:99">
      <c r="A202" s="76"/>
      <c r="B202" s="77"/>
      <c r="C202" s="77"/>
      <c r="D202" s="77"/>
      <c r="E202" s="78"/>
      <c r="F202" s="78"/>
      <c r="G202" s="79"/>
      <c r="H202" s="79"/>
      <c r="I202" s="79"/>
      <c r="J202" s="93"/>
      <c r="K202" s="93"/>
      <c r="O202" s="80"/>
      <c r="P202" s="81"/>
      <c r="Q202" s="79"/>
      <c r="R202" s="393"/>
      <c r="S202" s="60"/>
      <c r="U202" s="82"/>
      <c r="V202" s="82"/>
      <c r="W202" s="83" t="s">
        <v>156</v>
      </c>
      <c r="X202" s="382">
        <f>+W197+Y197</f>
        <v>1332.2299999999998</v>
      </c>
      <c r="Y202" s="84"/>
      <c r="Z202" s="60"/>
      <c r="AA202" s="33">
        <f>+W197-'31'!M34/1000</f>
        <v>0</v>
      </c>
      <c r="AD202" s="90"/>
      <c r="AE202" s="85"/>
      <c r="AF202" s="90"/>
      <c r="AG202" s="90"/>
      <c r="AH202" s="90"/>
      <c r="AI202" s="90"/>
      <c r="AJ202" s="84"/>
      <c r="AK202" s="84"/>
      <c r="AL202" s="84"/>
      <c r="AM202" s="86"/>
      <c r="AN202" s="84"/>
      <c r="AO202" s="84"/>
      <c r="AP202" s="84"/>
      <c r="AQ202" s="84"/>
      <c r="AR202" s="86"/>
      <c r="AS202" s="84"/>
      <c r="AT202" s="84"/>
      <c r="AU202" s="84"/>
      <c r="AV202" s="84"/>
      <c r="AW202" s="84"/>
      <c r="AX202" s="84"/>
      <c r="AY202" s="84"/>
      <c r="AZ202" s="84"/>
      <c r="BA202" s="84"/>
      <c r="BB202" s="84"/>
      <c r="BC202" s="84"/>
      <c r="BD202" s="31"/>
      <c r="BE202" s="84"/>
      <c r="BF202" s="84"/>
      <c r="BG202" s="31"/>
      <c r="BH202" s="84"/>
    </row>
    <row r="203" spans="1:99">
      <c r="A203" s="76"/>
      <c r="C203" s="77" t="s">
        <v>293</v>
      </c>
      <c r="D203" s="77"/>
      <c r="E203" s="78"/>
      <c r="F203" s="78"/>
      <c r="G203" s="79"/>
      <c r="H203" s="79"/>
      <c r="I203" s="79"/>
      <c r="J203" s="93"/>
      <c r="K203" s="93"/>
      <c r="O203" s="80"/>
      <c r="P203" s="81"/>
      <c r="Q203" s="79"/>
      <c r="R203" s="393"/>
      <c r="S203" s="60"/>
      <c r="U203" s="82"/>
      <c r="V203" s="403"/>
      <c r="W203" s="404"/>
      <c r="X203" s="398"/>
      <c r="Y203" s="404"/>
      <c r="Z203" s="398"/>
      <c r="AD203" s="391"/>
      <c r="AE203" s="85"/>
      <c r="AF203" s="391"/>
      <c r="AG203" s="391"/>
      <c r="AH203" s="391"/>
      <c r="AI203" s="391"/>
      <c r="AJ203" s="84"/>
      <c r="AK203" s="84"/>
      <c r="AL203" s="84"/>
      <c r="AM203" s="84"/>
      <c r="AN203" s="84"/>
      <c r="AO203" s="84"/>
      <c r="AP203" s="84"/>
      <c r="AQ203" s="84"/>
      <c r="AR203" s="84"/>
      <c r="AS203" s="84"/>
      <c r="AT203" s="84"/>
      <c r="AU203" s="84"/>
      <c r="AV203" s="84"/>
      <c r="AW203" s="84"/>
      <c r="AX203" s="84"/>
      <c r="AY203" s="84"/>
      <c r="AZ203" s="84"/>
      <c r="BA203" s="84"/>
      <c r="BB203" s="84"/>
      <c r="BC203" s="84"/>
      <c r="BD203" s="31"/>
      <c r="BE203" s="84"/>
      <c r="BF203" s="84"/>
      <c r="BG203" s="31"/>
      <c r="BH203" s="84"/>
    </row>
    <row r="204" spans="1:99">
      <c r="A204" s="76"/>
      <c r="B204" s="77"/>
      <c r="C204" s="77" t="s">
        <v>294</v>
      </c>
      <c r="D204" s="77"/>
      <c r="E204" s="78"/>
      <c r="F204" s="78"/>
      <c r="G204" s="79"/>
      <c r="H204" s="79"/>
      <c r="I204" s="79"/>
      <c r="J204" s="93"/>
      <c r="K204" s="93"/>
      <c r="O204" s="80"/>
      <c r="P204" s="81"/>
      <c r="Q204" s="79"/>
      <c r="R204" s="393"/>
      <c r="S204" s="60"/>
      <c r="V204" s="396"/>
      <c r="W204" s="397" t="s">
        <v>381</v>
      </c>
      <c r="X204" s="396"/>
      <c r="Y204" s="396"/>
      <c r="Z204" s="398"/>
      <c r="AC204" s="33" t="s">
        <v>832</v>
      </c>
      <c r="AD204" s="619">
        <f>+AC52+AC53+AC54+AC58+AC129+AC134+AC141+AC142+AC149+AC157+AC163+AC169+AC175+AC176</f>
        <v>99.048827089140318</v>
      </c>
      <c r="AE204" s="85"/>
      <c r="AF204" s="60"/>
      <c r="AG204" s="60"/>
      <c r="AH204" s="60"/>
      <c r="AI204" s="60"/>
      <c r="AJ204" s="60"/>
      <c r="AK204" s="60"/>
      <c r="AL204" s="60"/>
      <c r="AM204" s="60"/>
      <c r="AN204" s="60"/>
      <c r="AO204" s="60"/>
      <c r="AP204" s="60"/>
      <c r="AQ204" s="60"/>
      <c r="AS204" s="60"/>
      <c r="AT204" s="60"/>
      <c r="AU204" s="60"/>
      <c r="AV204" s="60"/>
      <c r="AW204" s="60"/>
      <c r="AX204" s="60"/>
      <c r="AY204" s="60"/>
      <c r="AZ204" s="60"/>
      <c r="BA204" s="60"/>
      <c r="BB204" s="60"/>
      <c r="BC204" s="60"/>
      <c r="BD204" s="31"/>
      <c r="BG204" s="31"/>
    </row>
    <row r="205" spans="1:99">
      <c r="A205" s="76"/>
      <c r="B205" s="77"/>
      <c r="C205" s="77"/>
      <c r="D205" s="77"/>
      <c r="E205" s="78"/>
      <c r="F205" s="78"/>
      <c r="G205" s="79"/>
      <c r="H205" s="79"/>
      <c r="I205" s="79"/>
      <c r="J205" s="93"/>
      <c r="K205" s="93"/>
      <c r="O205" s="80"/>
      <c r="P205" s="81"/>
      <c r="Q205" s="79"/>
      <c r="R205" s="393"/>
      <c r="S205" s="60"/>
      <c r="V205" s="396"/>
      <c r="W205" s="399" t="s">
        <v>289</v>
      </c>
      <c r="X205" s="517">
        <f>Y198</f>
        <v>0</v>
      </c>
      <c r="Y205" s="400"/>
      <c r="Z205" s="398"/>
      <c r="AC205" s="33" t="s">
        <v>833</v>
      </c>
      <c r="AD205" s="620">
        <f>+AD204/K197</f>
        <v>5.9199224422552182E-2</v>
      </c>
      <c r="AE205" s="85"/>
      <c r="AF205" s="60"/>
      <c r="AG205" s="60"/>
      <c r="AH205" s="60"/>
      <c r="AI205" s="60"/>
      <c r="AJ205" s="60"/>
      <c r="AK205" s="60"/>
      <c r="AL205" s="60"/>
      <c r="AM205" s="60"/>
      <c r="AN205" s="60"/>
      <c r="AO205" s="60"/>
      <c r="AP205" s="60"/>
      <c r="AQ205" s="60"/>
      <c r="AS205" s="60"/>
      <c r="AT205" s="60"/>
      <c r="AU205" s="60"/>
      <c r="AV205" s="60"/>
      <c r="AW205" s="60"/>
      <c r="AX205" s="60"/>
      <c r="AY205" s="60"/>
      <c r="AZ205" s="60"/>
      <c r="BA205" s="60"/>
      <c r="BB205" s="60"/>
      <c r="BC205" s="60"/>
      <c r="BD205" s="31"/>
      <c r="BG205" s="31"/>
    </row>
    <row r="206" spans="1:99">
      <c r="R206" s="96"/>
      <c r="V206" s="396"/>
      <c r="W206" s="399" t="s">
        <v>160</v>
      </c>
      <c r="X206" s="402">
        <f>Z198</f>
        <v>3.1778496071582494E-3</v>
      </c>
      <c r="Y206" s="401"/>
      <c r="Z206" s="396"/>
    </row>
    <row r="207" spans="1:99">
      <c r="R207" s="96"/>
      <c r="V207" s="396"/>
      <c r="W207" s="399" t="s">
        <v>161</v>
      </c>
      <c r="X207" s="402">
        <f>AC198-AD205</f>
        <v>2.1874524594294897E-2</v>
      </c>
      <c r="Y207" s="517"/>
      <c r="Z207" s="402"/>
      <c r="AD207" s="621"/>
    </row>
    <row r="208" spans="1:99" ht="15" customHeight="1">
      <c r="R208" s="96"/>
      <c r="V208" s="396"/>
      <c r="W208" s="399" t="s">
        <v>162</v>
      </c>
      <c r="X208" s="402">
        <f>AA198</f>
        <v>9.7636377955697233E-3</v>
      </c>
      <c r="Y208" s="401"/>
      <c r="Z208" s="396"/>
    </row>
    <row r="209" spans="6:26">
      <c r="V209" s="396"/>
      <c r="W209" s="399" t="s">
        <v>178</v>
      </c>
      <c r="X209" s="402">
        <f>AB198</f>
        <v>-6.6535424834658578E-3</v>
      </c>
      <c r="Y209" s="401" t="s">
        <v>176</v>
      </c>
      <c r="Z209" s="396"/>
    </row>
    <row r="210" spans="6:26">
      <c r="V210" s="396"/>
      <c r="W210" s="399" t="s">
        <v>200</v>
      </c>
      <c r="X210" s="402">
        <f>AF198</f>
        <v>8.6944995670194716E-4</v>
      </c>
      <c r="Y210" s="401"/>
      <c r="Z210" s="396"/>
    </row>
    <row r="211" spans="6:26">
      <c r="V211" s="396"/>
      <c r="W211" s="399" t="s">
        <v>201</v>
      </c>
      <c r="X211" s="402">
        <f>+AG198</f>
        <v>8.4269765034188735E-3</v>
      </c>
      <c r="Y211" s="401"/>
      <c r="Z211" s="396"/>
    </row>
    <row r="212" spans="6:26">
      <c r="F212" s="61" t="s">
        <v>789</v>
      </c>
      <c r="V212" s="396"/>
      <c r="W212" s="399" t="s">
        <v>295</v>
      </c>
      <c r="X212" s="402">
        <f>+AH198</f>
        <v>1.6519549177336997E-2</v>
      </c>
      <c r="Y212" s="401"/>
      <c r="Z212" s="396"/>
    </row>
    <row r="213" spans="6:26">
      <c r="V213" s="396"/>
      <c r="W213" s="399" t="s">
        <v>226</v>
      </c>
      <c r="X213" s="402">
        <f>+AI198</f>
        <v>6.108443285547013E-3</v>
      </c>
      <c r="Y213" s="401"/>
      <c r="Z213" s="396"/>
    </row>
    <row r="214" spans="6:26">
      <c r="V214" s="396"/>
      <c r="W214" s="399" t="s">
        <v>169</v>
      </c>
      <c r="X214" s="402">
        <f>+AJ198</f>
        <v>4.9045894993443172E-4</v>
      </c>
      <c r="Y214" s="401"/>
      <c r="Z214" s="396"/>
    </row>
    <row r="215" spans="6:26">
      <c r="V215" s="396"/>
      <c r="W215" s="399" t="s">
        <v>171</v>
      </c>
      <c r="X215" s="402">
        <f>+AK198</f>
        <v>2.2293588633383259E-4</v>
      </c>
      <c r="Y215" s="401"/>
      <c r="Z215" s="396"/>
    </row>
    <row r="216" spans="6:26">
      <c r="V216" s="396"/>
      <c r="W216" s="399" t="s">
        <v>170</v>
      </c>
      <c r="X216" s="402">
        <f>+AL198</f>
        <v>0</v>
      </c>
      <c r="Y216" s="401"/>
      <c r="Z216" s="396"/>
    </row>
    <row r="217" spans="6:26">
      <c r="V217" s="396"/>
      <c r="W217" s="399" t="s">
        <v>163</v>
      </c>
      <c r="X217" s="402">
        <f>+AN198</f>
        <v>5.4619292151788989E-3</v>
      </c>
      <c r="Y217" s="401"/>
      <c r="Z217" s="396"/>
    </row>
    <row r="218" spans="6:26">
      <c r="V218" s="396"/>
      <c r="W218" s="399" t="s">
        <v>173</v>
      </c>
      <c r="X218" s="402">
        <f>+AO198</f>
        <v>1.7857164495339993E-2</v>
      </c>
      <c r="Y218" s="401"/>
      <c r="Z218" s="396"/>
    </row>
    <row r="219" spans="6:26">
      <c r="V219" s="396"/>
      <c r="W219" s="399" t="s">
        <v>164</v>
      </c>
      <c r="X219" s="402">
        <f>+AP198</f>
        <v>2.9405243407432523E-2</v>
      </c>
      <c r="Y219" s="401"/>
      <c r="Z219" s="396"/>
    </row>
    <row r="220" spans="6:26">
      <c r="V220" s="396"/>
      <c r="W220" s="399" t="s">
        <v>172</v>
      </c>
      <c r="X220" s="402">
        <f>+AQ198</f>
        <v>0</v>
      </c>
      <c r="Y220" s="401"/>
      <c r="Z220" s="396"/>
    </row>
    <row r="221" spans="6:26">
      <c r="V221" s="396"/>
      <c r="W221" s="399" t="s">
        <v>175</v>
      </c>
      <c r="X221" s="402">
        <f>+AS198</f>
        <v>8.7836739215530046E-3</v>
      </c>
      <c r="Y221" s="401"/>
      <c r="Z221" s="396"/>
    </row>
    <row r="222" spans="6:26">
      <c r="V222" s="396"/>
      <c r="W222" s="399" t="s">
        <v>296</v>
      </c>
      <c r="X222" s="402">
        <f>+AT198</f>
        <v>0</v>
      </c>
      <c r="Y222" s="401"/>
      <c r="Z222" s="396"/>
    </row>
    <row r="223" spans="6:26">
      <c r="V223" s="396"/>
      <c r="W223" s="399" t="s">
        <v>239</v>
      </c>
      <c r="X223" s="402">
        <f>+AU198</f>
        <v>1.0700922544023965E-2</v>
      </c>
      <c r="Y223" s="401"/>
      <c r="Z223" s="396"/>
    </row>
    <row r="224" spans="6:26">
      <c r="V224" s="396"/>
      <c r="W224" s="399" t="s">
        <v>299</v>
      </c>
      <c r="X224" s="402">
        <f>+AW198</f>
        <v>4.3918369607765023E-3</v>
      </c>
      <c r="Y224" s="401"/>
      <c r="Z224" s="396"/>
    </row>
    <row r="225" spans="6:26">
      <c r="V225" s="396"/>
      <c r="W225" s="399" t="s">
        <v>300</v>
      </c>
      <c r="X225" s="402">
        <f>+AV198</f>
        <v>0</v>
      </c>
      <c r="Y225" s="401"/>
      <c r="Z225" s="396"/>
    </row>
    <row r="226" spans="6:26">
      <c r="V226" s="396"/>
      <c r="W226" s="396" t="s">
        <v>174</v>
      </c>
      <c r="X226" s="402">
        <f>+AX198+AY198</f>
        <v>0</v>
      </c>
      <c r="Y226" s="402"/>
      <c r="Z226" s="396"/>
    </row>
    <row r="227" spans="6:26">
      <c r="V227" s="396"/>
      <c r="W227" s="396" t="s">
        <v>596</v>
      </c>
      <c r="X227" s="402">
        <f>+AZ198+BA198</f>
        <v>7.1562419513160266E-3</v>
      </c>
      <c r="Y227" s="402"/>
      <c r="Z227" s="396"/>
    </row>
    <row r="228" spans="6:26">
      <c r="F228" s="33"/>
      <c r="J228" s="33"/>
      <c r="K228" s="33"/>
      <c r="L228" s="33"/>
      <c r="M228" s="33"/>
      <c r="Q228" s="33"/>
      <c r="V228" s="396"/>
      <c r="W228" s="396" t="s">
        <v>834</v>
      </c>
      <c r="X228" s="402">
        <f>+AD205</f>
        <v>5.9199224422552182E-2</v>
      </c>
      <c r="Y228" s="402"/>
      <c r="Z228" s="396"/>
    </row>
    <row r="229" spans="6:26">
      <c r="V229" s="396"/>
      <c r="W229" s="396" t="s">
        <v>298</v>
      </c>
      <c r="X229" s="402">
        <f>+BB199</f>
        <v>0</v>
      </c>
      <c r="Y229" s="396"/>
      <c r="Z229" s="396"/>
    </row>
    <row r="230" spans="6:26">
      <c r="V230" s="396"/>
      <c r="W230" s="396"/>
      <c r="X230" s="525">
        <f>SUM(X205:X229)</f>
        <v>0.20375652019100321</v>
      </c>
      <c r="Y230" s="396"/>
      <c r="Z230" s="396"/>
    </row>
    <row r="232" spans="6:26">
      <c r="X232" s="96">
        <f>+X230+X197</f>
        <v>0.99999999999999967</v>
      </c>
    </row>
  </sheetData>
  <mergeCells count="51">
    <mergeCell ref="AF3:AL3"/>
    <mergeCell ref="AJ4:AJ5"/>
    <mergeCell ref="V3:V5"/>
    <mergeCell ref="AX3:AY3"/>
    <mergeCell ref="O198:P198"/>
    <mergeCell ref="T3:T5"/>
    <mergeCell ref="P3:P5"/>
    <mergeCell ref="S3:S5"/>
    <mergeCell ref="G3:K4"/>
    <mergeCell ref="L3:N4"/>
    <mergeCell ref="O3:O5"/>
    <mergeCell ref="Q3:Q5"/>
    <mergeCell ref="R3:R5"/>
    <mergeCell ref="A3:A5"/>
    <mergeCell ref="B3:B5"/>
    <mergeCell ref="D3:D5"/>
    <mergeCell ref="E3:E5"/>
    <mergeCell ref="F3:F5"/>
    <mergeCell ref="C3:C5"/>
    <mergeCell ref="BB3:BB5"/>
    <mergeCell ref="AK4:AK5"/>
    <mergeCell ref="AL4:AL5"/>
    <mergeCell ref="U3:U5"/>
    <mergeCell ref="W3:W5"/>
    <mergeCell ref="X3:X5"/>
    <mergeCell ref="Z3:Z5"/>
    <mergeCell ref="Y3:Y5"/>
    <mergeCell ref="AA3:AA5"/>
    <mergeCell ref="AB3:AB5"/>
    <mergeCell ref="AF4:AH4"/>
    <mergeCell ref="AI4:AI5"/>
    <mergeCell ref="AC3:AC5"/>
    <mergeCell ref="AE3:AE5"/>
    <mergeCell ref="AD3:AD5"/>
    <mergeCell ref="AZ3:BA3"/>
    <mergeCell ref="BF3:BF5"/>
    <mergeCell ref="BG3:BG5"/>
    <mergeCell ref="BH3:BH5"/>
    <mergeCell ref="AM3:AM5"/>
    <mergeCell ref="BC3:BC5"/>
    <mergeCell ref="AQ4:AQ5"/>
    <mergeCell ref="AT3:AU4"/>
    <mergeCell ref="BD3:BD5"/>
    <mergeCell ref="BE3:BE5"/>
    <mergeCell ref="AN4:AN5"/>
    <mergeCell ref="AO4:AO5"/>
    <mergeCell ref="AP4:AP5"/>
    <mergeCell ref="AR4:AR5"/>
    <mergeCell ref="AN3:AR3"/>
    <mergeCell ref="AS3:AS5"/>
    <mergeCell ref="AV3:AW3"/>
  </mergeCells>
  <phoneticPr fontId="30" type="noConversion"/>
  <conditionalFormatting sqref="B65:C65 B122:C122 B133:C133 C198 C192:C196 B192:B198 B127:C127">
    <cfRule type="cellIs" dxfId="3323" priority="4623" stopIfTrue="1" operator="equal">
      <formula>"Towel"</formula>
    </cfRule>
    <cfRule type="cellIs" dxfId="3322" priority="4624" stopIfTrue="1" operator="equal">
      <formula>"Napkin Hs"</formula>
    </cfRule>
  </conditionalFormatting>
  <conditionalFormatting sqref="C11">
    <cfRule type="cellIs" dxfId="3321" priority="4135" stopIfTrue="1" operator="equal">
      <formula>"Towel"</formula>
    </cfRule>
    <cfRule type="cellIs" dxfId="3320" priority="4136" stopIfTrue="1" operator="equal">
      <formula>"Napkin Hs"</formula>
    </cfRule>
  </conditionalFormatting>
  <conditionalFormatting sqref="B41:C41">
    <cfRule type="cellIs" dxfId="3319" priority="4533" stopIfTrue="1" operator="equal">
      <formula>"Towel"</formula>
    </cfRule>
    <cfRule type="cellIs" dxfId="3318" priority="4534" stopIfTrue="1" operator="equal">
      <formula>"Napkin Hs"</formula>
    </cfRule>
  </conditionalFormatting>
  <conditionalFormatting sqref="B57:C57">
    <cfRule type="cellIs" dxfId="3317" priority="4491" stopIfTrue="1" operator="equal">
      <formula>"Towel"</formula>
    </cfRule>
    <cfRule type="cellIs" dxfId="3316" priority="4492" stopIfTrue="1" operator="equal">
      <formula>"Napkin Hs"</formula>
    </cfRule>
  </conditionalFormatting>
  <conditionalFormatting sqref="C11">
    <cfRule type="cellIs" dxfId="3315" priority="4141" stopIfTrue="1" operator="equal">
      <formula>"Towel"</formula>
    </cfRule>
    <cfRule type="cellIs" dxfId="3314" priority="4142" stopIfTrue="1" operator="equal">
      <formula>"Napkin Hs"</formula>
    </cfRule>
  </conditionalFormatting>
  <conditionalFormatting sqref="B11">
    <cfRule type="cellIs" dxfId="3313" priority="4095" stopIfTrue="1" operator="equal">
      <formula>"Towel"</formula>
    </cfRule>
    <cfRule type="cellIs" dxfId="3312" priority="4096" stopIfTrue="1" operator="equal">
      <formula>"Napkin Hs"</formula>
    </cfRule>
  </conditionalFormatting>
  <conditionalFormatting sqref="C65 C122 C133 C192:C195 C127">
    <cfRule type="cellIs" dxfId="3311" priority="4622" stopIfTrue="1" operator="equal">
      <formula>"Napkin Hs"</formula>
    </cfRule>
  </conditionalFormatting>
  <conditionalFormatting sqref="C11">
    <cfRule type="cellIs" dxfId="3310" priority="4139" stopIfTrue="1" operator="equal">
      <formula>"Towel"</formula>
    </cfRule>
    <cfRule type="cellIs" dxfId="3309" priority="4140" stopIfTrue="1" operator="equal">
      <formula>"Napkin Hs"</formula>
    </cfRule>
  </conditionalFormatting>
  <conditionalFormatting sqref="C65 C122 C133 C192:C195 C127">
    <cfRule type="cellIs" dxfId="3308" priority="4621" stopIfTrue="1" operator="equal">
      <formula>"Towel"</formula>
    </cfRule>
  </conditionalFormatting>
  <conditionalFormatting sqref="C41">
    <cfRule type="cellIs" dxfId="3307" priority="4531" stopIfTrue="1" operator="equal">
      <formula>"Towel"</formula>
    </cfRule>
    <cfRule type="cellIs" dxfId="3306" priority="4532" stopIfTrue="1" operator="equal">
      <formula>"Napkin Hs"</formula>
    </cfRule>
  </conditionalFormatting>
  <conditionalFormatting sqref="C41">
    <cfRule type="cellIs" dxfId="3305" priority="4525" stopIfTrue="1" operator="equal">
      <formula>"Towel"</formula>
    </cfRule>
    <cfRule type="cellIs" dxfId="3304" priority="4526" stopIfTrue="1" operator="equal">
      <formula>"Napkin Hs"</formula>
    </cfRule>
  </conditionalFormatting>
  <conditionalFormatting sqref="C57">
    <cfRule type="cellIs" dxfId="3303" priority="4489" stopIfTrue="1" operator="equal">
      <formula>"Towel"</formula>
    </cfRule>
    <cfRule type="cellIs" dxfId="3302" priority="4490" stopIfTrue="1" operator="equal">
      <formula>"Napkin Hs"</formula>
    </cfRule>
  </conditionalFormatting>
  <conditionalFormatting sqref="C57">
    <cfRule type="cellIs" dxfId="3301" priority="4483" stopIfTrue="1" operator="equal">
      <formula>"Towel"</formula>
    </cfRule>
    <cfRule type="cellIs" dxfId="3300" priority="4484" stopIfTrue="1" operator="equal">
      <formula>"Napkin Hs"</formula>
    </cfRule>
  </conditionalFormatting>
  <conditionalFormatting sqref="C65">
    <cfRule type="cellIs" dxfId="3299" priority="4477" stopIfTrue="1" operator="equal">
      <formula>"Towel"</formula>
    </cfRule>
    <cfRule type="cellIs" dxfId="3298" priority="4478" stopIfTrue="1" operator="equal">
      <formula>"Napkin Hs"</formula>
    </cfRule>
  </conditionalFormatting>
  <conditionalFormatting sqref="C122">
    <cfRule type="cellIs" dxfId="3297" priority="4231" stopIfTrue="1" operator="equal">
      <formula>"Towel"</formula>
    </cfRule>
    <cfRule type="cellIs" dxfId="3296" priority="4232" stopIfTrue="1" operator="equal">
      <formula>"Napkin Hs"</formula>
    </cfRule>
  </conditionalFormatting>
  <conditionalFormatting sqref="C127">
    <cfRule type="cellIs" dxfId="3295" priority="4205" stopIfTrue="1" operator="equal">
      <formula>"Towel"</formula>
    </cfRule>
    <cfRule type="cellIs" dxfId="3294" priority="4206" stopIfTrue="1" operator="equal">
      <formula>"Napkin Hs"</formula>
    </cfRule>
  </conditionalFormatting>
  <conditionalFormatting sqref="C133 C192:C195">
    <cfRule type="cellIs" dxfId="3293" priority="4197" stopIfTrue="1" operator="equal">
      <formula>"Towel"</formula>
    </cfRule>
    <cfRule type="cellIs" dxfId="3292" priority="4198" stopIfTrue="1" operator="equal">
      <formula>"Napkin Hs"</formula>
    </cfRule>
  </conditionalFormatting>
  <conditionalFormatting sqref="C10">
    <cfRule type="cellIs" dxfId="3291" priority="4107" stopIfTrue="1" operator="equal">
      <formula>"Towel"</formula>
    </cfRule>
    <cfRule type="cellIs" dxfId="3290" priority="4108" stopIfTrue="1" operator="equal">
      <formula>"Napkin Hs"</formula>
    </cfRule>
  </conditionalFormatting>
  <conditionalFormatting sqref="C10">
    <cfRule type="cellIs" dxfId="3289" priority="4109" stopIfTrue="1" operator="equal">
      <formula>"Towel"</formula>
    </cfRule>
    <cfRule type="cellIs" dxfId="3288" priority="4110" stopIfTrue="1" operator="equal">
      <formula>"Napkin Hs"</formula>
    </cfRule>
  </conditionalFormatting>
  <conditionalFormatting sqref="C11">
    <cfRule type="cellIs" dxfId="3287" priority="4111" stopIfTrue="1" operator="equal">
      <formula>"Towel"</formula>
    </cfRule>
    <cfRule type="cellIs" dxfId="3286" priority="4112" stopIfTrue="1" operator="equal">
      <formula>"Napkin Hs"</formula>
    </cfRule>
  </conditionalFormatting>
  <conditionalFormatting sqref="C11">
    <cfRule type="cellIs" dxfId="3285" priority="4113" stopIfTrue="1" operator="equal">
      <formula>"Towel"</formula>
    </cfRule>
    <cfRule type="cellIs" dxfId="3284" priority="4114" stopIfTrue="1" operator="equal">
      <formula>"Napkin Hs"</formula>
    </cfRule>
  </conditionalFormatting>
  <conditionalFormatting sqref="C11">
    <cfRule type="cellIs" dxfId="3283" priority="4115" stopIfTrue="1" operator="equal">
      <formula>"Towel"</formula>
    </cfRule>
    <cfRule type="cellIs" dxfId="3282" priority="4116" stopIfTrue="1" operator="equal">
      <formula>"Napkin Hs"</formula>
    </cfRule>
  </conditionalFormatting>
  <conditionalFormatting sqref="B10:C10">
    <cfRule type="cellIs" dxfId="3281" priority="4105" stopIfTrue="1" operator="equal">
      <formula>"Towel"</formula>
    </cfRule>
    <cfRule type="cellIs" dxfId="3280" priority="4106" stopIfTrue="1" operator="equal">
      <formula>"Napkin Hs"</formula>
    </cfRule>
  </conditionalFormatting>
  <conditionalFormatting sqref="B10:C10">
    <cfRule type="cellIs" dxfId="3279" priority="4099" stopIfTrue="1" operator="equal">
      <formula>"Towel"</formula>
    </cfRule>
    <cfRule type="cellIs" dxfId="3278" priority="4100" stopIfTrue="1" operator="equal">
      <formula>"Napkin Hs"</formula>
    </cfRule>
  </conditionalFormatting>
  <conditionalFormatting sqref="C10">
    <cfRule type="cellIs" dxfId="3277" priority="4101" stopIfTrue="1" operator="equal">
      <formula>"Towel"</formula>
    </cfRule>
    <cfRule type="cellIs" dxfId="3276" priority="4102" stopIfTrue="1" operator="equal">
      <formula>"Napkin Hs"</formula>
    </cfRule>
  </conditionalFormatting>
  <conditionalFormatting sqref="C10">
    <cfRule type="cellIs" dxfId="3275" priority="4103" stopIfTrue="1" operator="equal">
      <formula>"Towel"</formula>
    </cfRule>
    <cfRule type="cellIs" dxfId="3274" priority="4104" stopIfTrue="1" operator="equal">
      <formula>"Napkin Hs"</formula>
    </cfRule>
  </conditionalFormatting>
  <conditionalFormatting sqref="B11">
    <cfRule type="cellIs" dxfId="3273" priority="4097" stopIfTrue="1" operator="equal">
      <formula>"Towel"</formula>
    </cfRule>
    <cfRule type="cellIs" dxfId="3272" priority="4098" stopIfTrue="1" operator="equal">
      <formula>"Napkin Hs"</formula>
    </cfRule>
  </conditionalFormatting>
  <conditionalFormatting sqref="C46">
    <cfRule type="cellIs" dxfId="3271" priority="3739" stopIfTrue="1" operator="equal">
      <formula>"Towel"</formula>
    </cfRule>
    <cfRule type="cellIs" dxfId="3270" priority="3740" stopIfTrue="1" operator="equal">
      <formula>"Napkin Hs"</formula>
    </cfRule>
  </conditionalFormatting>
  <conditionalFormatting sqref="B46:C46">
    <cfRule type="cellIs" dxfId="3269" priority="3741" stopIfTrue="1" operator="equal">
      <formula>"Towel"</formula>
    </cfRule>
    <cfRule type="cellIs" dxfId="3268" priority="3742" stopIfTrue="1" operator="equal">
      <formula>"Napkin Hs"</formula>
    </cfRule>
  </conditionalFormatting>
  <conditionalFormatting sqref="C46">
    <cfRule type="cellIs" dxfId="3267" priority="3737" stopIfTrue="1" operator="equal">
      <formula>"Towel"</formula>
    </cfRule>
    <cfRule type="cellIs" dxfId="3266" priority="3738" stopIfTrue="1" operator="equal">
      <formula>"Napkin Hs"</formula>
    </cfRule>
  </conditionalFormatting>
  <conditionalFormatting sqref="B46:C46">
    <cfRule type="cellIs" dxfId="3265" priority="3735" stopIfTrue="1" operator="equal">
      <formula>"Towel"</formula>
    </cfRule>
    <cfRule type="cellIs" dxfId="3264" priority="3736" stopIfTrue="1" operator="equal">
      <formula>"Napkin Hs"</formula>
    </cfRule>
  </conditionalFormatting>
  <conditionalFormatting sqref="C46">
    <cfRule type="cellIs" dxfId="3263" priority="3743" stopIfTrue="1" operator="equal">
      <formula>"Towel"</formula>
    </cfRule>
    <cfRule type="cellIs" dxfId="3262" priority="3744" stopIfTrue="1" operator="equal">
      <formula>"Napkin Hs"</formula>
    </cfRule>
  </conditionalFormatting>
  <conditionalFormatting sqref="C46">
    <cfRule type="cellIs" dxfId="3261" priority="3745" stopIfTrue="1" operator="equal">
      <formula>"Towel"</formula>
    </cfRule>
    <cfRule type="cellIs" dxfId="3260" priority="3746" stopIfTrue="1" operator="equal">
      <formula>"Napkin Hs"</formula>
    </cfRule>
  </conditionalFormatting>
  <conditionalFormatting sqref="C51">
    <cfRule type="cellIs" dxfId="3259" priority="3663" stopIfTrue="1" operator="equal">
      <formula>"Towel"</formula>
    </cfRule>
    <cfRule type="cellIs" dxfId="3258" priority="3664" stopIfTrue="1" operator="equal">
      <formula>"Napkin Hs"</formula>
    </cfRule>
  </conditionalFormatting>
  <conditionalFormatting sqref="B51:C51">
    <cfRule type="cellIs" dxfId="3257" priority="3665" stopIfTrue="1" operator="equal">
      <formula>"Towel"</formula>
    </cfRule>
    <cfRule type="cellIs" dxfId="3256" priority="3666" stopIfTrue="1" operator="equal">
      <formula>"Napkin Hs"</formula>
    </cfRule>
  </conditionalFormatting>
  <conditionalFormatting sqref="C51">
    <cfRule type="cellIs" dxfId="3255" priority="3661" stopIfTrue="1" operator="equal">
      <formula>"Towel"</formula>
    </cfRule>
    <cfRule type="cellIs" dxfId="3254" priority="3662" stopIfTrue="1" operator="equal">
      <formula>"Napkin Hs"</formula>
    </cfRule>
  </conditionalFormatting>
  <conditionalFormatting sqref="B51:C51">
    <cfRule type="cellIs" dxfId="3253" priority="3659" stopIfTrue="1" operator="equal">
      <formula>"Towel"</formula>
    </cfRule>
    <cfRule type="cellIs" dxfId="3252" priority="3660" stopIfTrue="1" operator="equal">
      <formula>"Napkin Hs"</formula>
    </cfRule>
  </conditionalFormatting>
  <conditionalFormatting sqref="C51">
    <cfRule type="cellIs" dxfId="3251" priority="3667" stopIfTrue="1" operator="equal">
      <formula>"Towel"</formula>
    </cfRule>
    <cfRule type="cellIs" dxfId="3250" priority="3668" stopIfTrue="1" operator="equal">
      <formula>"Napkin Hs"</formula>
    </cfRule>
  </conditionalFormatting>
  <conditionalFormatting sqref="C51">
    <cfRule type="cellIs" dxfId="3249" priority="3669" stopIfTrue="1" operator="equal">
      <formula>"Towel"</formula>
    </cfRule>
    <cfRule type="cellIs" dxfId="3248" priority="3670" stopIfTrue="1" operator="equal">
      <formula>"Napkin Hs"</formula>
    </cfRule>
  </conditionalFormatting>
  <conditionalFormatting sqref="C51">
    <cfRule type="cellIs" dxfId="3247" priority="3627" stopIfTrue="1" operator="equal">
      <formula>"Towel"</formula>
    </cfRule>
    <cfRule type="cellIs" dxfId="3246" priority="3628" stopIfTrue="1" operator="equal">
      <formula>"Napkin Hs"</formula>
    </cfRule>
  </conditionalFormatting>
  <conditionalFormatting sqref="B51:C51">
    <cfRule type="cellIs" dxfId="3245" priority="3629" stopIfTrue="1" operator="equal">
      <formula>"Towel"</formula>
    </cfRule>
    <cfRule type="cellIs" dxfId="3244" priority="3630" stopIfTrue="1" operator="equal">
      <formula>"Napkin Hs"</formula>
    </cfRule>
  </conditionalFormatting>
  <conditionalFormatting sqref="C51">
    <cfRule type="cellIs" dxfId="3243" priority="3625" stopIfTrue="1" operator="equal">
      <formula>"Towel"</formula>
    </cfRule>
    <cfRule type="cellIs" dxfId="3242" priority="3626" stopIfTrue="1" operator="equal">
      <formula>"Napkin Hs"</formula>
    </cfRule>
  </conditionalFormatting>
  <conditionalFormatting sqref="B51:C51">
    <cfRule type="cellIs" dxfId="3241" priority="3623" stopIfTrue="1" operator="equal">
      <formula>"Towel"</formula>
    </cfRule>
    <cfRule type="cellIs" dxfId="3240" priority="3624" stopIfTrue="1" operator="equal">
      <formula>"Napkin Hs"</formula>
    </cfRule>
  </conditionalFormatting>
  <conditionalFormatting sqref="C51">
    <cfRule type="cellIs" dxfId="3239" priority="3631" stopIfTrue="1" operator="equal">
      <formula>"Towel"</formula>
    </cfRule>
    <cfRule type="cellIs" dxfId="3238" priority="3632" stopIfTrue="1" operator="equal">
      <formula>"Napkin Hs"</formula>
    </cfRule>
  </conditionalFormatting>
  <conditionalFormatting sqref="C51">
    <cfRule type="cellIs" dxfId="3237" priority="3633" stopIfTrue="1" operator="equal">
      <formula>"Towel"</formula>
    </cfRule>
    <cfRule type="cellIs" dxfId="3236" priority="3634" stopIfTrue="1" operator="equal">
      <formula>"Napkin Hs"</formula>
    </cfRule>
  </conditionalFormatting>
  <conditionalFormatting sqref="B70:C70">
    <cfRule type="cellIs" dxfId="3235" priority="3525" stopIfTrue="1" operator="equal">
      <formula>"Towel"</formula>
    </cfRule>
    <cfRule type="cellIs" dxfId="3234" priority="3526" stopIfTrue="1" operator="equal">
      <formula>"Napkin Hs"</formula>
    </cfRule>
  </conditionalFormatting>
  <conditionalFormatting sqref="C70">
    <cfRule type="cellIs" dxfId="3233" priority="3521" stopIfTrue="1" operator="equal">
      <formula>"Towel"</formula>
    </cfRule>
    <cfRule type="cellIs" dxfId="3232" priority="3522" stopIfTrue="1" operator="equal">
      <formula>"Napkin Hs"</formula>
    </cfRule>
  </conditionalFormatting>
  <conditionalFormatting sqref="C70">
    <cfRule type="cellIs" dxfId="3231" priority="3523" stopIfTrue="1" operator="equal">
      <formula>"Towel"</formula>
    </cfRule>
    <cfRule type="cellIs" dxfId="3230" priority="3524" stopIfTrue="1" operator="equal">
      <formula>"Napkin Hs"</formula>
    </cfRule>
  </conditionalFormatting>
  <conditionalFormatting sqref="C75">
    <cfRule type="cellIs" dxfId="3229" priority="3437" stopIfTrue="1" operator="equal">
      <formula>"Towel"</formula>
    </cfRule>
    <cfRule type="cellIs" dxfId="3228" priority="3438" stopIfTrue="1" operator="equal">
      <formula>"Napkin Hs"</formula>
    </cfRule>
  </conditionalFormatting>
  <conditionalFormatting sqref="B75:C75">
    <cfRule type="cellIs" dxfId="3227" priority="3439" stopIfTrue="1" operator="equal">
      <formula>"Towel"</formula>
    </cfRule>
    <cfRule type="cellIs" dxfId="3226" priority="3440" stopIfTrue="1" operator="equal">
      <formula>"Napkin Hs"</formula>
    </cfRule>
  </conditionalFormatting>
  <conditionalFormatting sqref="C75">
    <cfRule type="cellIs" dxfId="3225" priority="3435" stopIfTrue="1" operator="equal">
      <formula>"Towel"</formula>
    </cfRule>
    <cfRule type="cellIs" dxfId="3224" priority="3436" stopIfTrue="1" operator="equal">
      <formula>"Napkin Hs"</formula>
    </cfRule>
  </conditionalFormatting>
  <conditionalFormatting sqref="B75:C75">
    <cfRule type="cellIs" dxfId="3223" priority="3433" stopIfTrue="1" operator="equal">
      <formula>"Towel"</formula>
    </cfRule>
    <cfRule type="cellIs" dxfId="3222" priority="3434" stopIfTrue="1" operator="equal">
      <formula>"Napkin Hs"</formula>
    </cfRule>
  </conditionalFormatting>
  <conditionalFormatting sqref="C75">
    <cfRule type="cellIs" dxfId="3221" priority="3441" stopIfTrue="1" operator="equal">
      <formula>"Towel"</formula>
    </cfRule>
    <cfRule type="cellIs" dxfId="3220" priority="3442" stopIfTrue="1" operator="equal">
      <formula>"Napkin Hs"</formula>
    </cfRule>
  </conditionalFormatting>
  <conditionalFormatting sqref="C75">
    <cfRule type="cellIs" dxfId="3219" priority="3443" stopIfTrue="1" operator="equal">
      <formula>"Towel"</formula>
    </cfRule>
    <cfRule type="cellIs" dxfId="3218" priority="3444" stopIfTrue="1" operator="equal">
      <formula>"Napkin Hs"</formula>
    </cfRule>
  </conditionalFormatting>
  <conditionalFormatting sqref="C81">
    <cfRule type="cellIs" dxfId="3217" priority="3371" stopIfTrue="1" operator="equal">
      <formula>"Towel"</formula>
    </cfRule>
    <cfRule type="cellIs" dxfId="3216" priority="3372" stopIfTrue="1" operator="equal">
      <formula>"Napkin Hs"</formula>
    </cfRule>
  </conditionalFormatting>
  <conditionalFormatting sqref="B81:C81">
    <cfRule type="cellIs" dxfId="3215" priority="3373" stopIfTrue="1" operator="equal">
      <formula>"Towel"</formula>
    </cfRule>
    <cfRule type="cellIs" dxfId="3214" priority="3374" stopIfTrue="1" operator="equal">
      <formula>"Napkin Hs"</formula>
    </cfRule>
  </conditionalFormatting>
  <conditionalFormatting sqref="C81">
    <cfRule type="cellIs" dxfId="3213" priority="3369" stopIfTrue="1" operator="equal">
      <formula>"Towel"</formula>
    </cfRule>
    <cfRule type="cellIs" dxfId="3212" priority="3370" stopIfTrue="1" operator="equal">
      <formula>"Napkin Hs"</formula>
    </cfRule>
  </conditionalFormatting>
  <conditionalFormatting sqref="B81:C81">
    <cfRule type="cellIs" dxfId="3211" priority="3367" stopIfTrue="1" operator="equal">
      <formula>"Towel"</formula>
    </cfRule>
    <cfRule type="cellIs" dxfId="3210" priority="3368" stopIfTrue="1" operator="equal">
      <formula>"Napkin Hs"</formula>
    </cfRule>
  </conditionalFormatting>
  <conditionalFormatting sqref="C81">
    <cfRule type="cellIs" dxfId="3209" priority="3375" stopIfTrue="1" operator="equal">
      <formula>"Towel"</formula>
    </cfRule>
    <cfRule type="cellIs" dxfId="3208" priority="3376" stopIfTrue="1" operator="equal">
      <formula>"Napkin Hs"</formula>
    </cfRule>
  </conditionalFormatting>
  <conditionalFormatting sqref="C81">
    <cfRule type="cellIs" dxfId="3207" priority="3377" stopIfTrue="1" operator="equal">
      <formula>"Towel"</formula>
    </cfRule>
    <cfRule type="cellIs" dxfId="3206" priority="3378" stopIfTrue="1" operator="equal">
      <formula>"Napkin Hs"</formula>
    </cfRule>
  </conditionalFormatting>
  <conditionalFormatting sqref="C86">
    <cfRule type="cellIs" dxfId="3205" priority="3319" stopIfTrue="1" operator="equal">
      <formula>"Towel"</formula>
    </cfRule>
    <cfRule type="cellIs" dxfId="3204" priority="3320" stopIfTrue="1" operator="equal">
      <formula>"Napkin Hs"</formula>
    </cfRule>
  </conditionalFormatting>
  <conditionalFormatting sqref="B86:C86">
    <cfRule type="cellIs" dxfId="3203" priority="3321" stopIfTrue="1" operator="equal">
      <formula>"Towel"</formula>
    </cfRule>
    <cfRule type="cellIs" dxfId="3202" priority="3322" stopIfTrue="1" operator="equal">
      <formula>"Napkin Hs"</formula>
    </cfRule>
  </conditionalFormatting>
  <conditionalFormatting sqref="C86">
    <cfRule type="cellIs" dxfId="3201" priority="3317" stopIfTrue="1" operator="equal">
      <formula>"Towel"</formula>
    </cfRule>
    <cfRule type="cellIs" dxfId="3200" priority="3318" stopIfTrue="1" operator="equal">
      <formula>"Napkin Hs"</formula>
    </cfRule>
  </conditionalFormatting>
  <conditionalFormatting sqref="B86:C86">
    <cfRule type="cellIs" dxfId="3199" priority="3315" stopIfTrue="1" operator="equal">
      <formula>"Towel"</formula>
    </cfRule>
    <cfRule type="cellIs" dxfId="3198" priority="3316" stopIfTrue="1" operator="equal">
      <formula>"Napkin Hs"</formula>
    </cfRule>
  </conditionalFormatting>
  <conditionalFormatting sqref="C86">
    <cfRule type="cellIs" dxfId="3197" priority="3323" stopIfTrue="1" operator="equal">
      <formula>"Towel"</formula>
    </cfRule>
    <cfRule type="cellIs" dxfId="3196" priority="3324" stopIfTrue="1" operator="equal">
      <formula>"Napkin Hs"</formula>
    </cfRule>
  </conditionalFormatting>
  <conditionalFormatting sqref="C86">
    <cfRule type="cellIs" dxfId="3195" priority="3325" stopIfTrue="1" operator="equal">
      <formula>"Towel"</formula>
    </cfRule>
    <cfRule type="cellIs" dxfId="3194" priority="3326" stopIfTrue="1" operator="equal">
      <formula>"Napkin Hs"</formula>
    </cfRule>
  </conditionalFormatting>
  <conditionalFormatting sqref="B91:C91">
    <cfRule type="cellIs" dxfId="3193" priority="3265" stopIfTrue="1" operator="equal">
      <formula>"Towel"</formula>
    </cfRule>
    <cfRule type="cellIs" dxfId="3192" priority="3266" stopIfTrue="1" operator="equal">
      <formula>"Napkin Hs"</formula>
    </cfRule>
  </conditionalFormatting>
  <conditionalFormatting sqref="C91">
    <cfRule type="cellIs" dxfId="3191" priority="3263" stopIfTrue="1" operator="equal">
      <formula>"Towel"</formula>
    </cfRule>
    <cfRule type="cellIs" dxfId="3190" priority="3264" stopIfTrue="1" operator="equal">
      <formula>"Napkin Hs"</formula>
    </cfRule>
  </conditionalFormatting>
  <conditionalFormatting sqref="C91">
    <cfRule type="cellIs" dxfId="3189" priority="3261" stopIfTrue="1" operator="equal">
      <formula>"Towel"</formula>
    </cfRule>
    <cfRule type="cellIs" dxfId="3188" priority="3262" stopIfTrue="1" operator="equal">
      <formula>"Napkin Hs"</formula>
    </cfRule>
  </conditionalFormatting>
  <conditionalFormatting sqref="C91">
    <cfRule type="cellIs" dxfId="3187" priority="3253" stopIfTrue="1" operator="equal">
      <formula>"Towel"</formula>
    </cfRule>
    <cfRule type="cellIs" dxfId="3186" priority="3254" stopIfTrue="1" operator="equal">
      <formula>"Napkin Hs"</formula>
    </cfRule>
  </conditionalFormatting>
  <conditionalFormatting sqref="B91:C91">
    <cfRule type="cellIs" dxfId="3185" priority="3255" stopIfTrue="1" operator="equal">
      <formula>"Towel"</formula>
    </cfRule>
    <cfRule type="cellIs" dxfId="3184" priority="3256" stopIfTrue="1" operator="equal">
      <formula>"Napkin Hs"</formula>
    </cfRule>
  </conditionalFormatting>
  <conditionalFormatting sqref="C91">
    <cfRule type="cellIs" dxfId="3183" priority="3251" stopIfTrue="1" operator="equal">
      <formula>"Towel"</formula>
    </cfRule>
    <cfRule type="cellIs" dxfId="3182" priority="3252" stopIfTrue="1" operator="equal">
      <formula>"Napkin Hs"</formula>
    </cfRule>
  </conditionalFormatting>
  <conditionalFormatting sqref="B91:C91">
    <cfRule type="cellIs" dxfId="3181" priority="3249" stopIfTrue="1" operator="equal">
      <formula>"Towel"</formula>
    </cfRule>
    <cfRule type="cellIs" dxfId="3180" priority="3250" stopIfTrue="1" operator="equal">
      <formula>"Napkin Hs"</formula>
    </cfRule>
  </conditionalFormatting>
  <conditionalFormatting sqref="C91">
    <cfRule type="cellIs" dxfId="3179" priority="3257" stopIfTrue="1" operator="equal">
      <formula>"Towel"</formula>
    </cfRule>
    <cfRule type="cellIs" dxfId="3178" priority="3258" stopIfTrue="1" operator="equal">
      <formula>"Napkin Hs"</formula>
    </cfRule>
  </conditionalFormatting>
  <conditionalFormatting sqref="C91">
    <cfRule type="cellIs" dxfId="3177" priority="3259" stopIfTrue="1" operator="equal">
      <formula>"Towel"</formula>
    </cfRule>
    <cfRule type="cellIs" dxfId="3176" priority="3260" stopIfTrue="1" operator="equal">
      <formula>"Napkin Hs"</formula>
    </cfRule>
  </conditionalFormatting>
  <conditionalFormatting sqref="C96">
    <cfRule type="cellIs" dxfId="3175" priority="3211" stopIfTrue="1" operator="equal">
      <formula>"Towel"</formula>
    </cfRule>
    <cfRule type="cellIs" dxfId="3174" priority="3212" stopIfTrue="1" operator="equal">
      <formula>"Napkin Hs"</formula>
    </cfRule>
  </conditionalFormatting>
  <conditionalFormatting sqref="C96">
    <cfRule type="cellIs" dxfId="3173" priority="3209" stopIfTrue="1" operator="equal">
      <formula>"Towel"</formula>
    </cfRule>
    <cfRule type="cellIs" dxfId="3172" priority="3210" stopIfTrue="1" operator="equal">
      <formula>"Napkin Hs"</formula>
    </cfRule>
  </conditionalFormatting>
  <conditionalFormatting sqref="B96:C96">
    <cfRule type="cellIs" dxfId="3171" priority="3207" stopIfTrue="1" operator="equal">
      <formula>"Towel"</formula>
    </cfRule>
    <cfRule type="cellIs" dxfId="3170" priority="3208" stopIfTrue="1" operator="equal">
      <formula>"Napkin Hs"</formula>
    </cfRule>
  </conditionalFormatting>
  <conditionalFormatting sqref="B96:C96">
    <cfRule type="cellIs" dxfId="3169" priority="3217" stopIfTrue="1" operator="equal">
      <formula>"Towel"</formula>
    </cfRule>
    <cfRule type="cellIs" dxfId="3168" priority="3218" stopIfTrue="1" operator="equal">
      <formula>"Napkin Hs"</formula>
    </cfRule>
  </conditionalFormatting>
  <conditionalFormatting sqref="C96">
    <cfRule type="cellIs" dxfId="3167" priority="3215" stopIfTrue="1" operator="equal">
      <formula>"Towel"</formula>
    </cfRule>
    <cfRule type="cellIs" dxfId="3166" priority="3216" stopIfTrue="1" operator="equal">
      <formula>"Napkin Hs"</formula>
    </cfRule>
  </conditionalFormatting>
  <conditionalFormatting sqref="C96">
    <cfRule type="cellIs" dxfId="3165" priority="3213" stopIfTrue="1" operator="equal">
      <formula>"Towel"</formula>
    </cfRule>
    <cfRule type="cellIs" dxfId="3164" priority="3214" stopIfTrue="1" operator="equal">
      <formula>"Napkin Hs"</formula>
    </cfRule>
  </conditionalFormatting>
  <conditionalFormatting sqref="C96">
    <cfRule type="cellIs" dxfId="3163" priority="3205" stopIfTrue="1" operator="equal">
      <formula>"Towel"</formula>
    </cfRule>
    <cfRule type="cellIs" dxfId="3162" priority="3206" stopIfTrue="1" operator="equal">
      <formula>"Napkin Hs"</formula>
    </cfRule>
  </conditionalFormatting>
  <conditionalFormatting sqref="C96">
    <cfRule type="cellIs" dxfId="3161" priority="3203" stopIfTrue="1" operator="equal">
      <formula>"Towel"</formula>
    </cfRule>
    <cfRule type="cellIs" dxfId="3160" priority="3204" stopIfTrue="1" operator="equal">
      <formula>"Napkin Hs"</formula>
    </cfRule>
  </conditionalFormatting>
  <conditionalFormatting sqref="B96:C96">
    <cfRule type="cellIs" dxfId="3159" priority="3201" stopIfTrue="1" operator="equal">
      <formula>"Towel"</formula>
    </cfRule>
    <cfRule type="cellIs" dxfId="3158" priority="3202" stopIfTrue="1" operator="equal">
      <formula>"Napkin Hs"</formula>
    </cfRule>
  </conditionalFormatting>
  <conditionalFormatting sqref="C102">
    <cfRule type="cellIs" dxfId="3157" priority="3057" stopIfTrue="1" operator="equal">
      <formula>"Towel"</formula>
    </cfRule>
    <cfRule type="cellIs" dxfId="3156" priority="3058" stopIfTrue="1" operator="equal">
      <formula>"Napkin Hs"</formula>
    </cfRule>
  </conditionalFormatting>
  <conditionalFormatting sqref="C102">
    <cfRule type="cellIs" dxfId="3155" priority="3055" stopIfTrue="1" operator="equal">
      <formula>"Towel"</formula>
    </cfRule>
    <cfRule type="cellIs" dxfId="3154" priority="3056" stopIfTrue="1" operator="equal">
      <formula>"Napkin Hs"</formula>
    </cfRule>
  </conditionalFormatting>
  <conditionalFormatting sqref="B102:C102">
    <cfRule type="cellIs" dxfId="3153" priority="3053" stopIfTrue="1" operator="equal">
      <formula>"Towel"</formula>
    </cfRule>
    <cfRule type="cellIs" dxfId="3152" priority="3054" stopIfTrue="1" operator="equal">
      <formula>"Napkin Hs"</formula>
    </cfRule>
  </conditionalFormatting>
  <conditionalFormatting sqref="B102:C102">
    <cfRule type="cellIs" dxfId="3151" priority="3063" stopIfTrue="1" operator="equal">
      <formula>"Towel"</formula>
    </cfRule>
    <cfRule type="cellIs" dxfId="3150" priority="3064" stopIfTrue="1" operator="equal">
      <formula>"Napkin Hs"</formula>
    </cfRule>
  </conditionalFormatting>
  <conditionalFormatting sqref="C102">
    <cfRule type="cellIs" dxfId="3149" priority="3061" stopIfTrue="1" operator="equal">
      <formula>"Towel"</formula>
    </cfRule>
    <cfRule type="cellIs" dxfId="3148" priority="3062" stopIfTrue="1" operator="equal">
      <formula>"Napkin Hs"</formula>
    </cfRule>
  </conditionalFormatting>
  <conditionalFormatting sqref="C102">
    <cfRule type="cellIs" dxfId="3147" priority="3059" stopIfTrue="1" operator="equal">
      <formula>"Towel"</formula>
    </cfRule>
    <cfRule type="cellIs" dxfId="3146" priority="3060" stopIfTrue="1" operator="equal">
      <formula>"Napkin Hs"</formula>
    </cfRule>
  </conditionalFormatting>
  <conditionalFormatting sqref="C102">
    <cfRule type="cellIs" dxfId="3145" priority="3051" stopIfTrue="1" operator="equal">
      <formula>"Towel"</formula>
    </cfRule>
    <cfRule type="cellIs" dxfId="3144" priority="3052" stopIfTrue="1" operator="equal">
      <formula>"Napkin Hs"</formula>
    </cfRule>
  </conditionalFormatting>
  <conditionalFormatting sqref="C102">
    <cfRule type="cellIs" dxfId="3143" priority="3049" stopIfTrue="1" operator="equal">
      <formula>"Towel"</formula>
    </cfRule>
    <cfRule type="cellIs" dxfId="3142" priority="3050" stopIfTrue="1" operator="equal">
      <formula>"Napkin Hs"</formula>
    </cfRule>
  </conditionalFormatting>
  <conditionalFormatting sqref="B102:C102">
    <cfRule type="cellIs" dxfId="3141" priority="3047" stopIfTrue="1" operator="equal">
      <formula>"Towel"</formula>
    </cfRule>
    <cfRule type="cellIs" dxfId="3140" priority="3048" stopIfTrue="1" operator="equal">
      <formula>"Napkin Hs"</formula>
    </cfRule>
  </conditionalFormatting>
  <conditionalFormatting sqref="B107:C107">
    <cfRule type="cellIs" dxfId="3139" priority="3027" stopIfTrue="1" operator="equal">
      <formula>"Towel"</formula>
    </cfRule>
    <cfRule type="cellIs" dxfId="3138" priority="3028" stopIfTrue="1" operator="equal">
      <formula>"Napkin Hs"</formula>
    </cfRule>
  </conditionalFormatting>
  <conditionalFormatting sqref="C107">
    <cfRule type="cellIs" dxfId="3137" priority="3025" stopIfTrue="1" operator="equal">
      <formula>"Towel"</formula>
    </cfRule>
    <cfRule type="cellIs" dxfId="3136" priority="3026" stopIfTrue="1" operator="equal">
      <formula>"Napkin Hs"</formula>
    </cfRule>
  </conditionalFormatting>
  <conditionalFormatting sqref="C107">
    <cfRule type="cellIs" dxfId="3135" priority="3023" stopIfTrue="1" operator="equal">
      <formula>"Towel"</formula>
    </cfRule>
    <cfRule type="cellIs" dxfId="3134" priority="3024" stopIfTrue="1" operator="equal">
      <formula>"Napkin Hs"</formula>
    </cfRule>
  </conditionalFormatting>
  <conditionalFormatting sqref="C107">
    <cfRule type="cellIs" dxfId="3133" priority="3015" stopIfTrue="1" operator="equal">
      <formula>"Towel"</formula>
    </cfRule>
    <cfRule type="cellIs" dxfId="3132" priority="3016" stopIfTrue="1" operator="equal">
      <formula>"Napkin Hs"</formula>
    </cfRule>
  </conditionalFormatting>
  <conditionalFormatting sqref="B107:C107">
    <cfRule type="cellIs" dxfId="3131" priority="3017" stopIfTrue="1" operator="equal">
      <formula>"Towel"</formula>
    </cfRule>
    <cfRule type="cellIs" dxfId="3130" priority="3018" stopIfTrue="1" operator="equal">
      <formula>"Napkin Hs"</formula>
    </cfRule>
  </conditionalFormatting>
  <conditionalFormatting sqref="C107">
    <cfRule type="cellIs" dxfId="3129" priority="3013" stopIfTrue="1" operator="equal">
      <formula>"Towel"</formula>
    </cfRule>
    <cfRule type="cellIs" dxfId="3128" priority="3014" stopIfTrue="1" operator="equal">
      <formula>"Napkin Hs"</formula>
    </cfRule>
  </conditionalFormatting>
  <conditionalFormatting sqref="B107:C107">
    <cfRule type="cellIs" dxfId="3127" priority="3011" stopIfTrue="1" operator="equal">
      <formula>"Towel"</formula>
    </cfRule>
    <cfRule type="cellIs" dxfId="3126" priority="3012" stopIfTrue="1" operator="equal">
      <formula>"Napkin Hs"</formula>
    </cfRule>
  </conditionalFormatting>
  <conditionalFormatting sqref="C107">
    <cfRule type="cellIs" dxfId="3125" priority="3019" stopIfTrue="1" operator="equal">
      <formula>"Towel"</formula>
    </cfRule>
    <cfRule type="cellIs" dxfId="3124" priority="3020" stopIfTrue="1" operator="equal">
      <formula>"Napkin Hs"</formula>
    </cfRule>
  </conditionalFormatting>
  <conditionalFormatting sqref="C107">
    <cfRule type="cellIs" dxfId="3123" priority="3021" stopIfTrue="1" operator="equal">
      <formula>"Towel"</formula>
    </cfRule>
    <cfRule type="cellIs" dxfId="3122" priority="3022" stopIfTrue="1" operator="equal">
      <formula>"Napkin Hs"</formula>
    </cfRule>
  </conditionalFormatting>
  <conditionalFormatting sqref="B107:C107">
    <cfRule type="cellIs" dxfId="3121" priority="2971" stopIfTrue="1" operator="equal">
      <formula>"Towel"</formula>
    </cfRule>
    <cfRule type="cellIs" dxfId="3120" priority="2972" stopIfTrue="1" operator="equal">
      <formula>"Napkin Hs"</formula>
    </cfRule>
  </conditionalFormatting>
  <conditionalFormatting sqref="C107">
    <cfRule type="cellIs" dxfId="3119" priority="2973" stopIfTrue="1" operator="equal">
      <formula>"Towel"</formula>
    </cfRule>
    <cfRule type="cellIs" dxfId="3118" priority="2974" stopIfTrue="1" operator="equal">
      <formula>"Napkin Hs"</formula>
    </cfRule>
  </conditionalFormatting>
  <conditionalFormatting sqref="C107">
    <cfRule type="cellIs" dxfId="3117" priority="2969" stopIfTrue="1" operator="equal">
      <formula>"Towel"</formula>
    </cfRule>
    <cfRule type="cellIs" dxfId="3116" priority="2970" stopIfTrue="1" operator="equal">
      <formula>"Napkin Hs"</formula>
    </cfRule>
  </conditionalFormatting>
  <conditionalFormatting sqref="B112:C112">
    <cfRule type="cellIs" dxfId="3115" priority="2799" stopIfTrue="1" operator="equal">
      <formula>"Towel"</formula>
    </cfRule>
    <cfRule type="cellIs" dxfId="3114" priority="2800" stopIfTrue="1" operator="equal">
      <formula>"Napkin Hs"</formula>
    </cfRule>
  </conditionalFormatting>
  <conditionalFormatting sqref="C112">
    <cfRule type="cellIs" dxfId="3113" priority="2795" stopIfTrue="1" operator="equal">
      <formula>"Towel"</formula>
    </cfRule>
    <cfRule type="cellIs" dxfId="3112" priority="2796" stopIfTrue="1" operator="equal">
      <formula>"Napkin Hs"</formula>
    </cfRule>
  </conditionalFormatting>
  <conditionalFormatting sqref="C112">
    <cfRule type="cellIs" dxfId="3111" priority="2797" stopIfTrue="1" operator="equal">
      <formula>"Towel"</formula>
    </cfRule>
    <cfRule type="cellIs" dxfId="3110" priority="2798" stopIfTrue="1" operator="equal">
      <formula>"Napkin Hs"</formula>
    </cfRule>
  </conditionalFormatting>
  <conditionalFormatting sqref="B112:C112">
    <cfRule type="cellIs" dxfId="3109" priority="2793" stopIfTrue="1" operator="equal">
      <formula>"Towel"</formula>
    </cfRule>
    <cfRule type="cellIs" dxfId="3108" priority="2794" stopIfTrue="1" operator="equal">
      <formula>"Napkin Hs"</formula>
    </cfRule>
  </conditionalFormatting>
  <conditionalFormatting sqref="C112">
    <cfRule type="cellIs" dxfId="3107" priority="2791" stopIfTrue="1" operator="equal">
      <formula>"Towel"</formula>
    </cfRule>
    <cfRule type="cellIs" dxfId="3106" priority="2792" stopIfTrue="1" operator="equal">
      <formula>"Napkin Hs"</formula>
    </cfRule>
  </conditionalFormatting>
  <conditionalFormatting sqref="C112">
    <cfRule type="cellIs" dxfId="3105" priority="2789" stopIfTrue="1" operator="equal">
      <formula>"Towel"</formula>
    </cfRule>
    <cfRule type="cellIs" dxfId="3104" priority="2790" stopIfTrue="1" operator="equal">
      <formula>"Napkin Hs"</formula>
    </cfRule>
  </conditionalFormatting>
  <conditionalFormatting sqref="C112">
    <cfRule type="cellIs" dxfId="3103" priority="2781" stopIfTrue="1" operator="equal">
      <formula>"Towel"</formula>
    </cfRule>
    <cfRule type="cellIs" dxfId="3102" priority="2782" stopIfTrue="1" operator="equal">
      <formula>"Napkin Hs"</formula>
    </cfRule>
  </conditionalFormatting>
  <conditionalFormatting sqref="B112:C112">
    <cfRule type="cellIs" dxfId="3101" priority="2783" stopIfTrue="1" operator="equal">
      <formula>"Towel"</formula>
    </cfRule>
    <cfRule type="cellIs" dxfId="3100" priority="2784" stopIfTrue="1" operator="equal">
      <formula>"Napkin Hs"</formula>
    </cfRule>
  </conditionalFormatting>
  <conditionalFormatting sqref="C112">
    <cfRule type="cellIs" dxfId="3099" priority="2779" stopIfTrue="1" operator="equal">
      <formula>"Towel"</formula>
    </cfRule>
    <cfRule type="cellIs" dxfId="3098" priority="2780" stopIfTrue="1" operator="equal">
      <formula>"Napkin Hs"</formula>
    </cfRule>
  </conditionalFormatting>
  <conditionalFormatting sqref="B112:C112">
    <cfRule type="cellIs" dxfId="3097" priority="2777" stopIfTrue="1" operator="equal">
      <formula>"Towel"</formula>
    </cfRule>
    <cfRule type="cellIs" dxfId="3096" priority="2778" stopIfTrue="1" operator="equal">
      <formula>"Napkin Hs"</formula>
    </cfRule>
  </conditionalFormatting>
  <conditionalFormatting sqref="C112">
    <cfRule type="cellIs" dxfId="3095" priority="2785" stopIfTrue="1" operator="equal">
      <formula>"Towel"</formula>
    </cfRule>
    <cfRule type="cellIs" dxfId="3094" priority="2786" stopIfTrue="1" operator="equal">
      <formula>"Napkin Hs"</formula>
    </cfRule>
  </conditionalFormatting>
  <conditionalFormatting sqref="C112">
    <cfRule type="cellIs" dxfId="3093" priority="2787" stopIfTrue="1" operator="equal">
      <formula>"Towel"</formula>
    </cfRule>
    <cfRule type="cellIs" dxfId="3092" priority="2788" stopIfTrue="1" operator="equal">
      <formula>"Napkin Hs"</formula>
    </cfRule>
  </conditionalFormatting>
  <conditionalFormatting sqref="B126:C126">
    <cfRule type="cellIs" dxfId="3091" priority="2617" stopIfTrue="1" operator="equal">
      <formula>"Towel"</formula>
    </cfRule>
    <cfRule type="cellIs" dxfId="3090" priority="2618" stopIfTrue="1" operator="equal">
      <formula>"Napkin Hs"</formula>
    </cfRule>
  </conditionalFormatting>
  <conditionalFormatting sqref="C126">
    <cfRule type="cellIs" dxfId="3089" priority="2619" stopIfTrue="1" operator="equal">
      <formula>"Towel"</formula>
    </cfRule>
    <cfRule type="cellIs" dxfId="3088" priority="2620" stopIfTrue="1" operator="equal">
      <formula>"Napkin Hs"</formula>
    </cfRule>
  </conditionalFormatting>
  <conditionalFormatting sqref="C126">
    <cfRule type="cellIs" dxfId="3087" priority="2615" stopIfTrue="1" operator="equal">
      <formula>"Towel"</formula>
    </cfRule>
    <cfRule type="cellIs" dxfId="3086" priority="2616" stopIfTrue="1" operator="equal">
      <formula>"Napkin Hs"</formula>
    </cfRule>
  </conditionalFormatting>
  <conditionalFormatting sqref="B125:C125">
    <cfRule type="cellIs" dxfId="3085" priority="2613" stopIfTrue="1" operator="equal">
      <formula>"Towel"</formula>
    </cfRule>
    <cfRule type="cellIs" dxfId="3084" priority="2614" stopIfTrue="1" operator="equal">
      <formula>"Napkin Hs"</formula>
    </cfRule>
  </conditionalFormatting>
  <conditionalFormatting sqref="C125">
    <cfRule type="cellIs" dxfId="3083" priority="2609" stopIfTrue="1" operator="equal">
      <formula>"Towel"</formula>
    </cfRule>
    <cfRule type="cellIs" dxfId="3082" priority="2610" stopIfTrue="1" operator="equal">
      <formula>"Napkin Hs"</formula>
    </cfRule>
  </conditionalFormatting>
  <conditionalFormatting sqref="C125">
    <cfRule type="cellIs" dxfId="3081" priority="2611" stopIfTrue="1" operator="equal">
      <formula>"Towel"</formula>
    </cfRule>
    <cfRule type="cellIs" dxfId="3080" priority="2612" stopIfTrue="1" operator="equal">
      <formula>"Napkin Hs"</formula>
    </cfRule>
  </conditionalFormatting>
  <conditionalFormatting sqref="B126:C126">
    <cfRule type="cellIs" dxfId="3079" priority="2589" stopIfTrue="1" operator="equal">
      <formula>"Towel"</formula>
    </cfRule>
    <cfRule type="cellIs" dxfId="3078" priority="2590" stopIfTrue="1" operator="equal">
      <formula>"Napkin Hs"</formula>
    </cfRule>
  </conditionalFormatting>
  <conditionalFormatting sqref="C124">
    <cfRule type="cellIs" dxfId="3077" priority="2463" stopIfTrue="1" operator="equal">
      <formula>"Towel"</formula>
    </cfRule>
    <cfRule type="cellIs" dxfId="3076" priority="2464" stopIfTrue="1" operator="equal">
      <formula>"Napkin Hs"</formula>
    </cfRule>
  </conditionalFormatting>
  <conditionalFormatting sqref="C126">
    <cfRule type="cellIs" dxfId="3075" priority="2587" stopIfTrue="1" operator="equal">
      <formula>"Towel"</formula>
    </cfRule>
    <cfRule type="cellIs" dxfId="3074" priority="2588" stopIfTrue="1" operator="equal">
      <formula>"Napkin Hs"</formula>
    </cfRule>
  </conditionalFormatting>
  <conditionalFormatting sqref="C126">
    <cfRule type="cellIs" dxfId="3073" priority="2585" stopIfTrue="1" operator="equal">
      <formula>"Towel"</formula>
    </cfRule>
    <cfRule type="cellIs" dxfId="3072" priority="2586" stopIfTrue="1" operator="equal">
      <formula>"Napkin Hs"</formula>
    </cfRule>
  </conditionalFormatting>
  <conditionalFormatting sqref="C124">
    <cfRule type="cellIs" dxfId="3071" priority="2443" stopIfTrue="1" operator="equal">
      <formula>"Towel"</formula>
    </cfRule>
    <cfRule type="cellIs" dxfId="3070" priority="2444" stopIfTrue="1" operator="equal">
      <formula>"Napkin Hs"</formula>
    </cfRule>
  </conditionalFormatting>
  <conditionalFormatting sqref="C124">
    <cfRule type="cellIs" dxfId="3069" priority="2441" stopIfTrue="1" operator="equal">
      <formula>"Towel"</formula>
    </cfRule>
    <cfRule type="cellIs" dxfId="3068" priority="2442" stopIfTrue="1" operator="equal">
      <formula>"Napkin Hs"</formula>
    </cfRule>
  </conditionalFormatting>
  <conditionalFormatting sqref="C124">
    <cfRule type="cellIs" dxfId="3067" priority="2449" stopIfTrue="1" operator="equal">
      <formula>"Towel"</formula>
    </cfRule>
    <cfRule type="cellIs" dxfId="3066" priority="2450" stopIfTrue="1" operator="equal">
      <formula>"Napkin Hs"</formula>
    </cfRule>
  </conditionalFormatting>
  <conditionalFormatting sqref="C124">
    <cfRule type="cellIs" dxfId="3065" priority="2447" stopIfTrue="1" operator="equal">
      <formula>"Towel"</formula>
    </cfRule>
    <cfRule type="cellIs" dxfId="3064" priority="2448" stopIfTrue="1" operator="equal">
      <formula>"Napkin Hs"</formula>
    </cfRule>
  </conditionalFormatting>
  <conditionalFormatting sqref="C124">
    <cfRule type="cellIs" dxfId="3063" priority="2445" stopIfTrue="1" operator="equal">
      <formula>"Towel"</formula>
    </cfRule>
    <cfRule type="cellIs" dxfId="3062" priority="2446" stopIfTrue="1" operator="equal">
      <formula>"Napkin Hs"</formula>
    </cfRule>
  </conditionalFormatting>
  <conditionalFormatting sqref="B125:C125">
    <cfRule type="cellIs" dxfId="3061" priority="2565" stopIfTrue="1" operator="equal">
      <formula>"Towel"</formula>
    </cfRule>
    <cfRule type="cellIs" dxfId="3060" priority="2566" stopIfTrue="1" operator="equal">
      <formula>"Napkin Hs"</formula>
    </cfRule>
  </conditionalFormatting>
  <conditionalFormatting sqref="C125">
    <cfRule type="cellIs" dxfId="3059" priority="2563" stopIfTrue="1" operator="equal">
      <formula>"Towel"</formula>
    </cfRule>
    <cfRule type="cellIs" dxfId="3058" priority="2564" stopIfTrue="1" operator="equal">
      <formula>"Napkin Hs"</formula>
    </cfRule>
  </conditionalFormatting>
  <conditionalFormatting sqref="C125">
    <cfRule type="cellIs" dxfId="3057" priority="2561" stopIfTrue="1" operator="equal">
      <formula>"Towel"</formula>
    </cfRule>
    <cfRule type="cellIs" dxfId="3056" priority="2562" stopIfTrue="1" operator="equal">
      <formula>"Napkin Hs"</formula>
    </cfRule>
  </conditionalFormatting>
  <conditionalFormatting sqref="C124">
    <cfRule type="cellIs" dxfId="3055" priority="2455" stopIfTrue="1" operator="equal">
      <formula>"Towel"</formula>
    </cfRule>
    <cfRule type="cellIs" dxfId="3054" priority="2456" stopIfTrue="1" operator="equal">
      <formula>"Napkin Hs"</formula>
    </cfRule>
  </conditionalFormatting>
  <conditionalFormatting sqref="C124">
    <cfRule type="cellIs" dxfId="3053" priority="2453" stopIfTrue="1" operator="equal">
      <formula>"Towel"</formula>
    </cfRule>
    <cfRule type="cellIs" dxfId="3052" priority="2454" stopIfTrue="1" operator="equal">
      <formula>"Napkin Hs"</formula>
    </cfRule>
  </conditionalFormatting>
  <conditionalFormatting sqref="C124">
    <cfRule type="cellIs" dxfId="3051" priority="2451" stopIfTrue="1" operator="equal">
      <formula>"Towel"</formula>
    </cfRule>
    <cfRule type="cellIs" dxfId="3050" priority="2452" stopIfTrue="1" operator="equal">
      <formula>"Napkin Hs"</formula>
    </cfRule>
  </conditionalFormatting>
  <conditionalFormatting sqref="C125">
    <cfRule type="cellIs" dxfId="3049" priority="2553" stopIfTrue="1" operator="equal">
      <formula>"Towel"</formula>
    </cfRule>
    <cfRule type="cellIs" dxfId="3048" priority="2554" stopIfTrue="1" operator="equal">
      <formula>"Napkin Hs"</formula>
    </cfRule>
  </conditionalFormatting>
  <conditionalFormatting sqref="B125:C125">
    <cfRule type="cellIs" dxfId="3047" priority="2555" stopIfTrue="1" operator="equal">
      <formula>"Towel"</formula>
    </cfRule>
    <cfRule type="cellIs" dxfId="3046" priority="2556" stopIfTrue="1" operator="equal">
      <formula>"Napkin Hs"</formula>
    </cfRule>
  </conditionalFormatting>
  <conditionalFormatting sqref="C125">
    <cfRule type="cellIs" dxfId="3045" priority="2551" stopIfTrue="1" operator="equal">
      <formula>"Towel"</formula>
    </cfRule>
    <cfRule type="cellIs" dxfId="3044" priority="2552" stopIfTrue="1" operator="equal">
      <formula>"Napkin Hs"</formula>
    </cfRule>
  </conditionalFormatting>
  <conditionalFormatting sqref="B125:C125">
    <cfRule type="cellIs" dxfId="3043" priority="2549" stopIfTrue="1" operator="equal">
      <formula>"Towel"</formula>
    </cfRule>
    <cfRule type="cellIs" dxfId="3042" priority="2550" stopIfTrue="1" operator="equal">
      <formula>"Napkin Hs"</formula>
    </cfRule>
  </conditionalFormatting>
  <conditionalFormatting sqref="C125">
    <cfRule type="cellIs" dxfId="3041" priority="2557" stopIfTrue="1" operator="equal">
      <formula>"Towel"</formula>
    </cfRule>
    <cfRule type="cellIs" dxfId="3040" priority="2558" stopIfTrue="1" operator="equal">
      <formula>"Napkin Hs"</formula>
    </cfRule>
  </conditionalFormatting>
  <conditionalFormatting sqref="C125">
    <cfRule type="cellIs" dxfId="3039" priority="2559" stopIfTrue="1" operator="equal">
      <formula>"Towel"</formula>
    </cfRule>
    <cfRule type="cellIs" dxfId="3038" priority="2560" stopIfTrue="1" operator="equal">
      <formula>"Napkin Hs"</formula>
    </cfRule>
  </conditionalFormatting>
  <conditionalFormatting sqref="C124">
    <cfRule type="cellIs" dxfId="3037" priority="2459" stopIfTrue="1" operator="equal">
      <formula>"Towel"</formula>
    </cfRule>
    <cfRule type="cellIs" dxfId="3036" priority="2460" stopIfTrue="1" operator="equal">
      <formula>"Napkin Hs"</formula>
    </cfRule>
  </conditionalFormatting>
  <conditionalFormatting sqref="C124">
    <cfRule type="cellIs" dxfId="3035" priority="2461" stopIfTrue="1" operator="equal">
      <formula>"Towel"</formula>
    </cfRule>
    <cfRule type="cellIs" dxfId="3034" priority="2462" stopIfTrue="1" operator="equal">
      <formula>"Napkin Hs"</formula>
    </cfRule>
  </conditionalFormatting>
  <conditionalFormatting sqref="C124">
    <cfRule type="cellIs" dxfId="3033" priority="2457" stopIfTrue="1" operator="equal">
      <formula>"Towel"</formula>
    </cfRule>
    <cfRule type="cellIs" dxfId="3032" priority="2458" stopIfTrue="1" operator="equal">
      <formula>"Napkin Hs"</formula>
    </cfRule>
  </conditionalFormatting>
  <conditionalFormatting sqref="B148:C148">
    <cfRule type="cellIs" dxfId="3031" priority="2147" stopIfTrue="1" operator="equal">
      <formula>"Towel"</formula>
    </cfRule>
    <cfRule type="cellIs" dxfId="3030" priority="2148" stopIfTrue="1" operator="equal">
      <formula>"Napkin Hs"</formula>
    </cfRule>
  </conditionalFormatting>
  <conditionalFormatting sqref="C148">
    <cfRule type="cellIs" dxfId="3029" priority="2146" stopIfTrue="1" operator="equal">
      <formula>"Napkin Hs"</formula>
    </cfRule>
  </conditionalFormatting>
  <conditionalFormatting sqref="C148">
    <cfRule type="cellIs" dxfId="3028" priority="2145" stopIfTrue="1" operator="equal">
      <formula>"Towel"</formula>
    </cfRule>
  </conditionalFormatting>
  <conditionalFormatting sqref="C148">
    <cfRule type="cellIs" dxfId="3027" priority="2143" stopIfTrue="1" operator="equal">
      <formula>"Towel"</formula>
    </cfRule>
    <cfRule type="cellIs" dxfId="3026" priority="2144" stopIfTrue="1" operator="equal">
      <formula>"Napkin Hs"</formula>
    </cfRule>
  </conditionalFormatting>
  <conditionalFormatting sqref="B140:C140">
    <cfRule type="cellIs" dxfId="3025" priority="2069" stopIfTrue="1" operator="equal">
      <formula>"Towel"</formula>
    </cfRule>
    <cfRule type="cellIs" dxfId="3024" priority="2070" stopIfTrue="1" operator="equal">
      <formula>"Napkin Hs"</formula>
    </cfRule>
  </conditionalFormatting>
  <conditionalFormatting sqref="C140">
    <cfRule type="cellIs" dxfId="3023" priority="2067" stopIfTrue="1" operator="equal">
      <formula>"Towel"</formula>
    </cfRule>
    <cfRule type="cellIs" dxfId="3022" priority="2068" stopIfTrue="1" operator="equal">
      <formula>"Napkin Hs"</formula>
    </cfRule>
  </conditionalFormatting>
  <conditionalFormatting sqref="C140">
    <cfRule type="cellIs" dxfId="3021" priority="2065" stopIfTrue="1" operator="equal">
      <formula>"Towel"</formula>
    </cfRule>
    <cfRule type="cellIs" dxfId="3020" priority="2066" stopIfTrue="1" operator="equal">
      <formula>"Napkin Hs"</formula>
    </cfRule>
  </conditionalFormatting>
  <conditionalFormatting sqref="B140:C140">
    <cfRule type="cellIs" dxfId="3019" priority="2063" stopIfTrue="1" operator="equal">
      <formula>"Towel"</formula>
    </cfRule>
    <cfRule type="cellIs" dxfId="3018" priority="2064" stopIfTrue="1" operator="equal">
      <formula>"Napkin Hs"</formula>
    </cfRule>
  </conditionalFormatting>
  <conditionalFormatting sqref="C140">
    <cfRule type="cellIs" dxfId="3017" priority="2061" stopIfTrue="1" operator="equal">
      <formula>"Towel"</formula>
    </cfRule>
    <cfRule type="cellIs" dxfId="3016" priority="2062" stopIfTrue="1" operator="equal">
      <formula>"Napkin Hs"</formula>
    </cfRule>
  </conditionalFormatting>
  <conditionalFormatting sqref="C140">
    <cfRule type="cellIs" dxfId="3015" priority="2059" stopIfTrue="1" operator="equal">
      <formula>"Towel"</formula>
    </cfRule>
    <cfRule type="cellIs" dxfId="3014" priority="2060" stopIfTrue="1" operator="equal">
      <formula>"Napkin Hs"</formula>
    </cfRule>
  </conditionalFormatting>
  <conditionalFormatting sqref="C140">
    <cfRule type="cellIs" dxfId="3013" priority="2051" stopIfTrue="1" operator="equal">
      <formula>"Towel"</formula>
    </cfRule>
    <cfRule type="cellIs" dxfId="3012" priority="2052" stopIfTrue="1" operator="equal">
      <formula>"Napkin Hs"</formula>
    </cfRule>
  </conditionalFormatting>
  <conditionalFormatting sqref="B140:C140">
    <cfRule type="cellIs" dxfId="3011" priority="2053" stopIfTrue="1" operator="equal">
      <formula>"Towel"</formula>
    </cfRule>
    <cfRule type="cellIs" dxfId="3010" priority="2054" stopIfTrue="1" operator="equal">
      <formula>"Napkin Hs"</formula>
    </cfRule>
  </conditionalFormatting>
  <conditionalFormatting sqref="C140">
    <cfRule type="cellIs" dxfId="3009" priority="2049" stopIfTrue="1" operator="equal">
      <formula>"Towel"</formula>
    </cfRule>
    <cfRule type="cellIs" dxfId="3008" priority="2050" stopIfTrue="1" operator="equal">
      <formula>"Napkin Hs"</formula>
    </cfRule>
  </conditionalFormatting>
  <conditionalFormatting sqref="B140:C140">
    <cfRule type="cellIs" dxfId="3007" priority="2047" stopIfTrue="1" operator="equal">
      <formula>"Towel"</formula>
    </cfRule>
    <cfRule type="cellIs" dxfId="3006" priority="2048" stopIfTrue="1" operator="equal">
      <formula>"Napkin Hs"</formula>
    </cfRule>
  </conditionalFormatting>
  <conditionalFormatting sqref="C140">
    <cfRule type="cellIs" dxfId="3005" priority="2055" stopIfTrue="1" operator="equal">
      <formula>"Towel"</formula>
    </cfRule>
    <cfRule type="cellIs" dxfId="3004" priority="2056" stopIfTrue="1" operator="equal">
      <formula>"Napkin Hs"</formula>
    </cfRule>
  </conditionalFormatting>
  <conditionalFormatting sqref="C140">
    <cfRule type="cellIs" dxfId="3003" priority="2057" stopIfTrue="1" operator="equal">
      <formula>"Towel"</formula>
    </cfRule>
    <cfRule type="cellIs" dxfId="3002" priority="2058" stopIfTrue="1" operator="equal">
      <formula>"Napkin Hs"</formula>
    </cfRule>
  </conditionalFormatting>
  <conditionalFormatting sqref="B168:C168 B174:C174 B188:C191">
    <cfRule type="cellIs" dxfId="3001" priority="1997" stopIfTrue="1" operator="equal">
      <formula>"Towel"</formula>
    </cfRule>
    <cfRule type="cellIs" dxfId="3000" priority="1998" stopIfTrue="1" operator="equal">
      <formula>"Napkin Hs"</formula>
    </cfRule>
  </conditionalFormatting>
  <conditionalFormatting sqref="C168 C174 C188:C191">
    <cfRule type="cellIs" dxfId="2999" priority="1993" stopIfTrue="1" operator="equal">
      <formula>"Towel"</formula>
    </cfRule>
    <cfRule type="cellIs" dxfId="2998" priority="1994" stopIfTrue="1" operator="equal">
      <formula>"Napkin Hs"</formula>
    </cfRule>
  </conditionalFormatting>
  <conditionalFormatting sqref="C168 C174 C188:C191">
    <cfRule type="cellIs" dxfId="2997" priority="1996" stopIfTrue="1" operator="equal">
      <formula>"Napkin Hs"</formula>
    </cfRule>
  </conditionalFormatting>
  <conditionalFormatting sqref="C168 C174 C188:C191">
    <cfRule type="cellIs" dxfId="2996" priority="1995" stopIfTrue="1" operator="equal">
      <formula>"Towel"</formula>
    </cfRule>
  </conditionalFormatting>
  <conditionalFormatting sqref="B156:C156">
    <cfRule type="cellIs" dxfId="2995" priority="1865" stopIfTrue="1" operator="equal">
      <formula>"Towel"</formula>
    </cfRule>
    <cfRule type="cellIs" dxfId="2994" priority="1866" stopIfTrue="1" operator="equal">
      <formula>"Napkin Hs"</formula>
    </cfRule>
  </conditionalFormatting>
  <conditionalFormatting sqref="C156">
    <cfRule type="cellIs" dxfId="2993" priority="1861" stopIfTrue="1" operator="equal">
      <formula>"Towel"</formula>
    </cfRule>
    <cfRule type="cellIs" dxfId="2992" priority="1862" stopIfTrue="1" operator="equal">
      <formula>"Napkin Hs"</formula>
    </cfRule>
  </conditionalFormatting>
  <conditionalFormatting sqref="C156">
    <cfRule type="cellIs" dxfId="2991" priority="1863" stopIfTrue="1" operator="equal">
      <formula>"Towel"</formula>
    </cfRule>
    <cfRule type="cellIs" dxfId="2990" priority="1864" stopIfTrue="1" operator="equal">
      <formula>"Napkin Hs"</formula>
    </cfRule>
  </conditionalFormatting>
  <conditionalFormatting sqref="B156:C156">
    <cfRule type="cellIs" dxfId="2989" priority="1859" stopIfTrue="1" operator="equal">
      <formula>"Towel"</formula>
    </cfRule>
    <cfRule type="cellIs" dxfId="2988" priority="1860" stopIfTrue="1" operator="equal">
      <formula>"Napkin Hs"</formula>
    </cfRule>
  </conditionalFormatting>
  <conditionalFormatting sqref="C156">
    <cfRule type="cellIs" dxfId="2987" priority="1857" stopIfTrue="1" operator="equal">
      <formula>"Towel"</formula>
    </cfRule>
    <cfRule type="cellIs" dxfId="2986" priority="1858" stopIfTrue="1" operator="equal">
      <formula>"Napkin Hs"</formula>
    </cfRule>
  </conditionalFormatting>
  <conditionalFormatting sqref="C156">
    <cfRule type="cellIs" dxfId="2985" priority="1855" stopIfTrue="1" operator="equal">
      <formula>"Towel"</formula>
    </cfRule>
    <cfRule type="cellIs" dxfId="2984" priority="1856" stopIfTrue="1" operator="equal">
      <formula>"Napkin Hs"</formula>
    </cfRule>
  </conditionalFormatting>
  <conditionalFormatting sqref="C156">
    <cfRule type="cellIs" dxfId="2983" priority="1847" stopIfTrue="1" operator="equal">
      <formula>"Towel"</formula>
    </cfRule>
    <cfRule type="cellIs" dxfId="2982" priority="1848" stopIfTrue="1" operator="equal">
      <formula>"Napkin Hs"</formula>
    </cfRule>
  </conditionalFormatting>
  <conditionalFormatting sqref="B156:C156">
    <cfRule type="cellIs" dxfId="2981" priority="1849" stopIfTrue="1" operator="equal">
      <formula>"Towel"</formula>
    </cfRule>
    <cfRule type="cellIs" dxfId="2980" priority="1850" stopIfTrue="1" operator="equal">
      <formula>"Napkin Hs"</formula>
    </cfRule>
  </conditionalFormatting>
  <conditionalFormatting sqref="C156">
    <cfRule type="cellIs" dxfId="2979" priority="1845" stopIfTrue="1" operator="equal">
      <formula>"Towel"</formula>
    </cfRule>
    <cfRule type="cellIs" dxfId="2978" priority="1846" stopIfTrue="1" operator="equal">
      <formula>"Napkin Hs"</formula>
    </cfRule>
  </conditionalFormatting>
  <conditionalFormatting sqref="B156:C156">
    <cfRule type="cellIs" dxfId="2977" priority="1843" stopIfTrue="1" operator="equal">
      <formula>"Towel"</formula>
    </cfRule>
    <cfRule type="cellIs" dxfId="2976" priority="1844" stopIfTrue="1" operator="equal">
      <formula>"Napkin Hs"</formula>
    </cfRule>
  </conditionalFormatting>
  <conditionalFormatting sqref="C156">
    <cfRule type="cellIs" dxfId="2975" priority="1851" stopIfTrue="1" operator="equal">
      <formula>"Towel"</formula>
    </cfRule>
    <cfRule type="cellIs" dxfId="2974" priority="1852" stopIfTrue="1" operator="equal">
      <formula>"Napkin Hs"</formula>
    </cfRule>
  </conditionalFormatting>
  <conditionalFormatting sqref="C156">
    <cfRule type="cellIs" dxfId="2973" priority="1853" stopIfTrue="1" operator="equal">
      <formula>"Towel"</formula>
    </cfRule>
    <cfRule type="cellIs" dxfId="2972" priority="1854" stopIfTrue="1" operator="equal">
      <formula>"Napkin Hs"</formula>
    </cfRule>
  </conditionalFormatting>
  <conditionalFormatting sqref="B162:C162">
    <cfRule type="cellIs" dxfId="2971" priority="1793" stopIfTrue="1" operator="equal">
      <formula>"Towel"</formula>
    </cfRule>
    <cfRule type="cellIs" dxfId="2970" priority="1794" stopIfTrue="1" operator="equal">
      <formula>"Napkin Hs"</formula>
    </cfRule>
  </conditionalFormatting>
  <conditionalFormatting sqref="C162">
    <cfRule type="cellIs" dxfId="2969" priority="1792" stopIfTrue="1" operator="equal">
      <formula>"Napkin Hs"</formula>
    </cfRule>
  </conditionalFormatting>
  <conditionalFormatting sqref="C162">
    <cfRule type="cellIs" dxfId="2968" priority="1791" stopIfTrue="1" operator="equal">
      <formula>"Towel"</formula>
    </cfRule>
  </conditionalFormatting>
  <conditionalFormatting sqref="C162">
    <cfRule type="cellIs" dxfId="2967" priority="1789" stopIfTrue="1" operator="equal">
      <formula>"Towel"</formula>
    </cfRule>
    <cfRule type="cellIs" dxfId="2966" priority="1790" stopIfTrue="1" operator="equal">
      <formula>"Napkin Hs"</formula>
    </cfRule>
  </conditionalFormatting>
  <conditionalFormatting sqref="B6:C9">
    <cfRule type="cellIs" dxfId="2965" priority="1691" stopIfTrue="1" operator="equal">
      <formula>"Towel"</formula>
    </cfRule>
    <cfRule type="cellIs" dxfId="2964" priority="1692" stopIfTrue="1" operator="equal">
      <formula>"Napkin Hs"</formula>
    </cfRule>
  </conditionalFormatting>
  <conditionalFormatting sqref="C6:C9">
    <cfRule type="cellIs" dxfId="2963" priority="1690" stopIfTrue="1" operator="equal">
      <formula>"Napkin Hs"</formula>
    </cfRule>
  </conditionalFormatting>
  <conditionalFormatting sqref="C6:C9">
    <cfRule type="cellIs" dxfId="2962" priority="1687" stopIfTrue="1" operator="equal">
      <formula>"Towel"</formula>
    </cfRule>
    <cfRule type="cellIs" dxfId="2961" priority="1688" stopIfTrue="1" operator="equal">
      <formula>"Napkin Hs"</formula>
    </cfRule>
  </conditionalFormatting>
  <conditionalFormatting sqref="C6:C9">
    <cfRule type="cellIs" dxfId="2960" priority="1689" stopIfTrue="1" operator="equal">
      <formula>"Towel"</formula>
    </cfRule>
  </conditionalFormatting>
  <conditionalFormatting sqref="C16">
    <cfRule type="cellIs" dxfId="2959" priority="1683" stopIfTrue="1" operator="equal">
      <formula>"Towel"</formula>
    </cfRule>
    <cfRule type="cellIs" dxfId="2958" priority="1684" stopIfTrue="1" operator="equal">
      <formula>"Napkin Hs"</formula>
    </cfRule>
  </conditionalFormatting>
  <conditionalFormatting sqref="C16">
    <cfRule type="cellIs" dxfId="2957" priority="1685" stopIfTrue="1" operator="equal">
      <formula>"Towel"</formula>
    </cfRule>
    <cfRule type="cellIs" dxfId="2956" priority="1686" stopIfTrue="1" operator="equal">
      <formula>"Napkin Hs"</formula>
    </cfRule>
  </conditionalFormatting>
  <conditionalFormatting sqref="B16:C16">
    <cfRule type="cellIs" dxfId="2955" priority="1681" stopIfTrue="1" operator="equal">
      <formula>"Towel"</formula>
    </cfRule>
    <cfRule type="cellIs" dxfId="2954" priority="1682" stopIfTrue="1" operator="equal">
      <formula>"Napkin Hs"</formula>
    </cfRule>
  </conditionalFormatting>
  <conditionalFormatting sqref="B16:C16">
    <cfRule type="cellIs" dxfId="2953" priority="1675" stopIfTrue="1" operator="equal">
      <formula>"Towel"</formula>
    </cfRule>
    <cfRule type="cellIs" dxfId="2952" priority="1676" stopIfTrue="1" operator="equal">
      <formula>"Napkin Hs"</formula>
    </cfRule>
  </conditionalFormatting>
  <conditionalFormatting sqref="C16">
    <cfRule type="cellIs" dxfId="2951" priority="1677" stopIfTrue="1" operator="equal">
      <formula>"Towel"</formula>
    </cfRule>
    <cfRule type="cellIs" dxfId="2950" priority="1678" stopIfTrue="1" operator="equal">
      <formula>"Napkin Hs"</formula>
    </cfRule>
  </conditionalFormatting>
  <conditionalFormatting sqref="C16">
    <cfRule type="cellIs" dxfId="2949" priority="1679" stopIfTrue="1" operator="equal">
      <formula>"Towel"</formula>
    </cfRule>
    <cfRule type="cellIs" dxfId="2948" priority="1680" stopIfTrue="1" operator="equal">
      <formula>"Napkin Hs"</formula>
    </cfRule>
  </conditionalFormatting>
  <conditionalFormatting sqref="B22:C22">
    <cfRule type="cellIs" dxfId="2947" priority="1667" stopIfTrue="1" operator="equal">
      <formula>"Towel"</formula>
    </cfRule>
    <cfRule type="cellIs" dxfId="2946" priority="1668" stopIfTrue="1" operator="equal">
      <formula>"Napkin Hs"</formula>
    </cfRule>
  </conditionalFormatting>
  <conditionalFormatting sqref="C22">
    <cfRule type="cellIs" dxfId="2945" priority="1666" stopIfTrue="1" operator="equal">
      <formula>"Napkin Hs"</formula>
    </cfRule>
  </conditionalFormatting>
  <conditionalFormatting sqref="C22">
    <cfRule type="cellIs" dxfId="2944" priority="1663" stopIfTrue="1" operator="equal">
      <formula>"Towel"</formula>
    </cfRule>
    <cfRule type="cellIs" dxfId="2943" priority="1664" stopIfTrue="1" operator="equal">
      <formula>"Napkin Hs"</formula>
    </cfRule>
  </conditionalFormatting>
  <conditionalFormatting sqref="C22">
    <cfRule type="cellIs" dxfId="2942" priority="1665" stopIfTrue="1" operator="equal">
      <formula>"Towel"</formula>
    </cfRule>
  </conditionalFormatting>
  <conditionalFormatting sqref="B28:C28">
    <cfRule type="cellIs" dxfId="2941" priority="1661" stopIfTrue="1" operator="equal">
      <formula>"Towel"</formula>
    </cfRule>
    <cfRule type="cellIs" dxfId="2940" priority="1662" stopIfTrue="1" operator="equal">
      <formula>"Napkin Hs"</formula>
    </cfRule>
  </conditionalFormatting>
  <conditionalFormatting sqref="C28">
    <cfRule type="cellIs" dxfId="2939" priority="1660" stopIfTrue="1" operator="equal">
      <formula>"Napkin Hs"</formula>
    </cfRule>
  </conditionalFormatting>
  <conditionalFormatting sqref="C28">
    <cfRule type="cellIs" dxfId="2938" priority="1657" stopIfTrue="1" operator="equal">
      <formula>"Towel"</formula>
    </cfRule>
    <cfRule type="cellIs" dxfId="2937" priority="1658" stopIfTrue="1" operator="equal">
      <formula>"Napkin Hs"</formula>
    </cfRule>
  </conditionalFormatting>
  <conditionalFormatting sqref="C28">
    <cfRule type="cellIs" dxfId="2936" priority="1659" stopIfTrue="1" operator="equal">
      <formula>"Towel"</formula>
    </cfRule>
  </conditionalFormatting>
  <conditionalFormatting sqref="B33:C34">
    <cfRule type="cellIs" dxfId="2935" priority="1639" stopIfTrue="1" operator="equal">
      <formula>"Towel"</formula>
    </cfRule>
    <cfRule type="cellIs" dxfId="2934" priority="1640" stopIfTrue="1" operator="equal">
      <formula>"Napkin Hs"</formula>
    </cfRule>
  </conditionalFormatting>
  <conditionalFormatting sqref="C33:C34">
    <cfRule type="cellIs" dxfId="2933" priority="1638" stopIfTrue="1" operator="equal">
      <formula>"Napkin Hs"</formula>
    </cfRule>
  </conditionalFormatting>
  <conditionalFormatting sqref="C33:C34">
    <cfRule type="cellIs" dxfId="2932" priority="1635" stopIfTrue="1" operator="equal">
      <formula>"Towel"</formula>
    </cfRule>
    <cfRule type="cellIs" dxfId="2931" priority="1636" stopIfTrue="1" operator="equal">
      <formula>"Napkin Hs"</formula>
    </cfRule>
  </conditionalFormatting>
  <conditionalFormatting sqref="C33:C34">
    <cfRule type="cellIs" dxfId="2930" priority="1637" stopIfTrue="1" operator="equal">
      <formula>"Towel"</formula>
    </cfRule>
  </conditionalFormatting>
  <conditionalFormatting sqref="B12:C15">
    <cfRule type="cellIs" dxfId="2929" priority="1591" stopIfTrue="1" operator="equal">
      <formula>"Towel"</formula>
    </cfRule>
    <cfRule type="cellIs" dxfId="2928" priority="1592" stopIfTrue="1" operator="equal">
      <formula>"Napkin Hs"</formula>
    </cfRule>
  </conditionalFormatting>
  <conditionalFormatting sqref="C12:C15">
    <cfRule type="cellIs" dxfId="2927" priority="1590" stopIfTrue="1" operator="equal">
      <formula>"Napkin Hs"</formula>
    </cfRule>
  </conditionalFormatting>
  <conditionalFormatting sqref="C12:C15">
    <cfRule type="cellIs" dxfId="2926" priority="1587" stopIfTrue="1" operator="equal">
      <formula>"Towel"</formula>
    </cfRule>
    <cfRule type="cellIs" dxfId="2925" priority="1588" stopIfTrue="1" operator="equal">
      <formula>"Napkin Hs"</formula>
    </cfRule>
  </conditionalFormatting>
  <conditionalFormatting sqref="C12:C15">
    <cfRule type="cellIs" dxfId="2924" priority="1589" stopIfTrue="1" operator="equal">
      <formula>"Towel"</formula>
    </cfRule>
  </conditionalFormatting>
  <conditionalFormatting sqref="B17:C21">
    <cfRule type="cellIs" dxfId="2923" priority="1585" stopIfTrue="1" operator="equal">
      <formula>"Towel"</formula>
    </cfRule>
    <cfRule type="cellIs" dxfId="2922" priority="1586" stopIfTrue="1" operator="equal">
      <formula>"Napkin Hs"</formula>
    </cfRule>
  </conditionalFormatting>
  <conditionalFormatting sqref="C17:C21">
    <cfRule type="cellIs" dxfId="2921" priority="1584" stopIfTrue="1" operator="equal">
      <formula>"Napkin Hs"</formula>
    </cfRule>
  </conditionalFormatting>
  <conditionalFormatting sqref="C17:C21">
    <cfRule type="cellIs" dxfId="2920" priority="1581" stopIfTrue="1" operator="equal">
      <formula>"Towel"</formula>
    </cfRule>
    <cfRule type="cellIs" dxfId="2919" priority="1582" stopIfTrue="1" operator="equal">
      <formula>"Napkin Hs"</formula>
    </cfRule>
  </conditionalFormatting>
  <conditionalFormatting sqref="C17:C21">
    <cfRule type="cellIs" dxfId="2918" priority="1583" stopIfTrue="1" operator="equal">
      <formula>"Towel"</formula>
    </cfRule>
  </conditionalFormatting>
  <conditionalFormatting sqref="B23:C26">
    <cfRule type="cellIs" dxfId="2917" priority="1579" stopIfTrue="1" operator="equal">
      <formula>"Towel"</formula>
    </cfRule>
    <cfRule type="cellIs" dxfId="2916" priority="1580" stopIfTrue="1" operator="equal">
      <formula>"Napkin Hs"</formula>
    </cfRule>
  </conditionalFormatting>
  <conditionalFormatting sqref="C23:C26">
    <cfRule type="cellIs" dxfId="2915" priority="1578" stopIfTrue="1" operator="equal">
      <formula>"Napkin Hs"</formula>
    </cfRule>
  </conditionalFormatting>
  <conditionalFormatting sqref="C23:C26">
    <cfRule type="cellIs" dxfId="2914" priority="1575" stopIfTrue="1" operator="equal">
      <formula>"Towel"</formula>
    </cfRule>
    <cfRule type="cellIs" dxfId="2913" priority="1576" stopIfTrue="1" operator="equal">
      <formula>"Napkin Hs"</formula>
    </cfRule>
  </conditionalFormatting>
  <conditionalFormatting sqref="C23:C26">
    <cfRule type="cellIs" dxfId="2912" priority="1577" stopIfTrue="1" operator="equal">
      <formula>"Towel"</formula>
    </cfRule>
  </conditionalFormatting>
  <conditionalFormatting sqref="B27:C27">
    <cfRule type="cellIs" dxfId="2911" priority="1573" stopIfTrue="1" operator="equal">
      <formula>"Towel"</formula>
    </cfRule>
    <cfRule type="cellIs" dxfId="2910" priority="1574" stopIfTrue="1" operator="equal">
      <formula>"Napkin Hs"</formula>
    </cfRule>
  </conditionalFormatting>
  <conditionalFormatting sqref="C27">
    <cfRule type="cellIs" dxfId="2909" priority="1572" stopIfTrue="1" operator="equal">
      <formula>"Napkin Hs"</formula>
    </cfRule>
  </conditionalFormatting>
  <conditionalFormatting sqref="C27">
    <cfRule type="cellIs" dxfId="2908" priority="1569" stopIfTrue="1" operator="equal">
      <formula>"Towel"</formula>
    </cfRule>
    <cfRule type="cellIs" dxfId="2907" priority="1570" stopIfTrue="1" operator="equal">
      <formula>"Napkin Hs"</formula>
    </cfRule>
  </conditionalFormatting>
  <conditionalFormatting sqref="C27">
    <cfRule type="cellIs" dxfId="2906" priority="1571" stopIfTrue="1" operator="equal">
      <formula>"Towel"</formula>
    </cfRule>
  </conditionalFormatting>
  <conditionalFormatting sqref="B30:C32">
    <cfRule type="cellIs" dxfId="2905" priority="1567" stopIfTrue="1" operator="equal">
      <formula>"Towel"</formula>
    </cfRule>
    <cfRule type="cellIs" dxfId="2904" priority="1568" stopIfTrue="1" operator="equal">
      <formula>"Napkin Hs"</formula>
    </cfRule>
  </conditionalFormatting>
  <conditionalFormatting sqref="C30:C32">
    <cfRule type="cellIs" dxfId="2903" priority="1566" stopIfTrue="1" operator="equal">
      <formula>"Napkin Hs"</formula>
    </cfRule>
  </conditionalFormatting>
  <conditionalFormatting sqref="C30:C32">
    <cfRule type="cellIs" dxfId="2902" priority="1563" stopIfTrue="1" operator="equal">
      <formula>"Towel"</formula>
    </cfRule>
    <cfRule type="cellIs" dxfId="2901" priority="1564" stopIfTrue="1" operator="equal">
      <formula>"Napkin Hs"</formula>
    </cfRule>
  </conditionalFormatting>
  <conditionalFormatting sqref="C30:C32">
    <cfRule type="cellIs" dxfId="2900" priority="1565" stopIfTrue="1" operator="equal">
      <formula>"Towel"</formula>
    </cfRule>
  </conditionalFormatting>
  <conditionalFormatting sqref="B29:C29">
    <cfRule type="cellIs" dxfId="2899" priority="1561" stopIfTrue="1" operator="equal">
      <formula>"Towel"</formula>
    </cfRule>
    <cfRule type="cellIs" dxfId="2898" priority="1562" stopIfTrue="1" operator="equal">
      <formula>"Napkin Hs"</formula>
    </cfRule>
  </conditionalFormatting>
  <conditionalFormatting sqref="C29">
    <cfRule type="cellIs" dxfId="2897" priority="1560" stopIfTrue="1" operator="equal">
      <formula>"Napkin Hs"</formula>
    </cfRule>
  </conditionalFormatting>
  <conditionalFormatting sqref="C29">
    <cfRule type="cellIs" dxfId="2896" priority="1557" stopIfTrue="1" operator="equal">
      <formula>"Towel"</formula>
    </cfRule>
    <cfRule type="cellIs" dxfId="2895" priority="1558" stopIfTrue="1" operator="equal">
      <formula>"Napkin Hs"</formula>
    </cfRule>
  </conditionalFormatting>
  <conditionalFormatting sqref="C29">
    <cfRule type="cellIs" dxfId="2894" priority="1559" stopIfTrue="1" operator="equal">
      <formula>"Towel"</formula>
    </cfRule>
  </conditionalFormatting>
  <conditionalFormatting sqref="B38:C40">
    <cfRule type="cellIs" dxfId="2893" priority="1555" stopIfTrue="1" operator="equal">
      <formula>"Towel"</formula>
    </cfRule>
    <cfRule type="cellIs" dxfId="2892" priority="1556" stopIfTrue="1" operator="equal">
      <formula>"Napkin Hs"</formula>
    </cfRule>
  </conditionalFormatting>
  <conditionalFormatting sqref="C38:C40">
    <cfRule type="cellIs" dxfId="2891" priority="1554" stopIfTrue="1" operator="equal">
      <formula>"Napkin Hs"</formula>
    </cfRule>
  </conditionalFormatting>
  <conditionalFormatting sqref="C38:C40">
    <cfRule type="cellIs" dxfId="2890" priority="1551" stopIfTrue="1" operator="equal">
      <formula>"Towel"</formula>
    </cfRule>
    <cfRule type="cellIs" dxfId="2889" priority="1552" stopIfTrue="1" operator="equal">
      <formula>"Napkin Hs"</formula>
    </cfRule>
  </conditionalFormatting>
  <conditionalFormatting sqref="C38:C40">
    <cfRule type="cellIs" dxfId="2888" priority="1553" stopIfTrue="1" operator="equal">
      <formula>"Towel"</formula>
    </cfRule>
  </conditionalFormatting>
  <conditionalFormatting sqref="B35:C37">
    <cfRule type="cellIs" dxfId="2887" priority="1549" stopIfTrue="1" operator="equal">
      <formula>"Towel"</formula>
    </cfRule>
    <cfRule type="cellIs" dxfId="2886" priority="1550" stopIfTrue="1" operator="equal">
      <formula>"Napkin Hs"</formula>
    </cfRule>
  </conditionalFormatting>
  <conditionalFormatting sqref="C35:C37">
    <cfRule type="cellIs" dxfId="2885" priority="1548" stopIfTrue="1" operator="equal">
      <formula>"Napkin Hs"</formula>
    </cfRule>
  </conditionalFormatting>
  <conditionalFormatting sqref="C35:C37">
    <cfRule type="cellIs" dxfId="2884" priority="1545" stopIfTrue="1" operator="equal">
      <formula>"Towel"</formula>
    </cfRule>
    <cfRule type="cellIs" dxfId="2883" priority="1546" stopIfTrue="1" operator="equal">
      <formula>"Napkin Hs"</formula>
    </cfRule>
  </conditionalFormatting>
  <conditionalFormatting sqref="C35:C37">
    <cfRule type="cellIs" dxfId="2882" priority="1547" stopIfTrue="1" operator="equal">
      <formula>"Towel"</formula>
    </cfRule>
  </conditionalFormatting>
  <conditionalFormatting sqref="B43:C45">
    <cfRule type="cellIs" dxfId="2881" priority="1537" stopIfTrue="1" operator="equal">
      <formula>"Towel"</formula>
    </cfRule>
    <cfRule type="cellIs" dxfId="2880" priority="1538" stopIfTrue="1" operator="equal">
      <formula>"Napkin Hs"</formula>
    </cfRule>
  </conditionalFormatting>
  <conditionalFormatting sqref="C43:C45">
    <cfRule type="cellIs" dxfId="2879" priority="1536" stopIfTrue="1" operator="equal">
      <formula>"Napkin Hs"</formula>
    </cfRule>
  </conditionalFormatting>
  <conditionalFormatting sqref="C43:C45">
    <cfRule type="cellIs" dxfId="2878" priority="1533" stopIfTrue="1" operator="equal">
      <formula>"Towel"</formula>
    </cfRule>
    <cfRule type="cellIs" dxfId="2877" priority="1534" stopIfTrue="1" operator="equal">
      <formula>"Napkin Hs"</formula>
    </cfRule>
  </conditionalFormatting>
  <conditionalFormatting sqref="C43:C45">
    <cfRule type="cellIs" dxfId="2876" priority="1535" stopIfTrue="1" operator="equal">
      <formula>"Towel"</formula>
    </cfRule>
  </conditionalFormatting>
  <conditionalFormatting sqref="B42:C42">
    <cfRule type="cellIs" dxfId="2875" priority="1531" stopIfTrue="1" operator="equal">
      <formula>"Towel"</formula>
    </cfRule>
    <cfRule type="cellIs" dxfId="2874" priority="1532" stopIfTrue="1" operator="equal">
      <formula>"Napkin Hs"</formula>
    </cfRule>
  </conditionalFormatting>
  <conditionalFormatting sqref="C42">
    <cfRule type="cellIs" dxfId="2873" priority="1530" stopIfTrue="1" operator="equal">
      <formula>"Napkin Hs"</formula>
    </cfRule>
  </conditionalFormatting>
  <conditionalFormatting sqref="C42">
    <cfRule type="cellIs" dxfId="2872" priority="1527" stopIfTrue="1" operator="equal">
      <formula>"Towel"</formula>
    </cfRule>
    <cfRule type="cellIs" dxfId="2871" priority="1528" stopIfTrue="1" operator="equal">
      <formula>"Napkin Hs"</formula>
    </cfRule>
  </conditionalFormatting>
  <conditionalFormatting sqref="C42">
    <cfRule type="cellIs" dxfId="2870" priority="1529" stopIfTrue="1" operator="equal">
      <formula>"Towel"</formula>
    </cfRule>
  </conditionalFormatting>
  <conditionalFormatting sqref="B48:C50">
    <cfRule type="cellIs" dxfId="2869" priority="1525" stopIfTrue="1" operator="equal">
      <formula>"Towel"</formula>
    </cfRule>
    <cfRule type="cellIs" dxfId="2868" priority="1526" stopIfTrue="1" operator="equal">
      <formula>"Napkin Hs"</formula>
    </cfRule>
  </conditionalFormatting>
  <conditionalFormatting sqref="C48:C50">
    <cfRule type="cellIs" dxfId="2867" priority="1524" stopIfTrue="1" operator="equal">
      <formula>"Napkin Hs"</formula>
    </cfRule>
  </conditionalFormatting>
  <conditionalFormatting sqref="C48:C50">
    <cfRule type="cellIs" dxfId="2866" priority="1521" stopIfTrue="1" operator="equal">
      <formula>"Towel"</formula>
    </cfRule>
    <cfRule type="cellIs" dxfId="2865" priority="1522" stopIfTrue="1" operator="equal">
      <formula>"Napkin Hs"</formula>
    </cfRule>
  </conditionalFormatting>
  <conditionalFormatting sqref="C48:C50">
    <cfRule type="cellIs" dxfId="2864" priority="1523" stopIfTrue="1" operator="equal">
      <formula>"Towel"</formula>
    </cfRule>
  </conditionalFormatting>
  <conditionalFormatting sqref="B47:C47">
    <cfRule type="cellIs" dxfId="2863" priority="1519" stopIfTrue="1" operator="equal">
      <formula>"Towel"</formula>
    </cfRule>
    <cfRule type="cellIs" dxfId="2862" priority="1520" stopIfTrue="1" operator="equal">
      <formula>"Napkin Hs"</formula>
    </cfRule>
  </conditionalFormatting>
  <conditionalFormatting sqref="C47">
    <cfRule type="cellIs" dxfId="2861" priority="1518" stopIfTrue="1" operator="equal">
      <formula>"Napkin Hs"</formula>
    </cfRule>
  </conditionalFormatting>
  <conditionalFormatting sqref="C47">
    <cfRule type="cellIs" dxfId="2860" priority="1515" stopIfTrue="1" operator="equal">
      <formula>"Towel"</formula>
    </cfRule>
    <cfRule type="cellIs" dxfId="2859" priority="1516" stopIfTrue="1" operator="equal">
      <formula>"Napkin Hs"</formula>
    </cfRule>
  </conditionalFormatting>
  <conditionalFormatting sqref="C47">
    <cfRule type="cellIs" dxfId="2858" priority="1517" stopIfTrue="1" operator="equal">
      <formula>"Towel"</formula>
    </cfRule>
  </conditionalFormatting>
  <conditionalFormatting sqref="B53:C56">
    <cfRule type="cellIs" dxfId="2857" priority="1513" stopIfTrue="1" operator="equal">
      <formula>"Towel"</formula>
    </cfRule>
    <cfRule type="cellIs" dxfId="2856" priority="1514" stopIfTrue="1" operator="equal">
      <formula>"Napkin Hs"</formula>
    </cfRule>
  </conditionalFormatting>
  <conditionalFormatting sqref="C53:C56">
    <cfRule type="cellIs" dxfId="2855" priority="1512" stopIfTrue="1" operator="equal">
      <formula>"Napkin Hs"</formula>
    </cfRule>
  </conditionalFormatting>
  <conditionalFormatting sqref="C53:C56">
    <cfRule type="cellIs" dxfId="2854" priority="1509" stopIfTrue="1" operator="equal">
      <formula>"Towel"</formula>
    </cfRule>
    <cfRule type="cellIs" dxfId="2853" priority="1510" stopIfTrue="1" operator="equal">
      <formula>"Napkin Hs"</formula>
    </cfRule>
  </conditionalFormatting>
  <conditionalFormatting sqref="C53:C56">
    <cfRule type="cellIs" dxfId="2852" priority="1511" stopIfTrue="1" operator="equal">
      <formula>"Towel"</formula>
    </cfRule>
  </conditionalFormatting>
  <conditionalFormatting sqref="B52:C52">
    <cfRule type="cellIs" dxfId="2851" priority="1501" stopIfTrue="1" operator="equal">
      <formula>"Towel"</formula>
    </cfRule>
    <cfRule type="cellIs" dxfId="2850" priority="1502" stopIfTrue="1" operator="equal">
      <formula>"Napkin Hs"</formula>
    </cfRule>
  </conditionalFormatting>
  <conditionalFormatting sqref="C52">
    <cfRule type="cellIs" dxfId="2849" priority="1500" stopIfTrue="1" operator="equal">
      <formula>"Napkin Hs"</formula>
    </cfRule>
  </conditionalFormatting>
  <conditionalFormatting sqref="C52">
    <cfRule type="cellIs" dxfId="2848" priority="1497" stopIfTrue="1" operator="equal">
      <formula>"Towel"</formula>
    </cfRule>
    <cfRule type="cellIs" dxfId="2847" priority="1498" stopIfTrue="1" operator="equal">
      <formula>"Napkin Hs"</formula>
    </cfRule>
  </conditionalFormatting>
  <conditionalFormatting sqref="C52">
    <cfRule type="cellIs" dxfId="2846" priority="1499" stopIfTrue="1" operator="equal">
      <formula>"Towel"</formula>
    </cfRule>
  </conditionalFormatting>
  <conditionalFormatting sqref="B60:C64">
    <cfRule type="cellIs" dxfId="2845" priority="1495" stopIfTrue="1" operator="equal">
      <formula>"Towel"</formula>
    </cfRule>
    <cfRule type="cellIs" dxfId="2844" priority="1496" stopIfTrue="1" operator="equal">
      <formula>"Napkin Hs"</formula>
    </cfRule>
  </conditionalFormatting>
  <conditionalFormatting sqref="C60:C64">
    <cfRule type="cellIs" dxfId="2843" priority="1494" stopIfTrue="1" operator="equal">
      <formula>"Napkin Hs"</formula>
    </cfRule>
  </conditionalFormatting>
  <conditionalFormatting sqref="C60:C64">
    <cfRule type="cellIs" dxfId="2842" priority="1491" stopIfTrue="1" operator="equal">
      <formula>"Towel"</formula>
    </cfRule>
    <cfRule type="cellIs" dxfId="2841" priority="1492" stopIfTrue="1" operator="equal">
      <formula>"Napkin Hs"</formula>
    </cfRule>
  </conditionalFormatting>
  <conditionalFormatting sqref="C60:C64">
    <cfRule type="cellIs" dxfId="2840" priority="1493" stopIfTrue="1" operator="equal">
      <formula>"Towel"</formula>
    </cfRule>
  </conditionalFormatting>
  <conditionalFormatting sqref="B58:C59">
    <cfRule type="cellIs" dxfId="2839" priority="1483" stopIfTrue="1" operator="equal">
      <formula>"Towel"</formula>
    </cfRule>
    <cfRule type="cellIs" dxfId="2838" priority="1484" stopIfTrue="1" operator="equal">
      <formula>"Napkin Hs"</formula>
    </cfRule>
  </conditionalFormatting>
  <conditionalFormatting sqref="C58:C59">
    <cfRule type="cellIs" dxfId="2837" priority="1482" stopIfTrue="1" operator="equal">
      <formula>"Napkin Hs"</formula>
    </cfRule>
  </conditionalFormatting>
  <conditionalFormatting sqref="C58:C59">
    <cfRule type="cellIs" dxfId="2836" priority="1479" stopIfTrue="1" operator="equal">
      <formula>"Towel"</formula>
    </cfRule>
    <cfRule type="cellIs" dxfId="2835" priority="1480" stopIfTrue="1" operator="equal">
      <formula>"Napkin Hs"</formula>
    </cfRule>
  </conditionalFormatting>
  <conditionalFormatting sqref="C58:C59">
    <cfRule type="cellIs" dxfId="2834" priority="1481" stopIfTrue="1" operator="equal">
      <formula>"Towel"</formula>
    </cfRule>
  </conditionalFormatting>
  <conditionalFormatting sqref="B68:C69">
    <cfRule type="cellIs" dxfId="2833" priority="1477" stopIfTrue="1" operator="equal">
      <formula>"Towel"</formula>
    </cfRule>
    <cfRule type="cellIs" dxfId="2832" priority="1478" stopIfTrue="1" operator="equal">
      <formula>"Napkin Hs"</formula>
    </cfRule>
  </conditionalFormatting>
  <conditionalFormatting sqref="C68:C69">
    <cfRule type="cellIs" dxfId="2831" priority="1476" stopIfTrue="1" operator="equal">
      <formula>"Napkin Hs"</formula>
    </cfRule>
  </conditionalFormatting>
  <conditionalFormatting sqref="C68:C69">
    <cfRule type="cellIs" dxfId="2830" priority="1473" stopIfTrue="1" operator="equal">
      <formula>"Towel"</formula>
    </cfRule>
    <cfRule type="cellIs" dxfId="2829" priority="1474" stopIfTrue="1" operator="equal">
      <formula>"Napkin Hs"</formula>
    </cfRule>
  </conditionalFormatting>
  <conditionalFormatting sqref="C68:C69">
    <cfRule type="cellIs" dxfId="2828" priority="1475" stopIfTrue="1" operator="equal">
      <formula>"Towel"</formula>
    </cfRule>
  </conditionalFormatting>
  <conditionalFormatting sqref="B67:C67">
    <cfRule type="cellIs" dxfId="2827" priority="1471" stopIfTrue="1" operator="equal">
      <formula>"Towel"</formula>
    </cfRule>
    <cfRule type="cellIs" dxfId="2826" priority="1472" stopIfTrue="1" operator="equal">
      <formula>"Napkin Hs"</formula>
    </cfRule>
  </conditionalFormatting>
  <conditionalFormatting sqref="C67">
    <cfRule type="cellIs" dxfId="2825" priority="1470" stopIfTrue="1" operator="equal">
      <formula>"Napkin Hs"</formula>
    </cfRule>
  </conditionalFormatting>
  <conditionalFormatting sqref="C67">
    <cfRule type="cellIs" dxfId="2824" priority="1467" stopIfTrue="1" operator="equal">
      <formula>"Towel"</formula>
    </cfRule>
    <cfRule type="cellIs" dxfId="2823" priority="1468" stopIfTrue="1" operator="equal">
      <formula>"Napkin Hs"</formula>
    </cfRule>
  </conditionalFormatting>
  <conditionalFormatting sqref="C67">
    <cfRule type="cellIs" dxfId="2822" priority="1469" stopIfTrue="1" operator="equal">
      <formula>"Towel"</formula>
    </cfRule>
  </conditionalFormatting>
  <conditionalFormatting sqref="B66:C66">
    <cfRule type="cellIs" dxfId="2821" priority="1465" stopIfTrue="1" operator="equal">
      <formula>"Towel"</formula>
    </cfRule>
    <cfRule type="cellIs" dxfId="2820" priority="1466" stopIfTrue="1" operator="equal">
      <formula>"Napkin Hs"</formula>
    </cfRule>
  </conditionalFormatting>
  <conditionalFormatting sqref="C66">
    <cfRule type="cellIs" dxfId="2819" priority="1464" stopIfTrue="1" operator="equal">
      <formula>"Napkin Hs"</formula>
    </cfRule>
  </conditionalFormatting>
  <conditionalFormatting sqref="C66">
    <cfRule type="cellIs" dxfId="2818" priority="1461" stopIfTrue="1" operator="equal">
      <formula>"Towel"</formula>
    </cfRule>
    <cfRule type="cellIs" dxfId="2817" priority="1462" stopIfTrue="1" operator="equal">
      <formula>"Napkin Hs"</formula>
    </cfRule>
  </conditionalFormatting>
  <conditionalFormatting sqref="C66">
    <cfRule type="cellIs" dxfId="2816" priority="1463" stopIfTrue="1" operator="equal">
      <formula>"Towel"</formula>
    </cfRule>
  </conditionalFormatting>
  <conditionalFormatting sqref="B73:C74">
    <cfRule type="cellIs" dxfId="2815" priority="1459" stopIfTrue="1" operator="equal">
      <formula>"Towel"</formula>
    </cfRule>
    <cfRule type="cellIs" dxfId="2814" priority="1460" stopIfTrue="1" operator="equal">
      <formula>"Napkin Hs"</formula>
    </cfRule>
  </conditionalFormatting>
  <conditionalFormatting sqref="C73:C74">
    <cfRule type="cellIs" dxfId="2813" priority="1458" stopIfTrue="1" operator="equal">
      <formula>"Napkin Hs"</formula>
    </cfRule>
  </conditionalFormatting>
  <conditionalFormatting sqref="C73:C74">
    <cfRule type="cellIs" dxfId="2812" priority="1455" stopIfTrue="1" operator="equal">
      <formula>"Towel"</formula>
    </cfRule>
    <cfRule type="cellIs" dxfId="2811" priority="1456" stopIfTrue="1" operator="equal">
      <formula>"Napkin Hs"</formula>
    </cfRule>
  </conditionalFormatting>
  <conditionalFormatting sqref="C73:C74">
    <cfRule type="cellIs" dxfId="2810" priority="1457" stopIfTrue="1" operator="equal">
      <formula>"Towel"</formula>
    </cfRule>
  </conditionalFormatting>
  <conditionalFormatting sqref="B71:C72">
    <cfRule type="cellIs" dxfId="2809" priority="1447" stopIfTrue="1" operator="equal">
      <formula>"Towel"</formula>
    </cfRule>
    <cfRule type="cellIs" dxfId="2808" priority="1448" stopIfTrue="1" operator="equal">
      <formula>"Napkin Hs"</formula>
    </cfRule>
  </conditionalFormatting>
  <conditionalFormatting sqref="C71:C72">
    <cfRule type="cellIs" dxfId="2807" priority="1446" stopIfTrue="1" operator="equal">
      <formula>"Napkin Hs"</formula>
    </cfRule>
  </conditionalFormatting>
  <conditionalFormatting sqref="C71:C72">
    <cfRule type="cellIs" dxfId="2806" priority="1443" stopIfTrue="1" operator="equal">
      <formula>"Towel"</formula>
    </cfRule>
    <cfRule type="cellIs" dxfId="2805" priority="1444" stopIfTrue="1" operator="equal">
      <formula>"Napkin Hs"</formula>
    </cfRule>
  </conditionalFormatting>
  <conditionalFormatting sqref="C71:C72">
    <cfRule type="cellIs" dxfId="2804" priority="1445" stopIfTrue="1" operator="equal">
      <formula>"Towel"</formula>
    </cfRule>
  </conditionalFormatting>
  <conditionalFormatting sqref="B78:C80">
    <cfRule type="cellIs" dxfId="2803" priority="1441" stopIfTrue="1" operator="equal">
      <formula>"Towel"</formula>
    </cfRule>
    <cfRule type="cellIs" dxfId="2802" priority="1442" stopIfTrue="1" operator="equal">
      <formula>"Napkin Hs"</formula>
    </cfRule>
  </conditionalFormatting>
  <conditionalFormatting sqref="C78:C80">
    <cfRule type="cellIs" dxfId="2801" priority="1440" stopIfTrue="1" operator="equal">
      <formula>"Napkin Hs"</formula>
    </cfRule>
  </conditionalFormatting>
  <conditionalFormatting sqref="C78:C80">
    <cfRule type="cellIs" dxfId="2800" priority="1437" stopIfTrue="1" operator="equal">
      <formula>"Towel"</formula>
    </cfRule>
    <cfRule type="cellIs" dxfId="2799" priority="1438" stopIfTrue="1" operator="equal">
      <formula>"Napkin Hs"</formula>
    </cfRule>
  </conditionalFormatting>
  <conditionalFormatting sqref="C78:C80">
    <cfRule type="cellIs" dxfId="2798" priority="1439" stopIfTrue="1" operator="equal">
      <formula>"Towel"</formula>
    </cfRule>
  </conditionalFormatting>
  <conditionalFormatting sqref="B76:C76">
    <cfRule type="cellIs" dxfId="2797" priority="1429" stopIfTrue="1" operator="equal">
      <formula>"Towel"</formula>
    </cfRule>
    <cfRule type="cellIs" dxfId="2796" priority="1430" stopIfTrue="1" operator="equal">
      <formula>"Napkin Hs"</formula>
    </cfRule>
  </conditionalFormatting>
  <conditionalFormatting sqref="C76">
    <cfRule type="cellIs" dxfId="2795" priority="1428" stopIfTrue="1" operator="equal">
      <formula>"Napkin Hs"</formula>
    </cfRule>
  </conditionalFormatting>
  <conditionalFormatting sqref="C76">
    <cfRule type="cellIs" dxfId="2794" priority="1425" stopIfTrue="1" operator="equal">
      <formula>"Towel"</formula>
    </cfRule>
    <cfRule type="cellIs" dxfId="2793" priority="1426" stopIfTrue="1" operator="equal">
      <formula>"Napkin Hs"</formula>
    </cfRule>
  </conditionalFormatting>
  <conditionalFormatting sqref="C76">
    <cfRule type="cellIs" dxfId="2792" priority="1427" stopIfTrue="1" operator="equal">
      <formula>"Towel"</formula>
    </cfRule>
  </conditionalFormatting>
  <conditionalFormatting sqref="B77:C77">
    <cfRule type="cellIs" dxfId="2791" priority="1423" stopIfTrue="1" operator="equal">
      <formula>"Towel"</formula>
    </cfRule>
    <cfRule type="cellIs" dxfId="2790" priority="1424" stopIfTrue="1" operator="equal">
      <formula>"Napkin Hs"</formula>
    </cfRule>
  </conditionalFormatting>
  <conditionalFormatting sqref="C77">
    <cfRule type="cellIs" dxfId="2789" priority="1422" stopIfTrue="1" operator="equal">
      <formula>"Napkin Hs"</formula>
    </cfRule>
  </conditionalFormatting>
  <conditionalFormatting sqref="C77">
    <cfRule type="cellIs" dxfId="2788" priority="1419" stopIfTrue="1" operator="equal">
      <formula>"Towel"</formula>
    </cfRule>
    <cfRule type="cellIs" dxfId="2787" priority="1420" stopIfTrue="1" operator="equal">
      <formula>"Napkin Hs"</formula>
    </cfRule>
  </conditionalFormatting>
  <conditionalFormatting sqref="C77">
    <cfRule type="cellIs" dxfId="2786" priority="1421" stopIfTrue="1" operator="equal">
      <formula>"Towel"</formula>
    </cfRule>
  </conditionalFormatting>
  <conditionalFormatting sqref="B84:C85">
    <cfRule type="cellIs" dxfId="2785" priority="1417" stopIfTrue="1" operator="equal">
      <formula>"Towel"</formula>
    </cfRule>
    <cfRule type="cellIs" dxfId="2784" priority="1418" stopIfTrue="1" operator="equal">
      <formula>"Napkin Hs"</formula>
    </cfRule>
  </conditionalFormatting>
  <conditionalFormatting sqref="C84:C85">
    <cfRule type="cellIs" dxfId="2783" priority="1416" stopIfTrue="1" operator="equal">
      <formula>"Napkin Hs"</formula>
    </cfRule>
  </conditionalFormatting>
  <conditionalFormatting sqref="C84:C85">
    <cfRule type="cellIs" dxfId="2782" priority="1413" stopIfTrue="1" operator="equal">
      <formula>"Towel"</formula>
    </cfRule>
    <cfRule type="cellIs" dxfId="2781" priority="1414" stopIfTrue="1" operator="equal">
      <formula>"Napkin Hs"</formula>
    </cfRule>
  </conditionalFormatting>
  <conditionalFormatting sqref="C84:C85">
    <cfRule type="cellIs" dxfId="2780" priority="1415" stopIfTrue="1" operator="equal">
      <formula>"Towel"</formula>
    </cfRule>
  </conditionalFormatting>
  <conditionalFormatting sqref="B83:C83">
    <cfRule type="cellIs" dxfId="2779" priority="1411" stopIfTrue="1" operator="equal">
      <formula>"Towel"</formula>
    </cfRule>
    <cfRule type="cellIs" dxfId="2778" priority="1412" stopIfTrue="1" operator="equal">
      <formula>"Napkin Hs"</formula>
    </cfRule>
  </conditionalFormatting>
  <conditionalFormatting sqref="C83">
    <cfRule type="cellIs" dxfId="2777" priority="1410" stopIfTrue="1" operator="equal">
      <formula>"Napkin Hs"</formula>
    </cfRule>
  </conditionalFormatting>
  <conditionalFormatting sqref="C83">
    <cfRule type="cellIs" dxfId="2776" priority="1407" stopIfTrue="1" operator="equal">
      <formula>"Towel"</formula>
    </cfRule>
    <cfRule type="cellIs" dxfId="2775" priority="1408" stopIfTrue="1" operator="equal">
      <formula>"Napkin Hs"</formula>
    </cfRule>
  </conditionalFormatting>
  <conditionalFormatting sqref="C83">
    <cfRule type="cellIs" dxfId="2774" priority="1409" stopIfTrue="1" operator="equal">
      <formula>"Towel"</formula>
    </cfRule>
  </conditionalFormatting>
  <conditionalFormatting sqref="B82:C82">
    <cfRule type="cellIs" dxfId="2773" priority="1405" stopIfTrue="1" operator="equal">
      <formula>"Towel"</formula>
    </cfRule>
    <cfRule type="cellIs" dxfId="2772" priority="1406" stopIfTrue="1" operator="equal">
      <formula>"Napkin Hs"</formula>
    </cfRule>
  </conditionalFormatting>
  <conditionalFormatting sqref="C82">
    <cfRule type="cellIs" dxfId="2771" priority="1404" stopIfTrue="1" operator="equal">
      <formula>"Napkin Hs"</formula>
    </cfRule>
  </conditionalFormatting>
  <conditionalFormatting sqref="C82">
    <cfRule type="cellIs" dxfId="2770" priority="1401" stopIfTrue="1" operator="equal">
      <formula>"Towel"</formula>
    </cfRule>
    <cfRule type="cellIs" dxfId="2769" priority="1402" stopIfTrue="1" operator="equal">
      <formula>"Napkin Hs"</formula>
    </cfRule>
  </conditionalFormatting>
  <conditionalFormatting sqref="C82">
    <cfRule type="cellIs" dxfId="2768" priority="1403" stopIfTrue="1" operator="equal">
      <formula>"Towel"</formula>
    </cfRule>
  </conditionalFormatting>
  <conditionalFormatting sqref="B89:C90">
    <cfRule type="cellIs" dxfId="2767" priority="1399" stopIfTrue="1" operator="equal">
      <formula>"Towel"</formula>
    </cfRule>
    <cfRule type="cellIs" dxfId="2766" priority="1400" stopIfTrue="1" operator="equal">
      <formula>"Napkin Hs"</formula>
    </cfRule>
  </conditionalFormatting>
  <conditionalFormatting sqref="C89:C90">
    <cfRule type="cellIs" dxfId="2765" priority="1398" stopIfTrue="1" operator="equal">
      <formula>"Napkin Hs"</formula>
    </cfRule>
  </conditionalFormatting>
  <conditionalFormatting sqref="C89:C90">
    <cfRule type="cellIs" dxfId="2764" priority="1395" stopIfTrue="1" operator="equal">
      <formula>"Towel"</formula>
    </cfRule>
    <cfRule type="cellIs" dxfId="2763" priority="1396" stopIfTrue="1" operator="equal">
      <formula>"Napkin Hs"</formula>
    </cfRule>
  </conditionalFormatting>
  <conditionalFormatting sqref="C89:C90">
    <cfRule type="cellIs" dxfId="2762" priority="1397" stopIfTrue="1" operator="equal">
      <formula>"Towel"</formula>
    </cfRule>
  </conditionalFormatting>
  <conditionalFormatting sqref="B88:C88">
    <cfRule type="cellIs" dxfId="2761" priority="1393" stopIfTrue="1" operator="equal">
      <formula>"Towel"</formula>
    </cfRule>
    <cfRule type="cellIs" dxfId="2760" priority="1394" stopIfTrue="1" operator="equal">
      <formula>"Napkin Hs"</formula>
    </cfRule>
  </conditionalFormatting>
  <conditionalFormatting sqref="C88">
    <cfRule type="cellIs" dxfId="2759" priority="1392" stopIfTrue="1" operator="equal">
      <formula>"Napkin Hs"</formula>
    </cfRule>
  </conditionalFormatting>
  <conditionalFormatting sqref="C88">
    <cfRule type="cellIs" dxfId="2758" priority="1389" stopIfTrue="1" operator="equal">
      <formula>"Towel"</formula>
    </cfRule>
    <cfRule type="cellIs" dxfId="2757" priority="1390" stopIfTrue="1" operator="equal">
      <formula>"Napkin Hs"</formula>
    </cfRule>
  </conditionalFormatting>
  <conditionalFormatting sqref="C88">
    <cfRule type="cellIs" dxfId="2756" priority="1391" stopIfTrue="1" operator="equal">
      <formula>"Towel"</formula>
    </cfRule>
  </conditionalFormatting>
  <conditionalFormatting sqref="B87:C87">
    <cfRule type="cellIs" dxfId="2755" priority="1387" stopIfTrue="1" operator="equal">
      <formula>"Towel"</formula>
    </cfRule>
    <cfRule type="cellIs" dxfId="2754" priority="1388" stopIfTrue="1" operator="equal">
      <formula>"Napkin Hs"</formula>
    </cfRule>
  </conditionalFormatting>
  <conditionalFormatting sqref="C87">
    <cfRule type="cellIs" dxfId="2753" priority="1386" stopIfTrue="1" operator="equal">
      <formula>"Napkin Hs"</formula>
    </cfRule>
  </conditionalFormatting>
  <conditionalFormatting sqref="C87">
    <cfRule type="cellIs" dxfId="2752" priority="1383" stopIfTrue="1" operator="equal">
      <formula>"Towel"</formula>
    </cfRule>
    <cfRule type="cellIs" dxfId="2751" priority="1384" stopIfTrue="1" operator="equal">
      <formula>"Napkin Hs"</formula>
    </cfRule>
  </conditionalFormatting>
  <conditionalFormatting sqref="C87">
    <cfRule type="cellIs" dxfId="2750" priority="1385" stopIfTrue="1" operator="equal">
      <formula>"Towel"</formula>
    </cfRule>
  </conditionalFormatting>
  <conditionalFormatting sqref="B94:C95">
    <cfRule type="cellIs" dxfId="2749" priority="1381" stopIfTrue="1" operator="equal">
      <formula>"Towel"</formula>
    </cfRule>
    <cfRule type="cellIs" dxfId="2748" priority="1382" stopIfTrue="1" operator="equal">
      <formula>"Napkin Hs"</formula>
    </cfRule>
  </conditionalFormatting>
  <conditionalFormatting sqref="C94:C95">
    <cfRule type="cellIs" dxfId="2747" priority="1380" stopIfTrue="1" operator="equal">
      <formula>"Napkin Hs"</formula>
    </cfRule>
  </conditionalFormatting>
  <conditionalFormatting sqref="C94:C95">
    <cfRule type="cellIs" dxfId="2746" priority="1377" stopIfTrue="1" operator="equal">
      <formula>"Towel"</formula>
    </cfRule>
    <cfRule type="cellIs" dxfId="2745" priority="1378" stopIfTrue="1" operator="equal">
      <formula>"Napkin Hs"</formula>
    </cfRule>
  </conditionalFormatting>
  <conditionalFormatting sqref="C94:C95">
    <cfRule type="cellIs" dxfId="2744" priority="1379" stopIfTrue="1" operator="equal">
      <formula>"Towel"</formula>
    </cfRule>
  </conditionalFormatting>
  <conditionalFormatting sqref="B93:C93">
    <cfRule type="cellIs" dxfId="2743" priority="1375" stopIfTrue="1" operator="equal">
      <formula>"Towel"</formula>
    </cfRule>
    <cfRule type="cellIs" dxfId="2742" priority="1376" stopIfTrue="1" operator="equal">
      <formula>"Napkin Hs"</formula>
    </cfRule>
  </conditionalFormatting>
  <conditionalFormatting sqref="C93">
    <cfRule type="cellIs" dxfId="2741" priority="1374" stopIfTrue="1" operator="equal">
      <formula>"Napkin Hs"</formula>
    </cfRule>
  </conditionalFormatting>
  <conditionalFormatting sqref="C93">
    <cfRule type="cellIs" dxfId="2740" priority="1371" stopIfTrue="1" operator="equal">
      <formula>"Towel"</formula>
    </cfRule>
    <cfRule type="cellIs" dxfId="2739" priority="1372" stopIfTrue="1" operator="equal">
      <formula>"Napkin Hs"</formula>
    </cfRule>
  </conditionalFormatting>
  <conditionalFormatting sqref="C93">
    <cfRule type="cellIs" dxfId="2738" priority="1373" stopIfTrue="1" operator="equal">
      <formula>"Towel"</formula>
    </cfRule>
  </conditionalFormatting>
  <conditionalFormatting sqref="B92:C92">
    <cfRule type="cellIs" dxfId="2737" priority="1369" stopIfTrue="1" operator="equal">
      <formula>"Towel"</formula>
    </cfRule>
    <cfRule type="cellIs" dxfId="2736" priority="1370" stopIfTrue="1" operator="equal">
      <formula>"Napkin Hs"</formula>
    </cfRule>
  </conditionalFormatting>
  <conditionalFormatting sqref="C92">
    <cfRule type="cellIs" dxfId="2735" priority="1368" stopIfTrue="1" operator="equal">
      <formula>"Napkin Hs"</formula>
    </cfRule>
  </conditionalFormatting>
  <conditionalFormatting sqref="C92">
    <cfRule type="cellIs" dxfId="2734" priority="1365" stopIfTrue="1" operator="equal">
      <formula>"Towel"</formula>
    </cfRule>
    <cfRule type="cellIs" dxfId="2733" priority="1366" stopIfTrue="1" operator="equal">
      <formula>"Napkin Hs"</formula>
    </cfRule>
  </conditionalFormatting>
  <conditionalFormatting sqref="C92">
    <cfRule type="cellIs" dxfId="2732" priority="1367" stopIfTrue="1" operator="equal">
      <formula>"Towel"</formula>
    </cfRule>
  </conditionalFormatting>
  <conditionalFormatting sqref="B100:C101">
    <cfRule type="cellIs" dxfId="2731" priority="1363" stopIfTrue="1" operator="equal">
      <formula>"Towel"</formula>
    </cfRule>
    <cfRule type="cellIs" dxfId="2730" priority="1364" stopIfTrue="1" operator="equal">
      <formula>"Napkin Hs"</formula>
    </cfRule>
  </conditionalFormatting>
  <conditionalFormatting sqref="C100:C101">
    <cfRule type="cellIs" dxfId="2729" priority="1362" stopIfTrue="1" operator="equal">
      <formula>"Napkin Hs"</formula>
    </cfRule>
  </conditionalFormatting>
  <conditionalFormatting sqref="C100:C101">
    <cfRule type="cellIs" dxfId="2728" priority="1359" stopIfTrue="1" operator="equal">
      <formula>"Towel"</formula>
    </cfRule>
    <cfRule type="cellIs" dxfId="2727" priority="1360" stopIfTrue="1" operator="equal">
      <formula>"Napkin Hs"</formula>
    </cfRule>
  </conditionalFormatting>
  <conditionalFormatting sqref="C100:C101">
    <cfRule type="cellIs" dxfId="2726" priority="1361" stopIfTrue="1" operator="equal">
      <formula>"Towel"</formula>
    </cfRule>
  </conditionalFormatting>
  <conditionalFormatting sqref="B97:C99">
    <cfRule type="cellIs" dxfId="2725" priority="1351" stopIfTrue="1" operator="equal">
      <formula>"Towel"</formula>
    </cfRule>
    <cfRule type="cellIs" dxfId="2724" priority="1352" stopIfTrue="1" operator="equal">
      <formula>"Napkin Hs"</formula>
    </cfRule>
  </conditionalFormatting>
  <conditionalFormatting sqref="C97:C99">
    <cfRule type="cellIs" dxfId="2723" priority="1350" stopIfTrue="1" operator="equal">
      <formula>"Napkin Hs"</formula>
    </cfRule>
  </conditionalFormatting>
  <conditionalFormatting sqref="C97:C99">
    <cfRule type="cellIs" dxfId="2722" priority="1347" stopIfTrue="1" operator="equal">
      <formula>"Towel"</formula>
    </cfRule>
    <cfRule type="cellIs" dxfId="2721" priority="1348" stopIfTrue="1" operator="equal">
      <formula>"Napkin Hs"</formula>
    </cfRule>
  </conditionalFormatting>
  <conditionalFormatting sqref="C97:C99">
    <cfRule type="cellIs" dxfId="2720" priority="1349" stopIfTrue="1" operator="equal">
      <formula>"Towel"</formula>
    </cfRule>
  </conditionalFormatting>
  <conditionalFormatting sqref="B106:C106">
    <cfRule type="cellIs" dxfId="2719" priority="1345" stopIfTrue="1" operator="equal">
      <formula>"Towel"</formula>
    </cfRule>
    <cfRule type="cellIs" dxfId="2718" priority="1346" stopIfTrue="1" operator="equal">
      <formula>"Napkin Hs"</formula>
    </cfRule>
  </conditionalFormatting>
  <conditionalFormatting sqref="C106">
    <cfRule type="cellIs" dxfId="2717" priority="1344" stopIfTrue="1" operator="equal">
      <formula>"Napkin Hs"</formula>
    </cfRule>
  </conditionalFormatting>
  <conditionalFormatting sqref="C106">
    <cfRule type="cellIs" dxfId="2716" priority="1341" stopIfTrue="1" operator="equal">
      <formula>"Towel"</formula>
    </cfRule>
    <cfRule type="cellIs" dxfId="2715" priority="1342" stopIfTrue="1" operator="equal">
      <formula>"Napkin Hs"</formula>
    </cfRule>
  </conditionalFormatting>
  <conditionalFormatting sqref="C106">
    <cfRule type="cellIs" dxfId="2714" priority="1343" stopIfTrue="1" operator="equal">
      <formula>"Towel"</formula>
    </cfRule>
  </conditionalFormatting>
  <conditionalFormatting sqref="B103:C105">
    <cfRule type="cellIs" dxfId="2713" priority="1333" stopIfTrue="1" operator="equal">
      <formula>"Towel"</formula>
    </cfRule>
    <cfRule type="cellIs" dxfId="2712" priority="1334" stopIfTrue="1" operator="equal">
      <formula>"Napkin Hs"</formula>
    </cfRule>
  </conditionalFormatting>
  <conditionalFormatting sqref="C103:C105">
    <cfRule type="cellIs" dxfId="2711" priority="1332" stopIfTrue="1" operator="equal">
      <formula>"Napkin Hs"</formula>
    </cfRule>
  </conditionalFormatting>
  <conditionalFormatting sqref="C103:C105">
    <cfRule type="cellIs" dxfId="2710" priority="1329" stopIfTrue="1" operator="equal">
      <formula>"Towel"</formula>
    </cfRule>
    <cfRule type="cellIs" dxfId="2709" priority="1330" stopIfTrue="1" operator="equal">
      <formula>"Napkin Hs"</formula>
    </cfRule>
  </conditionalFormatting>
  <conditionalFormatting sqref="C103:C105">
    <cfRule type="cellIs" dxfId="2708" priority="1331" stopIfTrue="1" operator="equal">
      <formula>"Towel"</formula>
    </cfRule>
  </conditionalFormatting>
  <conditionalFormatting sqref="B110:C111">
    <cfRule type="cellIs" dxfId="2707" priority="1327" stopIfTrue="1" operator="equal">
      <formula>"Towel"</formula>
    </cfRule>
    <cfRule type="cellIs" dxfId="2706" priority="1328" stopIfTrue="1" operator="equal">
      <formula>"Napkin Hs"</formula>
    </cfRule>
  </conditionalFormatting>
  <conditionalFormatting sqref="C110:C111">
    <cfRule type="cellIs" dxfId="2705" priority="1326" stopIfTrue="1" operator="equal">
      <formula>"Napkin Hs"</formula>
    </cfRule>
  </conditionalFormatting>
  <conditionalFormatting sqref="C110:C111">
    <cfRule type="cellIs" dxfId="2704" priority="1323" stopIfTrue="1" operator="equal">
      <formula>"Towel"</formula>
    </cfRule>
    <cfRule type="cellIs" dxfId="2703" priority="1324" stopIfTrue="1" operator="equal">
      <formula>"Napkin Hs"</formula>
    </cfRule>
  </conditionalFormatting>
  <conditionalFormatting sqref="C110:C111">
    <cfRule type="cellIs" dxfId="2702" priority="1325" stopIfTrue="1" operator="equal">
      <formula>"Towel"</formula>
    </cfRule>
  </conditionalFormatting>
  <conditionalFormatting sqref="B108:C109">
    <cfRule type="cellIs" dxfId="2701" priority="1309" stopIfTrue="1" operator="equal">
      <formula>"Towel"</formula>
    </cfRule>
    <cfRule type="cellIs" dxfId="2700" priority="1310" stopIfTrue="1" operator="equal">
      <formula>"Napkin Hs"</formula>
    </cfRule>
  </conditionalFormatting>
  <conditionalFormatting sqref="C108:C109">
    <cfRule type="cellIs" dxfId="2699" priority="1308" stopIfTrue="1" operator="equal">
      <formula>"Napkin Hs"</formula>
    </cfRule>
  </conditionalFormatting>
  <conditionalFormatting sqref="C108:C109">
    <cfRule type="cellIs" dxfId="2698" priority="1305" stopIfTrue="1" operator="equal">
      <formula>"Towel"</formula>
    </cfRule>
    <cfRule type="cellIs" dxfId="2697" priority="1306" stopIfTrue="1" operator="equal">
      <formula>"Napkin Hs"</formula>
    </cfRule>
  </conditionalFormatting>
  <conditionalFormatting sqref="C108:C109">
    <cfRule type="cellIs" dxfId="2696" priority="1307" stopIfTrue="1" operator="equal">
      <formula>"Towel"</formula>
    </cfRule>
  </conditionalFormatting>
  <conditionalFormatting sqref="B117:C117">
    <cfRule type="cellIs" dxfId="2695" priority="1303" stopIfTrue="1" operator="equal">
      <formula>"Towel"</formula>
    </cfRule>
    <cfRule type="cellIs" dxfId="2694" priority="1304" stopIfTrue="1" operator="equal">
      <formula>"Napkin Hs"</formula>
    </cfRule>
  </conditionalFormatting>
  <conditionalFormatting sqref="C117">
    <cfRule type="cellIs" dxfId="2693" priority="1299" stopIfTrue="1" operator="equal">
      <formula>"Towel"</formula>
    </cfRule>
    <cfRule type="cellIs" dxfId="2692" priority="1300" stopIfTrue="1" operator="equal">
      <formula>"Napkin Hs"</formula>
    </cfRule>
  </conditionalFormatting>
  <conditionalFormatting sqref="C117">
    <cfRule type="cellIs" dxfId="2691" priority="1301" stopIfTrue="1" operator="equal">
      <formula>"Towel"</formula>
    </cfRule>
    <cfRule type="cellIs" dxfId="2690" priority="1302" stopIfTrue="1" operator="equal">
      <formula>"Napkin Hs"</formula>
    </cfRule>
  </conditionalFormatting>
  <conditionalFormatting sqref="B117:C117">
    <cfRule type="cellIs" dxfId="2689" priority="1297" stopIfTrue="1" operator="equal">
      <formula>"Towel"</formula>
    </cfRule>
    <cfRule type="cellIs" dxfId="2688" priority="1298" stopIfTrue="1" operator="equal">
      <formula>"Napkin Hs"</formula>
    </cfRule>
  </conditionalFormatting>
  <conditionalFormatting sqref="C117">
    <cfRule type="cellIs" dxfId="2687" priority="1295" stopIfTrue="1" operator="equal">
      <formula>"Towel"</formula>
    </cfRule>
    <cfRule type="cellIs" dxfId="2686" priority="1296" stopIfTrue="1" operator="equal">
      <formula>"Napkin Hs"</formula>
    </cfRule>
  </conditionalFormatting>
  <conditionalFormatting sqref="C117">
    <cfRule type="cellIs" dxfId="2685" priority="1293" stopIfTrue="1" operator="equal">
      <formula>"Towel"</formula>
    </cfRule>
    <cfRule type="cellIs" dxfId="2684" priority="1294" stopIfTrue="1" operator="equal">
      <formula>"Napkin Hs"</formula>
    </cfRule>
  </conditionalFormatting>
  <conditionalFormatting sqref="C117">
    <cfRule type="cellIs" dxfId="2683" priority="1285" stopIfTrue="1" operator="equal">
      <formula>"Towel"</formula>
    </cfRule>
    <cfRule type="cellIs" dxfId="2682" priority="1286" stopIfTrue="1" operator="equal">
      <formula>"Napkin Hs"</formula>
    </cfRule>
  </conditionalFormatting>
  <conditionalFormatting sqref="B117:C117">
    <cfRule type="cellIs" dxfId="2681" priority="1287" stopIfTrue="1" operator="equal">
      <formula>"Towel"</formula>
    </cfRule>
    <cfRule type="cellIs" dxfId="2680" priority="1288" stopIfTrue="1" operator="equal">
      <formula>"Napkin Hs"</formula>
    </cfRule>
  </conditionalFormatting>
  <conditionalFormatting sqref="C117">
    <cfRule type="cellIs" dxfId="2679" priority="1283" stopIfTrue="1" operator="equal">
      <formula>"Towel"</formula>
    </cfRule>
    <cfRule type="cellIs" dxfId="2678" priority="1284" stopIfTrue="1" operator="equal">
      <formula>"Napkin Hs"</formula>
    </cfRule>
  </conditionalFormatting>
  <conditionalFormatting sqref="B117:C117">
    <cfRule type="cellIs" dxfId="2677" priority="1281" stopIfTrue="1" operator="equal">
      <formula>"Towel"</formula>
    </cfRule>
    <cfRule type="cellIs" dxfId="2676" priority="1282" stopIfTrue="1" operator="equal">
      <formula>"Napkin Hs"</formula>
    </cfRule>
  </conditionalFormatting>
  <conditionalFormatting sqref="C117">
    <cfRule type="cellIs" dxfId="2675" priority="1289" stopIfTrue="1" operator="equal">
      <formula>"Towel"</formula>
    </cfRule>
    <cfRule type="cellIs" dxfId="2674" priority="1290" stopIfTrue="1" operator="equal">
      <formula>"Napkin Hs"</formula>
    </cfRule>
  </conditionalFormatting>
  <conditionalFormatting sqref="C117">
    <cfRule type="cellIs" dxfId="2673" priority="1291" stopIfTrue="1" operator="equal">
      <formula>"Towel"</formula>
    </cfRule>
    <cfRule type="cellIs" dxfId="2672" priority="1292" stopIfTrue="1" operator="equal">
      <formula>"Napkin Hs"</formula>
    </cfRule>
  </conditionalFormatting>
  <conditionalFormatting sqref="B115:C116">
    <cfRule type="cellIs" dxfId="2671" priority="1279" stopIfTrue="1" operator="equal">
      <formula>"Towel"</formula>
    </cfRule>
    <cfRule type="cellIs" dxfId="2670" priority="1280" stopIfTrue="1" operator="equal">
      <formula>"Napkin Hs"</formula>
    </cfRule>
  </conditionalFormatting>
  <conditionalFormatting sqref="C115:C116">
    <cfRule type="cellIs" dxfId="2669" priority="1278" stopIfTrue="1" operator="equal">
      <formula>"Napkin Hs"</formula>
    </cfRule>
  </conditionalFormatting>
  <conditionalFormatting sqref="C115:C116">
    <cfRule type="cellIs" dxfId="2668" priority="1275" stopIfTrue="1" operator="equal">
      <formula>"Towel"</formula>
    </cfRule>
    <cfRule type="cellIs" dxfId="2667" priority="1276" stopIfTrue="1" operator="equal">
      <formula>"Napkin Hs"</formula>
    </cfRule>
  </conditionalFormatting>
  <conditionalFormatting sqref="C115:C116">
    <cfRule type="cellIs" dxfId="2666" priority="1277" stopIfTrue="1" operator="equal">
      <formula>"Towel"</formula>
    </cfRule>
  </conditionalFormatting>
  <conditionalFormatting sqref="B114:C114">
    <cfRule type="cellIs" dxfId="2665" priority="1273" stopIfTrue="1" operator="equal">
      <formula>"Towel"</formula>
    </cfRule>
    <cfRule type="cellIs" dxfId="2664" priority="1274" stopIfTrue="1" operator="equal">
      <formula>"Napkin Hs"</formula>
    </cfRule>
  </conditionalFormatting>
  <conditionalFormatting sqref="C114">
    <cfRule type="cellIs" dxfId="2663" priority="1272" stopIfTrue="1" operator="equal">
      <formula>"Napkin Hs"</formula>
    </cfRule>
  </conditionalFormatting>
  <conditionalFormatting sqref="C114">
    <cfRule type="cellIs" dxfId="2662" priority="1269" stopIfTrue="1" operator="equal">
      <formula>"Towel"</formula>
    </cfRule>
    <cfRule type="cellIs" dxfId="2661" priority="1270" stopIfTrue="1" operator="equal">
      <formula>"Napkin Hs"</formula>
    </cfRule>
  </conditionalFormatting>
  <conditionalFormatting sqref="C114">
    <cfRule type="cellIs" dxfId="2660" priority="1271" stopIfTrue="1" operator="equal">
      <formula>"Towel"</formula>
    </cfRule>
  </conditionalFormatting>
  <conditionalFormatting sqref="B113:C113">
    <cfRule type="cellIs" dxfId="2659" priority="1267" stopIfTrue="1" operator="equal">
      <formula>"Towel"</formula>
    </cfRule>
    <cfRule type="cellIs" dxfId="2658" priority="1268" stopIfTrue="1" operator="equal">
      <formula>"Napkin Hs"</formula>
    </cfRule>
  </conditionalFormatting>
  <conditionalFormatting sqref="C113">
    <cfRule type="cellIs" dxfId="2657" priority="1266" stopIfTrue="1" operator="equal">
      <formula>"Napkin Hs"</formula>
    </cfRule>
  </conditionalFormatting>
  <conditionalFormatting sqref="C113">
    <cfRule type="cellIs" dxfId="2656" priority="1263" stopIfTrue="1" operator="equal">
      <formula>"Towel"</formula>
    </cfRule>
    <cfRule type="cellIs" dxfId="2655" priority="1264" stopIfTrue="1" operator="equal">
      <formula>"Napkin Hs"</formula>
    </cfRule>
  </conditionalFormatting>
  <conditionalFormatting sqref="C113">
    <cfRule type="cellIs" dxfId="2654" priority="1265" stopIfTrue="1" operator="equal">
      <formula>"Towel"</formula>
    </cfRule>
  </conditionalFormatting>
  <conditionalFormatting sqref="B121:C121">
    <cfRule type="cellIs" dxfId="2653" priority="1261" stopIfTrue="1" operator="equal">
      <formula>"Towel"</formula>
    </cfRule>
    <cfRule type="cellIs" dxfId="2652" priority="1262" stopIfTrue="1" operator="equal">
      <formula>"Napkin Hs"</formula>
    </cfRule>
  </conditionalFormatting>
  <conditionalFormatting sqref="C121">
    <cfRule type="cellIs" dxfId="2651" priority="1260" stopIfTrue="1" operator="equal">
      <formula>"Napkin Hs"</formula>
    </cfRule>
  </conditionalFormatting>
  <conditionalFormatting sqref="C121">
    <cfRule type="cellIs" dxfId="2650" priority="1257" stopIfTrue="1" operator="equal">
      <formula>"Towel"</formula>
    </cfRule>
    <cfRule type="cellIs" dxfId="2649" priority="1258" stopIfTrue="1" operator="equal">
      <formula>"Napkin Hs"</formula>
    </cfRule>
  </conditionalFormatting>
  <conditionalFormatting sqref="C121">
    <cfRule type="cellIs" dxfId="2648" priority="1259" stopIfTrue="1" operator="equal">
      <formula>"Towel"</formula>
    </cfRule>
  </conditionalFormatting>
  <conditionalFormatting sqref="B118:C120">
    <cfRule type="cellIs" dxfId="2647" priority="1249" stopIfTrue="1" operator="equal">
      <formula>"Towel"</formula>
    </cfRule>
    <cfRule type="cellIs" dxfId="2646" priority="1250" stopIfTrue="1" operator="equal">
      <formula>"Napkin Hs"</formula>
    </cfRule>
  </conditionalFormatting>
  <conditionalFormatting sqref="C118:C120">
    <cfRule type="cellIs" dxfId="2645" priority="1248" stopIfTrue="1" operator="equal">
      <formula>"Napkin Hs"</formula>
    </cfRule>
  </conditionalFormatting>
  <conditionalFormatting sqref="C118:C120">
    <cfRule type="cellIs" dxfId="2644" priority="1245" stopIfTrue="1" operator="equal">
      <formula>"Towel"</formula>
    </cfRule>
    <cfRule type="cellIs" dxfId="2643" priority="1246" stopIfTrue="1" operator="equal">
      <formula>"Napkin Hs"</formula>
    </cfRule>
  </conditionalFormatting>
  <conditionalFormatting sqref="C118:C120">
    <cfRule type="cellIs" dxfId="2642" priority="1247" stopIfTrue="1" operator="equal">
      <formula>"Towel"</formula>
    </cfRule>
  </conditionalFormatting>
  <conditionalFormatting sqref="C127">
    <cfRule type="cellIs" dxfId="2641" priority="1243" stopIfTrue="1" operator="equal">
      <formula>"Towel"</formula>
    </cfRule>
    <cfRule type="cellIs" dxfId="2640" priority="1244" stopIfTrue="1" operator="equal">
      <formula>"Napkin Hs"</formula>
    </cfRule>
  </conditionalFormatting>
  <conditionalFormatting sqref="B126:C126">
    <cfRule type="cellIs" dxfId="2639" priority="1217" stopIfTrue="1" operator="equal">
      <formula>"Towel"</formula>
    </cfRule>
    <cfRule type="cellIs" dxfId="2638" priority="1218" stopIfTrue="1" operator="equal">
      <formula>"Napkin Hs"</formula>
    </cfRule>
  </conditionalFormatting>
  <conditionalFormatting sqref="C126">
    <cfRule type="cellIs" dxfId="2637" priority="1216" stopIfTrue="1" operator="equal">
      <formula>"Napkin Hs"</formula>
    </cfRule>
  </conditionalFormatting>
  <conditionalFormatting sqref="C126">
    <cfRule type="cellIs" dxfId="2636" priority="1213" stopIfTrue="1" operator="equal">
      <formula>"Towel"</formula>
    </cfRule>
    <cfRule type="cellIs" dxfId="2635" priority="1214" stopIfTrue="1" operator="equal">
      <formula>"Napkin Hs"</formula>
    </cfRule>
  </conditionalFormatting>
  <conditionalFormatting sqref="C126">
    <cfRule type="cellIs" dxfId="2634" priority="1215" stopIfTrue="1" operator="equal">
      <formula>"Towel"</formula>
    </cfRule>
  </conditionalFormatting>
  <conditionalFormatting sqref="B125:C125 C124">
    <cfRule type="cellIs" dxfId="2633" priority="1211" stopIfTrue="1" operator="equal">
      <formula>"Towel"</formula>
    </cfRule>
    <cfRule type="cellIs" dxfId="2632" priority="1212" stopIfTrue="1" operator="equal">
      <formula>"Napkin Hs"</formula>
    </cfRule>
  </conditionalFormatting>
  <conditionalFormatting sqref="C124:C125">
    <cfRule type="cellIs" dxfId="2631" priority="1210" stopIfTrue="1" operator="equal">
      <formula>"Napkin Hs"</formula>
    </cfRule>
  </conditionalFormatting>
  <conditionalFormatting sqref="C124:C125">
    <cfRule type="cellIs" dxfId="2630" priority="1207" stopIfTrue="1" operator="equal">
      <formula>"Towel"</formula>
    </cfRule>
    <cfRule type="cellIs" dxfId="2629" priority="1208" stopIfTrue="1" operator="equal">
      <formula>"Napkin Hs"</formula>
    </cfRule>
  </conditionalFormatting>
  <conditionalFormatting sqref="C124:C125">
    <cfRule type="cellIs" dxfId="2628" priority="1209" stopIfTrue="1" operator="equal">
      <formula>"Towel"</formula>
    </cfRule>
  </conditionalFormatting>
  <conditionalFormatting sqref="B123:C123 B124">
    <cfRule type="cellIs" dxfId="2627" priority="1205" stopIfTrue="1" operator="equal">
      <formula>"Towel"</formula>
    </cfRule>
    <cfRule type="cellIs" dxfId="2626" priority="1206" stopIfTrue="1" operator="equal">
      <formula>"Napkin Hs"</formula>
    </cfRule>
  </conditionalFormatting>
  <conditionalFormatting sqref="C123">
    <cfRule type="cellIs" dxfId="2625" priority="1201" stopIfTrue="1" operator="equal">
      <formula>"Towel"</formula>
    </cfRule>
    <cfRule type="cellIs" dxfId="2624" priority="1202" stopIfTrue="1" operator="equal">
      <formula>"Napkin Hs"</formula>
    </cfRule>
  </conditionalFormatting>
  <conditionalFormatting sqref="C123">
    <cfRule type="cellIs" dxfId="2623" priority="1203" stopIfTrue="1" operator="equal">
      <formula>"Towel"</formula>
    </cfRule>
    <cfRule type="cellIs" dxfId="2622" priority="1204" stopIfTrue="1" operator="equal">
      <formula>"Napkin Hs"</formula>
    </cfRule>
  </conditionalFormatting>
  <conditionalFormatting sqref="B123:C123 B124">
    <cfRule type="cellIs" dxfId="2621" priority="1199" stopIfTrue="1" operator="equal">
      <formula>"Towel"</formula>
    </cfRule>
    <cfRule type="cellIs" dxfId="2620" priority="1200" stopIfTrue="1" operator="equal">
      <formula>"Napkin Hs"</formula>
    </cfRule>
  </conditionalFormatting>
  <conditionalFormatting sqref="C123">
    <cfRule type="cellIs" dxfId="2619" priority="1197" stopIfTrue="1" operator="equal">
      <formula>"Towel"</formula>
    </cfRule>
    <cfRule type="cellIs" dxfId="2618" priority="1198" stopIfTrue="1" operator="equal">
      <formula>"Napkin Hs"</formula>
    </cfRule>
  </conditionalFormatting>
  <conditionalFormatting sqref="C123">
    <cfRule type="cellIs" dxfId="2617" priority="1195" stopIfTrue="1" operator="equal">
      <formula>"Towel"</formula>
    </cfRule>
    <cfRule type="cellIs" dxfId="2616" priority="1196" stopIfTrue="1" operator="equal">
      <formula>"Napkin Hs"</formula>
    </cfRule>
  </conditionalFormatting>
  <conditionalFormatting sqref="C123">
    <cfRule type="cellIs" dxfId="2615" priority="1187" stopIfTrue="1" operator="equal">
      <formula>"Towel"</formula>
    </cfRule>
    <cfRule type="cellIs" dxfId="2614" priority="1188" stopIfTrue="1" operator="equal">
      <formula>"Napkin Hs"</formula>
    </cfRule>
  </conditionalFormatting>
  <conditionalFormatting sqref="B123:C123 B124">
    <cfRule type="cellIs" dxfId="2613" priority="1189" stopIfTrue="1" operator="equal">
      <formula>"Towel"</formula>
    </cfRule>
    <cfRule type="cellIs" dxfId="2612" priority="1190" stopIfTrue="1" operator="equal">
      <formula>"Napkin Hs"</formula>
    </cfRule>
  </conditionalFormatting>
  <conditionalFormatting sqref="C123">
    <cfRule type="cellIs" dxfId="2611" priority="1185" stopIfTrue="1" operator="equal">
      <formula>"Towel"</formula>
    </cfRule>
    <cfRule type="cellIs" dxfId="2610" priority="1186" stopIfTrue="1" operator="equal">
      <formula>"Napkin Hs"</formula>
    </cfRule>
  </conditionalFormatting>
  <conditionalFormatting sqref="B123:C123 B124">
    <cfRule type="cellIs" dxfId="2609" priority="1183" stopIfTrue="1" operator="equal">
      <formula>"Towel"</formula>
    </cfRule>
    <cfRule type="cellIs" dxfId="2608" priority="1184" stopIfTrue="1" operator="equal">
      <formula>"Napkin Hs"</formula>
    </cfRule>
  </conditionalFormatting>
  <conditionalFormatting sqref="C123">
    <cfRule type="cellIs" dxfId="2607" priority="1191" stopIfTrue="1" operator="equal">
      <formula>"Towel"</formula>
    </cfRule>
    <cfRule type="cellIs" dxfId="2606" priority="1192" stopIfTrue="1" operator="equal">
      <formula>"Napkin Hs"</formula>
    </cfRule>
  </conditionalFormatting>
  <conditionalFormatting sqref="C123">
    <cfRule type="cellIs" dxfId="2605" priority="1193" stopIfTrue="1" operator="equal">
      <formula>"Towel"</formula>
    </cfRule>
    <cfRule type="cellIs" dxfId="2604" priority="1194" stopIfTrue="1" operator="equal">
      <formula>"Napkin Hs"</formula>
    </cfRule>
  </conditionalFormatting>
  <conditionalFormatting sqref="B123:C123 B124">
    <cfRule type="cellIs" dxfId="2603" priority="1181" stopIfTrue="1" operator="equal">
      <formula>"Towel"</formula>
    </cfRule>
    <cfRule type="cellIs" dxfId="2602" priority="1182" stopIfTrue="1" operator="equal">
      <formula>"Napkin Hs"</formula>
    </cfRule>
  </conditionalFormatting>
  <conditionalFormatting sqref="C123">
    <cfRule type="cellIs" dxfId="2601" priority="1180" stopIfTrue="1" operator="equal">
      <formula>"Napkin Hs"</formula>
    </cfRule>
  </conditionalFormatting>
  <conditionalFormatting sqref="C123">
    <cfRule type="cellIs" dxfId="2600" priority="1177" stopIfTrue="1" operator="equal">
      <formula>"Towel"</formula>
    </cfRule>
    <cfRule type="cellIs" dxfId="2599" priority="1178" stopIfTrue="1" operator="equal">
      <formula>"Napkin Hs"</formula>
    </cfRule>
  </conditionalFormatting>
  <conditionalFormatting sqref="C123">
    <cfRule type="cellIs" dxfId="2598" priority="1179" stopIfTrue="1" operator="equal">
      <formula>"Towel"</formula>
    </cfRule>
  </conditionalFormatting>
  <conditionalFormatting sqref="B131:C131">
    <cfRule type="cellIs" dxfId="2597" priority="1173" stopIfTrue="1" operator="equal">
      <formula>"Towel"</formula>
    </cfRule>
    <cfRule type="cellIs" dxfId="2596" priority="1174" stopIfTrue="1" operator="equal">
      <formula>"Napkin Hs"</formula>
    </cfRule>
  </conditionalFormatting>
  <conditionalFormatting sqref="C131">
    <cfRule type="cellIs" dxfId="2595" priority="1175" stopIfTrue="1" operator="equal">
      <formula>"Towel"</formula>
    </cfRule>
    <cfRule type="cellIs" dxfId="2594" priority="1176" stopIfTrue="1" operator="equal">
      <formula>"Napkin Hs"</formula>
    </cfRule>
  </conditionalFormatting>
  <conditionalFormatting sqref="C131">
    <cfRule type="cellIs" dxfId="2593" priority="1171" stopIfTrue="1" operator="equal">
      <formula>"Towel"</formula>
    </cfRule>
    <cfRule type="cellIs" dxfId="2592" priority="1172" stopIfTrue="1" operator="equal">
      <formula>"Napkin Hs"</formula>
    </cfRule>
  </conditionalFormatting>
  <conditionalFormatting sqref="B130:C130">
    <cfRule type="cellIs" dxfId="2591" priority="1169" stopIfTrue="1" operator="equal">
      <formula>"Towel"</formula>
    </cfRule>
    <cfRule type="cellIs" dxfId="2590" priority="1170" stopIfTrue="1" operator="equal">
      <formula>"Napkin Hs"</formula>
    </cfRule>
  </conditionalFormatting>
  <conditionalFormatting sqref="C130">
    <cfRule type="cellIs" dxfId="2589" priority="1165" stopIfTrue="1" operator="equal">
      <formula>"Towel"</formula>
    </cfRule>
    <cfRule type="cellIs" dxfId="2588" priority="1166" stopIfTrue="1" operator="equal">
      <formula>"Napkin Hs"</formula>
    </cfRule>
  </conditionalFormatting>
  <conditionalFormatting sqref="C130">
    <cfRule type="cellIs" dxfId="2587" priority="1167" stopIfTrue="1" operator="equal">
      <formula>"Towel"</formula>
    </cfRule>
    <cfRule type="cellIs" dxfId="2586" priority="1168" stopIfTrue="1" operator="equal">
      <formula>"Napkin Hs"</formula>
    </cfRule>
  </conditionalFormatting>
  <conditionalFormatting sqref="B131:C131">
    <cfRule type="cellIs" dxfId="2585" priority="1163" stopIfTrue="1" operator="equal">
      <formula>"Towel"</formula>
    </cfRule>
    <cfRule type="cellIs" dxfId="2584" priority="1164" stopIfTrue="1" operator="equal">
      <formula>"Napkin Hs"</formula>
    </cfRule>
  </conditionalFormatting>
  <conditionalFormatting sqref="C131">
    <cfRule type="cellIs" dxfId="2583" priority="1161" stopIfTrue="1" operator="equal">
      <formula>"Towel"</formula>
    </cfRule>
    <cfRule type="cellIs" dxfId="2582" priority="1162" stopIfTrue="1" operator="equal">
      <formula>"Napkin Hs"</formula>
    </cfRule>
  </conditionalFormatting>
  <conditionalFormatting sqref="C131">
    <cfRule type="cellIs" dxfId="2581" priority="1159" stopIfTrue="1" operator="equal">
      <formula>"Towel"</formula>
    </cfRule>
    <cfRule type="cellIs" dxfId="2580" priority="1160" stopIfTrue="1" operator="equal">
      <formula>"Napkin Hs"</formula>
    </cfRule>
  </conditionalFormatting>
  <conditionalFormatting sqref="B130:C130">
    <cfRule type="cellIs" dxfId="2579" priority="1157" stopIfTrue="1" operator="equal">
      <formula>"Towel"</formula>
    </cfRule>
    <cfRule type="cellIs" dxfId="2578" priority="1158" stopIfTrue="1" operator="equal">
      <formula>"Napkin Hs"</formula>
    </cfRule>
  </conditionalFormatting>
  <conditionalFormatting sqref="C130">
    <cfRule type="cellIs" dxfId="2577" priority="1155" stopIfTrue="1" operator="equal">
      <formula>"Towel"</formula>
    </cfRule>
    <cfRule type="cellIs" dxfId="2576" priority="1156" stopIfTrue="1" operator="equal">
      <formula>"Napkin Hs"</formula>
    </cfRule>
  </conditionalFormatting>
  <conditionalFormatting sqref="C130">
    <cfRule type="cellIs" dxfId="2575" priority="1153" stopIfTrue="1" operator="equal">
      <formula>"Towel"</formula>
    </cfRule>
    <cfRule type="cellIs" dxfId="2574" priority="1154" stopIfTrue="1" operator="equal">
      <formula>"Napkin Hs"</formula>
    </cfRule>
  </conditionalFormatting>
  <conditionalFormatting sqref="C130">
    <cfRule type="cellIs" dxfId="2573" priority="1145" stopIfTrue="1" operator="equal">
      <formula>"Towel"</formula>
    </cfRule>
    <cfRule type="cellIs" dxfId="2572" priority="1146" stopIfTrue="1" operator="equal">
      <formula>"Napkin Hs"</formula>
    </cfRule>
  </conditionalFormatting>
  <conditionalFormatting sqref="B130:C130">
    <cfRule type="cellIs" dxfId="2571" priority="1147" stopIfTrue="1" operator="equal">
      <formula>"Towel"</formula>
    </cfRule>
    <cfRule type="cellIs" dxfId="2570" priority="1148" stopIfTrue="1" operator="equal">
      <formula>"Napkin Hs"</formula>
    </cfRule>
  </conditionalFormatting>
  <conditionalFormatting sqref="C130">
    <cfRule type="cellIs" dxfId="2569" priority="1143" stopIfTrue="1" operator="equal">
      <formula>"Towel"</formula>
    </cfRule>
    <cfRule type="cellIs" dxfId="2568" priority="1144" stopIfTrue="1" operator="equal">
      <formula>"Napkin Hs"</formula>
    </cfRule>
  </conditionalFormatting>
  <conditionalFormatting sqref="B130:C130">
    <cfRule type="cellIs" dxfId="2567" priority="1141" stopIfTrue="1" operator="equal">
      <formula>"Towel"</formula>
    </cfRule>
    <cfRule type="cellIs" dxfId="2566" priority="1142" stopIfTrue="1" operator="equal">
      <formula>"Napkin Hs"</formula>
    </cfRule>
  </conditionalFormatting>
  <conditionalFormatting sqref="C130">
    <cfRule type="cellIs" dxfId="2565" priority="1149" stopIfTrue="1" operator="equal">
      <formula>"Towel"</formula>
    </cfRule>
    <cfRule type="cellIs" dxfId="2564" priority="1150" stopIfTrue="1" operator="equal">
      <formula>"Napkin Hs"</formula>
    </cfRule>
  </conditionalFormatting>
  <conditionalFormatting sqref="C130">
    <cfRule type="cellIs" dxfId="2563" priority="1151" stopIfTrue="1" operator="equal">
      <formula>"Towel"</formula>
    </cfRule>
    <cfRule type="cellIs" dxfId="2562" priority="1152" stopIfTrue="1" operator="equal">
      <formula>"Napkin Hs"</formula>
    </cfRule>
  </conditionalFormatting>
  <conditionalFormatting sqref="B131:C131">
    <cfRule type="cellIs" dxfId="2561" priority="1115" stopIfTrue="1" operator="equal">
      <formula>"Towel"</formula>
    </cfRule>
    <cfRule type="cellIs" dxfId="2560" priority="1116" stopIfTrue="1" operator="equal">
      <formula>"Napkin Hs"</formula>
    </cfRule>
  </conditionalFormatting>
  <conditionalFormatting sqref="C131">
    <cfRule type="cellIs" dxfId="2559" priority="1114" stopIfTrue="1" operator="equal">
      <formula>"Napkin Hs"</formula>
    </cfRule>
  </conditionalFormatting>
  <conditionalFormatting sqref="C131">
    <cfRule type="cellIs" dxfId="2558" priority="1111" stopIfTrue="1" operator="equal">
      <formula>"Towel"</formula>
    </cfRule>
    <cfRule type="cellIs" dxfId="2557" priority="1112" stopIfTrue="1" operator="equal">
      <formula>"Napkin Hs"</formula>
    </cfRule>
  </conditionalFormatting>
  <conditionalFormatting sqref="C131">
    <cfRule type="cellIs" dxfId="2556" priority="1113" stopIfTrue="1" operator="equal">
      <formula>"Towel"</formula>
    </cfRule>
  </conditionalFormatting>
  <conditionalFormatting sqref="B130:C130">
    <cfRule type="cellIs" dxfId="2555" priority="1109" stopIfTrue="1" operator="equal">
      <formula>"Towel"</formula>
    </cfRule>
    <cfRule type="cellIs" dxfId="2554" priority="1110" stopIfTrue="1" operator="equal">
      <formula>"Napkin Hs"</formula>
    </cfRule>
  </conditionalFormatting>
  <conditionalFormatting sqref="C130">
    <cfRule type="cellIs" dxfId="2553" priority="1108" stopIfTrue="1" operator="equal">
      <formula>"Napkin Hs"</formula>
    </cfRule>
  </conditionalFormatting>
  <conditionalFormatting sqref="C130">
    <cfRule type="cellIs" dxfId="2552" priority="1105" stopIfTrue="1" operator="equal">
      <formula>"Towel"</formula>
    </cfRule>
    <cfRule type="cellIs" dxfId="2551" priority="1106" stopIfTrue="1" operator="equal">
      <formula>"Napkin Hs"</formula>
    </cfRule>
  </conditionalFormatting>
  <conditionalFormatting sqref="C130">
    <cfRule type="cellIs" dxfId="2550" priority="1107" stopIfTrue="1" operator="equal">
      <formula>"Towel"</formula>
    </cfRule>
  </conditionalFormatting>
  <conditionalFormatting sqref="B128:C129">
    <cfRule type="cellIs" dxfId="2549" priority="1103" stopIfTrue="1" operator="equal">
      <formula>"Towel"</formula>
    </cfRule>
    <cfRule type="cellIs" dxfId="2548" priority="1104" stopIfTrue="1" operator="equal">
      <formula>"Napkin Hs"</formula>
    </cfRule>
  </conditionalFormatting>
  <conditionalFormatting sqref="C128:C129">
    <cfRule type="cellIs" dxfId="2547" priority="1099" stopIfTrue="1" operator="equal">
      <formula>"Towel"</formula>
    </cfRule>
    <cfRule type="cellIs" dxfId="2546" priority="1100" stopIfTrue="1" operator="equal">
      <formula>"Napkin Hs"</formula>
    </cfRule>
  </conditionalFormatting>
  <conditionalFormatting sqref="C128:C129">
    <cfRule type="cellIs" dxfId="2545" priority="1101" stopIfTrue="1" operator="equal">
      <formula>"Towel"</formula>
    </cfRule>
    <cfRule type="cellIs" dxfId="2544" priority="1102" stopIfTrue="1" operator="equal">
      <formula>"Napkin Hs"</formula>
    </cfRule>
  </conditionalFormatting>
  <conditionalFormatting sqref="B128:C129">
    <cfRule type="cellIs" dxfId="2543" priority="1097" stopIfTrue="1" operator="equal">
      <formula>"Towel"</formula>
    </cfRule>
    <cfRule type="cellIs" dxfId="2542" priority="1098" stopIfTrue="1" operator="equal">
      <formula>"Napkin Hs"</formula>
    </cfRule>
  </conditionalFormatting>
  <conditionalFormatting sqref="C128:C129">
    <cfRule type="cellIs" dxfId="2541" priority="1095" stopIfTrue="1" operator="equal">
      <formula>"Towel"</formula>
    </cfRule>
    <cfRule type="cellIs" dxfId="2540" priority="1096" stopIfTrue="1" operator="equal">
      <formula>"Napkin Hs"</formula>
    </cfRule>
  </conditionalFormatting>
  <conditionalFormatting sqref="C128:C129">
    <cfRule type="cellIs" dxfId="2539" priority="1093" stopIfTrue="1" operator="equal">
      <formula>"Towel"</formula>
    </cfRule>
    <cfRule type="cellIs" dxfId="2538" priority="1094" stopIfTrue="1" operator="equal">
      <formula>"Napkin Hs"</formula>
    </cfRule>
  </conditionalFormatting>
  <conditionalFormatting sqref="C128:C129">
    <cfRule type="cellIs" dxfId="2537" priority="1085" stopIfTrue="1" operator="equal">
      <formula>"Towel"</formula>
    </cfRule>
    <cfRule type="cellIs" dxfId="2536" priority="1086" stopIfTrue="1" operator="equal">
      <formula>"Napkin Hs"</formula>
    </cfRule>
  </conditionalFormatting>
  <conditionalFormatting sqref="B128:C129">
    <cfRule type="cellIs" dxfId="2535" priority="1087" stopIfTrue="1" operator="equal">
      <formula>"Towel"</formula>
    </cfRule>
    <cfRule type="cellIs" dxfId="2534" priority="1088" stopIfTrue="1" operator="equal">
      <formula>"Napkin Hs"</formula>
    </cfRule>
  </conditionalFormatting>
  <conditionalFormatting sqref="C128:C129">
    <cfRule type="cellIs" dxfId="2533" priority="1083" stopIfTrue="1" operator="equal">
      <formula>"Towel"</formula>
    </cfRule>
    <cfRule type="cellIs" dxfId="2532" priority="1084" stopIfTrue="1" operator="equal">
      <formula>"Napkin Hs"</formula>
    </cfRule>
  </conditionalFormatting>
  <conditionalFormatting sqref="B128:C129">
    <cfRule type="cellIs" dxfId="2531" priority="1081" stopIfTrue="1" operator="equal">
      <formula>"Towel"</formula>
    </cfRule>
    <cfRule type="cellIs" dxfId="2530" priority="1082" stopIfTrue="1" operator="equal">
      <formula>"Napkin Hs"</formula>
    </cfRule>
  </conditionalFormatting>
  <conditionalFormatting sqref="C128:C129">
    <cfRule type="cellIs" dxfId="2529" priority="1089" stopIfTrue="1" operator="equal">
      <formula>"Towel"</formula>
    </cfRule>
    <cfRule type="cellIs" dxfId="2528" priority="1090" stopIfTrue="1" operator="equal">
      <formula>"Napkin Hs"</formula>
    </cfRule>
  </conditionalFormatting>
  <conditionalFormatting sqref="C128:C129">
    <cfRule type="cellIs" dxfId="2527" priority="1091" stopIfTrue="1" operator="equal">
      <formula>"Towel"</formula>
    </cfRule>
    <cfRule type="cellIs" dxfId="2526" priority="1092" stopIfTrue="1" operator="equal">
      <formula>"Napkin Hs"</formula>
    </cfRule>
  </conditionalFormatting>
  <conditionalFormatting sqref="B128:C129">
    <cfRule type="cellIs" dxfId="2525" priority="1079" stopIfTrue="1" operator="equal">
      <formula>"Towel"</formula>
    </cfRule>
    <cfRule type="cellIs" dxfId="2524" priority="1080" stopIfTrue="1" operator="equal">
      <formula>"Napkin Hs"</formula>
    </cfRule>
  </conditionalFormatting>
  <conditionalFormatting sqref="C128:C129">
    <cfRule type="cellIs" dxfId="2523" priority="1078" stopIfTrue="1" operator="equal">
      <formula>"Napkin Hs"</formula>
    </cfRule>
  </conditionalFormatting>
  <conditionalFormatting sqref="C128:C129">
    <cfRule type="cellIs" dxfId="2522" priority="1075" stopIfTrue="1" operator="equal">
      <formula>"Towel"</formula>
    </cfRule>
    <cfRule type="cellIs" dxfId="2521" priority="1076" stopIfTrue="1" operator="equal">
      <formula>"Napkin Hs"</formula>
    </cfRule>
  </conditionalFormatting>
  <conditionalFormatting sqref="C128:C129">
    <cfRule type="cellIs" dxfId="2520" priority="1077" stopIfTrue="1" operator="equal">
      <formula>"Towel"</formula>
    </cfRule>
  </conditionalFormatting>
  <conditionalFormatting sqref="B132:C132">
    <cfRule type="cellIs" dxfId="2519" priority="1073" stopIfTrue="1" operator="equal">
      <formula>"Towel"</formula>
    </cfRule>
    <cfRule type="cellIs" dxfId="2518" priority="1074" stopIfTrue="1" operator="equal">
      <formula>"Napkin Hs"</formula>
    </cfRule>
  </conditionalFormatting>
  <conditionalFormatting sqref="C132">
    <cfRule type="cellIs" dxfId="2517" priority="1072" stopIfTrue="1" operator="equal">
      <formula>"Napkin Hs"</formula>
    </cfRule>
  </conditionalFormatting>
  <conditionalFormatting sqref="C132">
    <cfRule type="cellIs" dxfId="2516" priority="1069" stopIfTrue="1" operator="equal">
      <formula>"Towel"</formula>
    </cfRule>
    <cfRule type="cellIs" dxfId="2515" priority="1070" stopIfTrue="1" operator="equal">
      <formula>"Napkin Hs"</formula>
    </cfRule>
  </conditionalFormatting>
  <conditionalFormatting sqref="C132">
    <cfRule type="cellIs" dxfId="2514" priority="1071" stopIfTrue="1" operator="equal">
      <formula>"Towel"</formula>
    </cfRule>
  </conditionalFormatting>
  <conditionalFormatting sqref="B137:C139">
    <cfRule type="cellIs" dxfId="2513" priority="1065" stopIfTrue="1" operator="equal">
      <formula>"Towel"</formula>
    </cfRule>
    <cfRule type="cellIs" dxfId="2512" priority="1066" stopIfTrue="1" operator="equal">
      <formula>"Napkin Hs"</formula>
    </cfRule>
  </conditionalFormatting>
  <conditionalFormatting sqref="C137:C139">
    <cfRule type="cellIs" dxfId="2511" priority="1067" stopIfTrue="1" operator="equal">
      <formula>"Towel"</formula>
    </cfRule>
    <cfRule type="cellIs" dxfId="2510" priority="1068" stopIfTrue="1" operator="equal">
      <formula>"Napkin Hs"</formula>
    </cfRule>
  </conditionalFormatting>
  <conditionalFormatting sqref="C137:C139">
    <cfRule type="cellIs" dxfId="2509" priority="1063" stopIfTrue="1" operator="equal">
      <formula>"Towel"</formula>
    </cfRule>
    <cfRule type="cellIs" dxfId="2508" priority="1064" stopIfTrue="1" operator="equal">
      <formula>"Napkin Hs"</formula>
    </cfRule>
  </conditionalFormatting>
  <conditionalFormatting sqref="B136:C136">
    <cfRule type="cellIs" dxfId="2507" priority="1061" stopIfTrue="1" operator="equal">
      <formula>"Towel"</formula>
    </cfRule>
    <cfRule type="cellIs" dxfId="2506" priority="1062" stopIfTrue="1" operator="equal">
      <formula>"Napkin Hs"</formula>
    </cfRule>
  </conditionalFormatting>
  <conditionalFormatting sqref="C136">
    <cfRule type="cellIs" dxfId="2505" priority="1057" stopIfTrue="1" operator="equal">
      <formula>"Towel"</formula>
    </cfRule>
    <cfRule type="cellIs" dxfId="2504" priority="1058" stopIfTrue="1" operator="equal">
      <formula>"Napkin Hs"</formula>
    </cfRule>
  </conditionalFormatting>
  <conditionalFormatting sqref="C136">
    <cfRule type="cellIs" dxfId="2503" priority="1059" stopIfTrue="1" operator="equal">
      <formula>"Towel"</formula>
    </cfRule>
    <cfRule type="cellIs" dxfId="2502" priority="1060" stopIfTrue="1" operator="equal">
      <formula>"Napkin Hs"</formula>
    </cfRule>
  </conditionalFormatting>
  <conditionalFormatting sqref="B137:C139">
    <cfRule type="cellIs" dxfId="2501" priority="1055" stopIfTrue="1" operator="equal">
      <formula>"Towel"</formula>
    </cfRule>
    <cfRule type="cellIs" dxfId="2500" priority="1056" stopIfTrue="1" operator="equal">
      <formula>"Napkin Hs"</formula>
    </cfRule>
  </conditionalFormatting>
  <conditionalFormatting sqref="C137:C139">
    <cfRule type="cellIs" dxfId="2499" priority="1053" stopIfTrue="1" operator="equal">
      <formula>"Towel"</formula>
    </cfRule>
    <cfRule type="cellIs" dxfId="2498" priority="1054" stopIfTrue="1" operator="equal">
      <formula>"Napkin Hs"</formula>
    </cfRule>
  </conditionalFormatting>
  <conditionalFormatting sqref="C137:C139">
    <cfRule type="cellIs" dxfId="2497" priority="1051" stopIfTrue="1" operator="equal">
      <formula>"Towel"</formula>
    </cfRule>
    <cfRule type="cellIs" dxfId="2496" priority="1052" stopIfTrue="1" operator="equal">
      <formula>"Napkin Hs"</formula>
    </cfRule>
  </conditionalFormatting>
  <conditionalFormatting sqref="B136:C136">
    <cfRule type="cellIs" dxfId="2495" priority="1049" stopIfTrue="1" operator="equal">
      <formula>"Towel"</formula>
    </cfRule>
    <cfRule type="cellIs" dxfId="2494" priority="1050" stopIfTrue="1" operator="equal">
      <formula>"Napkin Hs"</formula>
    </cfRule>
  </conditionalFormatting>
  <conditionalFormatting sqref="C136">
    <cfRule type="cellIs" dxfId="2493" priority="1047" stopIfTrue="1" operator="equal">
      <formula>"Towel"</formula>
    </cfRule>
    <cfRule type="cellIs" dxfId="2492" priority="1048" stopIfTrue="1" operator="equal">
      <formula>"Napkin Hs"</formula>
    </cfRule>
  </conditionalFormatting>
  <conditionalFormatting sqref="C136">
    <cfRule type="cellIs" dxfId="2491" priority="1045" stopIfTrue="1" operator="equal">
      <formula>"Towel"</formula>
    </cfRule>
    <cfRule type="cellIs" dxfId="2490" priority="1046" stopIfTrue="1" operator="equal">
      <formula>"Napkin Hs"</formula>
    </cfRule>
  </conditionalFormatting>
  <conditionalFormatting sqref="C136">
    <cfRule type="cellIs" dxfId="2489" priority="1037" stopIfTrue="1" operator="equal">
      <formula>"Towel"</formula>
    </cfRule>
    <cfRule type="cellIs" dxfId="2488" priority="1038" stopIfTrue="1" operator="equal">
      <formula>"Napkin Hs"</formula>
    </cfRule>
  </conditionalFormatting>
  <conditionalFormatting sqref="B136:C136">
    <cfRule type="cellIs" dxfId="2487" priority="1039" stopIfTrue="1" operator="equal">
      <formula>"Towel"</formula>
    </cfRule>
    <cfRule type="cellIs" dxfId="2486" priority="1040" stopIfTrue="1" operator="equal">
      <formula>"Napkin Hs"</formula>
    </cfRule>
  </conditionalFormatting>
  <conditionalFormatting sqref="C136">
    <cfRule type="cellIs" dxfId="2485" priority="1035" stopIfTrue="1" operator="equal">
      <formula>"Towel"</formula>
    </cfRule>
    <cfRule type="cellIs" dxfId="2484" priority="1036" stopIfTrue="1" operator="equal">
      <formula>"Napkin Hs"</formula>
    </cfRule>
  </conditionalFormatting>
  <conditionalFormatting sqref="B136:C136">
    <cfRule type="cellIs" dxfId="2483" priority="1033" stopIfTrue="1" operator="equal">
      <formula>"Towel"</formula>
    </cfRule>
    <cfRule type="cellIs" dxfId="2482" priority="1034" stopIfTrue="1" operator="equal">
      <formula>"Napkin Hs"</formula>
    </cfRule>
  </conditionalFormatting>
  <conditionalFormatting sqref="C136">
    <cfRule type="cellIs" dxfId="2481" priority="1041" stopIfTrue="1" operator="equal">
      <formula>"Towel"</formula>
    </cfRule>
    <cfRule type="cellIs" dxfId="2480" priority="1042" stopIfTrue="1" operator="equal">
      <formula>"Napkin Hs"</formula>
    </cfRule>
  </conditionalFormatting>
  <conditionalFormatting sqref="C136">
    <cfRule type="cellIs" dxfId="2479" priority="1043" stopIfTrue="1" operator="equal">
      <formula>"Towel"</formula>
    </cfRule>
    <cfRule type="cellIs" dxfId="2478" priority="1044" stopIfTrue="1" operator="equal">
      <formula>"Napkin Hs"</formula>
    </cfRule>
  </conditionalFormatting>
  <conditionalFormatting sqref="B137:C139">
    <cfRule type="cellIs" dxfId="2477" priority="1031" stopIfTrue="1" operator="equal">
      <formula>"Towel"</formula>
    </cfRule>
    <cfRule type="cellIs" dxfId="2476" priority="1032" stopIfTrue="1" operator="equal">
      <formula>"Napkin Hs"</formula>
    </cfRule>
  </conditionalFormatting>
  <conditionalFormatting sqref="C137:C139">
    <cfRule type="cellIs" dxfId="2475" priority="1030" stopIfTrue="1" operator="equal">
      <formula>"Napkin Hs"</formula>
    </cfRule>
  </conditionalFormatting>
  <conditionalFormatting sqref="C137:C139">
    <cfRule type="cellIs" dxfId="2474" priority="1027" stopIfTrue="1" operator="equal">
      <formula>"Towel"</formula>
    </cfRule>
    <cfRule type="cellIs" dxfId="2473" priority="1028" stopIfTrue="1" operator="equal">
      <formula>"Napkin Hs"</formula>
    </cfRule>
  </conditionalFormatting>
  <conditionalFormatting sqref="C137:C139">
    <cfRule type="cellIs" dxfId="2472" priority="1029" stopIfTrue="1" operator="equal">
      <formula>"Towel"</formula>
    </cfRule>
  </conditionalFormatting>
  <conditionalFormatting sqref="B136:C136">
    <cfRule type="cellIs" dxfId="2471" priority="1025" stopIfTrue="1" operator="equal">
      <formula>"Towel"</formula>
    </cfRule>
    <cfRule type="cellIs" dxfId="2470" priority="1026" stopIfTrue="1" operator="equal">
      <formula>"Napkin Hs"</formula>
    </cfRule>
  </conditionalFormatting>
  <conditionalFormatting sqref="C136">
    <cfRule type="cellIs" dxfId="2469" priority="1024" stopIfTrue="1" operator="equal">
      <formula>"Napkin Hs"</formula>
    </cfRule>
  </conditionalFormatting>
  <conditionalFormatting sqref="C136">
    <cfRule type="cellIs" dxfId="2468" priority="1021" stopIfTrue="1" operator="equal">
      <formula>"Towel"</formula>
    </cfRule>
    <cfRule type="cellIs" dxfId="2467" priority="1022" stopIfTrue="1" operator="equal">
      <formula>"Napkin Hs"</formula>
    </cfRule>
  </conditionalFormatting>
  <conditionalFormatting sqref="C136">
    <cfRule type="cellIs" dxfId="2466" priority="1023" stopIfTrue="1" operator="equal">
      <formula>"Towel"</formula>
    </cfRule>
  </conditionalFormatting>
  <conditionalFormatting sqref="B135:C135">
    <cfRule type="cellIs" dxfId="2465" priority="1019" stopIfTrue="1" operator="equal">
      <formula>"Towel"</formula>
    </cfRule>
    <cfRule type="cellIs" dxfId="2464" priority="1020" stopIfTrue="1" operator="equal">
      <formula>"Napkin Hs"</formula>
    </cfRule>
  </conditionalFormatting>
  <conditionalFormatting sqref="C135">
    <cfRule type="cellIs" dxfId="2463" priority="1015" stopIfTrue="1" operator="equal">
      <formula>"Towel"</formula>
    </cfRule>
    <cfRule type="cellIs" dxfId="2462" priority="1016" stopIfTrue="1" operator="equal">
      <formula>"Napkin Hs"</formula>
    </cfRule>
  </conditionalFormatting>
  <conditionalFormatting sqref="C135">
    <cfRule type="cellIs" dxfId="2461" priority="1017" stopIfTrue="1" operator="equal">
      <formula>"Towel"</formula>
    </cfRule>
    <cfRule type="cellIs" dxfId="2460" priority="1018" stopIfTrue="1" operator="equal">
      <formula>"Napkin Hs"</formula>
    </cfRule>
  </conditionalFormatting>
  <conditionalFormatting sqref="B135:C135">
    <cfRule type="cellIs" dxfId="2459" priority="1013" stopIfTrue="1" operator="equal">
      <formula>"Towel"</formula>
    </cfRule>
    <cfRule type="cellIs" dxfId="2458" priority="1014" stopIfTrue="1" operator="equal">
      <formula>"Napkin Hs"</formula>
    </cfRule>
  </conditionalFormatting>
  <conditionalFormatting sqref="C135">
    <cfRule type="cellIs" dxfId="2457" priority="1011" stopIfTrue="1" operator="equal">
      <formula>"Towel"</formula>
    </cfRule>
    <cfRule type="cellIs" dxfId="2456" priority="1012" stopIfTrue="1" operator="equal">
      <formula>"Napkin Hs"</formula>
    </cfRule>
  </conditionalFormatting>
  <conditionalFormatting sqref="C135">
    <cfRule type="cellIs" dxfId="2455" priority="1009" stopIfTrue="1" operator="equal">
      <formula>"Towel"</formula>
    </cfRule>
    <cfRule type="cellIs" dxfId="2454" priority="1010" stopIfTrue="1" operator="equal">
      <formula>"Napkin Hs"</formula>
    </cfRule>
  </conditionalFormatting>
  <conditionalFormatting sqref="C135">
    <cfRule type="cellIs" dxfId="2453" priority="1001" stopIfTrue="1" operator="equal">
      <formula>"Towel"</formula>
    </cfRule>
    <cfRule type="cellIs" dxfId="2452" priority="1002" stopIfTrue="1" operator="equal">
      <formula>"Napkin Hs"</formula>
    </cfRule>
  </conditionalFormatting>
  <conditionalFormatting sqref="B135:C135">
    <cfRule type="cellIs" dxfId="2451" priority="1003" stopIfTrue="1" operator="equal">
      <formula>"Towel"</formula>
    </cfRule>
    <cfRule type="cellIs" dxfId="2450" priority="1004" stopIfTrue="1" operator="equal">
      <formula>"Napkin Hs"</formula>
    </cfRule>
  </conditionalFormatting>
  <conditionalFormatting sqref="C135">
    <cfRule type="cellIs" dxfId="2449" priority="999" stopIfTrue="1" operator="equal">
      <formula>"Towel"</formula>
    </cfRule>
    <cfRule type="cellIs" dxfId="2448" priority="1000" stopIfTrue="1" operator="equal">
      <formula>"Napkin Hs"</formula>
    </cfRule>
  </conditionalFormatting>
  <conditionalFormatting sqref="B135:C135">
    <cfRule type="cellIs" dxfId="2447" priority="997" stopIfTrue="1" operator="equal">
      <formula>"Towel"</formula>
    </cfRule>
    <cfRule type="cellIs" dxfId="2446" priority="998" stopIfTrue="1" operator="equal">
      <formula>"Napkin Hs"</formula>
    </cfRule>
  </conditionalFormatting>
  <conditionalFormatting sqref="C135">
    <cfRule type="cellIs" dxfId="2445" priority="1005" stopIfTrue="1" operator="equal">
      <formula>"Towel"</formula>
    </cfRule>
    <cfRule type="cellIs" dxfId="2444" priority="1006" stopIfTrue="1" operator="equal">
      <formula>"Napkin Hs"</formula>
    </cfRule>
  </conditionalFormatting>
  <conditionalFormatting sqref="C135">
    <cfRule type="cellIs" dxfId="2443" priority="1007" stopIfTrue="1" operator="equal">
      <formula>"Towel"</formula>
    </cfRule>
    <cfRule type="cellIs" dxfId="2442" priority="1008" stopIfTrue="1" operator="equal">
      <formula>"Napkin Hs"</formula>
    </cfRule>
  </conditionalFormatting>
  <conditionalFormatting sqref="B135:C135">
    <cfRule type="cellIs" dxfId="2441" priority="995" stopIfTrue="1" operator="equal">
      <formula>"Towel"</formula>
    </cfRule>
    <cfRule type="cellIs" dxfId="2440" priority="996" stopIfTrue="1" operator="equal">
      <formula>"Napkin Hs"</formula>
    </cfRule>
  </conditionalFormatting>
  <conditionalFormatting sqref="C135">
    <cfRule type="cellIs" dxfId="2439" priority="994" stopIfTrue="1" operator="equal">
      <formula>"Napkin Hs"</formula>
    </cfRule>
  </conditionalFormatting>
  <conditionalFormatting sqref="C135">
    <cfRule type="cellIs" dxfId="2438" priority="991" stopIfTrue="1" operator="equal">
      <formula>"Towel"</formula>
    </cfRule>
    <cfRule type="cellIs" dxfId="2437" priority="992" stopIfTrue="1" operator="equal">
      <formula>"Napkin Hs"</formula>
    </cfRule>
  </conditionalFormatting>
  <conditionalFormatting sqref="C135">
    <cfRule type="cellIs" dxfId="2436" priority="993" stopIfTrue="1" operator="equal">
      <formula>"Towel"</formula>
    </cfRule>
  </conditionalFormatting>
  <conditionalFormatting sqref="B134:C134">
    <cfRule type="cellIs" dxfId="2435" priority="989" stopIfTrue="1" operator="equal">
      <formula>"Towel"</formula>
    </cfRule>
    <cfRule type="cellIs" dxfId="2434" priority="990" stopIfTrue="1" operator="equal">
      <formula>"Napkin Hs"</formula>
    </cfRule>
  </conditionalFormatting>
  <conditionalFormatting sqref="C134">
    <cfRule type="cellIs" dxfId="2433" priority="985" stopIfTrue="1" operator="equal">
      <formula>"Towel"</formula>
    </cfRule>
    <cfRule type="cellIs" dxfId="2432" priority="986" stopIfTrue="1" operator="equal">
      <formula>"Napkin Hs"</formula>
    </cfRule>
  </conditionalFormatting>
  <conditionalFormatting sqref="C134">
    <cfRule type="cellIs" dxfId="2431" priority="987" stopIfTrue="1" operator="equal">
      <formula>"Towel"</formula>
    </cfRule>
    <cfRule type="cellIs" dxfId="2430" priority="988" stopIfTrue="1" operator="equal">
      <formula>"Napkin Hs"</formula>
    </cfRule>
  </conditionalFormatting>
  <conditionalFormatting sqref="B134:C134">
    <cfRule type="cellIs" dxfId="2429" priority="983" stopIfTrue="1" operator="equal">
      <formula>"Towel"</formula>
    </cfRule>
    <cfRule type="cellIs" dxfId="2428" priority="984" stopIfTrue="1" operator="equal">
      <formula>"Napkin Hs"</formula>
    </cfRule>
  </conditionalFormatting>
  <conditionalFormatting sqref="C134">
    <cfRule type="cellIs" dxfId="2427" priority="981" stopIfTrue="1" operator="equal">
      <formula>"Towel"</formula>
    </cfRule>
    <cfRule type="cellIs" dxfId="2426" priority="982" stopIfTrue="1" operator="equal">
      <formula>"Napkin Hs"</formula>
    </cfRule>
  </conditionalFormatting>
  <conditionalFormatting sqref="C134">
    <cfRule type="cellIs" dxfId="2425" priority="979" stopIfTrue="1" operator="equal">
      <formula>"Towel"</formula>
    </cfRule>
    <cfRule type="cellIs" dxfId="2424" priority="980" stopIfTrue="1" operator="equal">
      <formula>"Napkin Hs"</formula>
    </cfRule>
  </conditionalFormatting>
  <conditionalFormatting sqref="C134">
    <cfRule type="cellIs" dxfId="2423" priority="971" stopIfTrue="1" operator="equal">
      <formula>"Towel"</formula>
    </cfRule>
    <cfRule type="cellIs" dxfId="2422" priority="972" stopIfTrue="1" operator="equal">
      <formula>"Napkin Hs"</formula>
    </cfRule>
  </conditionalFormatting>
  <conditionalFormatting sqref="B134:C134">
    <cfRule type="cellIs" dxfId="2421" priority="973" stopIfTrue="1" operator="equal">
      <formula>"Towel"</formula>
    </cfRule>
    <cfRule type="cellIs" dxfId="2420" priority="974" stopIfTrue="1" operator="equal">
      <formula>"Napkin Hs"</formula>
    </cfRule>
  </conditionalFormatting>
  <conditionalFormatting sqref="C134">
    <cfRule type="cellIs" dxfId="2419" priority="969" stopIfTrue="1" operator="equal">
      <formula>"Towel"</formula>
    </cfRule>
    <cfRule type="cellIs" dxfId="2418" priority="970" stopIfTrue="1" operator="equal">
      <formula>"Napkin Hs"</formula>
    </cfRule>
  </conditionalFormatting>
  <conditionalFormatting sqref="B134:C134">
    <cfRule type="cellIs" dxfId="2417" priority="967" stopIfTrue="1" operator="equal">
      <formula>"Towel"</formula>
    </cfRule>
    <cfRule type="cellIs" dxfId="2416" priority="968" stopIfTrue="1" operator="equal">
      <formula>"Napkin Hs"</formula>
    </cfRule>
  </conditionalFormatting>
  <conditionalFormatting sqref="C134">
    <cfRule type="cellIs" dxfId="2415" priority="975" stopIfTrue="1" operator="equal">
      <formula>"Towel"</formula>
    </cfRule>
    <cfRule type="cellIs" dxfId="2414" priority="976" stopIfTrue="1" operator="equal">
      <formula>"Napkin Hs"</formula>
    </cfRule>
  </conditionalFormatting>
  <conditionalFormatting sqref="C134">
    <cfRule type="cellIs" dxfId="2413" priority="977" stopIfTrue="1" operator="equal">
      <formula>"Towel"</formula>
    </cfRule>
    <cfRule type="cellIs" dxfId="2412" priority="978" stopIfTrue="1" operator="equal">
      <formula>"Napkin Hs"</formula>
    </cfRule>
  </conditionalFormatting>
  <conditionalFormatting sqref="B134:C134">
    <cfRule type="cellIs" dxfId="2411" priority="965" stopIfTrue="1" operator="equal">
      <formula>"Towel"</formula>
    </cfRule>
    <cfRule type="cellIs" dxfId="2410" priority="966" stopIfTrue="1" operator="equal">
      <formula>"Napkin Hs"</formula>
    </cfRule>
  </conditionalFormatting>
  <conditionalFormatting sqref="C134">
    <cfRule type="cellIs" dxfId="2409" priority="964" stopIfTrue="1" operator="equal">
      <formula>"Napkin Hs"</formula>
    </cfRule>
  </conditionalFormatting>
  <conditionalFormatting sqref="C134">
    <cfRule type="cellIs" dxfId="2408" priority="961" stopIfTrue="1" operator="equal">
      <formula>"Towel"</formula>
    </cfRule>
    <cfRule type="cellIs" dxfId="2407" priority="962" stopIfTrue="1" operator="equal">
      <formula>"Napkin Hs"</formula>
    </cfRule>
  </conditionalFormatting>
  <conditionalFormatting sqref="C134">
    <cfRule type="cellIs" dxfId="2406" priority="963" stopIfTrue="1" operator="equal">
      <formula>"Towel"</formula>
    </cfRule>
  </conditionalFormatting>
  <conditionalFormatting sqref="B144:C146">
    <cfRule type="cellIs" dxfId="2405" priority="933" stopIfTrue="1" operator="equal">
      <formula>"Towel"</formula>
    </cfRule>
    <cfRule type="cellIs" dxfId="2404" priority="934" stopIfTrue="1" operator="equal">
      <formula>"Napkin Hs"</formula>
    </cfRule>
  </conditionalFormatting>
  <conditionalFormatting sqref="C144:C146">
    <cfRule type="cellIs" dxfId="2403" priority="935" stopIfTrue="1" operator="equal">
      <formula>"Towel"</formula>
    </cfRule>
    <cfRule type="cellIs" dxfId="2402" priority="936" stopIfTrue="1" operator="equal">
      <formula>"Napkin Hs"</formula>
    </cfRule>
  </conditionalFormatting>
  <conditionalFormatting sqref="C144:C146">
    <cfRule type="cellIs" dxfId="2401" priority="931" stopIfTrue="1" operator="equal">
      <formula>"Towel"</formula>
    </cfRule>
    <cfRule type="cellIs" dxfId="2400" priority="932" stopIfTrue="1" operator="equal">
      <formula>"Napkin Hs"</formula>
    </cfRule>
  </conditionalFormatting>
  <conditionalFormatting sqref="B143:C143">
    <cfRule type="cellIs" dxfId="2399" priority="929" stopIfTrue="1" operator="equal">
      <formula>"Towel"</formula>
    </cfRule>
    <cfRule type="cellIs" dxfId="2398" priority="930" stopIfTrue="1" operator="equal">
      <formula>"Napkin Hs"</formula>
    </cfRule>
  </conditionalFormatting>
  <conditionalFormatting sqref="C143">
    <cfRule type="cellIs" dxfId="2397" priority="925" stopIfTrue="1" operator="equal">
      <formula>"Towel"</formula>
    </cfRule>
    <cfRule type="cellIs" dxfId="2396" priority="926" stopIfTrue="1" operator="equal">
      <formula>"Napkin Hs"</formula>
    </cfRule>
  </conditionalFormatting>
  <conditionalFormatting sqref="C143">
    <cfRule type="cellIs" dxfId="2395" priority="927" stopIfTrue="1" operator="equal">
      <formula>"Towel"</formula>
    </cfRule>
    <cfRule type="cellIs" dxfId="2394" priority="928" stopIfTrue="1" operator="equal">
      <formula>"Napkin Hs"</formula>
    </cfRule>
  </conditionalFormatting>
  <conditionalFormatting sqref="B144:C146">
    <cfRule type="cellIs" dxfId="2393" priority="923" stopIfTrue="1" operator="equal">
      <formula>"Towel"</formula>
    </cfRule>
    <cfRule type="cellIs" dxfId="2392" priority="924" stopIfTrue="1" operator="equal">
      <formula>"Napkin Hs"</formula>
    </cfRule>
  </conditionalFormatting>
  <conditionalFormatting sqref="C144:C146">
    <cfRule type="cellIs" dxfId="2391" priority="921" stopIfTrue="1" operator="equal">
      <formula>"Towel"</formula>
    </cfRule>
    <cfRule type="cellIs" dxfId="2390" priority="922" stopIfTrue="1" operator="equal">
      <formula>"Napkin Hs"</formula>
    </cfRule>
  </conditionalFormatting>
  <conditionalFormatting sqref="C144:C146">
    <cfRule type="cellIs" dxfId="2389" priority="919" stopIfTrue="1" operator="equal">
      <formula>"Towel"</formula>
    </cfRule>
    <cfRule type="cellIs" dxfId="2388" priority="920" stopIfTrue="1" operator="equal">
      <formula>"Napkin Hs"</formula>
    </cfRule>
  </conditionalFormatting>
  <conditionalFormatting sqref="B143:C143">
    <cfRule type="cellIs" dxfId="2387" priority="917" stopIfTrue="1" operator="equal">
      <formula>"Towel"</formula>
    </cfRule>
    <cfRule type="cellIs" dxfId="2386" priority="918" stopIfTrue="1" operator="equal">
      <formula>"Napkin Hs"</formula>
    </cfRule>
  </conditionalFormatting>
  <conditionalFormatting sqref="C143">
    <cfRule type="cellIs" dxfId="2385" priority="915" stopIfTrue="1" operator="equal">
      <formula>"Towel"</formula>
    </cfRule>
    <cfRule type="cellIs" dxfId="2384" priority="916" stopIfTrue="1" operator="equal">
      <formula>"Napkin Hs"</formula>
    </cfRule>
  </conditionalFormatting>
  <conditionalFormatting sqref="C143">
    <cfRule type="cellIs" dxfId="2383" priority="913" stopIfTrue="1" operator="equal">
      <formula>"Towel"</formula>
    </cfRule>
    <cfRule type="cellIs" dxfId="2382" priority="914" stopIfTrue="1" operator="equal">
      <formula>"Napkin Hs"</formula>
    </cfRule>
  </conditionalFormatting>
  <conditionalFormatting sqref="C143">
    <cfRule type="cellIs" dxfId="2381" priority="905" stopIfTrue="1" operator="equal">
      <formula>"Towel"</formula>
    </cfRule>
    <cfRule type="cellIs" dxfId="2380" priority="906" stopIfTrue="1" operator="equal">
      <formula>"Napkin Hs"</formula>
    </cfRule>
  </conditionalFormatting>
  <conditionalFormatting sqref="B143:C143">
    <cfRule type="cellIs" dxfId="2379" priority="907" stopIfTrue="1" operator="equal">
      <formula>"Towel"</formula>
    </cfRule>
    <cfRule type="cellIs" dxfId="2378" priority="908" stopIfTrue="1" operator="equal">
      <formula>"Napkin Hs"</formula>
    </cfRule>
  </conditionalFormatting>
  <conditionalFormatting sqref="C143">
    <cfRule type="cellIs" dxfId="2377" priority="903" stopIfTrue="1" operator="equal">
      <formula>"Towel"</formula>
    </cfRule>
    <cfRule type="cellIs" dxfId="2376" priority="904" stopIfTrue="1" operator="equal">
      <formula>"Napkin Hs"</formula>
    </cfRule>
  </conditionalFormatting>
  <conditionalFormatting sqref="B143:C143">
    <cfRule type="cellIs" dxfId="2375" priority="901" stopIfTrue="1" operator="equal">
      <formula>"Towel"</formula>
    </cfRule>
    <cfRule type="cellIs" dxfId="2374" priority="902" stopIfTrue="1" operator="equal">
      <formula>"Napkin Hs"</formula>
    </cfRule>
  </conditionalFormatting>
  <conditionalFormatting sqref="C143">
    <cfRule type="cellIs" dxfId="2373" priority="909" stopIfTrue="1" operator="equal">
      <formula>"Towel"</formula>
    </cfRule>
    <cfRule type="cellIs" dxfId="2372" priority="910" stopIfTrue="1" operator="equal">
      <formula>"Napkin Hs"</formula>
    </cfRule>
  </conditionalFormatting>
  <conditionalFormatting sqref="C143">
    <cfRule type="cellIs" dxfId="2371" priority="911" stopIfTrue="1" operator="equal">
      <formula>"Towel"</formula>
    </cfRule>
    <cfRule type="cellIs" dxfId="2370" priority="912" stopIfTrue="1" operator="equal">
      <formula>"Napkin Hs"</formula>
    </cfRule>
  </conditionalFormatting>
  <conditionalFormatting sqref="B144:C146">
    <cfRule type="cellIs" dxfId="2369" priority="899" stopIfTrue="1" operator="equal">
      <formula>"Towel"</formula>
    </cfRule>
    <cfRule type="cellIs" dxfId="2368" priority="900" stopIfTrue="1" operator="equal">
      <formula>"Napkin Hs"</formula>
    </cfRule>
  </conditionalFormatting>
  <conditionalFormatting sqref="C144:C146">
    <cfRule type="cellIs" dxfId="2367" priority="898" stopIfTrue="1" operator="equal">
      <formula>"Napkin Hs"</formula>
    </cfRule>
  </conditionalFormatting>
  <conditionalFormatting sqref="C144:C146">
    <cfRule type="cellIs" dxfId="2366" priority="895" stopIfTrue="1" operator="equal">
      <formula>"Towel"</formula>
    </cfRule>
    <cfRule type="cellIs" dxfId="2365" priority="896" stopIfTrue="1" operator="equal">
      <formula>"Napkin Hs"</formula>
    </cfRule>
  </conditionalFormatting>
  <conditionalFormatting sqref="C144:C146">
    <cfRule type="cellIs" dxfId="2364" priority="897" stopIfTrue="1" operator="equal">
      <formula>"Towel"</formula>
    </cfRule>
  </conditionalFormatting>
  <conditionalFormatting sqref="B143:C143">
    <cfRule type="cellIs" dxfId="2363" priority="893" stopIfTrue="1" operator="equal">
      <formula>"Towel"</formula>
    </cfRule>
    <cfRule type="cellIs" dxfId="2362" priority="894" stopIfTrue="1" operator="equal">
      <formula>"Napkin Hs"</formula>
    </cfRule>
  </conditionalFormatting>
  <conditionalFormatting sqref="C143">
    <cfRule type="cellIs" dxfId="2361" priority="892" stopIfTrue="1" operator="equal">
      <formula>"Napkin Hs"</formula>
    </cfRule>
  </conditionalFormatting>
  <conditionalFormatting sqref="C143">
    <cfRule type="cellIs" dxfId="2360" priority="889" stopIfTrue="1" operator="equal">
      <formula>"Towel"</formula>
    </cfRule>
    <cfRule type="cellIs" dxfId="2359" priority="890" stopIfTrue="1" operator="equal">
      <formula>"Napkin Hs"</formula>
    </cfRule>
  </conditionalFormatting>
  <conditionalFormatting sqref="C143">
    <cfRule type="cellIs" dxfId="2358" priority="891" stopIfTrue="1" operator="equal">
      <formula>"Towel"</formula>
    </cfRule>
  </conditionalFormatting>
  <conditionalFormatting sqref="B141:C142">
    <cfRule type="cellIs" dxfId="2357" priority="857" stopIfTrue="1" operator="equal">
      <formula>"Towel"</formula>
    </cfRule>
    <cfRule type="cellIs" dxfId="2356" priority="858" stopIfTrue="1" operator="equal">
      <formula>"Napkin Hs"</formula>
    </cfRule>
  </conditionalFormatting>
  <conditionalFormatting sqref="C141:C142">
    <cfRule type="cellIs" dxfId="2355" priority="853" stopIfTrue="1" operator="equal">
      <formula>"Towel"</formula>
    </cfRule>
    <cfRule type="cellIs" dxfId="2354" priority="854" stopIfTrue="1" operator="equal">
      <formula>"Napkin Hs"</formula>
    </cfRule>
  </conditionalFormatting>
  <conditionalFormatting sqref="C141:C142">
    <cfRule type="cellIs" dxfId="2353" priority="855" stopIfTrue="1" operator="equal">
      <formula>"Towel"</formula>
    </cfRule>
    <cfRule type="cellIs" dxfId="2352" priority="856" stopIfTrue="1" operator="equal">
      <formula>"Napkin Hs"</formula>
    </cfRule>
  </conditionalFormatting>
  <conditionalFormatting sqref="B141:C142">
    <cfRule type="cellIs" dxfId="2351" priority="851" stopIfTrue="1" operator="equal">
      <formula>"Towel"</formula>
    </cfRule>
    <cfRule type="cellIs" dxfId="2350" priority="852" stopIfTrue="1" operator="equal">
      <formula>"Napkin Hs"</formula>
    </cfRule>
  </conditionalFormatting>
  <conditionalFormatting sqref="C141:C142">
    <cfRule type="cellIs" dxfId="2349" priority="849" stopIfTrue="1" operator="equal">
      <formula>"Towel"</formula>
    </cfRule>
    <cfRule type="cellIs" dxfId="2348" priority="850" stopIfTrue="1" operator="equal">
      <formula>"Napkin Hs"</formula>
    </cfRule>
  </conditionalFormatting>
  <conditionalFormatting sqref="C141:C142">
    <cfRule type="cellIs" dxfId="2347" priority="847" stopIfTrue="1" operator="equal">
      <formula>"Towel"</formula>
    </cfRule>
    <cfRule type="cellIs" dxfId="2346" priority="848" stopIfTrue="1" operator="equal">
      <formula>"Napkin Hs"</formula>
    </cfRule>
  </conditionalFormatting>
  <conditionalFormatting sqref="C141:C142">
    <cfRule type="cellIs" dxfId="2345" priority="839" stopIfTrue="1" operator="equal">
      <formula>"Towel"</formula>
    </cfRule>
    <cfRule type="cellIs" dxfId="2344" priority="840" stopIfTrue="1" operator="equal">
      <formula>"Napkin Hs"</formula>
    </cfRule>
  </conditionalFormatting>
  <conditionalFormatting sqref="B141:C142">
    <cfRule type="cellIs" dxfId="2343" priority="841" stopIfTrue="1" operator="equal">
      <formula>"Towel"</formula>
    </cfRule>
    <cfRule type="cellIs" dxfId="2342" priority="842" stopIfTrue="1" operator="equal">
      <formula>"Napkin Hs"</formula>
    </cfRule>
  </conditionalFormatting>
  <conditionalFormatting sqref="C141:C142">
    <cfRule type="cellIs" dxfId="2341" priority="837" stopIfTrue="1" operator="equal">
      <formula>"Towel"</formula>
    </cfRule>
    <cfRule type="cellIs" dxfId="2340" priority="838" stopIfTrue="1" operator="equal">
      <formula>"Napkin Hs"</formula>
    </cfRule>
  </conditionalFormatting>
  <conditionalFormatting sqref="B141:C142">
    <cfRule type="cellIs" dxfId="2339" priority="835" stopIfTrue="1" operator="equal">
      <formula>"Towel"</formula>
    </cfRule>
    <cfRule type="cellIs" dxfId="2338" priority="836" stopIfTrue="1" operator="equal">
      <formula>"Napkin Hs"</formula>
    </cfRule>
  </conditionalFormatting>
  <conditionalFormatting sqref="C141:C142">
    <cfRule type="cellIs" dxfId="2337" priority="843" stopIfTrue="1" operator="equal">
      <formula>"Towel"</formula>
    </cfRule>
    <cfRule type="cellIs" dxfId="2336" priority="844" stopIfTrue="1" operator="equal">
      <formula>"Napkin Hs"</formula>
    </cfRule>
  </conditionalFormatting>
  <conditionalFormatting sqref="C141:C142">
    <cfRule type="cellIs" dxfId="2335" priority="845" stopIfTrue="1" operator="equal">
      <formula>"Towel"</formula>
    </cfRule>
    <cfRule type="cellIs" dxfId="2334" priority="846" stopIfTrue="1" operator="equal">
      <formula>"Napkin Hs"</formula>
    </cfRule>
  </conditionalFormatting>
  <conditionalFormatting sqref="B141:C142">
    <cfRule type="cellIs" dxfId="2333" priority="833" stopIfTrue="1" operator="equal">
      <formula>"Towel"</formula>
    </cfRule>
    <cfRule type="cellIs" dxfId="2332" priority="834" stopIfTrue="1" operator="equal">
      <formula>"Napkin Hs"</formula>
    </cfRule>
  </conditionalFormatting>
  <conditionalFormatting sqref="C141:C142">
    <cfRule type="cellIs" dxfId="2331" priority="832" stopIfTrue="1" operator="equal">
      <formula>"Napkin Hs"</formula>
    </cfRule>
  </conditionalFormatting>
  <conditionalFormatting sqref="C141:C142">
    <cfRule type="cellIs" dxfId="2330" priority="829" stopIfTrue="1" operator="equal">
      <formula>"Towel"</formula>
    </cfRule>
    <cfRule type="cellIs" dxfId="2329" priority="830" stopIfTrue="1" operator="equal">
      <formula>"Napkin Hs"</formula>
    </cfRule>
  </conditionalFormatting>
  <conditionalFormatting sqref="C141:C142">
    <cfRule type="cellIs" dxfId="2328" priority="831" stopIfTrue="1" operator="equal">
      <formula>"Towel"</formula>
    </cfRule>
  </conditionalFormatting>
  <conditionalFormatting sqref="B147:C147">
    <cfRule type="cellIs" dxfId="2327" priority="827" stopIfTrue="1" operator="equal">
      <formula>"Towel"</formula>
    </cfRule>
    <cfRule type="cellIs" dxfId="2326" priority="828" stopIfTrue="1" operator="equal">
      <formula>"Napkin Hs"</formula>
    </cfRule>
  </conditionalFormatting>
  <conditionalFormatting sqref="C147">
    <cfRule type="cellIs" dxfId="2325" priority="826" stopIfTrue="1" operator="equal">
      <formula>"Napkin Hs"</formula>
    </cfRule>
  </conditionalFormatting>
  <conditionalFormatting sqref="C147">
    <cfRule type="cellIs" dxfId="2324" priority="823" stopIfTrue="1" operator="equal">
      <formula>"Towel"</formula>
    </cfRule>
    <cfRule type="cellIs" dxfId="2323" priority="824" stopIfTrue="1" operator="equal">
      <formula>"Napkin Hs"</formula>
    </cfRule>
  </conditionalFormatting>
  <conditionalFormatting sqref="C147">
    <cfRule type="cellIs" dxfId="2322" priority="825" stopIfTrue="1" operator="equal">
      <formula>"Towel"</formula>
    </cfRule>
  </conditionalFormatting>
  <conditionalFormatting sqref="B152:C153">
    <cfRule type="cellIs" dxfId="2321" priority="819" stopIfTrue="1" operator="equal">
      <formula>"Towel"</formula>
    </cfRule>
    <cfRule type="cellIs" dxfId="2320" priority="820" stopIfTrue="1" operator="equal">
      <formula>"Napkin Hs"</formula>
    </cfRule>
  </conditionalFormatting>
  <conditionalFormatting sqref="C152:C153">
    <cfRule type="cellIs" dxfId="2319" priority="821" stopIfTrue="1" operator="equal">
      <formula>"Towel"</formula>
    </cfRule>
    <cfRule type="cellIs" dxfId="2318" priority="822" stopIfTrue="1" operator="equal">
      <formula>"Napkin Hs"</formula>
    </cfRule>
  </conditionalFormatting>
  <conditionalFormatting sqref="C152:C153">
    <cfRule type="cellIs" dxfId="2317" priority="817" stopIfTrue="1" operator="equal">
      <formula>"Towel"</formula>
    </cfRule>
    <cfRule type="cellIs" dxfId="2316" priority="818" stopIfTrue="1" operator="equal">
      <formula>"Napkin Hs"</formula>
    </cfRule>
  </conditionalFormatting>
  <conditionalFormatting sqref="B151:C151">
    <cfRule type="cellIs" dxfId="2315" priority="815" stopIfTrue="1" operator="equal">
      <formula>"Towel"</formula>
    </cfRule>
    <cfRule type="cellIs" dxfId="2314" priority="816" stopIfTrue="1" operator="equal">
      <formula>"Napkin Hs"</formula>
    </cfRule>
  </conditionalFormatting>
  <conditionalFormatting sqref="C151">
    <cfRule type="cellIs" dxfId="2313" priority="811" stopIfTrue="1" operator="equal">
      <formula>"Towel"</formula>
    </cfRule>
    <cfRule type="cellIs" dxfId="2312" priority="812" stopIfTrue="1" operator="equal">
      <formula>"Napkin Hs"</formula>
    </cfRule>
  </conditionalFormatting>
  <conditionalFormatting sqref="C151">
    <cfRule type="cellIs" dxfId="2311" priority="813" stopIfTrue="1" operator="equal">
      <formula>"Towel"</formula>
    </cfRule>
    <cfRule type="cellIs" dxfId="2310" priority="814" stopIfTrue="1" operator="equal">
      <formula>"Napkin Hs"</formula>
    </cfRule>
  </conditionalFormatting>
  <conditionalFormatting sqref="B152:C153">
    <cfRule type="cellIs" dxfId="2309" priority="809" stopIfTrue="1" operator="equal">
      <formula>"Towel"</formula>
    </cfRule>
    <cfRule type="cellIs" dxfId="2308" priority="810" stopIfTrue="1" operator="equal">
      <formula>"Napkin Hs"</formula>
    </cfRule>
  </conditionalFormatting>
  <conditionalFormatting sqref="C152:C153">
    <cfRule type="cellIs" dxfId="2307" priority="807" stopIfTrue="1" operator="equal">
      <formula>"Towel"</formula>
    </cfRule>
    <cfRule type="cellIs" dxfId="2306" priority="808" stopIfTrue="1" operator="equal">
      <formula>"Napkin Hs"</formula>
    </cfRule>
  </conditionalFormatting>
  <conditionalFormatting sqref="C152:C153">
    <cfRule type="cellIs" dxfId="2305" priority="805" stopIfTrue="1" operator="equal">
      <formula>"Towel"</formula>
    </cfRule>
    <cfRule type="cellIs" dxfId="2304" priority="806" stopIfTrue="1" operator="equal">
      <formula>"Napkin Hs"</formula>
    </cfRule>
  </conditionalFormatting>
  <conditionalFormatting sqref="B151:C151">
    <cfRule type="cellIs" dxfId="2303" priority="803" stopIfTrue="1" operator="equal">
      <formula>"Towel"</formula>
    </cfRule>
    <cfRule type="cellIs" dxfId="2302" priority="804" stopIfTrue="1" operator="equal">
      <formula>"Napkin Hs"</formula>
    </cfRule>
  </conditionalFormatting>
  <conditionalFormatting sqref="C151">
    <cfRule type="cellIs" dxfId="2301" priority="801" stopIfTrue="1" operator="equal">
      <formula>"Towel"</formula>
    </cfRule>
    <cfRule type="cellIs" dxfId="2300" priority="802" stopIfTrue="1" operator="equal">
      <formula>"Napkin Hs"</formula>
    </cfRule>
  </conditionalFormatting>
  <conditionalFormatting sqref="C151">
    <cfRule type="cellIs" dxfId="2299" priority="799" stopIfTrue="1" operator="equal">
      <formula>"Towel"</formula>
    </cfRule>
    <cfRule type="cellIs" dxfId="2298" priority="800" stopIfTrue="1" operator="equal">
      <formula>"Napkin Hs"</formula>
    </cfRule>
  </conditionalFormatting>
  <conditionalFormatting sqref="C151">
    <cfRule type="cellIs" dxfId="2297" priority="791" stopIfTrue="1" operator="equal">
      <formula>"Towel"</formula>
    </cfRule>
    <cfRule type="cellIs" dxfId="2296" priority="792" stopIfTrue="1" operator="equal">
      <formula>"Napkin Hs"</formula>
    </cfRule>
  </conditionalFormatting>
  <conditionalFormatting sqref="B151:C151">
    <cfRule type="cellIs" dxfId="2295" priority="793" stopIfTrue="1" operator="equal">
      <formula>"Towel"</formula>
    </cfRule>
    <cfRule type="cellIs" dxfId="2294" priority="794" stopIfTrue="1" operator="equal">
      <formula>"Napkin Hs"</formula>
    </cfRule>
  </conditionalFormatting>
  <conditionalFormatting sqref="C151">
    <cfRule type="cellIs" dxfId="2293" priority="789" stopIfTrue="1" operator="equal">
      <formula>"Towel"</formula>
    </cfRule>
    <cfRule type="cellIs" dxfId="2292" priority="790" stopIfTrue="1" operator="equal">
      <formula>"Napkin Hs"</formula>
    </cfRule>
  </conditionalFormatting>
  <conditionalFormatting sqref="B151:C151">
    <cfRule type="cellIs" dxfId="2291" priority="787" stopIfTrue="1" operator="equal">
      <formula>"Towel"</formula>
    </cfRule>
    <cfRule type="cellIs" dxfId="2290" priority="788" stopIfTrue="1" operator="equal">
      <formula>"Napkin Hs"</formula>
    </cfRule>
  </conditionalFormatting>
  <conditionalFormatting sqref="C151">
    <cfRule type="cellIs" dxfId="2289" priority="795" stopIfTrue="1" operator="equal">
      <formula>"Towel"</formula>
    </cfRule>
    <cfRule type="cellIs" dxfId="2288" priority="796" stopIfTrue="1" operator="equal">
      <formula>"Napkin Hs"</formula>
    </cfRule>
  </conditionalFormatting>
  <conditionalFormatting sqref="C151">
    <cfRule type="cellIs" dxfId="2287" priority="797" stopIfTrue="1" operator="equal">
      <formula>"Towel"</formula>
    </cfRule>
    <cfRule type="cellIs" dxfId="2286" priority="798" stopIfTrue="1" operator="equal">
      <formula>"Napkin Hs"</formula>
    </cfRule>
  </conditionalFormatting>
  <conditionalFormatting sqref="B152:C153">
    <cfRule type="cellIs" dxfId="2285" priority="785" stopIfTrue="1" operator="equal">
      <formula>"Towel"</formula>
    </cfRule>
    <cfRule type="cellIs" dxfId="2284" priority="786" stopIfTrue="1" operator="equal">
      <formula>"Napkin Hs"</formula>
    </cfRule>
  </conditionalFormatting>
  <conditionalFormatting sqref="C152:C153">
    <cfRule type="cellIs" dxfId="2283" priority="784" stopIfTrue="1" operator="equal">
      <formula>"Napkin Hs"</formula>
    </cfRule>
  </conditionalFormatting>
  <conditionalFormatting sqref="C152:C153">
    <cfRule type="cellIs" dxfId="2282" priority="781" stopIfTrue="1" operator="equal">
      <formula>"Towel"</formula>
    </cfRule>
    <cfRule type="cellIs" dxfId="2281" priority="782" stopIfTrue="1" operator="equal">
      <formula>"Napkin Hs"</formula>
    </cfRule>
  </conditionalFormatting>
  <conditionalFormatting sqref="C152:C153">
    <cfRule type="cellIs" dxfId="2280" priority="783" stopIfTrue="1" operator="equal">
      <formula>"Towel"</formula>
    </cfRule>
  </conditionalFormatting>
  <conditionalFormatting sqref="B151:C151">
    <cfRule type="cellIs" dxfId="2279" priority="779" stopIfTrue="1" operator="equal">
      <formula>"Towel"</formula>
    </cfRule>
    <cfRule type="cellIs" dxfId="2278" priority="780" stopIfTrue="1" operator="equal">
      <formula>"Napkin Hs"</formula>
    </cfRule>
  </conditionalFormatting>
  <conditionalFormatting sqref="C151">
    <cfRule type="cellIs" dxfId="2277" priority="778" stopIfTrue="1" operator="equal">
      <formula>"Napkin Hs"</formula>
    </cfRule>
  </conditionalFormatting>
  <conditionalFormatting sqref="C151">
    <cfRule type="cellIs" dxfId="2276" priority="775" stopIfTrue="1" operator="equal">
      <formula>"Towel"</formula>
    </cfRule>
    <cfRule type="cellIs" dxfId="2275" priority="776" stopIfTrue="1" operator="equal">
      <formula>"Napkin Hs"</formula>
    </cfRule>
  </conditionalFormatting>
  <conditionalFormatting sqref="C151">
    <cfRule type="cellIs" dxfId="2274" priority="777" stopIfTrue="1" operator="equal">
      <formula>"Towel"</formula>
    </cfRule>
  </conditionalFormatting>
  <conditionalFormatting sqref="B150:C150">
    <cfRule type="cellIs" dxfId="2273" priority="773" stopIfTrue="1" operator="equal">
      <formula>"Towel"</formula>
    </cfRule>
    <cfRule type="cellIs" dxfId="2272" priority="774" stopIfTrue="1" operator="equal">
      <formula>"Napkin Hs"</formula>
    </cfRule>
  </conditionalFormatting>
  <conditionalFormatting sqref="C150">
    <cfRule type="cellIs" dxfId="2271" priority="769" stopIfTrue="1" operator="equal">
      <formula>"Towel"</formula>
    </cfRule>
    <cfRule type="cellIs" dxfId="2270" priority="770" stopIfTrue="1" operator="equal">
      <formula>"Napkin Hs"</formula>
    </cfRule>
  </conditionalFormatting>
  <conditionalFormatting sqref="C150">
    <cfRule type="cellIs" dxfId="2269" priority="771" stopIfTrue="1" operator="equal">
      <formula>"Towel"</formula>
    </cfRule>
    <cfRule type="cellIs" dxfId="2268" priority="772" stopIfTrue="1" operator="equal">
      <formula>"Napkin Hs"</formula>
    </cfRule>
  </conditionalFormatting>
  <conditionalFormatting sqref="B150:C150">
    <cfRule type="cellIs" dxfId="2267" priority="767" stopIfTrue="1" operator="equal">
      <formula>"Towel"</formula>
    </cfRule>
    <cfRule type="cellIs" dxfId="2266" priority="768" stopIfTrue="1" operator="equal">
      <formula>"Napkin Hs"</formula>
    </cfRule>
  </conditionalFormatting>
  <conditionalFormatting sqref="C150">
    <cfRule type="cellIs" dxfId="2265" priority="765" stopIfTrue="1" operator="equal">
      <formula>"Towel"</formula>
    </cfRule>
    <cfRule type="cellIs" dxfId="2264" priority="766" stopIfTrue="1" operator="equal">
      <formula>"Napkin Hs"</formula>
    </cfRule>
  </conditionalFormatting>
  <conditionalFormatting sqref="C150">
    <cfRule type="cellIs" dxfId="2263" priority="763" stopIfTrue="1" operator="equal">
      <formula>"Towel"</formula>
    </cfRule>
    <cfRule type="cellIs" dxfId="2262" priority="764" stopIfTrue="1" operator="equal">
      <formula>"Napkin Hs"</formula>
    </cfRule>
  </conditionalFormatting>
  <conditionalFormatting sqref="C150">
    <cfRule type="cellIs" dxfId="2261" priority="755" stopIfTrue="1" operator="equal">
      <formula>"Towel"</formula>
    </cfRule>
    <cfRule type="cellIs" dxfId="2260" priority="756" stopIfTrue="1" operator="equal">
      <formula>"Napkin Hs"</formula>
    </cfRule>
  </conditionalFormatting>
  <conditionalFormatting sqref="B150:C150">
    <cfRule type="cellIs" dxfId="2259" priority="757" stopIfTrue="1" operator="equal">
      <formula>"Towel"</formula>
    </cfRule>
    <cfRule type="cellIs" dxfId="2258" priority="758" stopIfTrue="1" operator="equal">
      <formula>"Napkin Hs"</formula>
    </cfRule>
  </conditionalFormatting>
  <conditionalFormatting sqref="C150">
    <cfRule type="cellIs" dxfId="2257" priority="753" stopIfTrue="1" operator="equal">
      <formula>"Towel"</formula>
    </cfRule>
    <cfRule type="cellIs" dxfId="2256" priority="754" stopIfTrue="1" operator="equal">
      <formula>"Napkin Hs"</formula>
    </cfRule>
  </conditionalFormatting>
  <conditionalFormatting sqref="B150:C150">
    <cfRule type="cellIs" dxfId="2255" priority="751" stopIfTrue="1" operator="equal">
      <formula>"Towel"</formula>
    </cfRule>
    <cfRule type="cellIs" dxfId="2254" priority="752" stopIfTrue="1" operator="equal">
      <formula>"Napkin Hs"</formula>
    </cfRule>
  </conditionalFormatting>
  <conditionalFormatting sqref="C150">
    <cfRule type="cellIs" dxfId="2253" priority="759" stopIfTrue="1" operator="equal">
      <formula>"Towel"</formula>
    </cfRule>
    <cfRule type="cellIs" dxfId="2252" priority="760" stopIfTrue="1" operator="equal">
      <formula>"Napkin Hs"</formula>
    </cfRule>
  </conditionalFormatting>
  <conditionalFormatting sqref="C150">
    <cfRule type="cellIs" dxfId="2251" priority="761" stopIfTrue="1" operator="equal">
      <formula>"Towel"</formula>
    </cfRule>
    <cfRule type="cellIs" dxfId="2250" priority="762" stopIfTrue="1" operator="equal">
      <formula>"Napkin Hs"</formula>
    </cfRule>
  </conditionalFormatting>
  <conditionalFormatting sqref="B150:C150">
    <cfRule type="cellIs" dxfId="2249" priority="749" stopIfTrue="1" operator="equal">
      <formula>"Towel"</formula>
    </cfRule>
    <cfRule type="cellIs" dxfId="2248" priority="750" stopIfTrue="1" operator="equal">
      <formula>"Napkin Hs"</formula>
    </cfRule>
  </conditionalFormatting>
  <conditionalFormatting sqref="C150">
    <cfRule type="cellIs" dxfId="2247" priority="748" stopIfTrue="1" operator="equal">
      <formula>"Napkin Hs"</formula>
    </cfRule>
  </conditionalFormatting>
  <conditionalFormatting sqref="C150">
    <cfRule type="cellIs" dxfId="2246" priority="745" stopIfTrue="1" operator="equal">
      <formula>"Towel"</formula>
    </cfRule>
    <cfRule type="cellIs" dxfId="2245" priority="746" stopIfTrue="1" operator="equal">
      <formula>"Napkin Hs"</formula>
    </cfRule>
  </conditionalFormatting>
  <conditionalFormatting sqref="C150">
    <cfRule type="cellIs" dxfId="2244" priority="747" stopIfTrue="1" operator="equal">
      <formula>"Towel"</formula>
    </cfRule>
  </conditionalFormatting>
  <conditionalFormatting sqref="B149:C149">
    <cfRule type="cellIs" dxfId="2243" priority="743" stopIfTrue="1" operator="equal">
      <formula>"Towel"</formula>
    </cfRule>
    <cfRule type="cellIs" dxfId="2242" priority="744" stopIfTrue="1" operator="equal">
      <formula>"Napkin Hs"</formula>
    </cfRule>
  </conditionalFormatting>
  <conditionalFormatting sqref="C149">
    <cfRule type="cellIs" dxfId="2241" priority="739" stopIfTrue="1" operator="equal">
      <formula>"Towel"</formula>
    </cfRule>
    <cfRule type="cellIs" dxfId="2240" priority="740" stopIfTrue="1" operator="equal">
      <formula>"Napkin Hs"</formula>
    </cfRule>
  </conditionalFormatting>
  <conditionalFormatting sqref="C149">
    <cfRule type="cellIs" dxfId="2239" priority="741" stopIfTrue="1" operator="equal">
      <formula>"Towel"</formula>
    </cfRule>
    <cfRule type="cellIs" dxfId="2238" priority="742" stopIfTrue="1" operator="equal">
      <formula>"Napkin Hs"</formula>
    </cfRule>
  </conditionalFormatting>
  <conditionalFormatting sqref="B149:C149">
    <cfRule type="cellIs" dxfId="2237" priority="737" stopIfTrue="1" operator="equal">
      <formula>"Towel"</formula>
    </cfRule>
    <cfRule type="cellIs" dxfId="2236" priority="738" stopIfTrue="1" operator="equal">
      <formula>"Napkin Hs"</formula>
    </cfRule>
  </conditionalFormatting>
  <conditionalFormatting sqref="C149">
    <cfRule type="cellIs" dxfId="2235" priority="735" stopIfTrue="1" operator="equal">
      <formula>"Towel"</formula>
    </cfRule>
    <cfRule type="cellIs" dxfId="2234" priority="736" stopIfTrue="1" operator="equal">
      <formula>"Napkin Hs"</formula>
    </cfRule>
  </conditionalFormatting>
  <conditionalFormatting sqref="C149">
    <cfRule type="cellIs" dxfId="2233" priority="733" stopIfTrue="1" operator="equal">
      <formula>"Towel"</formula>
    </cfRule>
    <cfRule type="cellIs" dxfId="2232" priority="734" stopIfTrue="1" operator="equal">
      <formula>"Napkin Hs"</formula>
    </cfRule>
  </conditionalFormatting>
  <conditionalFormatting sqref="C149">
    <cfRule type="cellIs" dxfId="2231" priority="725" stopIfTrue="1" operator="equal">
      <formula>"Towel"</formula>
    </cfRule>
    <cfRule type="cellIs" dxfId="2230" priority="726" stopIfTrue="1" operator="equal">
      <formula>"Napkin Hs"</formula>
    </cfRule>
  </conditionalFormatting>
  <conditionalFormatting sqref="B149:C149">
    <cfRule type="cellIs" dxfId="2229" priority="727" stopIfTrue="1" operator="equal">
      <formula>"Towel"</formula>
    </cfRule>
    <cfRule type="cellIs" dxfId="2228" priority="728" stopIfTrue="1" operator="equal">
      <formula>"Napkin Hs"</formula>
    </cfRule>
  </conditionalFormatting>
  <conditionalFormatting sqref="C149">
    <cfRule type="cellIs" dxfId="2227" priority="723" stopIfTrue="1" operator="equal">
      <formula>"Towel"</formula>
    </cfRule>
    <cfRule type="cellIs" dxfId="2226" priority="724" stopIfTrue="1" operator="equal">
      <formula>"Napkin Hs"</formula>
    </cfRule>
  </conditionalFormatting>
  <conditionalFormatting sqref="B149:C149">
    <cfRule type="cellIs" dxfId="2225" priority="721" stopIfTrue="1" operator="equal">
      <formula>"Towel"</formula>
    </cfRule>
    <cfRule type="cellIs" dxfId="2224" priority="722" stopIfTrue="1" operator="equal">
      <formula>"Napkin Hs"</formula>
    </cfRule>
  </conditionalFormatting>
  <conditionalFormatting sqref="C149">
    <cfRule type="cellIs" dxfId="2223" priority="729" stopIfTrue="1" operator="equal">
      <formula>"Towel"</formula>
    </cfRule>
    <cfRule type="cellIs" dxfId="2222" priority="730" stopIfTrue="1" operator="equal">
      <formula>"Napkin Hs"</formula>
    </cfRule>
  </conditionalFormatting>
  <conditionalFormatting sqref="C149">
    <cfRule type="cellIs" dxfId="2221" priority="731" stopIfTrue="1" operator="equal">
      <formula>"Towel"</formula>
    </cfRule>
    <cfRule type="cellIs" dxfId="2220" priority="732" stopIfTrue="1" operator="equal">
      <formula>"Napkin Hs"</formula>
    </cfRule>
  </conditionalFormatting>
  <conditionalFormatting sqref="B149:C149">
    <cfRule type="cellIs" dxfId="2219" priority="719" stopIfTrue="1" operator="equal">
      <formula>"Towel"</formula>
    </cfRule>
    <cfRule type="cellIs" dxfId="2218" priority="720" stopIfTrue="1" operator="equal">
      <formula>"Napkin Hs"</formula>
    </cfRule>
  </conditionalFormatting>
  <conditionalFormatting sqref="C149">
    <cfRule type="cellIs" dxfId="2217" priority="718" stopIfTrue="1" operator="equal">
      <formula>"Napkin Hs"</formula>
    </cfRule>
  </conditionalFormatting>
  <conditionalFormatting sqref="C149">
    <cfRule type="cellIs" dxfId="2216" priority="715" stopIfTrue="1" operator="equal">
      <formula>"Towel"</formula>
    </cfRule>
    <cfRule type="cellIs" dxfId="2215" priority="716" stopIfTrue="1" operator="equal">
      <formula>"Napkin Hs"</formula>
    </cfRule>
  </conditionalFormatting>
  <conditionalFormatting sqref="C149">
    <cfRule type="cellIs" dxfId="2214" priority="717" stopIfTrue="1" operator="equal">
      <formula>"Towel"</formula>
    </cfRule>
  </conditionalFormatting>
  <conditionalFormatting sqref="B154:C155">
    <cfRule type="cellIs" dxfId="2213" priority="713" stopIfTrue="1" operator="equal">
      <formula>"Towel"</formula>
    </cfRule>
    <cfRule type="cellIs" dxfId="2212" priority="714" stopIfTrue="1" operator="equal">
      <formula>"Napkin Hs"</formula>
    </cfRule>
  </conditionalFormatting>
  <conditionalFormatting sqref="C154:C155">
    <cfRule type="cellIs" dxfId="2211" priority="712" stopIfTrue="1" operator="equal">
      <formula>"Napkin Hs"</formula>
    </cfRule>
  </conditionalFormatting>
  <conditionalFormatting sqref="C154:C155">
    <cfRule type="cellIs" dxfId="2210" priority="709" stopIfTrue="1" operator="equal">
      <formula>"Towel"</formula>
    </cfRule>
    <cfRule type="cellIs" dxfId="2209" priority="710" stopIfTrue="1" operator="equal">
      <formula>"Napkin Hs"</formula>
    </cfRule>
  </conditionalFormatting>
  <conditionalFormatting sqref="C154:C155">
    <cfRule type="cellIs" dxfId="2208" priority="711" stopIfTrue="1" operator="equal">
      <formula>"Towel"</formula>
    </cfRule>
  </conditionalFormatting>
  <conditionalFormatting sqref="B160:C160">
    <cfRule type="cellIs" dxfId="2207" priority="705" stopIfTrue="1" operator="equal">
      <formula>"Towel"</formula>
    </cfRule>
    <cfRule type="cellIs" dxfId="2206" priority="706" stopIfTrue="1" operator="equal">
      <formula>"Napkin Hs"</formula>
    </cfRule>
  </conditionalFormatting>
  <conditionalFormatting sqref="C160">
    <cfRule type="cellIs" dxfId="2205" priority="707" stopIfTrue="1" operator="equal">
      <formula>"Towel"</formula>
    </cfRule>
    <cfRule type="cellIs" dxfId="2204" priority="708" stopIfTrue="1" operator="equal">
      <formula>"Napkin Hs"</formula>
    </cfRule>
  </conditionalFormatting>
  <conditionalFormatting sqref="C160">
    <cfRule type="cellIs" dxfId="2203" priority="703" stopIfTrue="1" operator="equal">
      <formula>"Towel"</formula>
    </cfRule>
    <cfRule type="cellIs" dxfId="2202" priority="704" stopIfTrue="1" operator="equal">
      <formula>"Napkin Hs"</formula>
    </cfRule>
  </conditionalFormatting>
  <conditionalFormatting sqref="B159:C159">
    <cfRule type="cellIs" dxfId="2201" priority="701" stopIfTrue="1" operator="equal">
      <formula>"Towel"</formula>
    </cfRule>
    <cfRule type="cellIs" dxfId="2200" priority="702" stopIfTrue="1" operator="equal">
      <formula>"Napkin Hs"</formula>
    </cfRule>
  </conditionalFormatting>
  <conditionalFormatting sqref="C159">
    <cfRule type="cellIs" dxfId="2199" priority="697" stopIfTrue="1" operator="equal">
      <formula>"Towel"</formula>
    </cfRule>
    <cfRule type="cellIs" dxfId="2198" priority="698" stopIfTrue="1" operator="equal">
      <formula>"Napkin Hs"</formula>
    </cfRule>
  </conditionalFormatting>
  <conditionalFormatting sqref="C159">
    <cfRule type="cellIs" dxfId="2197" priority="699" stopIfTrue="1" operator="equal">
      <formula>"Towel"</formula>
    </cfRule>
    <cfRule type="cellIs" dxfId="2196" priority="700" stopIfTrue="1" operator="equal">
      <formula>"Napkin Hs"</formula>
    </cfRule>
  </conditionalFormatting>
  <conditionalFormatting sqref="B160:C160">
    <cfRule type="cellIs" dxfId="2195" priority="695" stopIfTrue="1" operator="equal">
      <formula>"Towel"</formula>
    </cfRule>
    <cfRule type="cellIs" dxfId="2194" priority="696" stopIfTrue="1" operator="equal">
      <formula>"Napkin Hs"</formula>
    </cfRule>
  </conditionalFormatting>
  <conditionalFormatting sqref="C160">
    <cfRule type="cellIs" dxfId="2193" priority="693" stopIfTrue="1" operator="equal">
      <formula>"Towel"</formula>
    </cfRule>
    <cfRule type="cellIs" dxfId="2192" priority="694" stopIfTrue="1" operator="equal">
      <formula>"Napkin Hs"</formula>
    </cfRule>
  </conditionalFormatting>
  <conditionalFormatting sqref="C160">
    <cfRule type="cellIs" dxfId="2191" priority="691" stopIfTrue="1" operator="equal">
      <formula>"Towel"</formula>
    </cfRule>
    <cfRule type="cellIs" dxfId="2190" priority="692" stopIfTrue="1" operator="equal">
      <formula>"Napkin Hs"</formula>
    </cfRule>
  </conditionalFormatting>
  <conditionalFormatting sqref="B159:C159">
    <cfRule type="cellIs" dxfId="2189" priority="689" stopIfTrue="1" operator="equal">
      <formula>"Towel"</formula>
    </cfRule>
    <cfRule type="cellIs" dxfId="2188" priority="690" stopIfTrue="1" operator="equal">
      <formula>"Napkin Hs"</formula>
    </cfRule>
  </conditionalFormatting>
  <conditionalFormatting sqref="C159">
    <cfRule type="cellIs" dxfId="2187" priority="687" stopIfTrue="1" operator="equal">
      <formula>"Towel"</formula>
    </cfRule>
    <cfRule type="cellIs" dxfId="2186" priority="688" stopIfTrue="1" operator="equal">
      <formula>"Napkin Hs"</formula>
    </cfRule>
  </conditionalFormatting>
  <conditionalFormatting sqref="C159">
    <cfRule type="cellIs" dxfId="2185" priority="685" stopIfTrue="1" operator="equal">
      <formula>"Towel"</formula>
    </cfRule>
    <cfRule type="cellIs" dxfId="2184" priority="686" stopIfTrue="1" operator="equal">
      <formula>"Napkin Hs"</formula>
    </cfRule>
  </conditionalFormatting>
  <conditionalFormatting sqref="C159">
    <cfRule type="cellIs" dxfId="2183" priority="677" stopIfTrue="1" operator="equal">
      <formula>"Towel"</formula>
    </cfRule>
    <cfRule type="cellIs" dxfId="2182" priority="678" stopIfTrue="1" operator="equal">
      <formula>"Napkin Hs"</formula>
    </cfRule>
  </conditionalFormatting>
  <conditionalFormatting sqref="B159:C159">
    <cfRule type="cellIs" dxfId="2181" priority="679" stopIfTrue="1" operator="equal">
      <formula>"Towel"</formula>
    </cfRule>
    <cfRule type="cellIs" dxfId="2180" priority="680" stopIfTrue="1" operator="equal">
      <formula>"Napkin Hs"</formula>
    </cfRule>
  </conditionalFormatting>
  <conditionalFormatting sqref="C159">
    <cfRule type="cellIs" dxfId="2179" priority="675" stopIfTrue="1" operator="equal">
      <formula>"Towel"</formula>
    </cfRule>
    <cfRule type="cellIs" dxfId="2178" priority="676" stopIfTrue="1" operator="equal">
      <formula>"Napkin Hs"</formula>
    </cfRule>
  </conditionalFormatting>
  <conditionalFormatting sqref="B159:C159">
    <cfRule type="cellIs" dxfId="2177" priority="673" stopIfTrue="1" operator="equal">
      <formula>"Towel"</formula>
    </cfRule>
    <cfRule type="cellIs" dxfId="2176" priority="674" stopIfTrue="1" operator="equal">
      <formula>"Napkin Hs"</formula>
    </cfRule>
  </conditionalFormatting>
  <conditionalFormatting sqref="C159">
    <cfRule type="cellIs" dxfId="2175" priority="681" stopIfTrue="1" operator="equal">
      <formula>"Towel"</formula>
    </cfRule>
    <cfRule type="cellIs" dxfId="2174" priority="682" stopIfTrue="1" operator="equal">
      <formula>"Napkin Hs"</formula>
    </cfRule>
  </conditionalFormatting>
  <conditionalFormatting sqref="C159">
    <cfRule type="cellIs" dxfId="2173" priority="683" stopIfTrue="1" operator="equal">
      <formula>"Towel"</formula>
    </cfRule>
    <cfRule type="cellIs" dxfId="2172" priority="684" stopIfTrue="1" operator="equal">
      <formula>"Napkin Hs"</formula>
    </cfRule>
  </conditionalFormatting>
  <conditionalFormatting sqref="B160:C160">
    <cfRule type="cellIs" dxfId="2171" priority="671" stopIfTrue="1" operator="equal">
      <formula>"Towel"</formula>
    </cfRule>
    <cfRule type="cellIs" dxfId="2170" priority="672" stopIfTrue="1" operator="equal">
      <formula>"Napkin Hs"</formula>
    </cfRule>
  </conditionalFormatting>
  <conditionalFormatting sqref="C160">
    <cfRule type="cellIs" dxfId="2169" priority="670" stopIfTrue="1" operator="equal">
      <formula>"Napkin Hs"</formula>
    </cfRule>
  </conditionalFormatting>
  <conditionalFormatting sqref="C160">
    <cfRule type="cellIs" dxfId="2168" priority="667" stopIfTrue="1" operator="equal">
      <formula>"Towel"</formula>
    </cfRule>
    <cfRule type="cellIs" dxfId="2167" priority="668" stopIfTrue="1" operator="equal">
      <formula>"Napkin Hs"</formula>
    </cfRule>
  </conditionalFormatting>
  <conditionalFormatting sqref="C160">
    <cfRule type="cellIs" dxfId="2166" priority="669" stopIfTrue="1" operator="equal">
      <formula>"Towel"</formula>
    </cfRule>
  </conditionalFormatting>
  <conditionalFormatting sqref="B159:C159">
    <cfRule type="cellIs" dxfId="2165" priority="665" stopIfTrue="1" operator="equal">
      <formula>"Towel"</formula>
    </cfRule>
    <cfRule type="cellIs" dxfId="2164" priority="666" stopIfTrue="1" operator="equal">
      <formula>"Napkin Hs"</formula>
    </cfRule>
  </conditionalFormatting>
  <conditionalFormatting sqref="C159">
    <cfRule type="cellIs" dxfId="2163" priority="664" stopIfTrue="1" operator="equal">
      <formula>"Napkin Hs"</formula>
    </cfRule>
  </conditionalFormatting>
  <conditionalFormatting sqref="C159">
    <cfRule type="cellIs" dxfId="2162" priority="661" stopIfTrue="1" operator="equal">
      <formula>"Towel"</formula>
    </cfRule>
    <cfRule type="cellIs" dxfId="2161" priority="662" stopIfTrue="1" operator="equal">
      <formula>"Napkin Hs"</formula>
    </cfRule>
  </conditionalFormatting>
  <conditionalFormatting sqref="C159">
    <cfRule type="cellIs" dxfId="2160" priority="663" stopIfTrue="1" operator="equal">
      <formula>"Towel"</formula>
    </cfRule>
  </conditionalFormatting>
  <conditionalFormatting sqref="B158:C158">
    <cfRule type="cellIs" dxfId="2159" priority="659" stopIfTrue="1" operator="equal">
      <formula>"Towel"</formula>
    </cfRule>
    <cfRule type="cellIs" dxfId="2158" priority="660" stopIfTrue="1" operator="equal">
      <formula>"Napkin Hs"</formula>
    </cfRule>
  </conditionalFormatting>
  <conditionalFormatting sqref="C158">
    <cfRule type="cellIs" dxfId="2157" priority="655" stopIfTrue="1" operator="equal">
      <formula>"Towel"</formula>
    </cfRule>
    <cfRule type="cellIs" dxfId="2156" priority="656" stopIfTrue="1" operator="equal">
      <formula>"Napkin Hs"</formula>
    </cfRule>
  </conditionalFormatting>
  <conditionalFormatting sqref="C158">
    <cfRule type="cellIs" dxfId="2155" priority="657" stopIfTrue="1" operator="equal">
      <formula>"Towel"</formula>
    </cfRule>
    <cfRule type="cellIs" dxfId="2154" priority="658" stopIfTrue="1" operator="equal">
      <formula>"Napkin Hs"</formula>
    </cfRule>
  </conditionalFormatting>
  <conditionalFormatting sqref="B158:C158">
    <cfRule type="cellIs" dxfId="2153" priority="653" stopIfTrue="1" operator="equal">
      <formula>"Towel"</formula>
    </cfRule>
    <cfRule type="cellIs" dxfId="2152" priority="654" stopIfTrue="1" operator="equal">
      <formula>"Napkin Hs"</formula>
    </cfRule>
  </conditionalFormatting>
  <conditionalFormatting sqref="C158">
    <cfRule type="cellIs" dxfId="2151" priority="651" stopIfTrue="1" operator="equal">
      <formula>"Towel"</formula>
    </cfRule>
    <cfRule type="cellIs" dxfId="2150" priority="652" stopIfTrue="1" operator="equal">
      <formula>"Napkin Hs"</formula>
    </cfRule>
  </conditionalFormatting>
  <conditionalFormatting sqref="C158">
    <cfRule type="cellIs" dxfId="2149" priority="649" stopIfTrue="1" operator="equal">
      <formula>"Towel"</formula>
    </cfRule>
    <cfRule type="cellIs" dxfId="2148" priority="650" stopIfTrue="1" operator="equal">
      <formula>"Napkin Hs"</formula>
    </cfRule>
  </conditionalFormatting>
  <conditionalFormatting sqref="C158">
    <cfRule type="cellIs" dxfId="2147" priority="641" stopIfTrue="1" operator="equal">
      <formula>"Towel"</formula>
    </cfRule>
    <cfRule type="cellIs" dxfId="2146" priority="642" stopIfTrue="1" operator="equal">
      <formula>"Napkin Hs"</formula>
    </cfRule>
  </conditionalFormatting>
  <conditionalFormatting sqref="B158:C158">
    <cfRule type="cellIs" dxfId="2145" priority="643" stopIfTrue="1" operator="equal">
      <formula>"Towel"</formula>
    </cfRule>
    <cfRule type="cellIs" dxfId="2144" priority="644" stopIfTrue="1" operator="equal">
      <formula>"Napkin Hs"</formula>
    </cfRule>
  </conditionalFormatting>
  <conditionalFormatting sqref="C158">
    <cfRule type="cellIs" dxfId="2143" priority="639" stopIfTrue="1" operator="equal">
      <formula>"Towel"</formula>
    </cfRule>
    <cfRule type="cellIs" dxfId="2142" priority="640" stopIfTrue="1" operator="equal">
      <formula>"Napkin Hs"</formula>
    </cfRule>
  </conditionalFormatting>
  <conditionalFormatting sqref="B158:C158">
    <cfRule type="cellIs" dxfId="2141" priority="637" stopIfTrue="1" operator="equal">
      <formula>"Towel"</formula>
    </cfRule>
    <cfRule type="cellIs" dxfId="2140" priority="638" stopIfTrue="1" operator="equal">
      <formula>"Napkin Hs"</formula>
    </cfRule>
  </conditionalFormatting>
  <conditionalFormatting sqref="C158">
    <cfRule type="cellIs" dxfId="2139" priority="645" stopIfTrue="1" operator="equal">
      <formula>"Towel"</formula>
    </cfRule>
    <cfRule type="cellIs" dxfId="2138" priority="646" stopIfTrue="1" operator="equal">
      <formula>"Napkin Hs"</formula>
    </cfRule>
  </conditionalFormatting>
  <conditionalFormatting sqref="C158">
    <cfRule type="cellIs" dxfId="2137" priority="647" stopIfTrue="1" operator="equal">
      <formula>"Towel"</formula>
    </cfRule>
    <cfRule type="cellIs" dxfId="2136" priority="648" stopIfTrue="1" operator="equal">
      <formula>"Napkin Hs"</formula>
    </cfRule>
  </conditionalFormatting>
  <conditionalFormatting sqref="B158:C158">
    <cfRule type="cellIs" dxfId="2135" priority="635" stopIfTrue="1" operator="equal">
      <formula>"Towel"</formula>
    </cfRule>
    <cfRule type="cellIs" dxfId="2134" priority="636" stopIfTrue="1" operator="equal">
      <formula>"Napkin Hs"</formula>
    </cfRule>
  </conditionalFormatting>
  <conditionalFormatting sqref="C158">
    <cfRule type="cellIs" dxfId="2133" priority="634" stopIfTrue="1" operator="equal">
      <formula>"Napkin Hs"</formula>
    </cfRule>
  </conditionalFormatting>
  <conditionalFormatting sqref="C158">
    <cfRule type="cellIs" dxfId="2132" priority="631" stopIfTrue="1" operator="equal">
      <formula>"Towel"</formula>
    </cfRule>
    <cfRule type="cellIs" dxfId="2131" priority="632" stopIfTrue="1" operator="equal">
      <formula>"Napkin Hs"</formula>
    </cfRule>
  </conditionalFormatting>
  <conditionalFormatting sqref="C158">
    <cfRule type="cellIs" dxfId="2130" priority="633" stopIfTrue="1" operator="equal">
      <formula>"Towel"</formula>
    </cfRule>
  </conditionalFormatting>
  <conditionalFormatting sqref="B157:C157">
    <cfRule type="cellIs" dxfId="2129" priority="629" stopIfTrue="1" operator="equal">
      <formula>"Towel"</formula>
    </cfRule>
    <cfRule type="cellIs" dxfId="2128" priority="630" stopIfTrue="1" operator="equal">
      <formula>"Napkin Hs"</formula>
    </cfRule>
  </conditionalFormatting>
  <conditionalFormatting sqref="C157">
    <cfRule type="cellIs" dxfId="2127" priority="625" stopIfTrue="1" operator="equal">
      <formula>"Towel"</formula>
    </cfRule>
    <cfRule type="cellIs" dxfId="2126" priority="626" stopIfTrue="1" operator="equal">
      <formula>"Napkin Hs"</formula>
    </cfRule>
  </conditionalFormatting>
  <conditionalFormatting sqref="C157">
    <cfRule type="cellIs" dxfId="2125" priority="627" stopIfTrue="1" operator="equal">
      <formula>"Towel"</formula>
    </cfRule>
    <cfRule type="cellIs" dxfId="2124" priority="628" stopIfTrue="1" operator="equal">
      <formula>"Napkin Hs"</formula>
    </cfRule>
  </conditionalFormatting>
  <conditionalFormatting sqref="B157:C157">
    <cfRule type="cellIs" dxfId="2123" priority="623" stopIfTrue="1" operator="equal">
      <formula>"Towel"</formula>
    </cfRule>
    <cfRule type="cellIs" dxfId="2122" priority="624" stopIfTrue="1" operator="equal">
      <formula>"Napkin Hs"</formula>
    </cfRule>
  </conditionalFormatting>
  <conditionalFormatting sqref="C157">
    <cfRule type="cellIs" dxfId="2121" priority="621" stopIfTrue="1" operator="equal">
      <formula>"Towel"</formula>
    </cfRule>
    <cfRule type="cellIs" dxfId="2120" priority="622" stopIfTrue="1" operator="equal">
      <formula>"Napkin Hs"</formula>
    </cfRule>
  </conditionalFormatting>
  <conditionalFormatting sqref="C157">
    <cfRule type="cellIs" dxfId="2119" priority="619" stopIfTrue="1" operator="equal">
      <formula>"Towel"</formula>
    </cfRule>
    <cfRule type="cellIs" dxfId="2118" priority="620" stopIfTrue="1" operator="equal">
      <formula>"Napkin Hs"</formula>
    </cfRule>
  </conditionalFormatting>
  <conditionalFormatting sqref="C157">
    <cfRule type="cellIs" dxfId="2117" priority="611" stopIfTrue="1" operator="equal">
      <formula>"Towel"</formula>
    </cfRule>
    <cfRule type="cellIs" dxfId="2116" priority="612" stopIfTrue="1" operator="equal">
      <formula>"Napkin Hs"</formula>
    </cfRule>
  </conditionalFormatting>
  <conditionalFormatting sqref="B157:C157">
    <cfRule type="cellIs" dxfId="2115" priority="613" stopIfTrue="1" operator="equal">
      <formula>"Towel"</formula>
    </cfRule>
    <cfRule type="cellIs" dxfId="2114" priority="614" stopIfTrue="1" operator="equal">
      <formula>"Napkin Hs"</formula>
    </cfRule>
  </conditionalFormatting>
  <conditionalFormatting sqref="C157">
    <cfRule type="cellIs" dxfId="2113" priority="609" stopIfTrue="1" operator="equal">
      <formula>"Towel"</formula>
    </cfRule>
    <cfRule type="cellIs" dxfId="2112" priority="610" stopIfTrue="1" operator="equal">
      <formula>"Napkin Hs"</formula>
    </cfRule>
  </conditionalFormatting>
  <conditionalFormatting sqref="B157:C157">
    <cfRule type="cellIs" dxfId="2111" priority="607" stopIfTrue="1" operator="equal">
      <formula>"Towel"</formula>
    </cfRule>
    <cfRule type="cellIs" dxfId="2110" priority="608" stopIfTrue="1" operator="equal">
      <formula>"Napkin Hs"</formula>
    </cfRule>
  </conditionalFormatting>
  <conditionalFormatting sqref="C157">
    <cfRule type="cellIs" dxfId="2109" priority="615" stopIfTrue="1" operator="equal">
      <formula>"Towel"</formula>
    </cfRule>
    <cfRule type="cellIs" dxfId="2108" priority="616" stopIfTrue="1" operator="equal">
      <formula>"Napkin Hs"</formula>
    </cfRule>
  </conditionalFormatting>
  <conditionalFormatting sqref="C157">
    <cfRule type="cellIs" dxfId="2107" priority="617" stopIfTrue="1" operator="equal">
      <formula>"Towel"</formula>
    </cfRule>
    <cfRule type="cellIs" dxfId="2106" priority="618" stopIfTrue="1" operator="equal">
      <formula>"Napkin Hs"</formula>
    </cfRule>
  </conditionalFormatting>
  <conditionalFormatting sqref="B157:C157">
    <cfRule type="cellIs" dxfId="2105" priority="605" stopIfTrue="1" operator="equal">
      <formula>"Towel"</formula>
    </cfRule>
    <cfRule type="cellIs" dxfId="2104" priority="606" stopIfTrue="1" operator="equal">
      <formula>"Napkin Hs"</formula>
    </cfRule>
  </conditionalFormatting>
  <conditionalFormatting sqref="C157">
    <cfRule type="cellIs" dxfId="2103" priority="604" stopIfTrue="1" operator="equal">
      <formula>"Napkin Hs"</formula>
    </cfRule>
  </conditionalFormatting>
  <conditionalFormatting sqref="C157">
    <cfRule type="cellIs" dxfId="2102" priority="601" stopIfTrue="1" operator="equal">
      <formula>"Towel"</formula>
    </cfRule>
    <cfRule type="cellIs" dxfId="2101" priority="602" stopIfTrue="1" operator="equal">
      <formula>"Napkin Hs"</formula>
    </cfRule>
  </conditionalFormatting>
  <conditionalFormatting sqref="C157">
    <cfRule type="cellIs" dxfId="2100" priority="603" stopIfTrue="1" operator="equal">
      <formula>"Towel"</formula>
    </cfRule>
  </conditionalFormatting>
  <conditionalFormatting sqref="B161:C161">
    <cfRule type="cellIs" dxfId="2099" priority="599" stopIfTrue="1" operator="equal">
      <formula>"Towel"</formula>
    </cfRule>
    <cfRule type="cellIs" dxfId="2098" priority="600" stopIfTrue="1" operator="equal">
      <formula>"Napkin Hs"</formula>
    </cfRule>
  </conditionalFormatting>
  <conditionalFormatting sqref="C161">
    <cfRule type="cellIs" dxfId="2097" priority="598" stopIfTrue="1" operator="equal">
      <formula>"Napkin Hs"</formula>
    </cfRule>
  </conditionalFormatting>
  <conditionalFormatting sqref="C161">
    <cfRule type="cellIs" dxfId="2096" priority="595" stopIfTrue="1" operator="equal">
      <formula>"Towel"</formula>
    </cfRule>
    <cfRule type="cellIs" dxfId="2095" priority="596" stopIfTrue="1" operator="equal">
      <formula>"Napkin Hs"</formula>
    </cfRule>
  </conditionalFormatting>
  <conditionalFormatting sqref="C161">
    <cfRule type="cellIs" dxfId="2094" priority="597" stopIfTrue="1" operator="equal">
      <formula>"Towel"</formula>
    </cfRule>
  </conditionalFormatting>
  <conditionalFormatting sqref="B166:C166">
    <cfRule type="cellIs" dxfId="2093" priority="591" stopIfTrue="1" operator="equal">
      <formula>"Towel"</formula>
    </cfRule>
    <cfRule type="cellIs" dxfId="2092" priority="592" stopIfTrue="1" operator="equal">
      <formula>"Napkin Hs"</formula>
    </cfRule>
  </conditionalFormatting>
  <conditionalFormatting sqref="C166">
    <cfRule type="cellIs" dxfId="2091" priority="593" stopIfTrue="1" operator="equal">
      <formula>"Towel"</formula>
    </cfRule>
    <cfRule type="cellIs" dxfId="2090" priority="594" stopIfTrue="1" operator="equal">
      <formula>"Napkin Hs"</formula>
    </cfRule>
  </conditionalFormatting>
  <conditionalFormatting sqref="C166">
    <cfRule type="cellIs" dxfId="2089" priority="589" stopIfTrue="1" operator="equal">
      <formula>"Towel"</formula>
    </cfRule>
    <cfRule type="cellIs" dxfId="2088" priority="590" stopIfTrue="1" operator="equal">
      <formula>"Napkin Hs"</formula>
    </cfRule>
  </conditionalFormatting>
  <conditionalFormatting sqref="B165:C165">
    <cfRule type="cellIs" dxfId="2087" priority="587" stopIfTrue="1" operator="equal">
      <formula>"Towel"</formula>
    </cfRule>
    <cfRule type="cellIs" dxfId="2086" priority="588" stopIfTrue="1" operator="equal">
      <formula>"Napkin Hs"</formula>
    </cfRule>
  </conditionalFormatting>
  <conditionalFormatting sqref="C165">
    <cfRule type="cellIs" dxfId="2085" priority="583" stopIfTrue="1" operator="equal">
      <formula>"Towel"</formula>
    </cfRule>
    <cfRule type="cellIs" dxfId="2084" priority="584" stopIfTrue="1" operator="equal">
      <formula>"Napkin Hs"</formula>
    </cfRule>
  </conditionalFormatting>
  <conditionalFormatting sqref="C165">
    <cfRule type="cellIs" dxfId="2083" priority="585" stopIfTrue="1" operator="equal">
      <formula>"Towel"</formula>
    </cfRule>
    <cfRule type="cellIs" dxfId="2082" priority="586" stopIfTrue="1" operator="equal">
      <formula>"Napkin Hs"</formula>
    </cfRule>
  </conditionalFormatting>
  <conditionalFormatting sqref="B166:C166">
    <cfRule type="cellIs" dxfId="2081" priority="581" stopIfTrue="1" operator="equal">
      <formula>"Towel"</formula>
    </cfRule>
    <cfRule type="cellIs" dxfId="2080" priority="582" stopIfTrue="1" operator="equal">
      <formula>"Napkin Hs"</formula>
    </cfRule>
  </conditionalFormatting>
  <conditionalFormatting sqref="C166">
    <cfRule type="cellIs" dxfId="2079" priority="579" stopIfTrue="1" operator="equal">
      <formula>"Towel"</formula>
    </cfRule>
    <cfRule type="cellIs" dxfId="2078" priority="580" stopIfTrue="1" operator="equal">
      <formula>"Napkin Hs"</formula>
    </cfRule>
  </conditionalFormatting>
  <conditionalFormatting sqref="C166">
    <cfRule type="cellIs" dxfId="2077" priority="577" stopIfTrue="1" operator="equal">
      <formula>"Towel"</formula>
    </cfRule>
    <cfRule type="cellIs" dxfId="2076" priority="578" stopIfTrue="1" operator="equal">
      <formula>"Napkin Hs"</formula>
    </cfRule>
  </conditionalFormatting>
  <conditionalFormatting sqref="B165:C165">
    <cfRule type="cellIs" dxfId="2075" priority="575" stopIfTrue="1" operator="equal">
      <formula>"Towel"</formula>
    </cfRule>
    <cfRule type="cellIs" dxfId="2074" priority="576" stopIfTrue="1" operator="equal">
      <formula>"Napkin Hs"</formula>
    </cfRule>
  </conditionalFormatting>
  <conditionalFormatting sqref="C165">
    <cfRule type="cellIs" dxfId="2073" priority="573" stopIfTrue="1" operator="equal">
      <formula>"Towel"</formula>
    </cfRule>
    <cfRule type="cellIs" dxfId="2072" priority="574" stopIfTrue="1" operator="equal">
      <formula>"Napkin Hs"</formula>
    </cfRule>
  </conditionalFormatting>
  <conditionalFormatting sqref="C165">
    <cfRule type="cellIs" dxfId="2071" priority="571" stopIfTrue="1" operator="equal">
      <formula>"Towel"</formula>
    </cfRule>
    <cfRule type="cellIs" dxfId="2070" priority="572" stopIfTrue="1" operator="equal">
      <formula>"Napkin Hs"</formula>
    </cfRule>
  </conditionalFormatting>
  <conditionalFormatting sqref="C165">
    <cfRule type="cellIs" dxfId="2069" priority="563" stopIfTrue="1" operator="equal">
      <formula>"Towel"</formula>
    </cfRule>
    <cfRule type="cellIs" dxfId="2068" priority="564" stopIfTrue="1" operator="equal">
      <formula>"Napkin Hs"</formula>
    </cfRule>
  </conditionalFormatting>
  <conditionalFormatting sqref="B165:C165">
    <cfRule type="cellIs" dxfId="2067" priority="565" stopIfTrue="1" operator="equal">
      <formula>"Towel"</formula>
    </cfRule>
    <cfRule type="cellIs" dxfId="2066" priority="566" stopIfTrue="1" operator="equal">
      <formula>"Napkin Hs"</formula>
    </cfRule>
  </conditionalFormatting>
  <conditionalFormatting sqref="C165">
    <cfRule type="cellIs" dxfId="2065" priority="561" stopIfTrue="1" operator="equal">
      <formula>"Towel"</formula>
    </cfRule>
    <cfRule type="cellIs" dxfId="2064" priority="562" stopIfTrue="1" operator="equal">
      <formula>"Napkin Hs"</formula>
    </cfRule>
  </conditionalFormatting>
  <conditionalFormatting sqref="B165:C165">
    <cfRule type="cellIs" dxfId="2063" priority="559" stopIfTrue="1" operator="equal">
      <formula>"Towel"</formula>
    </cfRule>
    <cfRule type="cellIs" dxfId="2062" priority="560" stopIfTrue="1" operator="equal">
      <formula>"Napkin Hs"</formula>
    </cfRule>
  </conditionalFormatting>
  <conditionalFormatting sqref="C165">
    <cfRule type="cellIs" dxfId="2061" priority="567" stopIfTrue="1" operator="equal">
      <formula>"Towel"</formula>
    </cfRule>
    <cfRule type="cellIs" dxfId="2060" priority="568" stopIfTrue="1" operator="equal">
      <formula>"Napkin Hs"</formula>
    </cfRule>
  </conditionalFormatting>
  <conditionalFormatting sqref="C165">
    <cfRule type="cellIs" dxfId="2059" priority="569" stopIfTrue="1" operator="equal">
      <formula>"Towel"</formula>
    </cfRule>
    <cfRule type="cellIs" dxfId="2058" priority="570" stopIfTrue="1" operator="equal">
      <formula>"Napkin Hs"</formula>
    </cfRule>
  </conditionalFormatting>
  <conditionalFormatting sqref="B166:C166">
    <cfRule type="cellIs" dxfId="2057" priority="557" stopIfTrue="1" operator="equal">
      <formula>"Towel"</formula>
    </cfRule>
    <cfRule type="cellIs" dxfId="2056" priority="558" stopIfTrue="1" operator="equal">
      <formula>"Napkin Hs"</formula>
    </cfRule>
  </conditionalFormatting>
  <conditionalFormatting sqref="C166">
    <cfRule type="cellIs" dxfId="2055" priority="556" stopIfTrue="1" operator="equal">
      <formula>"Napkin Hs"</formula>
    </cfRule>
  </conditionalFormatting>
  <conditionalFormatting sqref="C166">
    <cfRule type="cellIs" dxfId="2054" priority="553" stopIfTrue="1" operator="equal">
      <formula>"Towel"</formula>
    </cfRule>
    <cfRule type="cellIs" dxfId="2053" priority="554" stopIfTrue="1" operator="equal">
      <formula>"Napkin Hs"</formula>
    </cfRule>
  </conditionalFormatting>
  <conditionalFormatting sqref="C166">
    <cfRule type="cellIs" dxfId="2052" priority="555" stopIfTrue="1" operator="equal">
      <formula>"Towel"</formula>
    </cfRule>
  </conditionalFormatting>
  <conditionalFormatting sqref="B165:C165">
    <cfRule type="cellIs" dxfId="2051" priority="551" stopIfTrue="1" operator="equal">
      <formula>"Towel"</formula>
    </cfRule>
    <cfRule type="cellIs" dxfId="2050" priority="552" stopIfTrue="1" operator="equal">
      <formula>"Napkin Hs"</formula>
    </cfRule>
  </conditionalFormatting>
  <conditionalFormatting sqref="C165">
    <cfRule type="cellIs" dxfId="2049" priority="550" stopIfTrue="1" operator="equal">
      <formula>"Napkin Hs"</formula>
    </cfRule>
  </conditionalFormatting>
  <conditionalFormatting sqref="C165">
    <cfRule type="cellIs" dxfId="2048" priority="547" stopIfTrue="1" operator="equal">
      <formula>"Towel"</formula>
    </cfRule>
    <cfRule type="cellIs" dxfId="2047" priority="548" stopIfTrue="1" operator="equal">
      <formula>"Napkin Hs"</formula>
    </cfRule>
  </conditionalFormatting>
  <conditionalFormatting sqref="C165">
    <cfRule type="cellIs" dxfId="2046" priority="549" stopIfTrue="1" operator="equal">
      <formula>"Towel"</formula>
    </cfRule>
  </conditionalFormatting>
  <conditionalFormatting sqref="B164:C164">
    <cfRule type="cellIs" dxfId="2045" priority="545" stopIfTrue="1" operator="equal">
      <formula>"Towel"</formula>
    </cfRule>
    <cfRule type="cellIs" dxfId="2044" priority="546" stopIfTrue="1" operator="equal">
      <formula>"Napkin Hs"</formula>
    </cfRule>
  </conditionalFormatting>
  <conditionalFormatting sqref="C164">
    <cfRule type="cellIs" dxfId="2043" priority="541" stopIfTrue="1" operator="equal">
      <formula>"Towel"</formula>
    </cfRule>
    <cfRule type="cellIs" dxfId="2042" priority="542" stopIfTrue="1" operator="equal">
      <formula>"Napkin Hs"</formula>
    </cfRule>
  </conditionalFormatting>
  <conditionalFormatting sqref="C164">
    <cfRule type="cellIs" dxfId="2041" priority="543" stopIfTrue="1" operator="equal">
      <formula>"Towel"</formula>
    </cfRule>
    <cfRule type="cellIs" dxfId="2040" priority="544" stopIfTrue="1" operator="equal">
      <formula>"Napkin Hs"</formula>
    </cfRule>
  </conditionalFormatting>
  <conditionalFormatting sqref="B164:C164">
    <cfRule type="cellIs" dxfId="2039" priority="539" stopIfTrue="1" operator="equal">
      <formula>"Towel"</formula>
    </cfRule>
    <cfRule type="cellIs" dxfId="2038" priority="540" stopIfTrue="1" operator="equal">
      <formula>"Napkin Hs"</formula>
    </cfRule>
  </conditionalFormatting>
  <conditionalFormatting sqref="C164">
    <cfRule type="cellIs" dxfId="2037" priority="537" stopIfTrue="1" operator="equal">
      <formula>"Towel"</formula>
    </cfRule>
    <cfRule type="cellIs" dxfId="2036" priority="538" stopIfTrue="1" operator="equal">
      <formula>"Napkin Hs"</formula>
    </cfRule>
  </conditionalFormatting>
  <conditionalFormatting sqref="C164">
    <cfRule type="cellIs" dxfId="2035" priority="535" stopIfTrue="1" operator="equal">
      <formula>"Towel"</formula>
    </cfRule>
    <cfRule type="cellIs" dxfId="2034" priority="536" stopIfTrue="1" operator="equal">
      <formula>"Napkin Hs"</formula>
    </cfRule>
  </conditionalFormatting>
  <conditionalFormatting sqref="C164">
    <cfRule type="cellIs" dxfId="2033" priority="527" stopIfTrue="1" operator="equal">
      <formula>"Towel"</formula>
    </cfRule>
    <cfRule type="cellIs" dxfId="2032" priority="528" stopIfTrue="1" operator="equal">
      <formula>"Napkin Hs"</formula>
    </cfRule>
  </conditionalFormatting>
  <conditionalFormatting sqref="B164:C164">
    <cfRule type="cellIs" dxfId="2031" priority="529" stopIfTrue="1" operator="equal">
      <formula>"Towel"</formula>
    </cfRule>
    <cfRule type="cellIs" dxfId="2030" priority="530" stopIfTrue="1" operator="equal">
      <formula>"Napkin Hs"</formula>
    </cfRule>
  </conditionalFormatting>
  <conditionalFormatting sqref="C164">
    <cfRule type="cellIs" dxfId="2029" priority="525" stopIfTrue="1" operator="equal">
      <formula>"Towel"</formula>
    </cfRule>
    <cfRule type="cellIs" dxfId="2028" priority="526" stopIfTrue="1" operator="equal">
      <formula>"Napkin Hs"</formula>
    </cfRule>
  </conditionalFormatting>
  <conditionalFormatting sqref="B164:C164">
    <cfRule type="cellIs" dxfId="2027" priority="523" stopIfTrue="1" operator="equal">
      <formula>"Towel"</formula>
    </cfRule>
    <cfRule type="cellIs" dxfId="2026" priority="524" stopIfTrue="1" operator="equal">
      <formula>"Napkin Hs"</formula>
    </cfRule>
  </conditionalFormatting>
  <conditionalFormatting sqref="C164">
    <cfRule type="cellIs" dxfId="2025" priority="531" stopIfTrue="1" operator="equal">
      <formula>"Towel"</formula>
    </cfRule>
    <cfRule type="cellIs" dxfId="2024" priority="532" stopIfTrue="1" operator="equal">
      <formula>"Napkin Hs"</formula>
    </cfRule>
  </conditionalFormatting>
  <conditionalFormatting sqref="C164">
    <cfRule type="cellIs" dxfId="2023" priority="533" stopIfTrue="1" operator="equal">
      <formula>"Towel"</formula>
    </cfRule>
    <cfRule type="cellIs" dxfId="2022" priority="534" stopIfTrue="1" operator="equal">
      <formula>"Napkin Hs"</formula>
    </cfRule>
  </conditionalFormatting>
  <conditionalFormatting sqref="B164:C164">
    <cfRule type="cellIs" dxfId="2021" priority="521" stopIfTrue="1" operator="equal">
      <formula>"Towel"</formula>
    </cfRule>
    <cfRule type="cellIs" dxfId="2020" priority="522" stopIfTrue="1" operator="equal">
      <formula>"Napkin Hs"</formula>
    </cfRule>
  </conditionalFormatting>
  <conditionalFormatting sqref="C164">
    <cfRule type="cellIs" dxfId="2019" priority="520" stopIfTrue="1" operator="equal">
      <formula>"Napkin Hs"</formula>
    </cfRule>
  </conditionalFormatting>
  <conditionalFormatting sqref="C164">
    <cfRule type="cellIs" dxfId="2018" priority="517" stopIfTrue="1" operator="equal">
      <formula>"Towel"</formula>
    </cfRule>
    <cfRule type="cellIs" dxfId="2017" priority="518" stopIfTrue="1" operator="equal">
      <formula>"Napkin Hs"</formula>
    </cfRule>
  </conditionalFormatting>
  <conditionalFormatting sqref="C164">
    <cfRule type="cellIs" dxfId="2016" priority="519" stopIfTrue="1" operator="equal">
      <formula>"Towel"</formula>
    </cfRule>
  </conditionalFormatting>
  <conditionalFormatting sqref="B163:C163">
    <cfRule type="cellIs" dxfId="2015" priority="515" stopIfTrue="1" operator="equal">
      <formula>"Towel"</formula>
    </cfRule>
    <cfRule type="cellIs" dxfId="2014" priority="516" stopIfTrue="1" operator="equal">
      <formula>"Napkin Hs"</formula>
    </cfRule>
  </conditionalFormatting>
  <conditionalFormatting sqref="C163">
    <cfRule type="cellIs" dxfId="2013" priority="511" stopIfTrue="1" operator="equal">
      <formula>"Towel"</formula>
    </cfRule>
    <cfRule type="cellIs" dxfId="2012" priority="512" stopIfTrue="1" operator="equal">
      <formula>"Napkin Hs"</formula>
    </cfRule>
  </conditionalFormatting>
  <conditionalFormatting sqref="C163">
    <cfRule type="cellIs" dxfId="2011" priority="513" stopIfTrue="1" operator="equal">
      <formula>"Towel"</formula>
    </cfRule>
    <cfRule type="cellIs" dxfId="2010" priority="514" stopIfTrue="1" operator="equal">
      <formula>"Napkin Hs"</formula>
    </cfRule>
  </conditionalFormatting>
  <conditionalFormatting sqref="B163:C163">
    <cfRule type="cellIs" dxfId="2009" priority="509" stopIfTrue="1" operator="equal">
      <formula>"Towel"</formula>
    </cfRule>
    <cfRule type="cellIs" dxfId="2008" priority="510" stopIfTrue="1" operator="equal">
      <formula>"Napkin Hs"</formula>
    </cfRule>
  </conditionalFormatting>
  <conditionalFormatting sqref="C163">
    <cfRule type="cellIs" dxfId="2007" priority="507" stopIfTrue="1" operator="equal">
      <formula>"Towel"</formula>
    </cfRule>
    <cfRule type="cellIs" dxfId="2006" priority="508" stopIfTrue="1" operator="equal">
      <formula>"Napkin Hs"</formula>
    </cfRule>
  </conditionalFormatting>
  <conditionalFormatting sqref="C163">
    <cfRule type="cellIs" dxfId="2005" priority="505" stopIfTrue="1" operator="equal">
      <formula>"Towel"</formula>
    </cfRule>
    <cfRule type="cellIs" dxfId="2004" priority="506" stopIfTrue="1" operator="equal">
      <formula>"Napkin Hs"</formula>
    </cfRule>
  </conditionalFormatting>
  <conditionalFormatting sqref="C163">
    <cfRule type="cellIs" dxfId="2003" priority="497" stopIfTrue="1" operator="equal">
      <formula>"Towel"</formula>
    </cfRule>
    <cfRule type="cellIs" dxfId="2002" priority="498" stopIfTrue="1" operator="equal">
      <formula>"Napkin Hs"</formula>
    </cfRule>
  </conditionalFormatting>
  <conditionalFormatting sqref="B163:C163">
    <cfRule type="cellIs" dxfId="2001" priority="499" stopIfTrue="1" operator="equal">
      <formula>"Towel"</formula>
    </cfRule>
    <cfRule type="cellIs" dxfId="2000" priority="500" stopIfTrue="1" operator="equal">
      <formula>"Napkin Hs"</formula>
    </cfRule>
  </conditionalFormatting>
  <conditionalFormatting sqref="C163">
    <cfRule type="cellIs" dxfId="1999" priority="495" stopIfTrue="1" operator="equal">
      <formula>"Towel"</formula>
    </cfRule>
    <cfRule type="cellIs" dxfId="1998" priority="496" stopIfTrue="1" operator="equal">
      <formula>"Napkin Hs"</formula>
    </cfRule>
  </conditionalFormatting>
  <conditionalFormatting sqref="B163:C163">
    <cfRule type="cellIs" dxfId="1997" priority="493" stopIfTrue="1" operator="equal">
      <formula>"Towel"</formula>
    </cfRule>
    <cfRule type="cellIs" dxfId="1996" priority="494" stopIfTrue="1" operator="equal">
      <formula>"Napkin Hs"</formula>
    </cfRule>
  </conditionalFormatting>
  <conditionalFormatting sqref="C163">
    <cfRule type="cellIs" dxfId="1995" priority="501" stopIfTrue="1" operator="equal">
      <formula>"Towel"</formula>
    </cfRule>
    <cfRule type="cellIs" dxfId="1994" priority="502" stopIfTrue="1" operator="equal">
      <formula>"Napkin Hs"</formula>
    </cfRule>
  </conditionalFormatting>
  <conditionalFormatting sqref="C163">
    <cfRule type="cellIs" dxfId="1993" priority="503" stopIfTrue="1" operator="equal">
      <formula>"Towel"</formula>
    </cfRule>
    <cfRule type="cellIs" dxfId="1992" priority="504" stopIfTrue="1" operator="equal">
      <formula>"Napkin Hs"</formula>
    </cfRule>
  </conditionalFormatting>
  <conditionalFormatting sqref="B163:C163">
    <cfRule type="cellIs" dxfId="1991" priority="491" stopIfTrue="1" operator="equal">
      <formula>"Towel"</formula>
    </cfRule>
    <cfRule type="cellIs" dxfId="1990" priority="492" stopIfTrue="1" operator="equal">
      <formula>"Napkin Hs"</formula>
    </cfRule>
  </conditionalFormatting>
  <conditionalFormatting sqref="C163">
    <cfRule type="cellIs" dxfId="1989" priority="490" stopIfTrue="1" operator="equal">
      <formula>"Napkin Hs"</formula>
    </cfRule>
  </conditionalFormatting>
  <conditionalFormatting sqref="C163">
    <cfRule type="cellIs" dxfId="1988" priority="487" stopIfTrue="1" operator="equal">
      <formula>"Towel"</formula>
    </cfRule>
    <cfRule type="cellIs" dxfId="1987" priority="488" stopIfTrue="1" operator="equal">
      <formula>"Napkin Hs"</formula>
    </cfRule>
  </conditionalFormatting>
  <conditionalFormatting sqref="C163">
    <cfRule type="cellIs" dxfId="1986" priority="489" stopIfTrue="1" operator="equal">
      <formula>"Towel"</formula>
    </cfRule>
  </conditionalFormatting>
  <conditionalFormatting sqref="B167:C167">
    <cfRule type="cellIs" dxfId="1985" priority="485" stopIfTrue="1" operator="equal">
      <formula>"Towel"</formula>
    </cfRule>
    <cfRule type="cellIs" dxfId="1984" priority="486" stopIfTrue="1" operator="equal">
      <formula>"Napkin Hs"</formula>
    </cfRule>
  </conditionalFormatting>
  <conditionalFormatting sqref="C167">
    <cfRule type="cellIs" dxfId="1983" priority="484" stopIfTrue="1" operator="equal">
      <formula>"Napkin Hs"</formula>
    </cfRule>
  </conditionalFormatting>
  <conditionalFormatting sqref="C167">
    <cfRule type="cellIs" dxfId="1982" priority="481" stopIfTrue="1" operator="equal">
      <formula>"Towel"</formula>
    </cfRule>
    <cfRule type="cellIs" dxfId="1981" priority="482" stopIfTrue="1" operator="equal">
      <formula>"Napkin Hs"</formula>
    </cfRule>
  </conditionalFormatting>
  <conditionalFormatting sqref="C167">
    <cfRule type="cellIs" dxfId="1980" priority="483" stopIfTrue="1" operator="equal">
      <formula>"Towel"</formula>
    </cfRule>
  </conditionalFormatting>
  <conditionalFormatting sqref="B172:C172">
    <cfRule type="cellIs" dxfId="1979" priority="477" stopIfTrue="1" operator="equal">
      <formula>"Towel"</formula>
    </cfRule>
    <cfRule type="cellIs" dxfId="1978" priority="478" stopIfTrue="1" operator="equal">
      <formula>"Napkin Hs"</formula>
    </cfRule>
  </conditionalFormatting>
  <conditionalFormatting sqref="C172">
    <cfRule type="cellIs" dxfId="1977" priority="479" stopIfTrue="1" operator="equal">
      <formula>"Towel"</formula>
    </cfRule>
    <cfRule type="cellIs" dxfId="1976" priority="480" stopIfTrue="1" operator="equal">
      <formula>"Napkin Hs"</formula>
    </cfRule>
  </conditionalFormatting>
  <conditionalFormatting sqref="C172">
    <cfRule type="cellIs" dxfId="1975" priority="475" stopIfTrue="1" operator="equal">
      <formula>"Towel"</formula>
    </cfRule>
    <cfRule type="cellIs" dxfId="1974" priority="476" stopIfTrue="1" operator="equal">
      <formula>"Napkin Hs"</formula>
    </cfRule>
  </conditionalFormatting>
  <conditionalFormatting sqref="B171:C171">
    <cfRule type="cellIs" dxfId="1973" priority="473" stopIfTrue="1" operator="equal">
      <formula>"Towel"</formula>
    </cfRule>
    <cfRule type="cellIs" dxfId="1972" priority="474" stopIfTrue="1" operator="equal">
      <formula>"Napkin Hs"</formula>
    </cfRule>
  </conditionalFormatting>
  <conditionalFormatting sqref="C171">
    <cfRule type="cellIs" dxfId="1971" priority="469" stopIfTrue="1" operator="equal">
      <formula>"Towel"</formula>
    </cfRule>
    <cfRule type="cellIs" dxfId="1970" priority="470" stopIfTrue="1" operator="equal">
      <formula>"Napkin Hs"</formula>
    </cfRule>
  </conditionalFormatting>
  <conditionalFormatting sqref="C171">
    <cfRule type="cellIs" dxfId="1969" priority="471" stopIfTrue="1" operator="equal">
      <formula>"Towel"</formula>
    </cfRule>
    <cfRule type="cellIs" dxfId="1968" priority="472" stopIfTrue="1" operator="equal">
      <formula>"Napkin Hs"</formula>
    </cfRule>
  </conditionalFormatting>
  <conditionalFormatting sqref="B172:C172">
    <cfRule type="cellIs" dxfId="1967" priority="467" stopIfTrue="1" operator="equal">
      <formula>"Towel"</formula>
    </cfRule>
    <cfRule type="cellIs" dxfId="1966" priority="468" stopIfTrue="1" operator="equal">
      <formula>"Napkin Hs"</formula>
    </cfRule>
  </conditionalFormatting>
  <conditionalFormatting sqref="C172">
    <cfRule type="cellIs" dxfId="1965" priority="465" stopIfTrue="1" operator="equal">
      <formula>"Towel"</formula>
    </cfRule>
    <cfRule type="cellIs" dxfId="1964" priority="466" stopIfTrue="1" operator="equal">
      <formula>"Napkin Hs"</formula>
    </cfRule>
  </conditionalFormatting>
  <conditionalFormatting sqref="C172">
    <cfRule type="cellIs" dxfId="1963" priority="463" stopIfTrue="1" operator="equal">
      <formula>"Towel"</formula>
    </cfRule>
    <cfRule type="cellIs" dxfId="1962" priority="464" stopIfTrue="1" operator="equal">
      <formula>"Napkin Hs"</formula>
    </cfRule>
  </conditionalFormatting>
  <conditionalFormatting sqref="B171:C171">
    <cfRule type="cellIs" dxfId="1961" priority="461" stopIfTrue="1" operator="equal">
      <formula>"Towel"</formula>
    </cfRule>
    <cfRule type="cellIs" dxfId="1960" priority="462" stopIfTrue="1" operator="equal">
      <formula>"Napkin Hs"</formula>
    </cfRule>
  </conditionalFormatting>
  <conditionalFormatting sqref="C171">
    <cfRule type="cellIs" dxfId="1959" priority="459" stopIfTrue="1" operator="equal">
      <formula>"Towel"</formula>
    </cfRule>
    <cfRule type="cellIs" dxfId="1958" priority="460" stopIfTrue="1" operator="equal">
      <formula>"Napkin Hs"</formula>
    </cfRule>
  </conditionalFormatting>
  <conditionalFormatting sqref="C171">
    <cfRule type="cellIs" dxfId="1957" priority="457" stopIfTrue="1" operator="equal">
      <formula>"Towel"</formula>
    </cfRule>
    <cfRule type="cellIs" dxfId="1956" priority="458" stopIfTrue="1" operator="equal">
      <formula>"Napkin Hs"</formula>
    </cfRule>
  </conditionalFormatting>
  <conditionalFormatting sqref="C171">
    <cfRule type="cellIs" dxfId="1955" priority="449" stopIfTrue="1" operator="equal">
      <formula>"Towel"</formula>
    </cfRule>
    <cfRule type="cellIs" dxfId="1954" priority="450" stopIfTrue="1" operator="equal">
      <formula>"Napkin Hs"</formula>
    </cfRule>
  </conditionalFormatting>
  <conditionalFormatting sqref="B171:C171">
    <cfRule type="cellIs" dxfId="1953" priority="451" stopIfTrue="1" operator="equal">
      <formula>"Towel"</formula>
    </cfRule>
    <cfRule type="cellIs" dxfId="1952" priority="452" stopIfTrue="1" operator="equal">
      <formula>"Napkin Hs"</formula>
    </cfRule>
  </conditionalFormatting>
  <conditionalFormatting sqref="C171">
    <cfRule type="cellIs" dxfId="1951" priority="447" stopIfTrue="1" operator="equal">
      <formula>"Towel"</formula>
    </cfRule>
    <cfRule type="cellIs" dxfId="1950" priority="448" stopIfTrue="1" operator="equal">
      <formula>"Napkin Hs"</formula>
    </cfRule>
  </conditionalFormatting>
  <conditionalFormatting sqref="B171:C171">
    <cfRule type="cellIs" dxfId="1949" priority="445" stopIfTrue="1" operator="equal">
      <formula>"Towel"</formula>
    </cfRule>
    <cfRule type="cellIs" dxfId="1948" priority="446" stopIfTrue="1" operator="equal">
      <formula>"Napkin Hs"</formula>
    </cfRule>
  </conditionalFormatting>
  <conditionalFormatting sqref="C171">
    <cfRule type="cellIs" dxfId="1947" priority="453" stopIfTrue="1" operator="equal">
      <formula>"Towel"</formula>
    </cfRule>
    <cfRule type="cellIs" dxfId="1946" priority="454" stopIfTrue="1" operator="equal">
      <formula>"Napkin Hs"</formula>
    </cfRule>
  </conditionalFormatting>
  <conditionalFormatting sqref="C171">
    <cfRule type="cellIs" dxfId="1945" priority="455" stopIfTrue="1" operator="equal">
      <formula>"Towel"</formula>
    </cfRule>
    <cfRule type="cellIs" dxfId="1944" priority="456" stopIfTrue="1" operator="equal">
      <formula>"Napkin Hs"</formula>
    </cfRule>
  </conditionalFormatting>
  <conditionalFormatting sqref="B172:C172">
    <cfRule type="cellIs" dxfId="1943" priority="443" stopIfTrue="1" operator="equal">
      <formula>"Towel"</formula>
    </cfRule>
    <cfRule type="cellIs" dxfId="1942" priority="444" stopIfTrue="1" operator="equal">
      <formula>"Napkin Hs"</formula>
    </cfRule>
  </conditionalFormatting>
  <conditionalFormatting sqref="C172">
    <cfRule type="cellIs" dxfId="1941" priority="442" stopIfTrue="1" operator="equal">
      <formula>"Napkin Hs"</formula>
    </cfRule>
  </conditionalFormatting>
  <conditionalFormatting sqref="C172">
    <cfRule type="cellIs" dxfId="1940" priority="439" stopIfTrue="1" operator="equal">
      <formula>"Towel"</formula>
    </cfRule>
    <cfRule type="cellIs" dxfId="1939" priority="440" stopIfTrue="1" operator="equal">
      <formula>"Napkin Hs"</formula>
    </cfRule>
  </conditionalFormatting>
  <conditionalFormatting sqref="C172">
    <cfRule type="cellIs" dxfId="1938" priority="441" stopIfTrue="1" operator="equal">
      <formula>"Towel"</formula>
    </cfRule>
  </conditionalFormatting>
  <conditionalFormatting sqref="B171:C171">
    <cfRule type="cellIs" dxfId="1937" priority="437" stopIfTrue="1" operator="equal">
      <formula>"Towel"</formula>
    </cfRule>
    <cfRule type="cellIs" dxfId="1936" priority="438" stopIfTrue="1" operator="equal">
      <formula>"Napkin Hs"</formula>
    </cfRule>
  </conditionalFormatting>
  <conditionalFormatting sqref="C171">
    <cfRule type="cellIs" dxfId="1935" priority="436" stopIfTrue="1" operator="equal">
      <formula>"Napkin Hs"</formula>
    </cfRule>
  </conditionalFormatting>
  <conditionalFormatting sqref="C171">
    <cfRule type="cellIs" dxfId="1934" priority="433" stopIfTrue="1" operator="equal">
      <formula>"Towel"</formula>
    </cfRule>
    <cfRule type="cellIs" dxfId="1933" priority="434" stopIfTrue="1" operator="equal">
      <formula>"Napkin Hs"</formula>
    </cfRule>
  </conditionalFormatting>
  <conditionalFormatting sqref="C171">
    <cfRule type="cellIs" dxfId="1932" priority="435" stopIfTrue="1" operator="equal">
      <formula>"Towel"</formula>
    </cfRule>
  </conditionalFormatting>
  <conditionalFormatting sqref="B170:C170">
    <cfRule type="cellIs" dxfId="1931" priority="431" stopIfTrue="1" operator="equal">
      <formula>"Towel"</formula>
    </cfRule>
    <cfRule type="cellIs" dxfId="1930" priority="432" stopIfTrue="1" operator="equal">
      <formula>"Napkin Hs"</formula>
    </cfRule>
  </conditionalFormatting>
  <conditionalFormatting sqref="C170">
    <cfRule type="cellIs" dxfId="1929" priority="427" stopIfTrue="1" operator="equal">
      <formula>"Towel"</formula>
    </cfRule>
    <cfRule type="cellIs" dxfId="1928" priority="428" stopIfTrue="1" operator="equal">
      <formula>"Napkin Hs"</formula>
    </cfRule>
  </conditionalFormatting>
  <conditionalFormatting sqref="C170">
    <cfRule type="cellIs" dxfId="1927" priority="429" stopIfTrue="1" operator="equal">
      <formula>"Towel"</formula>
    </cfRule>
    <cfRule type="cellIs" dxfId="1926" priority="430" stopIfTrue="1" operator="equal">
      <formula>"Napkin Hs"</formula>
    </cfRule>
  </conditionalFormatting>
  <conditionalFormatting sqref="B170:C170">
    <cfRule type="cellIs" dxfId="1925" priority="425" stopIfTrue="1" operator="equal">
      <formula>"Towel"</formula>
    </cfRule>
    <cfRule type="cellIs" dxfId="1924" priority="426" stopIfTrue="1" operator="equal">
      <formula>"Napkin Hs"</formula>
    </cfRule>
  </conditionalFormatting>
  <conditionalFormatting sqref="C170">
    <cfRule type="cellIs" dxfId="1923" priority="423" stopIfTrue="1" operator="equal">
      <formula>"Towel"</formula>
    </cfRule>
    <cfRule type="cellIs" dxfId="1922" priority="424" stopIfTrue="1" operator="equal">
      <formula>"Napkin Hs"</formula>
    </cfRule>
  </conditionalFormatting>
  <conditionalFormatting sqref="C170">
    <cfRule type="cellIs" dxfId="1921" priority="421" stopIfTrue="1" operator="equal">
      <formula>"Towel"</formula>
    </cfRule>
    <cfRule type="cellIs" dxfId="1920" priority="422" stopIfTrue="1" operator="equal">
      <formula>"Napkin Hs"</formula>
    </cfRule>
  </conditionalFormatting>
  <conditionalFormatting sqref="C170">
    <cfRule type="cellIs" dxfId="1919" priority="413" stopIfTrue="1" operator="equal">
      <formula>"Towel"</formula>
    </cfRule>
    <cfRule type="cellIs" dxfId="1918" priority="414" stopIfTrue="1" operator="equal">
      <formula>"Napkin Hs"</formula>
    </cfRule>
  </conditionalFormatting>
  <conditionalFormatting sqref="B170:C170">
    <cfRule type="cellIs" dxfId="1917" priority="415" stopIfTrue="1" operator="equal">
      <formula>"Towel"</formula>
    </cfRule>
    <cfRule type="cellIs" dxfId="1916" priority="416" stopIfTrue="1" operator="equal">
      <formula>"Napkin Hs"</formula>
    </cfRule>
  </conditionalFormatting>
  <conditionalFormatting sqref="C170">
    <cfRule type="cellIs" dxfId="1915" priority="411" stopIfTrue="1" operator="equal">
      <formula>"Towel"</formula>
    </cfRule>
    <cfRule type="cellIs" dxfId="1914" priority="412" stopIfTrue="1" operator="equal">
      <formula>"Napkin Hs"</formula>
    </cfRule>
  </conditionalFormatting>
  <conditionalFormatting sqref="B170:C170">
    <cfRule type="cellIs" dxfId="1913" priority="409" stopIfTrue="1" operator="equal">
      <formula>"Towel"</formula>
    </cfRule>
    <cfRule type="cellIs" dxfId="1912" priority="410" stopIfTrue="1" operator="equal">
      <formula>"Napkin Hs"</formula>
    </cfRule>
  </conditionalFormatting>
  <conditionalFormatting sqref="C170">
    <cfRule type="cellIs" dxfId="1911" priority="417" stopIfTrue="1" operator="equal">
      <formula>"Towel"</formula>
    </cfRule>
    <cfRule type="cellIs" dxfId="1910" priority="418" stopIfTrue="1" operator="equal">
      <formula>"Napkin Hs"</formula>
    </cfRule>
  </conditionalFormatting>
  <conditionalFormatting sqref="C170">
    <cfRule type="cellIs" dxfId="1909" priority="419" stopIfTrue="1" operator="equal">
      <formula>"Towel"</formula>
    </cfRule>
    <cfRule type="cellIs" dxfId="1908" priority="420" stopIfTrue="1" operator="equal">
      <formula>"Napkin Hs"</formula>
    </cfRule>
  </conditionalFormatting>
  <conditionalFormatting sqref="B170:C170">
    <cfRule type="cellIs" dxfId="1907" priority="407" stopIfTrue="1" operator="equal">
      <formula>"Towel"</formula>
    </cfRule>
    <cfRule type="cellIs" dxfId="1906" priority="408" stopIfTrue="1" operator="equal">
      <formula>"Napkin Hs"</formula>
    </cfRule>
  </conditionalFormatting>
  <conditionalFormatting sqref="C170">
    <cfRule type="cellIs" dxfId="1905" priority="406" stopIfTrue="1" operator="equal">
      <formula>"Napkin Hs"</formula>
    </cfRule>
  </conditionalFormatting>
  <conditionalFormatting sqref="C170">
    <cfRule type="cellIs" dxfId="1904" priority="403" stopIfTrue="1" operator="equal">
      <formula>"Towel"</formula>
    </cfRule>
    <cfRule type="cellIs" dxfId="1903" priority="404" stopIfTrue="1" operator="equal">
      <formula>"Napkin Hs"</formula>
    </cfRule>
  </conditionalFormatting>
  <conditionalFormatting sqref="C170">
    <cfRule type="cellIs" dxfId="1902" priority="405" stopIfTrue="1" operator="equal">
      <formula>"Towel"</formula>
    </cfRule>
  </conditionalFormatting>
  <conditionalFormatting sqref="B169:C169">
    <cfRule type="cellIs" dxfId="1901" priority="401" stopIfTrue="1" operator="equal">
      <formula>"Towel"</formula>
    </cfRule>
    <cfRule type="cellIs" dxfId="1900" priority="402" stopIfTrue="1" operator="equal">
      <formula>"Napkin Hs"</formula>
    </cfRule>
  </conditionalFormatting>
  <conditionalFormatting sqref="C169">
    <cfRule type="cellIs" dxfId="1899" priority="397" stopIfTrue="1" operator="equal">
      <formula>"Towel"</formula>
    </cfRule>
    <cfRule type="cellIs" dxfId="1898" priority="398" stopIfTrue="1" operator="equal">
      <formula>"Napkin Hs"</formula>
    </cfRule>
  </conditionalFormatting>
  <conditionalFormatting sqref="C169">
    <cfRule type="cellIs" dxfId="1897" priority="399" stopIfTrue="1" operator="equal">
      <formula>"Towel"</formula>
    </cfRule>
    <cfRule type="cellIs" dxfId="1896" priority="400" stopIfTrue="1" operator="equal">
      <formula>"Napkin Hs"</formula>
    </cfRule>
  </conditionalFormatting>
  <conditionalFormatting sqref="B169:C169">
    <cfRule type="cellIs" dxfId="1895" priority="395" stopIfTrue="1" operator="equal">
      <formula>"Towel"</formula>
    </cfRule>
    <cfRule type="cellIs" dxfId="1894" priority="396" stopIfTrue="1" operator="equal">
      <formula>"Napkin Hs"</formula>
    </cfRule>
  </conditionalFormatting>
  <conditionalFormatting sqref="C169">
    <cfRule type="cellIs" dxfId="1893" priority="393" stopIfTrue="1" operator="equal">
      <formula>"Towel"</formula>
    </cfRule>
    <cfRule type="cellIs" dxfId="1892" priority="394" stopIfTrue="1" operator="equal">
      <formula>"Napkin Hs"</formula>
    </cfRule>
  </conditionalFormatting>
  <conditionalFormatting sqref="C169">
    <cfRule type="cellIs" dxfId="1891" priority="391" stopIfTrue="1" operator="equal">
      <formula>"Towel"</formula>
    </cfRule>
    <cfRule type="cellIs" dxfId="1890" priority="392" stopIfTrue="1" operator="equal">
      <formula>"Napkin Hs"</formula>
    </cfRule>
  </conditionalFormatting>
  <conditionalFormatting sqref="C169">
    <cfRule type="cellIs" dxfId="1889" priority="383" stopIfTrue="1" operator="equal">
      <formula>"Towel"</formula>
    </cfRule>
    <cfRule type="cellIs" dxfId="1888" priority="384" stopIfTrue="1" operator="equal">
      <formula>"Napkin Hs"</formula>
    </cfRule>
  </conditionalFormatting>
  <conditionalFormatting sqref="B169:C169">
    <cfRule type="cellIs" dxfId="1887" priority="385" stopIfTrue="1" operator="equal">
      <formula>"Towel"</formula>
    </cfRule>
    <cfRule type="cellIs" dxfId="1886" priority="386" stopIfTrue="1" operator="equal">
      <formula>"Napkin Hs"</formula>
    </cfRule>
  </conditionalFormatting>
  <conditionalFormatting sqref="C169">
    <cfRule type="cellIs" dxfId="1885" priority="381" stopIfTrue="1" operator="equal">
      <formula>"Towel"</formula>
    </cfRule>
    <cfRule type="cellIs" dxfId="1884" priority="382" stopIfTrue="1" operator="equal">
      <formula>"Napkin Hs"</formula>
    </cfRule>
  </conditionalFormatting>
  <conditionalFormatting sqref="B169:C169">
    <cfRule type="cellIs" dxfId="1883" priority="379" stopIfTrue="1" operator="equal">
      <formula>"Towel"</formula>
    </cfRule>
    <cfRule type="cellIs" dxfId="1882" priority="380" stopIfTrue="1" operator="equal">
      <formula>"Napkin Hs"</formula>
    </cfRule>
  </conditionalFormatting>
  <conditionalFormatting sqref="C169">
    <cfRule type="cellIs" dxfId="1881" priority="387" stopIfTrue="1" operator="equal">
      <formula>"Towel"</formula>
    </cfRule>
    <cfRule type="cellIs" dxfId="1880" priority="388" stopIfTrue="1" operator="equal">
      <formula>"Napkin Hs"</formula>
    </cfRule>
  </conditionalFormatting>
  <conditionalFormatting sqref="C169">
    <cfRule type="cellIs" dxfId="1879" priority="389" stopIfTrue="1" operator="equal">
      <formula>"Towel"</formula>
    </cfRule>
    <cfRule type="cellIs" dxfId="1878" priority="390" stopIfTrue="1" operator="equal">
      <formula>"Napkin Hs"</formula>
    </cfRule>
  </conditionalFormatting>
  <conditionalFormatting sqref="B169:C169">
    <cfRule type="cellIs" dxfId="1877" priority="377" stopIfTrue="1" operator="equal">
      <formula>"Towel"</formula>
    </cfRule>
    <cfRule type="cellIs" dxfId="1876" priority="378" stopIfTrue="1" operator="equal">
      <formula>"Napkin Hs"</formula>
    </cfRule>
  </conditionalFormatting>
  <conditionalFormatting sqref="C169">
    <cfRule type="cellIs" dxfId="1875" priority="376" stopIfTrue="1" operator="equal">
      <formula>"Napkin Hs"</formula>
    </cfRule>
  </conditionalFormatting>
  <conditionalFormatting sqref="C169">
    <cfRule type="cellIs" dxfId="1874" priority="373" stopIfTrue="1" operator="equal">
      <formula>"Towel"</formula>
    </cfRule>
    <cfRule type="cellIs" dxfId="1873" priority="374" stopIfTrue="1" operator="equal">
      <formula>"Napkin Hs"</formula>
    </cfRule>
  </conditionalFormatting>
  <conditionalFormatting sqref="C169">
    <cfRule type="cellIs" dxfId="1872" priority="375" stopIfTrue="1" operator="equal">
      <formula>"Towel"</formula>
    </cfRule>
  </conditionalFormatting>
  <conditionalFormatting sqref="B173:C173">
    <cfRule type="cellIs" dxfId="1871" priority="371" stopIfTrue="1" operator="equal">
      <formula>"Towel"</formula>
    </cfRule>
    <cfRule type="cellIs" dxfId="1870" priority="372" stopIfTrue="1" operator="equal">
      <formula>"Napkin Hs"</formula>
    </cfRule>
  </conditionalFormatting>
  <conditionalFormatting sqref="C173">
    <cfRule type="cellIs" dxfId="1869" priority="370" stopIfTrue="1" operator="equal">
      <formula>"Napkin Hs"</formula>
    </cfRule>
  </conditionalFormatting>
  <conditionalFormatting sqref="C173">
    <cfRule type="cellIs" dxfId="1868" priority="367" stopIfTrue="1" operator="equal">
      <formula>"Towel"</formula>
    </cfRule>
    <cfRule type="cellIs" dxfId="1867" priority="368" stopIfTrue="1" operator="equal">
      <formula>"Napkin Hs"</formula>
    </cfRule>
  </conditionalFormatting>
  <conditionalFormatting sqref="C173">
    <cfRule type="cellIs" dxfId="1866" priority="369" stopIfTrue="1" operator="equal">
      <formula>"Towel"</formula>
    </cfRule>
  </conditionalFormatting>
  <conditionalFormatting sqref="B178:C179">
    <cfRule type="cellIs" dxfId="1865" priority="363" stopIfTrue="1" operator="equal">
      <formula>"Towel"</formula>
    </cfRule>
    <cfRule type="cellIs" dxfId="1864" priority="364" stopIfTrue="1" operator="equal">
      <formula>"Napkin Hs"</formula>
    </cfRule>
  </conditionalFormatting>
  <conditionalFormatting sqref="C178:C179">
    <cfRule type="cellIs" dxfId="1863" priority="365" stopIfTrue="1" operator="equal">
      <formula>"Towel"</formula>
    </cfRule>
    <cfRule type="cellIs" dxfId="1862" priority="366" stopIfTrue="1" operator="equal">
      <formula>"Napkin Hs"</formula>
    </cfRule>
  </conditionalFormatting>
  <conditionalFormatting sqref="C178:C179">
    <cfRule type="cellIs" dxfId="1861" priority="361" stopIfTrue="1" operator="equal">
      <formula>"Towel"</formula>
    </cfRule>
    <cfRule type="cellIs" dxfId="1860" priority="362" stopIfTrue="1" operator="equal">
      <formula>"Napkin Hs"</formula>
    </cfRule>
  </conditionalFormatting>
  <conditionalFormatting sqref="B177:C177">
    <cfRule type="cellIs" dxfId="1859" priority="359" stopIfTrue="1" operator="equal">
      <formula>"Towel"</formula>
    </cfRule>
    <cfRule type="cellIs" dxfId="1858" priority="360" stopIfTrue="1" operator="equal">
      <formula>"Napkin Hs"</formula>
    </cfRule>
  </conditionalFormatting>
  <conditionalFormatting sqref="C177">
    <cfRule type="cellIs" dxfId="1857" priority="355" stopIfTrue="1" operator="equal">
      <formula>"Towel"</formula>
    </cfRule>
    <cfRule type="cellIs" dxfId="1856" priority="356" stopIfTrue="1" operator="equal">
      <formula>"Napkin Hs"</formula>
    </cfRule>
  </conditionalFormatting>
  <conditionalFormatting sqref="C177">
    <cfRule type="cellIs" dxfId="1855" priority="357" stopIfTrue="1" operator="equal">
      <formula>"Towel"</formula>
    </cfRule>
    <cfRule type="cellIs" dxfId="1854" priority="358" stopIfTrue="1" operator="equal">
      <formula>"Napkin Hs"</formula>
    </cfRule>
  </conditionalFormatting>
  <conditionalFormatting sqref="B178:C179">
    <cfRule type="cellIs" dxfId="1853" priority="353" stopIfTrue="1" operator="equal">
      <formula>"Towel"</formula>
    </cfRule>
    <cfRule type="cellIs" dxfId="1852" priority="354" stopIfTrue="1" operator="equal">
      <formula>"Napkin Hs"</formula>
    </cfRule>
  </conditionalFormatting>
  <conditionalFormatting sqref="C178:C179">
    <cfRule type="cellIs" dxfId="1851" priority="351" stopIfTrue="1" operator="equal">
      <formula>"Towel"</formula>
    </cfRule>
    <cfRule type="cellIs" dxfId="1850" priority="352" stopIfTrue="1" operator="equal">
      <formula>"Napkin Hs"</formula>
    </cfRule>
  </conditionalFormatting>
  <conditionalFormatting sqref="C178:C179">
    <cfRule type="cellIs" dxfId="1849" priority="349" stopIfTrue="1" operator="equal">
      <formula>"Towel"</formula>
    </cfRule>
    <cfRule type="cellIs" dxfId="1848" priority="350" stopIfTrue="1" operator="equal">
      <formula>"Napkin Hs"</formula>
    </cfRule>
  </conditionalFormatting>
  <conditionalFormatting sqref="B177:C177">
    <cfRule type="cellIs" dxfId="1847" priority="347" stopIfTrue="1" operator="equal">
      <formula>"Towel"</formula>
    </cfRule>
    <cfRule type="cellIs" dxfId="1846" priority="348" stopIfTrue="1" operator="equal">
      <formula>"Napkin Hs"</formula>
    </cfRule>
  </conditionalFormatting>
  <conditionalFormatting sqref="C177">
    <cfRule type="cellIs" dxfId="1845" priority="345" stopIfTrue="1" operator="equal">
      <formula>"Towel"</formula>
    </cfRule>
    <cfRule type="cellIs" dxfId="1844" priority="346" stopIfTrue="1" operator="equal">
      <formula>"Napkin Hs"</formula>
    </cfRule>
  </conditionalFormatting>
  <conditionalFormatting sqref="C177">
    <cfRule type="cellIs" dxfId="1843" priority="343" stopIfTrue="1" operator="equal">
      <formula>"Towel"</formula>
    </cfRule>
    <cfRule type="cellIs" dxfId="1842" priority="344" stopIfTrue="1" operator="equal">
      <formula>"Napkin Hs"</formula>
    </cfRule>
  </conditionalFormatting>
  <conditionalFormatting sqref="C177">
    <cfRule type="cellIs" dxfId="1841" priority="335" stopIfTrue="1" operator="equal">
      <formula>"Towel"</formula>
    </cfRule>
    <cfRule type="cellIs" dxfId="1840" priority="336" stopIfTrue="1" operator="equal">
      <formula>"Napkin Hs"</formula>
    </cfRule>
  </conditionalFormatting>
  <conditionalFormatting sqref="B177:C177">
    <cfRule type="cellIs" dxfId="1839" priority="337" stopIfTrue="1" operator="equal">
      <formula>"Towel"</formula>
    </cfRule>
    <cfRule type="cellIs" dxfId="1838" priority="338" stopIfTrue="1" operator="equal">
      <formula>"Napkin Hs"</formula>
    </cfRule>
  </conditionalFormatting>
  <conditionalFormatting sqref="C177">
    <cfRule type="cellIs" dxfId="1837" priority="333" stopIfTrue="1" operator="equal">
      <formula>"Towel"</formula>
    </cfRule>
    <cfRule type="cellIs" dxfId="1836" priority="334" stopIfTrue="1" operator="equal">
      <formula>"Napkin Hs"</formula>
    </cfRule>
  </conditionalFormatting>
  <conditionalFormatting sqref="B177:C177">
    <cfRule type="cellIs" dxfId="1835" priority="331" stopIfTrue="1" operator="equal">
      <formula>"Towel"</formula>
    </cfRule>
    <cfRule type="cellIs" dxfId="1834" priority="332" stopIfTrue="1" operator="equal">
      <formula>"Napkin Hs"</formula>
    </cfRule>
  </conditionalFormatting>
  <conditionalFormatting sqref="C177">
    <cfRule type="cellIs" dxfId="1833" priority="339" stopIfTrue="1" operator="equal">
      <formula>"Towel"</formula>
    </cfRule>
    <cfRule type="cellIs" dxfId="1832" priority="340" stopIfTrue="1" operator="equal">
      <formula>"Napkin Hs"</formula>
    </cfRule>
  </conditionalFormatting>
  <conditionalFormatting sqref="C177">
    <cfRule type="cellIs" dxfId="1831" priority="341" stopIfTrue="1" operator="equal">
      <formula>"Towel"</formula>
    </cfRule>
    <cfRule type="cellIs" dxfId="1830" priority="342" stopIfTrue="1" operator="equal">
      <formula>"Napkin Hs"</formula>
    </cfRule>
  </conditionalFormatting>
  <conditionalFormatting sqref="B178:C179">
    <cfRule type="cellIs" dxfId="1829" priority="329" stopIfTrue="1" operator="equal">
      <formula>"Towel"</formula>
    </cfRule>
    <cfRule type="cellIs" dxfId="1828" priority="330" stopIfTrue="1" operator="equal">
      <formula>"Napkin Hs"</formula>
    </cfRule>
  </conditionalFormatting>
  <conditionalFormatting sqref="C178:C179">
    <cfRule type="cellIs" dxfId="1827" priority="328" stopIfTrue="1" operator="equal">
      <formula>"Napkin Hs"</formula>
    </cfRule>
  </conditionalFormatting>
  <conditionalFormatting sqref="C178:C179">
    <cfRule type="cellIs" dxfId="1826" priority="325" stopIfTrue="1" operator="equal">
      <formula>"Towel"</formula>
    </cfRule>
    <cfRule type="cellIs" dxfId="1825" priority="326" stopIfTrue="1" operator="equal">
      <formula>"Napkin Hs"</formula>
    </cfRule>
  </conditionalFormatting>
  <conditionalFormatting sqref="C178:C179">
    <cfRule type="cellIs" dxfId="1824" priority="327" stopIfTrue="1" operator="equal">
      <formula>"Towel"</formula>
    </cfRule>
  </conditionalFormatting>
  <conditionalFormatting sqref="B177:C177">
    <cfRule type="cellIs" dxfId="1823" priority="323" stopIfTrue="1" operator="equal">
      <formula>"Towel"</formula>
    </cfRule>
    <cfRule type="cellIs" dxfId="1822" priority="324" stopIfTrue="1" operator="equal">
      <formula>"Napkin Hs"</formula>
    </cfRule>
  </conditionalFormatting>
  <conditionalFormatting sqref="C177">
    <cfRule type="cellIs" dxfId="1821" priority="322" stopIfTrue="1" operator="equal">
      <formula>"Napkin Hs"</formula>
    </cfRule>
  </conditionalFormatting>
  <conditionalFormatting sqref="C177">
    <cfRule type="cellIs" dxfId="1820" priority="319" stopIfTrue="1" operator="equal">
      <formula>"Towel"</formula>
    </cfRule>
    <cfRule type="cellIs" dxfId="1819" priority="320" stopIfTrue="1" operator="equal">
      <formula>"Napkin Hs"</formula>
    </cfRule>
  </conditionalFormatting>
  <conditionalFormatting sqref="C177">
    <cfRule type="cellIs" dxfId="1818" priority="321" stopIfTrue="1" operator="equal">
      <formula>"Towel"</formula>
    </cfRule>
  </conditionalFormatting>
  <conditionalFormatting sqref="B175:C176">
    <cfRule type="cellIs" dxfId="1817" priority="287" stopIfTrue="1" operator="equal">
      <formula>"Towel"</formula>
    </cfRule>
    <cfRule type="cellIs" dxfId="1816" priority="288" stopIfTrue="1" operator="equal">
      <formula>"Napkin Hs"</formula>
    </cfRule>
  </conditionalFormatting>
  <conditionalFormatting sqref="C175:C176">
    <cfRule type="cellIs" dxfId="1815" priority="283" stopIfTrue="1" operator="equal">
      <formula>"Towel"</formula>
    </cfRule>
    <cfRule type="cellIs" dxfId="1814" priority="284" stopIfTrue="1" operator="equal">
      <formula>"Napkin Hs"</formula>
    </cfRule>
  </conditionalFormatting>
  <conditionalFormatting sqref="C175:C176">
    <cfRule type="cellIs" dxfId="1813" priority="285" stopIfTrue="1" operator="equal">
      <formula>"Towel"</formula>
    </cfRule>
    <cfRule type="cellIs" dxfId="1812" priority="286" stopIfTrue="1" operator="equal">
      <formula>"Napkin Hs"</formula>
    </cfRule>
  </conditionalFormatting>
  <conditionalFormatting sqref="B175:C176">
    <cfRule type="cellIs" dxfId="1811" priority="281" stopIfTrue="1" operator="equal">
      <formula>"Towel"</formula>
    </cfRule>
    <cfRule type="cellIs" dxfId="1810" priority="282" stopIfTrue="1" operator="equal">
      <formula>"Napkin Hs"</formula>
    </cfRule>
  </conditionalFormatting>
  <conditionalFormatting sqref="C175:C176">
    <cfRule type="cellIs" dxfId="1809" priority="279" stopIfTrue="1" operator="equal">
      <formula>"Towel"</formula>
    </cfRule>
    <cfRule type="cellIs" dxfId="1808" priority="280" stopIfTrue="1" operator="equal">
      <formula>"Napkin Hs"</formula>
    </cfRule>
  </conditionalFormatting>
  <conditionalFormatting sqref="C175:C176">
    <cfRule type="cellIs" dxfId="1807" priority="277" stopIfTrue="1" operator="equal">
      <formula>"Towel"</formula>
    </cfRule>
    <cfRule type="cellIs" dxfId="1806" priority="278" stopIfTrue="1" operator="equal">
      <formula>"Napkin Hs"</formula>
    </cfRule>
  </conditionalFormatting>
  <conditionalFormatting sqref="C175:C176">
    <cfRule type="cellIs" dxfId="1805" priority="269" stopIfTrue="1" operator="equal">
      <formula>"Towel"</formula>
    </cfRule>
    <cfRule type="cellIs" dxfId="1804" priority="270" stopIfTrue="1" operator="equal">
      <formula>"Napkin Hs"</formula>
    </cfRule>
  </conditionalFormatting>
  <conditionalFormatting sqref="B175:C176">
    <cfRule type="cellIs" dxfId="1803" priority="271" stopIfTrue="1" operator="equal">
      <formula>"Towel"</formula>
    </cfRule>
    <cfRule type="cellIs" dxfId="1802" priority="272" stopIfTrue="1" operator="equal">
      <formula>"Napkin Hs"</formula>
    </cfRule>
  </conditionalFormatting>
  <conditionalFormatting sqref="C175:C176">
    <cfRule type="cellIs" dxfId="1801" priority="267" stopIfTrue="1" operator="equal">
      <formula>"Towel"</formula>
    </cfRule>
    <cfRule type="cellIs" dxfId="1800" priority="268" stopIfTrue="1" operator="equal">
      <formula>"Napkin Hs"</formula>
    </cfRule>
  </conditionalFormatting>
  <conditionalFormatting sqref="B175:C176">
    <cfRule type="cellIs" dxfId="1799" priority="265" stopIfTrue="1" operator="equal">
      <formula>"Towel"</formula>
    </cfRule>
    <cfRule type="cellIs" dxfId="1798" priority="266" stopIfTrue="1" operator="equal">
      <formula>"Napkin Hs"</formula>
    </cfRule>
  </conditionalFormatting>
  <conditionalFormatting sqref="C175:C176">
    <cfRule type="cellIs" dxfId="1797" priority="273" stopIfTrue="1" operator="equal">
      <formula>"Towel"</formula>
    </cfRule>
    <cfRule type="cellIs" dxfId="1796" priority="274" stopIfTrue="1" operator="equal">
      <formula>"Napkin Hs"</formula>
    </cfRule>
  </conditionalFormatting>
  <conditionalFormatting sqref="C175:C176">
    <cfRule type="cellIs" dxfId="1795" priority="275" stopIfTrue="1" operator="equal">
      <formula>"Towel"</formula>
    </cfRule>
    <cfRule type="cellIs" dxfId="1794" priority="276" stopIfTrue="1" operator="equal">
      <formula>"Napkin Hs"</formula>
    </cfRule>
  </conditionalFormatting>
  <conditionalFormatting sqref="B175:C176">
    <cfRule type="cellIs" dxfId="1793" priority="263" stopIfTrue="1" operator="equal">
      <formula>"Towel"</formula>
    </cfRule>
    <cfRule type="cellIs" dxfId="1792" priority="264" stopIfTrue="1" operator="equal">
      <formula>"Napkin Hs"</formula>
    </cfRule>
  </conditionalFormatting>
  <conditionalFormatting sqref="C175:C176">
    <cfRule type="cellIs" dxfId="1791" priority="262" stopIfTrue="1" operator="equal">
      <formula>"Napkin Hs"</formula>
    </cfRule>
  </conditionalFormatting>
  <conditionalFormatting sqref="C175:C176">
    <cfRule type="cellIs" dxfId="1790" priority="259" stopIfTrue="1" operator="equal">
      <formula>"Towel"</formula>
    </cfRule>
    <cfRule type="cellIs" dxfId="1789" priority="260" stopIfTrue="1" operator="equal">
      <formula>"Napkin Hs"</formula>
    </cfRule>
  </conditionalFormatting>
  <conditionalFormatting sqref="C175:C176">
    <cfRule type="cellIs" dxfId="1788" priority="261" stopIfTrue="1" operator="equal">
      <formula>"Towel"</formula>
    </cfRule>
  </conditionalFormatting>
  <conditionalFormatting sqref="B180:C181">
    <cfRule type="cellIs" dxfId="1787" priority="257" stopIfTrue="1" operator="equal">
      <formula>"Towel"</formula>
    </cfRule>
    <cfRule type="cellIs" dxfId="1786" priority="258" stopIfTrue="1" operator="equal">
      <formula>"Napkin Hs"</formula>
    </cfRule>
  </conditionalFormatting>
  <conditionalFormatting sqref="C180:C181">
    <cfRule type="cellIs" dxfId="1785" priority="256" stopIfTrue="1" operator="equal">
      <formula>"Napkin Hs"</formula>
    </cfRule>
  </conditionalFormatting>
  <conditionalFormatting sqref="C180:C181">
    <cfRule type="cellIs" dxfId="1784" priority="253" stopIfTrue="1" operator="equal">
      <formula>"Towel"</formula>
    </cfRule>
    <cfRule type="cellIs" dxfId="1783" priority="254" stopIfTrue="1" operator="equal">
      <formula>"Napkin Hs"</formula>
    </cfRule>
  </conditionalFormatting>
  <conditionalFormatting sqref="C180:C181">
    <cfRule type="cellIs" dxfId="1782" priority="255" stopIfTrue="1" operator="equal">
      <formula>"Towel"</formula>
    </cfRule>
  </conditionalFormatting>
  <conditionalFormatting sqref="B187:C187">
    <cfRule type="cellIs" dxfId="1781" priority="143" stopIfTrue="1" operator="equal">
      <formula>"Towel"</formula>
    </cfRule>
    <cfRule type="cellIs" dxfId="1780" priority="144" stopIfTrue="1" operator="equal">
      <formula>"Napkin Hs"</formula>
    </cfRule>
  </conditionalFormatting>
  <conditionalFormatting sqref="C187">
    <cfRule type="cellIs" dxfId="1779" priority="142" stopIfTrue="1" operator="equal">
      <formula>"Napkin Hs"</formula>
    </cfRule>
  </conditionalFormatting>
  <conditionalFormatting sqref="C187">
    <cfRule type="cellIs" dxfId="1778" priority="139" stopIfTrue="1" operator="equal">
      <formula>"Towel"</formula>
    </cfRule>
    <cfRule type="cellIs" dxfId="1777" priority="140" stopIfTrue="1" operator="equal">
      <formula>"Napkin Hs"</formula>
    </cfRule>
  </conditionalFormatting>
  <conditionalFormatting sqref="C187">
    <cfRule type="cellIs" dxfId="1776" priority="141" stopIfTrue="1" operator="equal">
      <formula>"Towel"</formula>
    </cfRule>
  </conditionalFormatting>
  <conditionalFormatting sqref="B185:C186">
    <cfRule type="cellIs" dxfId="1775" priority="135" stopIfTrue="1" operator="equal">
      <formula>"Towel"</formula>
    </cfRule>
    <cfRule type="cellIs" dxfId="1774" priority="136" stopIfTrue="1" operator="equal">
      <formula>"Napkin Hs"</formula>
    </cfRule>
  </conditionalFormatting>
  <conditionalFormatting sqref="C185:C186">
    <cfRule type="cellIs" dxfId="1773" priority="137" stopIfTrue="1" operator="equal">
      <formula>"Towel"</formula>
    </cfRule>
    <cfRule type="cellIs" dxfId="1772" priority="138" stopIfTrue="1" operator="equal">
      <formula>"Napkin Hs"</formula>
    </cfRule>
  </conditionalFormatting>
  <conditionalFormatting sqref="C185:C186">
    <cfRule type="cellIs" dxfId="1771" priority="133" stopIfTrue="1" operator="equal">
      <formula>"Towel"</formula>
    </cfRule>
    <cfRule type="cellIs" dxfId="1770" priority="134" stopIfTrue="1" operator="equal">
      <formula>"Napkin Hs"</formula>
    </cfRule>
  </conditionalFormatting>
  <conditionalFormatting sqref="B184:C184">
    <cfRule type="cellIs" dxfId="1769" priority="131" stopIfTrue="1" operator="equal">
      <formula>"Towel"</formula>
    </cfRule>
    <cfRule type="cellIs" dxfId="1768" priority="132" stopIfTrue="1" operator="equal">
      <formula>"Napkin Hs"</formula>
    </cfRule>
  </conditionalFormatting>
  <conditionalFormatting sqref="C184">
    <cfRule type="cellIs" dxfId="1767" priority="127" stopIfTrue="1" operator="equal">
      <formula>"Towel"</formula>
    </cfRule>
    <cfRule type="cellIs" dxfId="1766" priority="128" stopIfTrue="1" operator="equal">
      <formula>"Napkin Hs"</formula>
    </cfRule>
  </conditionalFormatting>
  <conditionalFormatting sqref="C184">
    <cfRule type="cellIs" dxfId="1765" priority="129" stopIfTrue="1" operator="equal">
      <formula>"Towel"</formula>
    </cfRule>
    <cfRule type="cellIs" dxfId="1764" priority="130" stopIfTrue="1" operator="equal">
      <formula>"Napkin Hs"</formula>
    </cfRule>
  </conditionalFormatting>
  <conditionalFormatting sqref="B185:C186">
    <cfRule type="cellIs" dxfId="1763" priority="125" stopIfTrue="1" operator="equal">
      <formula>"Towel"</formula>
    </cfRule>
    <cfRule type="cellIs" dxfId="1762" priority="126" stopIfTrue="1" operator="equal">
      <formula>"Napkin Hs"</formula>
    </cfRule>
  </conditionalFormatting>
  <conditionalFormatting sqref="C185:C186">
    <cfRule type="cellIs" dxfId="1761" priority="123" stopIfTrue="1" operator="equal">
      <formula>"Towel"</formula>
    </cfRule>
    <cfRule type="cellIs" dxfId="1760" priority="124" stopIfTrue="1" operator="equal">
      <formula>"Napkin Hs"</formula>
    </cfRule>
  </conditionalFormatting>
  <conditionalFormatting sqref="C185:C186">
    <cfRule type="cellIs" dxfId="1759" priority="121" stopIfTrue="1" operator="equal">
      <formula>"Towel"</formula>
    </cfRule>
    <cfRule type="cellIs" dxfId="1758" priority="122" stopIfTrue="1" operator="equal">
      <formula>"Napkin Hs"</formula>
    </cfRule>
  </conditionalFormatting>
  <conditionalFormatting sqref="B184:C184">
    <cfRule type="cellIs" dxfId="1757" priority="119" stopIfTrue="1" operator="equal">
      <formula>"Towel"</formula>
    </cfRule>
    <cfRule type="cellIs" dxfId="1756" priority="120" stopIfTrue="1" operator="equal">
      <formula>"Napkin Hs"</formula>
    </cfRule>
  </conditionalFormatting>
  <conditionalFormatting sqref="C184">
    <cfRule type="cellIs" dxfId="1755" priority="117" stopIfTrue="1" operator="equal">
      <formula>"Towel"</formula>
    </cfRule>
    <cfRule type="cellIs" dxfId="1754" priority="118" stopIfTrue="1" operator="equal">
      <formula>"Napkin Hs"</formula>
    </cfRule>
  </conditionalFormatting>
  <conditionalFormatting sqref="C184">
    <cfRule type="cellIs" dxfId="1753" priority="115" stopIfTrue="1" operator="equal">
      <formula>"Towel"</formula>
    </cfRule>
    <cfRule type="cellIs" dxfId="1752" priority="116" stopIfTrue="1" operator="equal">
      <formula>"Napkin Hs"</formula>
    </cfRule>
  </conditionalFormatting>
  <conditionalFormatting sqref="C184">
    <cfRule type="cellIs" dxfId="1751" priority="107" stopIfTrue="1" operator="equal">
      <formula>"Towel"</formula>
    </cfRule>
    <cfRule type="cellIs" dxfId="1750" priority="108" stopIfTrue="1" operator="equal">
      <formula>"Napkin Hs"</formula>
    </cfRule>
  </conditionalFormatting>
  <conditionalFormatting sqref="B184:C184">
    <cfRule type="cellIs" dxfId="1749" priority="109" stopIfTrue="1" operator="equal">
      <formula>"Towel"</formula>
    </cfRule>
    <cfRule type="cellIs" dxfId="1748" priority="110" stopIfTrue="1" operator="equal">
      <formula>"Napkin Hs"</formula>
    </cfRule>
  </conditionalFormatting>
  <conditionalFormatting sqref="C184">
    <cfRule type="cellIs" dxfId="1747" priority="105" stopIfTrue="1" operator="equal">
      <formula>"Towel"</formula>
    </cfRule>
    <cfRule type="cellIs" dxfId="1746" priority="106" stopIfTrue="1" operator="equal">
      <formula>"Napkin Hs"</formula>
    </cfRule>
  </conditionalFormatting>
  <conditionalFormatting sqref="B184:C184">
    <cfRule type="cellIs" dxfId="1745" priority="103" stopIfTrue="1" operator="equal">
      <formula>"Towel"</formula>
    </cfRule>
    <cfRule type="cellIs" dxfId="1744" priority="104" stopIfTrue="1" operator="equal">
      <formula>"Napkin Hs"</formula>
    </cfRule>
  </conditionalFormatting>
  <conditionalFormatting sqref="C184">
    <cfRule type="cellIs" dxfId="1743" priority="111" stopIfTrue="1" operator="equal">
      <formula>"Towel"</formula>
    </cfRule>
    <cfRule type="cellIs" dxfId="1742" priority="112" stopIfTrue="1" operator="equal">
      <formula>"Napkin Hs"</formula>
    </cfRule>
  </conditionalFormatting>
  <conditionalFormatting sqref="C184">
    <cfRule type="cellIs" dxfId="1741" priority="113" stopIfTrue="1" operator="equal">
      <formula>"Towel"</formula>
    </cfRule>
    <cfRule type="cellIs" dxfId="1740" priority="114" stopIfTrue="1" operator="equal">
      <formula>"Napkin Hs"</formula>
    </cfRule>
  </conditionalFormatting>
  <conditionalFormatting sqref="B185:C186">
    <cfRule type="cellIs" dxfId="1739" priority="101" stopIfTrue="1" operator="equal">
      <formula>"Towel"</formula>
    </cfRule>
    <cfRule type="cellIs" dxfId="1738" priority="102" stopIfTrue="1" operator="equal">
      <formula>"Napkin Hs"</formula>
    </cfRule>
  </conditionalFormatting>
  <conditionalFormatting sqref="C185:C186">
    <cfRule type="cellIs" dxfId="1737" priority="100" stopIfTrue="1" operator="equal">
      <formula>"Napkin Hs"</formula>
    </cfRule>
  </conditionalFormatting>
  <conditionalFormatting sqref="C185:C186">
    <cfRule type="cellIs" dxfId="1736" priority="97" stopIfTrue="1" operator="equal">
      <formula>"Towel"</formula>
    </cfRule>
    <cfRule type="cellIs" dxfId="1735" priority="98" stopIfTrue="1" operator="equal">
      <formula>"Napkin Hs"</formula>
    </cfRule>
  </conditionalFormatting>
  <conditionalFormatting sqref="C185:C186">
    <cfRule type="cellIs" dxfId="1734" priority="99" stopIfTrue="1" operator="equal">
      <formula>"Towel"</formula>
    </cfRule>
  </conditionalFormatting>
  <conditionalFormatting sqref="B184:C184">
    <cfRule type="cellIs" dxfId="1733" priority="95" stopIfTrue="1" operator="equal">
      <formula>"Towel"</formula>
    </cfRule>
    <cfRule type="cellIs" dxfId="1732" priority="96" stopIfTrue="1" operator="equal">
      <formula>"Napkin Hs"</formula>
    </cfRule>
  </conditionalFormatting>
  <conditionalFormatting sqref="C184">
    <cfRule type="cellIs" dxfId="1731" priority="94" stopIfTrue="1" operator="equal">
      <formula>"Napkin Hs"</formula>
    </cfRule>
  </conditionalFormatting>
  <conditionalFormatting sqref="C184">
    <cfRule type="cellIs" dxfId="1730" priority="91" stopIfTrue="1" operator="equal">
      <formula>"Towel"</formula>
    </cfRule>
    <cfRule type="cellIs" dxfId="1729" priority="92" stopIfTrue="1" operator="equal">
      <formula>"Napkin Hs"</formula>
    </cfRule>
  </conditionalFormatting>
  <conditionalFormatting sqref="C184">
    <cfRule type="cellIs" dxfId="1728" priority="93" stopIfTrue="1" operator="equal">
      <formula>"Towel"</formula>
    </cfRule>
  </conditionalFormatting>
  <conditionalFormatting sqref="B183:C183">
    <cfRule type="cellIs" dxfId="1727" priority="89" stopIfTrue="1" operator="equal">
      <formula>"Towel"</formula>
    </cfRule>
    <cfRule type="cellIs" dxfId="1726" priority="90" stopIfTrue="1" operator="equal">
      <formula>"Napkin Hs"</formula>
    </cfRule>
  </conditionalFormatting>
  <conditionalFormatting sqref="C183">
    <cfRule type="cellIs" dxfId="1725" priority="85" stopIfTrue="1" operator="equal">
      <formula>"Towel"</formula>
    </cfRule>
    <cfRule type="cellIs" dxfId="1724" priority="86" stopIfTrue="1" operator="equal">
      <formula>"Napkin Hs"</formula>
    </cfRule>
  </conditionalFormatting>
  <conditionalFormatting sqref="C183">
    <cfRule type="cellIs" dxfId="1723" priority="87" stopIfTrue="1" operator="equal">
      <formula>"Towel"</formula>
    </cfRule>
    <cfRule type="cellIs" dxfId="1722" priority="88" stopIfTrue="1" operator="equal">
      <formula>"Napkin Hs"</formula>
    </cfRule>
  </conditionalFormatting>
  <conditionalFormatting sqref="B183:C183">
    <cfRule type="cellIs" dxfId="1721" priority="83" stopIfTrue="1" operator="equal">
      <formula>"Towel"</formula>
    </cfRule>
    <cfRule type="cellIs" dxfId="1720" priority="84" stopIfTrue="1" operator="equal">
      <formula>"Napkin Hs"</formula>
    </cfRule>
  </conditionalFormatting>
  <conditionalFormatting sqref="C183">
    <cfRule type="cellIs" dxfId="1719" priority="81" stopIfTrue="1" operator="equal">
      <formula>"Towel"</formula>
    </cfRule>
    <cfRule type="cellIs" dxfId="1718" priority="82" stopIfTrue="1" operator="equal">
      <formula>"Napkin Hs"</formula>
    </cfRule>
  </conditionalFormatting>
  <conditionalFormatting sqref="C183">
    <cfRule type="cellIs" dxfId="1717" priority="79" stopIfTrue="1" operator="equal">
      <formula>"Towel"</formula>
    </cfRule>
    <cfRule type="cellIs" dxfId="1716" priority="80" stopIfTrue="1" operator="equal">
      <formula>"Napkin Hs"</formula>
    </cfRule>
  </conditionalFormatting>
  <conditionalFormatting sqref="C183">
    <cfRule type="cellIs" dxfId="1715" priority="71" stopIfTrue="1" operator="equal">
      <formula>"Towel"</formula>
    </cfRule>
    <cfRule type="cellIs" dxfId="1714" priority="72" stopIfTrue="1" operator="equal">
      <formula>"Napkin Hs"</formula>
    </cfRule>
  </conditionalFormatting>
  <conditionalFormatting sqref="B183:C183">
    <cfRule type="cellIs" dxfId="1713" priority="73" stopIfTrue="1" operator="equal">
      <formula>"Towel"</formula>
    </cfRule>
    <cfRule type="cellIs" dxfId="1712" priority="74" stopIfTrue="1" operator="equal">
      <formula>"Napkin Hs"</formula>
    </cfRule>
  </conditionalFormatting>
  <conditionalFormatting sqref="C183">
    <cfRule type="cellIs" dxfId="1711" priority="69" stopIfTrue="1" operator="equal">
      <formula>"Towel"</formula>
    </cfRule>
    <cfRule type="cellIs" dxfId="1710" priority="70" stopIfTrue="1" operator="equal">
      <formula>"Napkin Hs"</formula>
    </cfRule>
  </conditionalFormatting>
  <conditionalFormatting sqref="B183:C183">
    <cfRule type="cellIs" dxfId="1709" priority="67" stopIfTrue="1" operator="equal">
      <formula>"Towel"</formula>
    </cfRule>
    <cfRule type="cellIs" dxfId="1708" priority="68" stopIfTrue="1" operator="equal">
      <formula>"Napkin Hs"</formula>
    </cfRule>
  </conditionalFormatting>
  <conditionalFormatting sqref="C183">
    <cfRule type="cellIs" dxfId="1707" priority="75" stopIfTrue="1" operator="equal">
      <formula>"Towel"</formula>
    </cfRule>
    <cfRule type="cellIs" dxfId="1706" priority="76" stopIfTrue="1" operator="equal">
      <formula>"Napkin Hs"</formula>
    </cfRule>
  </conditionalFormatting>
  <conditionalFormatting sqref="C183">
    <cfRule type="cellIs" dxfId="1705" priority="77" stopIfTrue="1" operator="equal">
      <formula>"Towel"</formula>
    </cfRule>
    <cfRule type="cellIs" dxfId="1704" priority="78" stopIfTrue="1" operator="equal">
      <formula>"Napkin Hs"</formula>
    </cfRule>
  </conditionalFormatting>
  <conditionalFormatting sqref="B183:C183">
    <cfRule type="cellIs" dxfId="1703" priority="65" stopIfTrue="1" operator="equal">
      <formula>"Towel"</formula>
    </cfRule>
    <cfRule type="cellIs" dxfId="1702" priority="66" stopIfTrue="1" operator="equal">
      <formula>"Napkin Hs"</formula>
    </cfRule>
  </conditionalFormatting>
  <conditionalFormatting sqref="C183">
    <cfRule type="cellIs" dxfId="1701" priority="64" stopIfTrue="1" operator="equal">
      <formula>"Napkin Hs"</formula>
    </cfRule>
  </conditionalFormatting>
  <conditionalFormatting sqref="C183">
    <cfRule type="cellIs" dxfId="1700" priority="61" stopIfTrue="1" operator="equal">
      <formula>"Towel"</formula>
    </cfRule>
    <cfRule type="cellIs" dxfId="1699" priority="62" stopIfTrue="1" operator="equal">
      <formula>"Napkin Hs"</formula>
    </cfRule>
  </conditionalFormatting>
  <conditionalFormatting sqref="C183">
    <cfRule type="cellIs" dxfId="1698" priority="63" stopIfTrue="1" operator="equal">
      <formula>"Towel"</formula>
    </cfRule>
  </conditionalFormatting>
  <conditionalFormatting sqref="B182:C182">
    <cfRule type="cellIs" dxfId="1697" priority="29" stopIfTrue="1" operator="equal">
      <formula>"Towel"</formula>
    </cfRule>
    <cfRule type="cellIs" dxfId="1696" priority="30" stopIfTrue="1" operator="equal">
      <formula>"Napkin Hs"</formula>
    </cfRule>
  </conditionalFormatting>
  <conditionalFormatting sqref="C182">
    <cfRule type="cellIs" dxfId="1695" priority="25" stopIfTrue="1" operator="equal">
      <formula>"Towel"</formula>
    </cfRule>
    <cfRule type="cellIs" dxfId="1694" priority="26" stopIfTrue="1" operator="equal">
      <formula>"Napkin Hs"</formula>
    </cfRule>
  </conditionalFormatting>
  <conditionalFormatting sqref="C182">
    <cfRule type="cellIs" dxfId="1693" priority="27" stopIfTrue="1" operator="equal">
      <formula>"Towel"</formula>
    </cfRule>
    <cfRule type="cellIs" dxfId="1692" priority="28" stopIfTrue="1" operator="equal">
      <formula>"Napkin Hs"</formula>
    </cfRule>
  </conditionalFormatting>
  <conditionalFormatting sqref="B182:C182">
    <cfRule type="cellIs" dxfId="1691" priority="23" stopIfTrue="1" operator="equal">
      <formula>"Towel"</formula>
    </cfRule>
    <cfRule type="cellIs" dxfId="1690" priority="24" stopIfTrue="1" operator="equal">
      <formula>"Napkin Hs"</formula>
    </cfRule>
  </conditionalFormatting>
  <conditionalFormatting sqref="C182">
    <cfRule type="cellIs" dxfId="1689" priority="21" stopIfTrue="1" operator="equal">
      <formula>"Towel"</formula>
    </cfRule>
    <cfRule type="cellIs" dxfId="1688" priority="22" stopIfTrue="1" operator="equal">
      <formula>"Napkin Hs"</formula>
    </cfRule>
  </conditionalFormatting>
  <conditionalFormatting sqref="C182">
    <cfRule type="cellIs" dxfId="1687" priority="19" stopIfTrue="1" operator="equal">
      <formula>"Towel"</formula>
    </cfRule>
    <cfRule type="cellIs" dxfId="1686" priority="20" stopIfTrue="1" operator="equal">
      <formula>"Napkin Hs"</formula>
    </cfRule>
  </conditionalFormatting>
  <conditionalFormatting sqref="C182">
    <cfRule type="cellIs" dxfId="1685" priority="11" stopIfTrue="1" operator="equal">
      <formula>"Towel"</formula>
    </cfRule>
    <cfRule type="cellIs" dxfId="1684" priority="12" stopIfTrue="1" operator="equal">
      <formula>"Napkin Hs"</formula>
    </cfRule>
  </conditionalFormatting>
  <conditionalFormatting sqref="B182:C182">
    <cfRule type="cellIs" dxfId="1683" priority="13" stopIfTrue="1" operator="equal">
      <formula>"Towel"</formula>
    </cfRule>
    <cfRule type="cellIs" dxfId="1682" priority="14" stopIfTrue="1" operator="equal">
      <formula>"Napkin Hs"</formula>
    </cfRule>
  </conditionalFormatting>
  <conditionalFormatting sqref="C182">
    <cfRule type="cellIs" dxfId="1681" priority="9" stopIfTrue="1" operator="equal">
      <formula>"Towel"</formula>
    </cfRule>
    <cfRule type="cellIs" dxfId="1680" priority="10" stopIfTrue="1" operator="equal">
      <formula>"Napkin Hs"</formula>
    </cfRule>
  </conditionalFormatting>
  <conditionalFormatting sqref="B182:C182">
    <cfRule type="cellIs" dxfId="1679" priority="7" stopIfTrue="1" operator="equal">
      <formula>"Towel"</formula>
    </cfRule>
    <cfRule type="cellIs" dxfId="1678" priority="8" stopIfTrue="1" operator="equal">
      <formula>"Napkin Hs"</formula>
    </cfRule>
  </conditionalFormatting>
  <conditionalFormatting sqref="C182">
    <cfRule type="cellIs" dxfId="1677" priority="15" stopIfTrue="1" operator="equal">
      <formula>"Towel"</formula>
    </cfRule>
    <cfRule type="cellIs" dxfId="1676" priority="16" stopIfTrue="1" operator="equal">
      <formula>"Napkin Hs"</formula>
    </cfRule>
  </conditionalFormatting>
  <conditionalFormatting sqref="C182">
    <cfRule type="cellIs" dxfId="1675" priority="17" stopIfTrue="1" operator="equal">
      <formula>"Towel"</formula>
    </cfRule>
    <cfRule type="cellIs" dxfId="1674" priority="18" stopIfTrue="1" operator="equal">
      <formula>"Napkin Hs"</formula>
    </cfRule>
  </conditionalFormatting>
  <conditionalFormatting sqref="B182:C182">
    <cfRule type="cellIs" dxfId="1673" priority="5" stopIfTrue="1" operator="equal">
      <formula>"Towel"</formula>
    </cfRule>
    <cfRule type="cellIs" dxfId="1672" priority="6" stopIfTrue="1" operator="equal">
      <formula>"Napkin Hs"</formula>
    </cfRule>
  </conditionalFormatting>
  <conditionalFormatting sqref="C182">
    <cfRule type="cellIs" dxfId="1671" priority="4" stopIfTrue="1" operator="equal">
      <formula>"Napkin Hs"</formula>
    </cfRule>
  </conditionalFormatting>
  <conditionalFormatting sqref="C182">
    <cfRule type="cellIs" dxfId="1670" priority="1" stopIfTrue="1" operator="equal">
      <formula>"Towel"</formula>
    </cfRule>
    <cfRule type="cellIs" dxfId="1669" priority="2" stopIfTrue="1" operator="equal">
      <formula>"Napkin Hs"</formula>
    </cfRule>
  </conditionalFormatting>
  <conditionalFormatting sqref="C182">
    <cfRule type="cellIs" dxfId="166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CU269"/>
  <sheetViews>
    <sheetView zoomScale="90" zoomScaleNormal="90" workbookViewId="0">
      <pane xSplit="6" ySplit="6" topLeftCell="W184" activePane="bottomRight" state="frozen"/>
      <selection pane="topRight" activeCell="F1" sqref="F1"/>
      <selection pane="bottomLeft" activeCell="A7" sqref="A7"/>
      <selection pane="bottomRight" activeCell="AD6" sqref="AD6:AE187"/>
    </sheetView>
  </sheetViews>
  <sheetFormatPr defaultColWidth="10.28515625" defaultRowHeight="12"/>
  <cols>
    <col min="1" max="1" width="12.28515625" style="33" customWidth="1"/>
    <col min="2" max="2" width="14.140625" style="33" customWidth="1"/>
    <col min="3" max="3" width="10.140625" style="33" customWidth="1"/>
    <col min="4" max="4" width="10.28515625" style="33" customWidth="1"/>
    <col min="5" max="5" width="7.5703125" style="33" bestFit="1" customWidth="1"/>
    <col min="6" max="6" width="7" style="61" customWidth="1"/>
    <col min="7" max="9" width="10.28515625" style="33" customWidth="1"/>
    <col min="10" max="11" width="10.28515625" style="90" customWidth="1"/>
    <col min="12" max="13" width="12.7109375" style="62" customWidth="1"/>
    <col min="14" max="15" width="10.28515625" style="33" customWidth="1"/>
    <col min="16" max="16" width="16.85546875" style="33" customWidth="1"/>
    <col min="17" max="17" width="12.7109375" style="380" customWidth="1"/>
    <col min="18" max="19" width="10.28515625" style="33" customWidth="1"/>
    <col min="20" max="20" width="10.7109375" style="33" customWidth="1"/>
    <col min="21" max="21" width="10.28515625" style="33" customWidth="1"/>
    <col min="22" max="22" width="12.28515625" style="33" customWidth="1"/>
    <col min="23" max="23" width="17.140625" style="33" customWidth="1"/>
    <col min="24" max="24" width="10.28515625" style="33" customWidth="1"/>
    <col min="25" max="25" width="10.140625" style="33" customWidth="1"/>
    <col min="26" max="28" width="10.28515625" style="33" customWidth="1"/>
    <col min="29" max="29" width="19.28515625" style="33" customWidth="1"/>
    <col min="30" max="30" width="11.42578125" style="33" bestFit="1" customWidth="1"/>
    <col min="31" max="31" width="41.42578125" style="33" customWidth="1"/>
    <col min="32" max="38" width="10.28515625" style="33" customWidth="1"/>
    <col min="39" max="39" width="11.7109375" style="33" customWidth="1"/>
    <col min="40" max="41" width="10.28515625" style="33" customWidth="1"/>
    <col min="42" max="43" width="12.42578125" style="33" customWidth="1"/>
    <col min="44" max="44" width="29.7109375" style="33" customWidth="1"/>
    <col min="45" max="51" width="10.28515625" style="33" customWidth="1"/>
    <col min="52" max="16384" width="10.28515625" style="33"/>
  </cols>
  <sheetData>
    <row r="1" spans="1:60" s="26" customFormat="1" ht="15.75" customHeight="1">
      <c r="A1" s="25" t="s">
        <v>402</v>
      </c>
      <c r="G1" s="27"/>
      <c r="H1" s="27"/>
      <c r="I1" s="27"/>
      <c r="J1" s="87"/>
      <c r="K1" s="87"/>
      <c r="L1" s="28"/>
      <c r="M1" s="28"/>
      <c r="O1" s="27"/>
      <c r="P1" s="29"/>
      <c r="Q1" s="27"/>
      <c r="R1" s="29"/>
      <c r="S1" s="29"/>
      <c r="W1" s="29"/>
      <c r="X1" s="30"/>
      <c r="Y1" s="30"/>
      <c r="Z1" s="29"/>
      <c r="AF1" s="29"/>
      <c r="AG1" s="29"/>
      <c r="AH1" s="29"/>
      <c r="AI1" s="29"/>
      <c r="AJ1" s="29"/>
      <c r="AK1" s="29"/>
      <c r="AL1" s="29"/>
      <c r="AM1" s="29"/>
      <c r="AN1" s="29"/>
      <c r="AO1" s="29"/>
      <c r="AP1" s="29"/>
      <c r="AQ1" s="29"/>
      <c r="AR1" s="29"/>
      <c r="AS1" s="29"/>
      <c r="AT1" s="29"/>
      <c r="AU1" s="29"/>
      <c r="AV1" s="29"/>
      <c r="AW1" s="29"/>
      <c r="AX1" s="29"/>
      <c r="AY1" s="29"/>
      <c r="AZ1" s="29"/>
      <c r="BA1" s="29"/>
      <c r="BB1" s="29"/>
      <c r="BC1" s="29"/>
    </row>
    <row r="2" spans="1:60" s="26" customFormat="1">
      <c r="A2" s="97"/>
      <c r="G2" s="27"/>
      <c r="H2" s="27"/>
      <c r="I2" s="27"/>
      <c r="J2" s="87"/>
      <c r="K2" s="87"/>
      <c r="L2" s="28"/>
      <c r="M2" s="28"/>
      <c r="O2" s="27"/>
      <c r="P2" s="29"/>
      <c r="Q2" s="27"/>
      <c r="R2" s="29"/>
      <c r="S2" s="29"/>
      <c r="W2" s="29"/>
      <c r="X2" s="30"/>
      <c r="Y2" s="30"/>
      <c r="Z2" s="29"/>
      <c r="AF2" s="29"/>
      <c r="AG2" s="29"/>
      <c r="AH2" s="29"/>
      <c r="AI2" s="29"/>
      <c r="AJ2" s="29"/>
      <c r="AK2" s="29"/>
      <c r="AL2" s="29"/>
      <c r="AM2" s="29"/>
      <c r="AN2" s="29"/>
      <c r="AO2" s="29"/>
      <c r="AP2" s="29"/>
      <c r="AQ2" s="29"/>
      <c r="AR2" s="29"/>
      <c r="AS2" s="29"/>
      <c r="AT2" s="29"/>
      <c r="AU2" s="29"/>
      <c r="AV2" s="29"/>
      <c r="AW2" s="29"/>
      <c r="AX2" s="29"/>
      <c r="AY2" s="29"/>
      <c r="AZ2" s="29"/>
      <c r="BA2" s="29"/>
      <c r="BB2" s="29"/>
      <c r="BC2" s="29"/>
    </row>
    <row r="3" spans="1:60" ht="24" customHeight="1">
      <c r="A3" s="685" t="s">
        <v>9</v>
      </c>
      <c r="B3" s="685" t="s">
        <v>10</v>
      </c>
      <c r="C3" s="685" t="s">
        <v>197</v>
      </c>
      <c r="D3" s="685" t="s">
        <v>105</v>
      </c>
      <c r="E3" s="685" t="s">
        <v>106</v>
      </c>
      <c r="F3" s="685" t="s">
        <v>107</v>
      </c>
      <c r="G3" s="707" t="s">
        <v>108</v>
      </c>
      <c r="H3" s="708"/>
      <c r="I3" s="708"/>
      <c r="J3" s="708"/>
      <c r="K3" s="709"/>
      <c r="L3" s="713" t="s">
        <v>109</v>
      </c>
      <c r="M3" s="714"/>
      <c r="N3" s="715"/>
      <c r="O3" s="719" t="s">
        <v>110</v>
      </c>
      <c r="P3" s="680" t="s">
        <v>122</v>
      </c>
      <c r="Q3" s="719" t="s">
        <v>111</v>
      </c>
      <c r="R3" s="678" t="s">
        <v>112</v>
      </c>
      <c r="S3" s="678" t="s">
        <v>113</v>
      </c>
      <c r="T3" s="685" t="s">
        <v>166</v>
      </c>
      <c r="U3" s="685" t="s">
        <v>165</v>
      </c>
      <c r="V3" s="685" t="s">
        <v>167</v>
      </c>
      <c r="W3" s="678" t="s">
        <v>157</v>
      </c>
      <c r="X3" s="698" t="s">
        <v>115</v>
      </c>
      <c r="Y3" s="698" t="s">
        <v>289</v>
      </c>
      <c r="Z3" s="678" t="s">
        <v>116</v>
      </c>
      <c r="AA3" s="685" t="s">
        <v>168</v>
      </c>
      <c r="AB3" s="685" t="s">
        <v>179</v>
      </c>
      <c r="AC3" s="685" t="s">
        <v>177</v>
      </c>
      <c r="AD3" s="685" t="s">
        <v>140</v>
      </c>
      <c r="AE3" s="685" t="s">
        <v>141</v>
      </c>
      <c r="AF3" s="721" t="s">
        <v>142</v>
      </c>
      <c r="AG3" s="721"/>
      <c r="AH3" s="721"/>
      <c r="AI3" s="721"/>
      <c r="AJ3" s="721"/>
      <c r="AK3" s="721"/>
      <c r="AL3" s="721"/>
      <c r="AM3" s="674" t="s">
        <v>143</v>
      </c>
      <c r="AN3" s="686" t="s">
        <v>117</v>
      </c>
      <c r="AO3" s="686"/>
      <c r="AP3" s="686"/>
      <c r="AQ3" s="686"/>
      <c r="AR3" s="686"/>
      <c r="AS3" s="687" t="s">
        <v>118</v>
      </c>
      <c r="AT3" s="681" t="s">
        <v>198</v>
      </c>
      <c r="AU3" s="682"/>
      <c r="AV3" s="689" t="s">
        <v>144</v>
      </c>
      <c r="AW3" s="690"/>
      <c r="AX3" s="722" t="s">
        <v>144</v>
      </c>
      <c r="AY3" s="723"/>
      <c r="AZ3" s="705" t="s">
        <v>144</v>
      </c>
      <c r="BA3" s="706"/>
      <c r="BB3" s="691" t="s">
        <v>298</v>
      </c>
      <c r="BC3" s="677" t="s">
        <v>119</v>
      </c>
      <c r="BD3" s="672" t="s">
        <v>120</v>
      </c>
      <c r="BE3" s="672" t="s">
        <v>121</v>
      </c>
      <c r="BF3" s="666" t="s">
        <v>367</v>
      </c>
      <c r="BG3" s="669" t="s">
        <v>368</v>
      </c>
      <c r="BH3" s="672" t="s">
        <v>369</v>
      </c>
    </row>
    <row r="4" spans="1:60" ht="12" customHeight="1">
      <c r="A4" s="696"/>
      <c r="B4" s="696"/>
      <c r="C4" s="696"/>
      <c r="D4" s="696"/>
      <c r="E4" s="696"/>
      <c r="F4" s="696"/>
      <c r="G4" s="710"/>
      <c r="H4" s="711"/>
      <c r="I4" s="711"/>
      <c r="J4" s="711"/>
      <c r="K4" s="712"/>
      <c r="L4" s="716"/>
      <c r="M4" s="717"/>
      <c r="N4" s="718"/>
      <c r="O4" s="720"/>
      <c r="P4" s="694"/>
      <c r="Q4" s="720"/>
      <c r="R4" s="697"/>
      <c r="S4" s="697"/>
      <c r="T4" s="696"/>
      <c r="U4" s="696"/>
      <c r="V4" s="696"/>
      <c r="W4" s="697"/>
      <c r="X4" s="699"/>
      <c r="Y4" s="699"/>
      <c r="Z4" s="697"/>
      <c r="AA4" s="696"/>
      <c r="AB4" s="696"/>
      <c r="AC4" s="696"/>
      <c r="AD4" s="696"/>
      <c r="AE4" s="696"/>
      <c r="AF4" s="702" t="s">
        <v>145</v>
      </c>
      <c r="AG4" s="703"/>
      <c r="AH4" s="704"/>
      <c r="AI4" s="694" t="s">
        <v>199</v>
      </c>
      <c r="AJ4" s="694" t="s">
        <v>16</v>
      </c>
      <c r="AK4" s="694" t="s">
        <v>146</v>
      </c>
      <c r="AL4" s="694" t="s">
        <v>19</v>
      </c>
      <c r="AM4" s="675"/>
      <c r="AN4" s="679" t="s">
        <v>123</v>
      </c>
      <c r="AO4" s="679" t="s">
        <v>16</v>
      </c>
      <c r="AP4" s="679" t="s">
        <v>124</v>
      </c>
      <c r="AQ4" s="679" t="s">
        <v>19</v>
      </c>
      <c r="AR4" s="677" t="s">
        <v>125</v>
      </c>
      <c r="AS4" s="687"/>
      <c r="AT4" s="683"/>
      <c r="AU4" s="684"/>
      <c r="AV4" s="519" t="s">
        <v>8</v>
      </c>
      <c r="AW4" s="519" t="s">
        <v>147</v>
      </c>
      <c r="AX4" s="520" t="s">
        <v>8</v>
      </c>
      <c r="AY4" s="521" t="s">
        <v>147</v>
      </c>
      <c r="AZ4" s="622" t="s">
        <v>8</v>
      </c>
      <c r="BA4" s="623" t="s">
        <v>147</v>
      </c>
      <c r="BB4" s="692"/>
      <c r="BC4" s="677"/>
      <c r="BD4" s="672"/>
      <c r="BE4" s="672"/>
      <c r="BF4" s="667"/>
      <c r="BG4" s="670"/>
      <c r="BH4" s="672"/>
    </row>
    <row r="5" spans="1:60" s="36" customFormat="1" ht="48">
      <c r="A5" s="696"/>
      <c r="B5" s="696"/>
      <c r="C5" s="701"/>
      <c r="D5" s="696"/>
      <c r="E5" s="696"/>
      <c r="F5" s="696"/>
      <c r="G5" s="539" t="s">
        <v>126</v>
      </c>
      <c r="H5" s="537" t="s">
        <v>127</v>
      </c>
      <c r="I5" s="34" t="s">
        <v>128</v>
      </c>
      <c r="J5" s="88" t="s">
        <v>129</v>
      </c>
      <c r="K5" s="88" t="s">
        <v>114</v>
      </c>
      <c r="L5" s="35" t="s">
        <v>130</v>
      </c>
      <c r="M5" s="35" t="s">
        <v>131</v>
      </c>
      <c r="N5" s="537" t="s">
        <v>132</v>
      </c>
      <c r="O5" s="720"/>
      <c r="P5" s="695"/>
      <c r="Q5" s="720"/>
      <c r="R5" s="697"/>
      <c r="S5" s="697"/>
      <c r="T5" s="696"/>
      <c r="U5" s="696"/>
      <c r="V5" s="696"/>
      <c r="W5" s="697"/>
      <c r="X5" s="699"/>
      <c r="Y5" s="700"/>
      <c r="Z5" s="697"/>
      <c r="AA5" s="696"/>
      <c r="AB5" s="701"/>
      <c r="AC5" s="696"/>
      <c r="AD5" s="701"/>
      <c r="AE5" s="696"/>
      <c r="AF5" s="461" t="s">
        <v>290</v>
      </c>
      <c r="AG5" s="538" t="s">
        <v>291</v>
      </c>
      <c r="AH5" s="538" t="s">
        <v>292</v>
      </c>
      <c r="AI5" s="695"/>
      <c r="AJ5" s="695"/>
      <c r="AK5" s="695"/>
      <c r="AL5" s="695"/>
      <c r="AM5" s="676"/>
      <c r="AN5" s="680"/>
      <c r="AO5" s="680"/>
      <c r="AP5" s="680"/>
      <c r="AQ5" s="680"/>
      <c r="AR5" s="678"/>
      <c r="AS5" s="688"/>
      <c r="AT5" s="540" t="s">
        <v>286</v>
      </c>
      <c r="AU5" s="540" t="s">
        <v>287</v>
      </c>
      <c r="AV5" s="522" t="s">
        <v>288</v>
      </c>
      <c r="AW5" s="522" t="s">
        <v>288</v>
      </c>
      <c r="AX5" s="520" t="s">
        <v>18</v>
      </c>
      <c r="AY5" s="520" t="s">
        <v>18</v>
      </c>
      <c r="AZ5" s="622" t="s">
        <v>595</v>
      </c>
      <c r="BA5" s="622" t="s">
        <v>595</v>
      </c>
      <c r="BB5" s="693"/>
      <c r="BC5" s="678"/>
      <c r="BD5" s="685"/>
      <c r="BE5" s="685"/>
      <c r="BF5" s="668"/>
      <c r="BG5" s="671"/>
      <c r="BH5" s="673"/>
    </row>
    <row r="6" spans="1:60" ht="12.95" customHeight="1">
      <c r="A6" s="44">
        <f>+Report1!A9</f>
        <v>46023</v>
      </c>
      <c r="B6" s="45" t="s">
        <v>417</v>
      </c>
      <c r="C6" s="451">
        <f>(M6*E6*O6*Q6)/100000000</f>
        <v>51.492346768060834</v>
      </c>
      <c r="D6" s="45" t="s">
        <v>430</v>
      </c>
      <c r="E6" s="46">
        <v>13.5</v>
      </c>
      <c r="F6" s="46">
        <v>1</v>
      </c>
      <c r="G6" s="506">
        <v>1310</v>
      </c>
      <c r="H6" s="48">
        <f>+N6</f>
        <v>0.21458468979629797</v>
      </c>
      <c r="I6" s="49">
        <v>0.88</v>
      </c>
      <c r="J6" s="89">
        <f>E6*G6*(1-H6)*1440/1000000*2.75</f>
        <v>55.004676253371784</v>
      </c>
      <c r="K6" s="89">
        <f t="shared" ref="K6" si="0">(IF(G6&lt;L6,L6,G6)*(1-IF(H6&lt;N6,H6,N6))*E6*O6*Q6)/100000000</f>
        <v>55.00467625337177</v>
      </c>
      <c r="L6" s="39">
        <v>1226.3498098859316</v>
      </c>
      <c r="M6" s="39">
        <v>963.19391634980991</v>
      </c>
      <c r="N6" s="50">
        <f>1-(M6/L6)</f>
        <v>0.21458468979629797</v>
      </c>
      <c r="O6" s="51">
        <f>+'Trim Rwd'!H4</f>
        <v>275</v>
      </c>
      <c r="P6" s="52">
        <f>O6*(Q6-R6-S6)</f>
        <v>347325</v>
      </c>
      <c r="Q6" s="51">
        <v>1440</v>
      </c>
      <c r="R6" s="507">
        <v>125</v>
      </c>
      <c r="S6" s="507">
        <v>52</v>
      </c>
      <c r="T6" s="41">
        <f>E6*M6*O6*Q6/100000000</f>
        <v>51.492346768060834</v>
      </c>
      <c r="U6" s="41">
        <f>E6*M6*O6*(Q6-R6-S6)/100000000</f>
        <v>45.163079144486694</v>
      </c>
      <c r="V6" s="41">
        <f>E6*G6*(1-N6)*O6/100*(R6+S6)/1000000</f>
        <v>6.7609914561436151</v>
      </c>
      <c r="W6" s="41">
        <f>+'1'!K7/1000</f>
        <v>44.228000000000002</v>
      </c>
      <c r="X6" s="508">
        <f>SUM(W6:W9)/SUM(K6:K9)</f>
        <v>0.80407708966905955</v>
      </c>
      <c r="Y6" s="218">
        <v>0</v>
      </c>
      <c r="Z6" s="41">
        <v>0</v>
      </c>
      <c r="AA6" s="53">
        <f>SUM(U6:U9)-SUM(W6:W9)-SUM(Z6:Z9)-SUM(Y6:Y9)</f>
        <v>0.93507914448669283</v>
      </c>
      <c r="AB6" s="53">
        <f>(SUM(K6:K9)-SUM(W6:W9)-SUM(Y6:Y9)-SUM(Z6:Z9)-SUM(AC6:AC9)-SUM(V6:V9))-AA6</f>
        <v>-0.43172383256947544</v>
      </c>
      <c r="AC6" s="41">
        <f>K6-T6</f>
        <v>3.5123294853109357</v>
      </c>
      <c r="AD6" s="41">
        <f>+AM6+BC6</f>
        <v>4</v>
      </c>
      <c r="AE6" s="237" t="s">
        <v>394</v>
      </c>
      <c r="AF6" s="41">
        <v>4</v>
      </c>
      <c r="AG6" s="41"/>
      <c r="AH6" s="41"/>
      <c r="AI6" s="509"/>
      <c r="AJ6" s="41"/>
      <c r="AK6" s="41"/>
      <c r="AL6" s="41"/>
      <c r="AM6" s="41">
        <f>SUM(AF6:AL6)+AT6</f>
        <v>4</v>
      </c>
      <c r="AN6" s="41"/>
      <c r="AO6" s="41"/>
      <c r="AP6" s="41"/>
      <c r="AQ6" s="41"/>
      <c r="AR6" s="41">
        <f>SUM(AN6:AQ6)</f>
        <v>0</v>
      </c>
      <c r="AS6" s="41"/>
      <c r="AT6" s="41"/>
      <c r="AU6" s="41"/>
      <c r="AV6" s="41"/>
      <c r="AW6" s="41"/>
      <c r="AX6" s="41"/>
      <c r="AY6" s="41"/>
      <c r="AZ6" s="41"/>
      <c r="BA6" s="41"/>
      <c r="BB6" s="41"/>
      <c r="BC6" s="41">
        <f>+AR6+AS6+AU6+AV6+AX6</f>
        <v>0</v>
      </c>
      <c r="BD6" s="37">
        <v>2</v>
      </c>
      <c r="BE6" s="55"/>
      <c r="BF6" s="55"/>
      <c r="BG6" s="37"/>
      <c r="BH6" s="55" t="s">
        <v>821</v>
      </c>
    </row>
    <row r="7" spans="1:60" ht="12.95" customHeight="1">
      <c r="A7" s="44"/>
      <c r="B7" s="45"/>
      <c r="C7" s="451"/>
      <c r="D7" s="45"/>
      <c r="E7" s="46"/>
      <c r="F7" s="46"/>
      <c r="G7" s="506"/>
      <c r="H7" s="48"/>
      <c r="I7" s="49"/>
      <c r="J7" s="89"/>
      <c r="K7" s="89"/>
      <c r="L7" s="39"/>
      <c r="M7" s="39"/>
      <c r="N7" s="50"/>
      <c r="O7" s="51"/>
      <c r="P7" s="52"/>
      <c r="Q7" s="51"/>
      <c r="R7" s="507"/>
      <c r="S7" s="507"/>
      <c r="T7" s="41"/>
      <c r="U7" s="41"/>
      <c r="V7" s="41"/>
      <c r="W7" s="41"/>
      <c r="X7" s="42"/>
      <c r="Y7" s="218"/>
      <c r="Z7" s="41"/>
      <c r="AA7" s="41"/>
      <c r="AB7" s="41"/>
      <c r="AC7" s="41"/>
      <c r="AD7" s="41">
        <f t="shared" ref="AD7:AD10" si="1">+AM7+BC7</f>
        <v>11</v>
      </c>
      <c r="AE7" s="237" t="s">
        <v>419</v>
      </c>
      <c r="AF7" s="41"/>
      <c r="AG7" s="41">
        <v>11</v>
      </c>
      <c r="AH7" s="41"/>
      <c r="AI7" s="509"/>
      <c r="AJ7" s="41"/>
      <c r="AK7" s="41"/>
      <c r="AL7" s="41"/>
      <c r="AM7" s="41">
        <f t="shared" ref="AM7:AM10" si="2">SUM(AF7:AL7)+AT7</f>
        <v>11</v>
      </c>
      <c r="AN7" s="90"/>
      <c r="AO7" s="41"/>
      <c r="AP7" s="41"/>
      <c r="AQ7" s="41"/>
      <c r="AR7" s="41">
        <f t="shared" ref="AR7:AR10" si="3">SUM(AN7:AQ7)</f>
        <v>0</v>
      </c>
      <c r="AS7" s="41"/>
      <c r="AT7" s="41"/>
      <c r="AU7" s="41"/>
      <c r="AV7" s="41"/>
      <c r="AW7" s="41"/>
      <c r="AX7" s="41"/>
      <c r="AY7" s="41"/>
      <c r="AZ7" s="41"/>
      <c r="BA7" s="41"/>
      <c r="BB7" s="41"/>
      <c r="BC7" s="41">
        <f t="shared" ref="BC7:BC10" si="4">+AR7+AS7+AU7+AV7+AX7</f>
        <v>0</v>
      </c>
      <c r="BD7" s="54"/>
      <c r="BE7" s="55">
        <v>11</v>
      </c>
      <c r="BF7" s="55"/>
      <c r="BG7" s="54"/>
      <c r="BH7" s="55"/>
    </row>
    <row r="8" spans="1:60" ht="12.95" customHeight="1">
      <c r="A8" s="44"/>
      <c r="B8" s="45"/>
      <c r="C8" s="451"/>
      <c r="D8" s="45"/>
      <c r="E8" s="46"/>
      <c r="F8" s="46"/>
      <c r="G8" s="47"/>
      <c r="H8" s="48"/>
      <c r="I8" s="49"/>
      <c r="J8" s="89"/>
      <c r="K8" s="89"/>
      <c r="L8" s="39"/>
      <c r="M8" s="39"/>
      <c r="N8" s="50"/>
      <c r="O8" s="51"/>
      <c r="P8" s="52"/>
      <c r="Q8" s="51"/>
      <c r="R8" s="507"/>
      <c r="S8" s="507"/>
      <c r="T8" s="41"/>
      <c r="U8" s="41"/>
      <c r="V8" s="41"/>
      <c r="W8" s="41"/>
      <c r="X8" s="42"/>
      <c r="Y8" s="218"/>
      <c r="Z8" s="41"/>
      <c r="AA8" s="41"/>
      <c r="AB8" s="41"/>
      <c r="AC8" s="41"/>
      <c r="AD8" s="41">
        <f t="shared" si="1"/>
        <v>22</v>
      </c>
      <c r="AE8" s="237" t="s">
        <v>420</v>
      </c>
      <c r="AF8" s="37"/>
      <c r="AG8" s="37"/>
      <c r="AH8" s="37">
        <v>22</v>
      </c>
      <c r="AJ8" s="41"/>
      <c r="AK8" s="41"/>
      <c r="AL8" s="41"/>
      <c r="AM8" s="41">
        <f t="shared" si="2"/>
        <v>22</v>
      </c>
      <c r="AN8" s="41"/>
      <c r="AO8" s="41"/>
      <c r="AP8" s="41"/>
      <c r="AQ8" s="41"/>
      <c r="AR8" s="41">
        <f t="shared" si="3"/>
        <v>0</v>
      </c>
      <c r="AS8" s="41"/>
      <c r="AT8" s="41"/>
      <c r="AU8" s="41"/>
      <c r="AV8" s="41"/>
      <c r="AW8" s="41"/>
      <c r="AX8" s="41"/>
      <c r="AY8" s="41"/>
      <c r="AZ8" s="41"/>
      <c r="BA8" s="41"/>
      <c r="BB8" s="41"/>
      <c r="BC8" s="41">
        <f t="shared" si="4"/>
        <v>0</v>
      </c>
      <c r="BD8" s="37"/>
      <c r="BE8" s="510"/>
      <c r="BF8" s="510"/>
      <c r="BG8" s="37"/>
      <c r="BH8" s="510"/>
    </row>
    <row r="9" spans="1:60" ht="12.95" customHeight="1">
      <c r="A9" s="44"/>
      <c r="B9" s="45"/>
      <c r="C9" s="451"/>
      <c r="D9" s="45"/>
      <c r="E9" s="46"/>
      <c r="F9" s="46"/>
      <c r="G9" s="47"/>
      <c r="H9" s="48"/>
      <c r="I9" s="49"/>
      <c r="J9" s="89"/>
      <c r="K9" s="89"/>
      <c r="L9" s="39"/>
      <c r="M9" s="39"/>
      <c r="N9" s="50"/>
      <c r="O9" s="51"/>
      <c r="P9" s="52"/>
      <c r="Q9" s="38"/>
      <c r="R9" s="507"/>
      <c r="S9" s="507"/>
      <c r="T9" s="41"/>
      <c r="U9" s="41"/>
      <c r="V9" s="41"/>
      <c r="W9" s="41"/>
      <c r="X9" s="42"/>
      <c r="Y9" s="218"/>
      <c r="Z9" s="41"/>
      <c r="AA9" s="41"/>
      <c r="AB9" s="41"/>
      <c r="AC9" s="41"/>
      <c r="AD9" s="41">
        <f t="shared" si="1"/>
        <v>15</v>
      </c>
      <c r="AE9" s="240" t="s">
        <v>225</v>
      </c>
      <c r="AF9" s="41"/>
      <c r="AG9" s="41"/>
      <c r="AH9" s="41"/>
      <c r="AI9" s="509">
        <v>15</v>
      </c>
      <c r="AJ9" s="41"/>
      <c r="AK9" s="41"/>
      <c r="AL9" s="41"/>
      <c r="AM9" s="41">
        <f t="shared" si="2"/>
        <v>15</v>
      </c>
      <c r="AN9" s="41"/>
      <c r="AO9" s="41"/>
      <c r="AP9" s="41"/>
      <c r="AQ9" s="41"/>
      <c r="AR9" s="41">
        <f t="shared" si="3"/>
        <v>0</v>
      </c>
      <c r="AS9" s="41"/>
      <c r="AT9" s="41"/>
      <c r="AU9" s="41"/>
      <c r="AV9" s="41"/>
      <c r="AW9" s="41"/>
      <c r="AX9" s="41"/>
      <c r="AY9" s="41"/>
      <c r="AZ9" s="41"/>
      <c r="BA9" s="41"/>
      <c r="BB9" s="41"/>
      <c r="BC9" s="41">
        <f t="shared" si="4"/>
        <v>0</v>
      </c>
      <c r="BD9" s="54"/>
      <c r="BE9" s="55"/>
      <c r="BF9" s="55"/>
      <c r="BG9" s="54"/>
      <c r="BH9" s="55"/>
    </row>
    <row r="10" spans="1:60" ht="12.95" customHeight="1">
      <c r="A10" s="44"/>
      <c r="B10" s="45"/>
      <c r="C10" s="451"/>
      <c r="D10" s="45"/>
      <c r="E10" s="46"/>
      <c r="F10" s="46"/>
      <c r="G10" s="506"/>
      <c r="H10" s="48"/>
      <c r="I10" s="49"/>
      <c r="J10" s="89"/>
      <c r="K10" s="89"/>
      <c r="L10" s="39"/>
      <c r="M10" s="39"/>
      <c r="N10" s="50"/>
      <c r="O10" s="51"/>
      <c r="P10" s="52"/>
      <c r="Q10" s="51"/>
      <c r="R10" s="507"/>
      <c r="S10" s="507"/>
      <c r="T10" s="41"/>
      <c r="U10" s="41"/>
      <c r="V10" s="41"/>
      <c r="W10" s="41"/>
      <c r="X10" s="508"/>
      <c r="Y10" s="218"/>
      <c r="Z10" s="41"/>
      <c r="AA10" s="53"/>
      <c r="AB10" s="53"/>
      <c r="AC10" s="41"/>
      <c r="AD10" s="41">
        <f t="shared" si="1"/>
        <v>125</v>
      </c>
      <c r="AE10" s="240" t="s">
        <v>421</v>
      </c>
      <c r="AF10" s="41"/>
      <c r="AG10" s="41"/>
      <c r="AH10" s="41"/>
      <c r="AI10" s="509"/>
      <c r="AJ10" s="41"/>
      <c r="AK10" s="41"/>
      <c r="AL10" s="41"/>
      <c r="AM10" s="41">
        <f t="shared" si="2"/>
        <v>0</v>
      </c>
      <c r="AN10" s="41">
        <v>125</v>
      </c>
      <c r="AO10" s="41"/>
      <c r="AP10" s="41"/>
      <c r="AQ10" s="41"/>
      <c r="AR10" s="41">
        <f t="shared" si="3"/>
        <v>125</v>
      </c>
      <c r="AS10" s="41"/>
      <c r="AT10" s="41"/>
      <c r="AU10" s="41"/>
      <c r="AV10" s="41"/>
      <c r="AW10" s="41"/>
      <c r="AX10" s="41"/>
      <c r="AY10" s="41"/>
      <c r="AZ10" s="41"/>
      <c r="BA10" s="41"/>
      <c r="BB10" s="41"/>
      <c r="BC10" s="41">
        <f t="shared" si="4"/>
        <v>125</v>
      </c>
      <c r="BD10" s="37"/>
      <c r="BE10" s="55"/>
      <c r="BF10" s="55"/>
      <c r="BG10" s="37"/>
      <c r="BH10" s="55">
        <v>1</v>
      </c>
    </row>
    <row r="11" spans="1:60" ht="12.75" customHeight="1">
      <c r="A11" s="44"/>
      <c r="B11" s="45"/>
      <c r="C11" s="451"/>
      <c r="D11" s="45"/>
      <c r="E11" s="46"/>
      <c r="F11" s="46"/>
      <c r="G11" s="506"/>
      <c r="H11" s="48"/>
      <c r="I11" s="49"/>
      <c r="J11" s="89"/>
      <c r="K11" s="89"/>
      <c r="L11" s="39"/>
      <c r="M11" s="39"/>
      <c r="N11" s="50"/>
      <c r="O11" s="51"/>
      <c r="P11" s="52"/>
      <c r="Q11" s="51"/>
      <c r="R11" s="507"/>
      <c r="S11" s="507"/>
      <c r="T11" s="41"/>
      <c r="U11" s="41"/>
      <c r="V11" s="41"/>
      <c r="W11" s="41"/>
      <c r="X11" s="42"/>
      <c r="Y11" s="218"/>
      <c r="Z11" s="41"/>
      <c r="AA11" s="41"/>
      <c r="AB11" s="41"/>
      <c r="AC11" s="41"/>
      <c r="AD11" s="41"/>
      <c r="AE11" s="237"/>
      <c r="AF11" s="41"/>
      <c r="AG11" s="41"/>
      <c r="AH11" s="41"/>
      <c r="AI11" s="509"/>
      <c r="AJ11" s="41"/>
      <c r="AK11" s="41"/>
      <c r="AL11" s="41"/>
      <c r="AM11" s="41"/>
      <c r="AN11" s="90"/>
      <c r="AO11" s="41"/>
      <c r="AP11" s="41"/>
      <c r="AQ11" s="41"/>
      <c r="AR11" s="41"/>
      <c r="AS11" s="41"/>
      <c r="AT11" s="41"/>
      <c r="AU11" s="41"/>
      <c r="AV11" s="41"/>
      <c r="AW11" s="41"/>
      <c r="AX11" s="41"/>
      <c r="AY11" s="41"/>
      <c r="AZ11" s="41"/>
      <c r="BA11" s="41"/>
      <c r="BB11" s="41"/>
      <c r="BC11" s="41"/>
      <c r="BD11" s="54"/>
      <c r="BE11" s="55"/>
      <c r="BF11" s="55"/>
      <c r="BG11" s="54"/>
      <c r="BH11" s="55"/>
    </row>
    <row r="12" spans="1:60" ht="12.95" customHeight="1">
      <c r="A12" s="44">
        <v>46024</v>
      </c>
      <c r="B12" s="45" t="s">
        <v>417</v>
      </c>
      <c r="C12" s="451">
        <f>(M12*E12*O12*Q12)/100000000</f>
        <v>52.1235</v>
      </c>
      <c r="D12" s="45" t="s">
        <v>430</v>
      </c>
      <c r="E12" s="46">
        <v>13.5</v>
      </c>
      <c r="F12" s="46">
        <v>1</v>
      </c>
      <c r="G12" s="506">
        <v>1320</v>
      </c>
      <c r="H12" s="48">
        <f>+N12</f>
        <v>0.21999999999999997</v>
      </c>
      <c r="I12" s="49">
        <v>0.88</v>
      </c>
      <c r="J12" s="89">
        <f>E12*G12*(1-H12)*1440/1000000*2.75</f>
        <v>55.042415999999996</v>
      </c>
      <c r="K12" s="89">
        <f t="shared" ref="K12" si="5">(IF(G12&lt;L12,L12,G12)*(1-IF(H12&lt;N12,H12,N12))*E12*O12*Q12)/100000000</f>
        <v>55.04241600000001</v>
      </c>
      <c r="L12" s="39">
        <v>1250</v>
      </c>
      <c r="M12" s="39">
        <v>975</v>
      </c>
      <c r="N12" s="50">
        <f>1-(M12/L12)</f>
        <v>0.21999999999999997</v>
      </c>
      <c r="O12" s="51">
        <f>+'Trim Rwd'!H6</f>
        <v>275</v>
      </c>
      <c r="P12" s="52">
        <f>O12*(Q12-R12-S12)</f>
        <v>380875</v>
      </c>
      <c r="Q12" s="51">
        <v>1440</v>
      </c>
      <c r="R12" s="507">
        <v>0</v>
      </c>
      <c r="S12" s="507">
        <v>55</v>
      </c>
      <c r="T12" s="41">
        <f>E12*M12*O12*Q12/100000000</f>
        <v>52.1235</v>
      </c>
      <c r="U12" s="41">
        <f>E12*M12*O12*(Q12-R12-S12)/100000000</f>
        <v>50.132671875</v>
      </c>
      <c r="V12" s="41">
        <f>E12*G12*(1-N12)*O12/100*(R12+S12)/1000000</f>
        <v>2.1023144999999999</v>
      </c>
      <c r="W12" s="41">
        <f>+'2'!K7/1000</f>
        <v>46.393999999999998</v>
      </c>
      <c r="X12" s="508">
        <f>SUM(W12:W15)/SUM(K12:K15)</f>
        <v>0.8428772457953152</v>
      </c>
      <c r="Y12" s="218">
        <v>0</v>
      </c>
      <c r="Z12" s="41">
        <f>+'2'!D34/1000</f>
        <v>1.24</v>
      </c>
      <c r="AA12" s="53">
        <f>SUM(U12:U15)-SUM(W12:W15)-SUM(Z12:Z15)-SUM(Y12:Y15)</f>
        <v>2.4986718750000012</v>
      </c>
      <c r="AB12" s="53">
        <f>(SUM(K12:K15)-SUM(W12:W15)-SUM(Y12:Y15)-SUM(Z12:Z15)-SUM(AC12:AC15)-SUM(V12:V15))-AA12</f>
        <v>-0.11148637499999969</v>
      </c>
      <c r="AC12" s="41">
        <f>K12-T12</f>
        <v>2.9189160000000101</v>
      </c>
      <c r="AD12" s="41">
        <f>+AM12+BC12</f>
        <v>0</v>
      </c>
      <c r="AE12" s="237" t="s">
        <v>386</v>
      </c>
      <c r="AF12" s="41">
        <v>0</v>
      </c>
      <c r="AG12" s="41"/>
      <c r="AH12" s="41"/>
      <c r="AI12" s="509"/>
      <c r="AJ12" s="41"/>
      <c r="AK12" s="41"/>
      <c r="AL12" s="41"/>
      <c r="AM12" s="41">
        <f>SUM(AF12:AL12)+AT12</f>
        <v>0</v>
      </c>
      <c r="AN12" s="41"/>
      <c r="AO12" s="41"/>
      <c r="AP12" s="41"/>
      <c r="AQ12" s="41"/>
      <c r="AR12" s="41">
        <f>SUM(AN12:AQ12)</f>
        <v>0</v>
      </c>
      <c r="AS12" s="41"/>
      <c r="AT12" s="41"/>
      <c r="AU12" s="41"/>
      <c r="AV12" s="41"/>
      <c r="AW12" s="41"/>
      <c r="AX12" s="41"/>
      <c r="AY12" s="41"/>
      <c r="AZ12" s="41"/>
      <c r="BA12" s="41"/>
      <c r="BB12" s="41"/>
      <c r="BC12" s="41">
        <f>+AR12+AS12+AU12+AV12+AX12</f>
        <v>0</v>
      </c>
      <c r="BD12" s="37">
        <v>0</v>
      </c>
      <c r="BE12" s="55"/>
      <c r="BF12" s="55"/>
      <c r="BG12" s="37"/>
      <c r="BH12" s="55"/>
    </row>
    <row r="13" spans="1:60" ht="12.95" customHeight="1">
      <c r="A13" s="44"/>
      <c r="B13" s="45"/>
      <c r="C13" s="451"/>
      <c r="D13" s="45"/>
      <c r="E13" s="46"/>
      <c r="F13" s="46"/>
      <c r="G13" s="506"/>
      <c r="H13" s="48"/>
      <c r="I13" s="49"/>
      <c r="J13" s="89"/>
      <c r="K13" s="89"/>
      <c r="L13" s="39"/>
      <c r="M13" s="39"/>
      <c r="N13" s="50"/>
      <c r="O13" s="51"/>
      <c r="P13" s="52"/>
      <c r="Q13" s="51"/>
      <c r="R13" s="507"/>
      <c r="S13" s="507"/>
      <c r="T13" s="41"/>
      <c r="U13" s="41"/>
      <c r="V13" s="41"/>
      <c r="W13" s="41"/>
      <c r="X13" s="42"/>
      <c r="Y13" s="218"/>
      <c r="Z13" s="41"/>
      <c r="AA13" s="41"/>
      <c r="AB13" s="41"/>
      <c r="AC13" s="41"/>
      <c r="AD13" s="41">
        <f t="shared" ref="AD13:AD15" si="6">+AM13+BC13</f>
        <v>12</v>
      </c>
      <c r="AE13" s="237" t="s">
        <v>438</v>
      </c>
      <c r="AF13" s="41"/>
      <c r="AG13" s="41">
        <v>12</v>
      </c>
      <c r="AH13" s="41"/>
      <c r="AI13" s="509"/>
      <c r="AJ13" s="41"/>
      <c r="AK13" s="41"/>
      <c r="AL13" s="41"/>
      <c r="AM13" s="41">
        <f t="shared" ref="AM13:AM15" si="7">SUM(AF13:AL13)+AT13</f>
        <v>12</v>
      </c>
      <c r="AN13" s="90"/>
      <c r="AO13" s="41"/>
      <c r="AP13" s="41"/>
      <c r="AQ13" s="41"/>
      <c r="AR13" s="41">
        <f t="shared" ref="AR13:AR15" si="8">SUM(AN13:AQ13)</f>
        <v>0</v>
      </c>
      <c r="AS13" s="41"/>
      <c r="AT13" s="41"/>
      <c r="AU13" s="41"/>
      <c r="AV13" s="41"/>
      <c r="AW13" s="41"/>
      <c r="AX13" s="41"/>
      <c r="AY13" s="41"/>
      <c r="AZ13" s="41"/>
      <c r="BA13" s="41"/>
      <c r="BB13" s="41"/>
      <c r="BC13" s="41">
        <f t="shared" ref="BC13:BC15" si="9">+AR13+AS13+AU13+AV13+AX13</f>
        <v>0</v>
      </c>
      <c r="BD13" s="54"/>
      <c r="BE13" s="55">
        <v>8</v>
      </c>
      <c r="BF13" s="55"/>
      <c r="BG13" s="54"/>
      <c r="BH13" s="55"/>
    </row>
    <row r="14" spans="1:60" ht="12.95" customHeight="1">
      <c r="A14" s="44"/>
      <c r="B14" s="45"/>
      <c r="C14" s="451"/>
      <c r="D14" s="45"/>
      <c r="E14" s="46"/>
      <c r="F14" s="46"/>
      <c r="G14" s="47"/>
      <c r="H14" s="48"/>
      <c r="I14" s="49"/>
      <c r="J14" s="89"/>
      <c r="K14" s="89"/>
      <c r="L14" s="39"/>
      <c r="M14" s="39"/>
      <c r="N14" s="50"/>
      <c r="O14" s="51"/>
      <c r="P14" s="52"/>
      <c r="Q14" s="51"/>
      <c r="R14" s="507"/>
      <c r="S14" s="507"/>
      <c r="T14" s="41"/>
      <c r="U14" s="41"/>
      <c r="V14" s="41"/>
      <c r="W14" s="41"/>
      <c r="X14" s="42"/>
      <c r="Y14" s="218"/>
      <c r="Z14" s="41"/>
      <c r="AA14" s="41"/>
      <c r="AB14" s="41"/>
      <c r="AC14" s="41"/>
      <c r="AD14" s="41">
        <f t="shared" si="6"/>
        <v>35</v>
      </c>
      <c r="AE14" s="237" t="s">
        <v>439</v>
      </c>
      <c r="AF14" s="37"/>
      <c r="AG14" s="37"/>
      <c r="AH14" s="37">
        <v>35</v>
      </c>
      <c r="AJ14" s="41"/>
      <c r="AK14" s="41"/>
      <c r="AL14" s="41"/>
      <c r="AM14" s="41">
        <f t="shared" si="7"/>
        <v>35</v>
      </c>
      <c r="AN14" s="41"/>
      <c r="AO14" s="41"/>
      <c r="AP14" s="41"/>
      <c r="AQ14" s="41"/>
      <c r="AR14" s="41">
        <f t="shared" si="8"/>
        <v>0</v>
      </c>
      <c r="AS14" s="41"/>
      <c r="AT14" s="41"/>
      <c r="AU14" s="41"/>
      <c r="AV14" s="41"/>
      <c r="AW14" s="41"/>
      <c r="AX14" s="41"/>
      <c r="AY14" s="41"/>
      <c r="AZ14" s="41"/>
      <c r="BA14" s="41"/>
      <c r="BB14" s="41"/>
      <c r="BC14" s="41">
        <f t="shared" si="9"/>
        <v>0</v>
      </c>
      <c r="BD14" s="37"/>
      <c r="BE14" s="510"/>
      <c r="BF14" s="510"/>
      <c r="BG14" s="37"/>
      <c r="BH14" s="510"/>
    </row>
    <row r="15" spans="1:60" ht="12.95" customHeight="1">
      <c r="A15" s="44"/>
      <c r="B15" s="45"/>
      <c r="C15" s="451"/>
      <c r="D15" s="45"/>
      <c r="E15" s="46"/>
      <c r="F15" s="46"/>
      <c r="G15" s="47"/>
      <c r="H15" s="48"/>
      <c r="I15" s="49"/>
      <c r="J15" s="89"/>
      <c r="K15" s="89"/>
      <c r="L15" s="39"/>
      <c r="M15" s="39"/>
      <c r="N15" s="50"/>
      <c r="O15" s="51"/>
      <c r="P15" s="52"/>
      <c r="Q15" s="38"/>
      <c r="R15" s="507"/>
      <c r="S15" s="507"/>
      <c r="T15" s="41"/>
      <c r="U15" s="41"/>
      <c r="V15" s="41"/>
      <c r="W15" s="41"/>
      <c r="X15" s="42"/>
      <c r="Y15" s="218"/>
      <c r="Z15" s="41"/>
      <c r="AA15" s="41"/>
      <c r="AB15" s="41"/>
      <c r="AC15" s="41"/>
      <c r="AD15" s="41">
        <f t="shared" si="6"/>
        <v>8</v>
      </c>
      <c r="AE15" s="240" t="s">
        <v>225</v>
      </c>
      <c r="AF15" s="41"/>
      <c r="AG15" s="41"/>
      <c r="AH15" s="41"/>
      <c r="AI15" s="509">
        <v>8</v>
      </c>
      <c r="AJ15" s="41"/>
      <c r="AK15" s="41"/>
      <c r="AL15" s="41"/>
      <c r="AM15" s="41">
        <f t="shared" si="7"/>
        <v>8</v>
      </c>
      <c r="AN15" s="41"/>
      <c r="AO15" s="41"/>
      <c r="AP15" s="41"/>
      <c r="AQ15" s="41"/>
      <c r="AR15" s="41">
        <f t="shared" si="8"/>
        <v>0</v>
      </c>
      <c r="AS15" s="41"/>
      <c r="AT15" s="41"/>
      <c r="AU15" s="41"/>
      <c r="AV15" s="41"/>
      <c r="AW15" s="41"/>
      <c r="AX15" s="41"/>
      <c r="AY15" s="41"/>
      <c r="AZ15" s="41"/>
      <c r="BA15" s="41"/>
      <c r="BB15" s="41"/>
      <c r="BC15" s="41">
        <f t="shared" si="9"/>
        <v>0</v>
      </c>
      <c r="BD15" s="54"/>
      <c r="BE15" s="55"/>
      <c r="BF15" s="55"/>
      <c r="BG15" s="54"/>
      <c r="BH15" s="55"/>
    </row>
    <row r="16" spans="1:60" ht="12.95" customHeight="1">
      <c r="A16" s="44"/>
      <c r="B16" s="45"/>
      <c r="C16" s="451"/>
      <c r="D16" s="45"/>
      <c r="E16" s="46"/>
      <c r="F16" s="46"/>
      <c r="G16" s="506"/>
      <c r="H16" s="48"/>
      <c r="I16" s="49"/>
      <c r="J16" s="89"/>
      <c r="K16" s="89"/>
      <c r="L16" s="39"/>
      <c r="M16" s="39"/>
      <c r="N16" s="50"/>
      <c r="O16" s="51"/>
      <c r="P16" s="52"/>
      <c r="Q16" s="51"/>
      <c r="R16" s="507"/>
      <c r="S16" s="507"/>
      <c r="T16" s="41"/>
      <c r="U16" s="41"/>
      <c r="V16" s="41"/>
      <c r="W16" s="41"/>
      <c r="X16" s="508"/>
      <c r="Y16" s="218"/>
      <c r="Z16" s="41"/>
      <c r="AA16" s="53"/>
      <c r="AB16" s="53"/>
      <c r="AC16" s="41"/>
      <c r="AD16" s="41"/>
      <c r="AE16" s="240"/>
      <c r="AF16" s="41"/>
      <c r="AG16" s="41"/>
      <c r="AH16" s="41"/>
      <c r="AI16" s="509"/>
      <c r="AJ16" s="41"/>
      <c r="AK16" s="41"/>
      <c r="AL16" s="41"/>
      <c r="AM16" s="41"/>
      <c r="AN16" s="41"/>
      <c r="AO16" s="41"/>
      <c r="AP16" s="41"/>
      <c r="AQ16" s="41"/>
      <c r="AR16" s="41"/>
      <c r="AS16" s="41"/>
      <c r="AT16" s="41"/>
      <c r="AU16" s="41"/>
      <c r="AV16" s="41"/>
      <c r="AW16" s="41"/>
      <c r="AX16" s="41"/>
      <c r="AY16" s="41"/>
      <c r="AZ16" s="41"/>
      <c r="BA16" s="41"/>
      <c r="BB16" s="41"/>
      <c r="BC16" s="41"/>
      <c r="BD16" s="37"/>
      <c r="BE16" s="55"/>
      <c r="BF16" s="510"/>
      <c r="BG16" s="37"/>
      <c r="BH16" s="510"/>
    </row>
    <row r="17" spans="1:60" ht="12.95" customHeight="1">
      <c r="A17" s="44">
        <v>46025</v>
      </c>
      <c r="B17" s="45" t="s">
        <v>417</v>
      </c>
      <c r="C17" s="451">
        <f>(M17*E17*O17*Q17)/100000000</f>
        <v>52.540488000000003</v>
      </c>
      <c r="D17" s="45" t="s">
        <v>430</v>
      </c>
      <c r="E17" s="46">
        <v>13.5</v>
      </c>
      <c r="F17" s="46">
        <v>1</v>
      </c>
      <c r="G17" s="506">
        <v>1320</v>
      </c>
      <c r="H17" s="48">
        <f>+N17</f>
        <v>0.22000000000000008</v>
      </c>
      <c r="I17" s="49">
        <v>0.88</v>
      </c>
      <c r="J17" s="89">
        <f>E17*G17*(1-H17)*1440/1000000*2.75</f>
        <v>55.042415999999989</v>
      </c>
      <c r="K17" s="89">
        <f t="shared" ref="K17" si="10">(IF(G17&lt;L17,L17,G17)*(1-IF(H17&lt;N17,H17,N17))*E17*O17*Q17)/100000000</f>
        <v>55.042415999999989</v>
      </c>
      <c r="L17" s="39">
        <v>1260</v>
      </c>
      <c r="M17" s="39">
        <v>982.8</v>
      </c>
      <c r="N17" s="50">
        <f>1-(M17/L17)</f>
        <v>0.22000000000000008</v>
      </c>
      <c r="O17" s="51">
        <f>+'Trim Rwd'!H8</f>
        <v>275</v>
      </c>
      <c r="P17" s="52">
        <f>O17*(Q17-R17-S17)</f>
        <v>326425</v>
      </c>
      <c r="Q17" s="51">
        <v>1440</v>
      </c>
      <c r="R17" s="507">
        <v>210</v>
      </c>
      <c r="S17" s="507">
        <v>43</v>
      </c>
      <c r="T17" s="41">
        <f>E17*M17*O17*Q17/100000000</f>
        <v>52.540488000000003</v>
      </c>
      <c r="U17" s="41">
        <f>E17*M17*O17*(Q17-R17-S17)/100000000</f>
        <v>43.309416149999997</v>
      </c>
      <c r="V17" s="41">
        <f>E17*G17*(1-N17)*O17/100*(R17+S17)/1000000</f>
        <v>9.6706466999999989</v>
      </c>
      <c r="W17" s="41">
        <f>+'3'!K7/1000</f>
        <v>43.02</v>
      </c>
      <c r="X17" s="508">
        <f>SUM(W17:W20)/SUM(K17:K20)</f>
        <v>0.78157906440734748</v>
      </c>
      <c r="Y17" s="218">
        <v>0</v>
      </c>
      <c r="Z17" s="41">
        <f>+'3'!D7/1000</f>
        <v>0.6</v>
      </c>
      <c r="AA17" s="53">
        <f>SUM(U17:U20)-SUM(W17:W20)-SUM(Z17:Z20)-SUM(Y17:Y20)</f>
        <v>-0.3105838500000061</v>
      </c>
      <c r="AB17" s="53">
        <f>(SUM(K17:K20)-SUM(W17:W20)-SUM(Y17:Y20)-SUM(Z17:Z20)-SUM(AC17:AC20)-SUM(V17:V20))-AA17</f>
        <v>-0.43957484999999219</v>
      </c>
      <c r="AC17" s="41">
        <f>K17-T17</f>
        <v>2.5019279999999853</v>
      </c>
      <c r="AD17" s="41">
        <f>+AM17+BC17</f>
        <v>0</v>
      </c>
      <c r="AE17" s="237" t="s">
        <v>386</v>
      </c>
      <c r="AF17" s="41">
        <v>0</v>
      </c>
      <c r="AG17" s="41"/>
      <c r="AH17" s="41"/>
      <c r="AI17" s="509"/>
      <c r="AJ17" s="41"/>
      <c r="AK17" s="41"/>
      <c r="AL17" s="41"/>
      <c r="AM17" s="41">
        <f>SUM(AF17:AL17)+AT17</f>
        <v>0</v>
      </c>
      <c r="AN17" s="41"/>
      <c r="AO17" s="41"/>
      <c r="AP17" s="41"/>
      <c r="AQ17" s="41"/>
      <c r="AR17" s="41">
        <f>SUM(AN17:AQ17)</f>
        <v>0</v>
      </c>
      <c r="AS17" s="41"/>
      <c r="AT17" s="41"/>
      <c r="AU17" s="41"/>
      <c r="AV17" s="41"/>
      <c r="AW17" s="41"/>
      <c r="AX17" s="41"/>
      <c r="AY17" s="41"/>
      <c r="AZ17" s="41"/>
      <c r="BA17" s="41"/>
      <c r="BB17" s="41"/>
      <c r="BC17" s="41">
        <f>+AR17+AS17+AU17+AV17+AX17</f>
        <v>0</v>
      </c>
      <c r="BD17" s="37">
        <v>0</v>
      </c>
      <c r="BE17" s="55"/>
      <c r="BF17" s="55"/>
      <c r="BG17" s="37"/>
      <c r="BH17" s="55"/>
    </row>
    <row r="18" spans="1:60" ht="12.95" customHeight="1">
      <c r="A18" s="44"/>
      <c r="B18" s="45"/>
      <c r="C18" s="451"/>
      <c r="D18" s="45"/>
      <c r="E18" s="46"/>
      <c r="F18" s="46"/>
      <c r="G18" s="506"/>
      <c r="H18" s="48"/>
      <c r="I18" s="49"/>
      <c r="J18" s="89"/>
      <c r="K18" s="89"/>
      <c r="L18" s="39"/>
      <c r="M18" s="39"/>
      <c r="N18" s="50"/>
      <c r="O18" s="51"/>
      <c r="P18" s="52"/>
      <c r="Q18" s="51"/>
      <c r="R18" s="507"/>
      <c r="S18" s="507"/>
      <c r="T18" s="41"/>
      <c r="U18" s="41"/>
      <c r="V18" s="41"/>
      <c r="W18" s="41"/>
      <c r="X18" s="42"/>
      <c r="Y18" s="218"/>
      <c r="Z18" s="41"/>
      <c r="AA18" s="41"/>
      <c r="AB18" s="41"/>
      <c r="AC18" s="41"/>
      <c r="AD18" s="41">
        <f t="shared" ref="AD18:AD21" si="11">+AM18+BC18</f>
        <v>16</v>
      </c>
      <c r="AE18" s="237" t="s">
        <v>419</v>
      </c>
      <c r="AF18" s="41"/>
      <c r="AG18" s="41">
        <v>16</v>
      </c>
      <c r="AH18" s="41"/>
      <c r="AI18" s="509"/>
      <c r="AJ18" s="41"/>
      <c r="AK18" s="41"/>
      <c r="AL18" s="41"/>
      <c r="AM18" s="41">
        <f t="shared" ref="AM18:AM20" si="12">SUM(AF18:AL18)+AT18</f>
        <v>16</v>
      </c>
      <c r="AN18" s="90"/>
      <c r="AO18" s="41"/>
      <c r="AP18" s="41"/>
      <c r="AQ18" s="41"/>
      <c r="AR18" s="41">
        <f t="shared" ref="AR18:AR20" si="13">SUM(AN18:AQ18)</f>
        <v>0</v>
      </c>
      <c r="AS18" s="41"/>
      <c r="AT18" s="41"/>
      <c r="AU18" s="41"/>
      <c r="AV18" s="41"/>
      <c r="AW18" s="41"/>
      <c r="AX18" s="41"/>
      <c r="AY18" s="41"/>
      <c r="AZ18" s="41"/>
      <c r="BA18" s="41"/>
      <c r="BB18" s="41"/>
      <c r="BC18" s="41">
        <f t="shared" ref="BC18:BC21" si="14">+AR18+AS18+AU18+AV18+AX18</f>
        <v>0</v>
      </c>
      <c r="BD18" s="54"/>
      <c r="BE18" s="55">
        <v>11</v>
      </c>
      <c r="BF18" s="55"/>
      <c r="BG18" s="54"/>
      <c r="BH18" s="55"/>
    </row>
    <row r="19" spans="1:60" ht="12.95" customHeight="1">
      <c r="A19" s="44"/>
      <c r="B19" s="45"/>
      <c r="C19" s="451"/>
      <c r="D19" s="45"/>
      <c r="E19" s="46"/>
      <c r="F19" s="46"/>
      <c r="G19" s="47"/>
      <c r="H19" s="48"/>
      <c r="I19" s="49"/>
      <c r="J19" s="89"/>
      <c r="K19" s="89"/>
      <c r="L19" s="39"/>
      <c r="M19" s="39"/>
      <c r="N19" s="50"/>
      <c r="O19" s="51"/>
      <c r="P19" s="52"/>
      <c r="Q19" s="51"/>
      <c r="R19" s="507"/>
      <c r="S19" s="507"/>
      <c r="T19" s="41"/>
      <c r="U19" s="41"/>
      <c r="V19" s="41"/>
      <c r="W19" s="41"/>
      <c r="X19" s="42"/>
      <c r="Y19" s="218"/>
      <c r="Z19" s="41"/>
      <c r="AA19" s="41"/>
      <c r="AB19" s="41"/>
      <c r="AC19" s="41"/>
      <c r="AD19" s="41">
        <f t="shared" si="11"/>
        <v>27</v>
      </c>
      <c r="AE19" s="237" t="s">
        <v>457</v>
      </c>
      <c r="AF19" s="37"/>
      <c r="AG19" s="37"/>
      <c r="AH19" s="37">
        <v>27</v>
      </c>
      <c r="AJ19" s="41"/>
      <c r="AK19" s="41"/>
      <c r="AL19" s="41"/>
      <c r="AM19" s="41">
        <f t="shared" si="12"/>
        <v>27</v>
      </c>
      <c r="AN19" s="41"/>
      <c r="AO19" s="41"/>
      <c r="AP19" s="41"/>
      <c r="AQ19" s="41"/>
      <c r="AR19" s="41">
        <f t="shared" si="13"/>
        <v>0</v>
      </c>
      <c r="AS19" s="41"/>
      <c r="AT19" s="41"/>
      <c r="AU19" s="41"/>
      <c r="AV19" s="41"/>
      <c r="AW19" s="41"/>
      <c r="AX19" s="41"/>
      <c r="AY19" s="41"/>
      <c r="AZ19" s="41"/>
      <c r="BA19" s="41"/>
      <c r="BB19" s="41"/>
      <c r="BC19" s="41">
        <f t="shared" si="14"/>
        <v>0</v>
      </c>
      <c r="BD19" s="37"/>
      <c r="BE19" s="510"/>
      <c r="BF19" s="510"/>
      <c r="BG19" s="37"/>
      <c r="BH19" s="510"/>
    </row>
    <row r="20" spans="1:60" ht="12.95" customHeight="1">
      <c r="A20" s="44"/>
      <c r="B20" s="45"/>
      <c r="C20" s="451"/>
      <c r="D20" s="45"/>
      <c r="E20" s="46"/>
      <c r="F20" s="46"/>
      <c r="G20" s="47"/>
      <c r="H20" s="48"/>
      <c r="I20" s="49"/>
      <c r="J20" s="89"/>
      <c r="K20" s="89"/>
      <c r="L20" s="39"/>
      <c r="M20" s="39"/>
      <c r="N20" s="50"/>
      <c r="O20" s="51"/>
      <c r="P20" s="52"/>
      <c r="Q20" s="38"/>
      <c r="R20" s="507"/>
      <c r="S20" s="507"/>
      <c r="T20" s="41"/>
      <c r="U20" s="41"/>
      <c r="V20" s="41"/>
      <c r="W20" s="41"/>
      <c r="X20" s="42"/>
      <c r="Y20" s="218"/>
      <c r="Z20" s="41"/>
      <c r="AA20" s="41"/>
      <c r="AB20" s="41"/>
      <c r="AC20" s="41"/>
      <c r="AD20" s="41">
        <f t="shared" si="11"/>
        <v>0</v>
      </c>
      <c r="AE20" s="240" t="s">
        <v>225</v>
      </c>
      <c r="AF20" s="41"/>
      <c r="AG20" s="41"/>
      <c r="AH20" s="41"/>
      <c r="AI20" s="509">
        <v>0</v>
      </c>
      <c r="AJ20" s="41"/>
      <c r="AK20" s="41"/>
      <c r="AL20" s="41"/>
      <c r="AM20" s="41">
        <f t="shared" si="12"/>
        <v>0</v>
      </c>
      <c r="AN20" s="41"/>
      <c r="AO20" s="41"/>
      <c r="AP20" s="41"/>
      <c r="AQ20" s="41"/>
      <c r="AR20" s="41">
        <f t="shared" si="13"/>
        <v>0</v>
      </c>
      <c r="AS20" s="41"/>
      <c r="AT20" s="41"/>
      <c r="AU20" s="41"/>
      <c r="AV20" s="41"/>
      <c r="AW20" s="41"/>
      <c r="AX20" s="41"/>
      <c r="AY20" s="41"/>
      <c r="AZ20" s="41"/>
      <c r="BA20" s="41"/>
      <c r="BB20" s="41"/>
      <c r="BC20" s="41">
        <f t="shared" si="14"/>
        <v>0</v>
      </c>
      <c r="BD20" s="54"/>
      <c r="BE20" s="55"/>
      <c r="BF20" s="55"/>
      <c r="BG20" s="54"/>
      <c r="BH20" s="55"/>
    </row>
    <row r="21" spans="1:60" ht="12.95" customHeight="1">
      <c r="A21" s="44"/>
      <c r="B21" s="45"/>
      <c r="C21" s="451"/>
      <c r="D21" s="45"/>
      <c r="E21" s="46"/>
      <c r="F21" s="46"/>
      <c r="G21" s="47"/>
      <c r="H21" s="48"/>
      <c r="I21" s="49"/>
      <c r="J21" s="89"/>
      <c r="K21" s="89"/>
      <c r="L21" s="39"/>
      <c r="M21" s="39"/>
      <c r="N21" s="50"/>
      <c r="O21" s="51"/>
      <c r="P21" s="52"/>
      <c r="Q21" s="38"/>
      <c r="R21" s="507"/>
      <c r="S21" s="507"/>
      <c r="T21" s="41"/>
      <c r="U21" s="41"/>
      <c r="V21" s="41"/>
      <c r="W21" s="41"/>
      <c r="X21" s="42"/>
      <c r="Y21" s="218"/>
      <c r="Z21" s="41"/>
      <c r="AA21" s="41"/>
      <c r="AB21" s="41"/>
      <c r="AC21" s="41"/>
      <c r="AD21" s="41">
        <f t="shared" si="11"/>
        <v>210</v>
      </c>
      <c r="AE21" s="240" t="s">
        <v>544</v>
      </c>
      <c r="AF21" s="41"/>
      <c r="AG21" s="41"/>
      <c r="AH21" s="41"/>
      <c r="AI21" s="509">
        <v>0</v>
      </c>
      <c r="AJ21" s="41"/>
      <c r="AK21" s="41"/>
      <c r="AL21" s="41"/>
      <c r="AM21" s="41">
        <f t="shared" ref="AM21" si="15">SUM(AF21:AL21)+AT21</f>
        <v>0</v>
      </c>
      <c r="AN21" s="41"/>
      <c r="AO21" s="41"/>
      <c r="AP21" s="41">
        <v>210</v>
      </c>
      <c r="AQ21" s="41"/>
      <c r="AR21" s="41">
        <f t="shared" ref="AR21" si="16">SUM(AN21:AQ21)</f>
        <v>210</v>
      </c>
      <c r="AS21" s="41"/>
      <c r="AT21" s="41"/>
      <c r="AU21" s="41"/>
      <c r="AV21" s="41"/>
      <c r="AW21" s="41"/>
      <c r="AX21" s="41"/>
      <c r="AY21" s="41"/>
      <c r="AZ21" s="41"/>
      <c r="BA21" s="41"/>
      <c r="BB21" s="41"/>
      <c r="BC21" s="41">
        <f t="shared" si="14"/>
        <v>210</v>
      </c>
      <c r="BD21" s="54"/>
      <c r="BE21" s="55"/>
      <c r="BF21" s="55"/>
      <c r="BG21" s="54"/>
      <c r="BH21" s="55"/>
    </row>
    <row r="22" spans="1:60" ht="12.95" customHeight="1">
      <c r="A22" s="44"/>
      <c r="B22" s="45"/>
      <c r="C22" s="451"/>
      <c r="D22" s="45"/>
      <c r="E22" s="46"/>
      <c r="F22" s="46"/>
      <c r="G22" s="47"/>
      <c r="H22" s="48"/>
      <c r="I22" s="49"/>
      <c r="J22" s="89"/>
      <c r="K22" s="89"/>
      <c r="L22" s="39"/>
      <c r="M22" s="39"/>
      <c r="N22" s="50"/>
      <c r="O22" s="51"/>
      <c r="P22" s="52"/>
      <c r="Q22" s="38"/>
      <c r="R22" s="507"/>
      <c r="S22" s="507"/>
      <c r="T22" s="41"/>
      <c r="U22" s="41"/>
      <c r="V22" s="41"/>
      <c r="W22" s="41"/>
      <c r="X22" s="42"/>
      <c r="Y22" s="218"/>
      <c r="Z22" s="41"/>
      <c r="AA22" s="41"/>
      <c r="AB22" s="41"/>
      <c r="AC22" s="41"/>
      <c r="AD22" s="41"/>
      <c r="AE22" s="240"/>
      <c r="AF22" s="41"/>
      <c r="AG22" s="41"/>
      <c r="AH22" s="41"/>
      <c r="AI22" s="509"/>
      <c r="AJ22" s="41"/>
      <c r="AK22" s="41"/>
      <c r="AL22" s="41"/>
      <c r="AM22" s="41"/>
      <c r="AN22" s="41"/>
      <c r="AO22" s="41"/>
      <c r="AP22" s="41"/>
      <c r="AQ22" s="41"/>
      <c r="AR22" s="41"/>
      <c r="AS22" s="41"/>
      <c r="AT22" s="41"/>
      <c r="AU22" s="41"/>
      <c r="AV22" s="41"/>
      <c r="AW22" s="41"/>
      <c r="AX22" s="41"/>
      <c r="AY22" s="41"/>
      <c r="AZ22" s="41"/>
      <c r="BA22" s="41"/>
      <c r="BB22" s="41"/>
      <c r="BC22" s="41"/>
      <c r="BD22" s="54"/>
      <c r="BE22" s="55"/>
      <c r="BF22" s="55"/>
      <c r="BG22" s="37"/>
      <c r="BH22" s="55"/>
    </row>
    <row r="23" spans="1:60" ht="12.95" customHeight="1">
      <c r="A23" s="44">
        <v>46026</v>
      </c>
      <c r="B23" s="45" t="s">
        <v>417</v>
      </c>
      <c r="C23" s="451">
        <f>(M23*E23*O23*Q23)/100000000</f>
        <v>42.040027098837207</v>
      </c>
      <c r="D23" s="45" t="s">
        <v>430</v>
      </c>
      <c r="E23" s="46">
        <v>13.5</v>
      </c>
      <c r="F23" s="46">
        <v>1</v>
      </c>
      <c r="G23" s="506">
        <v>1320</v>
      </c>
      <c r="H23" s="48">
        <f>+N23</f>
        <v>0.21999999999999997</v>
      </c>
      <c r="I23" s="49">
        <v>0.88</v>
      </c>
      <c r="J23" s="89">
        <f>E23*G23*(1-H23)*1440/1000000*2.75</f>
        <v>55.042415999999996</v>
      </c>
      <c r="K23" s="89">
        <f t="shared" ref="K23:K24" si="17">(IF(G23&lt;L23,L23,G23)*(1-IF(H23&lt;N23,H23,N23))*E23*O23*Q23)/100000000</f>
        <v>44.721963000000009</v>
      </c>
      <c r="L23" s="39">
        <v>1240.8407871198569</v>
      </c>
      <c r="M23" s="39">
        <v>967.85581395348845</v>
      </c>
      <c r="N23" s="50">
        <f>1-(M23/L23)</f>
        <v>0.21999999999999997</v>
      </c>
      <c r="O23" s="51">
        <f>+'Trim Rwd'!H10</f>
        <v>275</v>
      </c>
      <c r="P23" s="52">
        <f>O23*(Q23-R23-S23)</f>
        <v>296450</v>
      </c>
      <c r="Q23" s="51">
        <f>1118+52</f>
        <v>1170</v>
      </c>
      <c r="R23" s="507">
        <v>52</v>
      </c>
      <c r="S23" s="507">
        <v>40</v>
      </c>
      <c r="T23" s="41">
        <f>E23*M23*O23*Q23/100000000</f>
        <v>42.040027098837207</v>
      </c>
      <c r="U23" s="41">
        <f>E23*M23*O23*(Q23-R23-S23)/100000000</f>
        <v>38.734315566279072</v>
      </c>
      <c r="V23" s="41">
        <f>E23*G23*(1-N23)*O23/100*(R23+S23)/1000000</f>
        <v>3.5165988000000001</v>
      </c>
      <c r="W23" s="41">
        <f>+'4'!K7/1000</f>
        <v>42.043999999999997</v>
      </c>
      <c r="X23" s="508">
        <f>SUM(W23:W26)/SUM(K23:K26)</f>
        <v>0.87693646703316497</v>
      </c>
      <c r="Y23" s="218">
        <v>0</v>
      </c>
      <c r="Z23" s="41">
        <v>0</v>
      </c>
      <c r="AA23" s="53">
        <f>SUM(U23:U26)-SUM(W23:W26)-SUM(Z23:Z26)-SUM(Y23:Y26)</f>
        <v>0.10535924627907889</v>
      </c>
      <c r="AB23" s="53">
        <f>(SUM(K23:K26)-SUM(W23:W26)-SUM(Y23:Y26)-SUM(Z23:Z26)-SUM(AC23:AC26)-SUM(V23:V26))-AA23</f>
        <v>-0.21559570744186285</v>
      </c>
      <c r="AC23" s="41">
        <f>K23-T23</f>
        <v>2.6819359011628023</v>
      </c>
      <c r="AD23" s="41">
        <f>+AM23+BC23</f>
        <v>0</v>
      </c>
      <c r="AE23" s="237" t="s">
        <v>386</v>
      </c>
      <c r="AF23" s="41">
        <v>0</v>
      </c>
      <c r="AG23" s="41"/>
      <c r="AH23" s="41"/>
      <c r="AI23" s="509"/>
      <c r="AJ23" s="41"/>
      <c r="AK23" s="41"/>
      <c r="AL23" s="41"/>
      <c r="AM23" s="41">
        <f>SUM(AF23:AL23)+AT23</f>
        <v>0</v>
      </c>
      <c r="AN23" s="41"/>
      <c r="AO23" s="41"/>
      <c r="AP23" s="41"/>
      <c r="AQ23" s="41"/>
      <c r="AR23" s="41">
        <f>SUM(AN23:AQ23)</f>
        <v>0</v>
      </c>
      <c r="AS23" s="41"/>
      <c r="AT23" s="41"/>
      <c r="AU23" s="41"/>
      <c r="AV23" s="41"/>
      <c r="AW23" s="41"/>
      <c r="AX23" s="41"/>
      <c r="AY23" s="41"/>
      <c r="AZ23" s="41"/>
      <c r="BA23" s="41"/>
      <c r="BB23" s="41"/>
      <c r="BC23" s="41">
        <f>+AR23+AS23+AU23+AV23+AX23</f>
        <v>0</v>
      </c>
      <c r="BD23" s="37">
        <v>0</v>
      </c>
      <c r="BE23" s="55"/>
      <c r="BF23" s="55"/>
      <c r="BG23" s="37"/>
      <c r="BH23" s="55"/>
    </row>
    <row r="24" spans="1:60" ht="12.95" customHeight="1">
      <c r="A24" s="44"/>
      <c r="B24" s="45" t="s">
        <v>417</v>
      </c>
      <c r="C24" s="451">
        <f>(M24*E24*O24*Q24)/100000000</f>
        <v>9.8312227200000013</v>
      </c>
      <c r="D24" s="45" t="s">
        <v>430</v>
      </c>
      <c r="E24" s="46">
        <v>14.5</v>
      </c>
      <c r="F24" s="46">
        <v>1</v>
      </c>
      <c r="G24" s="506">
        <v>1170</v>
      </c>
      <c r="H24" s="48">
        <f>+N24</f>
        <v>0.17999999999999994</v>
      </c>
      <c r="I24" s="49">
        <v>0.88</v>
      </c>
      <c r="J24" s="89">
        <f>E24*G24*(1-H24)*1440/1000000*2.75</f>
        <v>55.088747999999995</v>
      </c>
      <c r="K24" s="89">
        <f t="shared" si="17"/>
        <v>9.91597464</v>
      </c>
      <c r="L24" s="39">
        <v>1160</v>
      </c>
      <c r="M24" s="39">
        <v>951.2</v>
      </c>
      <c r="N24" s="50">
        <f>1-(M24/L24)</f>
        <v>0.17999999999999994</v>
      </c>
      <c r="O24" s="51">
        <f>+'Trim Rwd'!H11</f>
        <v>264</v>
      </c>
      <c r="P24" s="52">
        <f>O24*(Q24-R24-S24)</f>
        <v>67320</v>
      </c>
      <c r="Q24" s="51">
        <v>270</v>
      </c>
      <c r="R24" s="507">
        <v>0</v>
      </c>
      <c r="S24" s="507">
        <v>15</v>
      </c>
      <c r="T24" s="41">
        <f>E24*M24*O24*Q24/100000000</f>
        <v>9.8312227200000013</v>
      </c>
      <c r="U24" s="41">
        <f>E24*M24*O24*(Q24-R24-S24)/100000000</f>
        <v>9.2850436800000011</v>
      </c>
      <c r="V24" s="41">
        <f>E24*G24*(1-N24)*O24/100*(R24+S24)/1000000</f>
        <v>0.55088747999999998</v>
      </c>
      <c r="W24" s="41">
        <f>+'4'!K8/1000</f>
        <v>5.87</v>
      </c>
      <c r="X24" s="42"/>
      <c r="Y24" s="218"/>
      <c r="Z24" s="41"/>
      <c r="AA24" s="41"/>
      <c r="AB24" s="41"/>
      <c r="AC24" s="41">
        <f>K24-T24</f>
        <v>8.4751919999998648E-2</v>
      </c>
      <c r="AD24" s="41">
        <f t="shared" ref="AD24:AD27" si="18">+AM24+BC24</f>
        <v>12</v>
      </c>
      <c r="AE24" s="237" t="s">
        <v>438</v>
      </c>
      <c r="AF24" s="41"/>
      <c r="AG24" s="41">
        <v>12</v>
      </c>
      <c r="AH24" s="41"/>
      <c r="AI24" s="509"/>
      <c r="AJ24" s="41"/>
      <c r="AK24" s="41"/>
      <c r="AL24" s="41"/>
      <c r="AM24" s="41">
        <f t="shared" ref="AM24:AM27" si="19">SUM(AF24:AL24)+AT24</f>
        <v>12</v>
      </c>
      <c r="AN24" s="90"/>
      <c r="AO24" s="41"/>
      <c r="AP24" s="41"/>
      <c r="AQ24" s="41"/>
      <c r="AR24" s="41">
        <f t="shared" ref="AR24:AR27" si="20">SUM(AN24:AQ24)</f>
        <v>0</v>
      </c>
      <c r="AS24" s="41"/>
      <c r="AT24" s="41"/>
      <c r="AU24" s="41"/>
      <c r="AV24" s="41"/>
      <c r="AW24" s="41"/>
      <c r="AX24" s="41"/>
      <c r="AY24" s="41"/>
      <c r="AZ24" s="41"/>
      <c r="BA24" s="41"/>
      <c r="BB24" s="41"/>
      <c r="BC24" s="41">
        <f t="shared" ref="BC24:BC27" si="21">+AR24+AS24+AU24+AV24+AX24</f>
        <v>0</v>
      </c>
      <c r="BD24" s="54"/>
      <c r="BE24" s="55">
        <v>8</v>
      </c>
      <c r="BF24" s="55"/>
      <c r="BG24" s="54"/>
      <c r="BH24" s="55"/>
    </row>
    <row r="25" spans="1:60" ht="12.95" customHeight="1">
      <c r="A25" s="44"/>
      <c r="B25" s="45"/>
      <c r="C25" s="451"/>
      <c r="D25" s="45"/>
      <c r="E25" s="46"/>
      <c r="F25" s="46"/>
      <c r="G25" s="47"/>
      <c r="H25" s="48"/>
      <c r="I25" s="49"/>
      <c r="J25" s="89"/>
      <c r="K25" s="89"/>
      <c r="L25" s="39"/>
      <c r="M25" s="39"/>
      <c r="N25" s="50"/>
      <c r="O25" s="51"/>
      <c r="P25" s="52"/>
      <c r="Q25" s="51"/>
      <c r="R25" s="507"/>
      <c r="S25" s="507"/>
      <c r="T25" s="41"/>
      <c r="U25" s="41"/>
      <c r="V25" s="41"/>
      <c r="W25" s="41"/>
      <c r="X25" s="42"/>
      <c r="Y25" s="218"/>
      <c r="Z25" s="41"/>
      <c r="AA25" s="41"/>
      <c r="AB25" s="41"/>
      <c r="AC25" s="41"/>
      <c r="AD25" s="41">
        <f t="shared" si="18"/>
        <v>36</v>
      </c>
      <c r="AE25" s="237" t="s">
        <v>456</v>
      </c>
      <c r="AF25" s="37"/>
      <c r="AG25" s="37"/>
      <c r="AH25" s="37">
        <v>36</v>
      </c>
      <c r="AJ25" s="41"/>
      <c r="AK25" s="41"/>
      <c r="AL25" s="41"/>
      <c r="AM25" s="41">
        <f t="shared" si="19"/>
        <v>36</v>
      </c>
      <c r="AN25" s="41"/>
      <c r="AO25" s="41"/>
      <c r="AP25" s="41"/>
      <c r="AQ25" s="41"/>
      <c r="AR25" s="41">
        <f t="shared" si="20"/>
        <v>0</v>
      </c>
      <c r="AS25" s="41"/>
      <c r="AT25" s="41"/>
      <c r="AU25" s="41"/>
      <c r="AV25" s="41"/>
      <c r="AW25" s="41"/>
      <c r="AX25" s="41"/>
      <c r="AY25" s="41"/>
      <c r="AZ25" s="41"/>
      <c r="BA25" s="41"/>
      <c r="BB25" s="41"/>
      <c r="BC25" s="41">
        <f t="shared" si="21"/>
        <v>0</v>
      </c>
      <c r="BD25" s="37"/>
      <c r="BE25" s="510"/>
      <c r="BF25" s="510"/>
      <c r="BG25" s="37"/>
      <c r="BH25" s="510"/>
    </row>
    <row r="26" spans="1:60" ht="12.95" customHeight="1">
      <c r="A26" s="44"/>
      <c r="B26" s="45"/>
      <c r="C26" s="451"/>
      <c r="D26" s="45"/>
      <c r="E26" s="46"/>
      <c r="F26" s="46"/>
      <c r="G26" s="47"/>
      <c r="H26" s="48"/>
      <c r="I26" s="49"/>
      <c r="J26" s="89"/>
      <c r="K26" s="89"/>
      <c r="L26" s="39"/>
      <c r="M26" s="39"/>
      <c r="N26" s="50"/>
      <c r="O26" s="51"/>
      <c r="P26" s="52"/>
      <c r="Q26" s="38"/>
      <c r="R26" s="507"/>
      <c r="S26" s="507"/>
      <c r="T26" s="41"/>
      <c r="U26" s="41"/>
      <c r="V26" s="41"/>
      <c r="W26" s="41"/>
      <c r="X26" s="42"/>
      <c r="Y26" s="218"/>
      <c r="Z26" s="41"/>
      <c r="AA26" s="41"/>
      <c r="AB26" s="41"/>
      <c r="AC26" s="41"/>
      <c r="AD26" s="41">
        <f t="shared" si="18"/>
        <v>7</v>
      </c>
      <c r="AE26" s="240" t="s">
        <v>225</v>
      </c>
      <c r="AF26" s="41"/>
      <c r="AG26" s="41"/>
      <c r="AH26" s="41"/>
      <c r="AI26" s="509">
        <v>7</v>
      </c>
      <c r="AJ26" s="41"/>
      <c r="AK26" s="41"/>
      <c r="AL26" s="41"/>
      <c r="AM26" s="41">
        <f t="shared" si="19"/>
        <v>7</v>
      </c>
      <c r="AN26" s="41"/>
      <c r="AO26" s="41"/>
      <c r="AP26" s="41"/>
      <c r="AQ26" s="41"/>
      <c r="AR26" s="41">
        <f t="shared" si="20"/>
        <v>0</v>
      </c>
      <c r="AS26" s="41"/>
      <c r="AT26" s="41"/>
      <c r="AU26" s="41"/>
      <c r="AV26" s="41"/>
      <c r="AW26" s="41"/>
      <c r="AX26" s="41"/>
      <c r="AY26" s="41"/>
      <c r="AZ26" s="41"/>
      <c r="BA26" s="41"/>
      <c r="BB26" s="41"/>
      <c r="BC26" s="41">
        <f t="shared" si="21"/>
        <v>0</v>
      </c>
      <c r="BD26" s="54"/>
      <c r="BE26" s="55"/>
      <c r="BF26" s="55"/>
      <c r="BG26" s="54"/>
      <c r="BH26" s="55"/>
    </row>
    <row r="27" spans="1:60" ht="12.95" customHeight="1">
      <c r="A27" s="44"/>
      <c r="B27" s="45"/>
      <c r="C27" s="451"/>
      <c r="D27" s="45"/>
      <c r="E27" s="46"/>
      <c r="F27" s="46"/>
      <c r="G27" s="47"/>
      <c r="H27" s="48"/>
      <c r="I27" s="49"/>
      <c r="J27" s="89"/>
      <c r="K27" s="89"/>
      <c r="L27" s="39"/>
      <c r="M27" s="39"/>
      <c r="N27" s="50"/>
      <c r="O27" s="51"/>
      <c r="P27" s="52"/>
      <c r="Q27" s="38"/>
      <c r="R27" s="507"/>
      <c r="S27" s="507"/>
      <c r="T27" s="41"/>
      <c r="U27" s="41"/>
      <c r="V27" s="41"/>
      <c r="W27" s="41"/>
      <c r="X27" s="42"/>
      <c r="Y27" s="218"/>
      <c r="Z27" s="41"/>
      <c r="AA27" s="41"/>
      <c r="AB27" s="41"/>
      <c r="AC27" s="41"/>
      <c r="AD27" s="41">
        <f t="shared" si="18"/>
        <v>52</v>
      </c>
      <c r="AE27" s="240" t="s">
        <v>458</v>
      </c>
      <c r="AF27" s="41"/>
      <c r="AG27" s="41"/>
      <c r="AH27" s="41"/>
      <c r="AI27" s="509"/>
      <c r="AJ27" s="41"/>
      <c r="AK27" s="41"/>
      <c r="AL27" s="41"/>
      <c r="AM27" s="41">
        <f t="shared" si="19"/>
        <v>0</v>
      </c>
      <c r="AN27" s="41"/>
      <c r="AO27" s="41"/>
      <c r="AP27" s="41">
        <v>52</v>
      </c>
      <c r="AQ27" s="41"/>
      <c r="AR27" s="41">
        <f t="shared" si="20"/>
        <v>52</v>
      </c>
      <c r="AS27" s="41"/>
      <c r="AT27" s="41"/>
      <c r="AU27" s="41"/>
      <c r="AV27" s="41"/>
      <c r="AW27" s="41"/>
      <c r="AX27" s="41"/>
      <c r="AY27" s="41"/>
      <c r="AZ27" s="41"/>
      <c r="BA27" s="41"/>
      <c r="BB27" s="41"/>
      <c r="BC27" s="41">
        <f t="shared" si="21"/>
        <v>52</v>
      </c>
      <c r="BD27" s="54"/>
      <c r="BE27" s="55"/>
      <c r="BF27" s="55"/>
      <c r="BG27" s="54"/>
      <c r="BH27" s="55"/>
    </row>
    <row r="28" spans="1:60" ht="12.95" customHeight="1">
      <c r="A28" s="44"/>
      <c r="B28" s="45"/>
      <c r="C28" s="451"/>
      <c r="D28" s="45"/>
      <c r="E28" s="46"/>
      <c r="F28" s="46"/>
      <c r="G28" s="47"/>
      <c r="H28" s="48"/>
      <c r="I28" s="49"/>
      <c r="J28" s="89"/>
      <c r="K28" s="89"/>
      <c r="L28" s="39"/>
      <c r="M28" s="39"/>
      <c r="N28" s="50"/>
      <c r="O28" s="51"/>
      <c r="P28" s="52"/>
      <c r="Q28" s="38"/>
      <c r="R28" s="507"/>
      <c r="S28" s="507"/>
      <c r="T28" s="41"/>
      <c r="U28" s="41"/>
      <c r="V28" s="41"/>
      <c r="W28" s="41"/>
      <c r="X28" s="42"/>
      <c r="Y28" s="218"/>
      <c r="Z28" s="41"/>
      <c r="AA28" s="41"/>
      <c r="AB28" s="41"/>
      <c r="AC28" s="41"/>
      <c r="AD28" s="41"/>
      <c r="AE28" s="240"/>
      <c r="AF28" s="41"/>
      <c r="AG28" s="41"/>
      <c r="AH28" s="41"/>
      <c r="AI28" s="509"/>
      <c r="AJ28" s="41"/>
      <c r="AK28" s="41"/>
      <c r="AL28" s="41"/>
      <c r="AM28" s="41"/>
      <c r="AN28" s="41"/>
      <c r="AO28" s="41"/>
      <c r="AP28" s="41"/>
      <c r="AQ28" s="41"/>
      <c r="AR28" s="41"/>
      <c r="AS28" s="41"/>
      <c r="AT28" s="41"/>
      <c r="AU28" s="41"/>
      <c r="AV28" s="41"/>
      <c r="AW28" s="41"/>
      <c r="AX28" s="41"/>
      <c r="AY28" s="41"/>
      <c r="AZ28" s="41"/>
      <c r="BA28" s="41"/>
      <c r="BB28" s="41"/>
      <c r="BC28" s="41"/>
      <c r="BD28" s="54"/>
      <c r="BE28" s="55"/>
      <c r="BF28" s="55"/>
      <c r="BG28" s="54"/>
      <c r="BH28" s="55"/>
    </row>
    <row r="29" spans="1:60" ht="12.95" customHeight="1">
      <c r="A29" s="44">
        <v>46027</v>
      </c>
      <c r="B29" s="45" t="s">
        <v>417</v>
      </c>
      <c r="C29" s="451">
        <f>(M29*E29*O29*Q29)/100000000</f>
        <v>51.378497279999998</v>
      </c>
      <c r="D29" s="45" t="s">
        <v>430</v>
      </c>
      <c r="E29" s="46">
        <v>14.5</v>
      </c>
      <c r="F29" s="46">
        <v>1</v>
      </c>
      <c r="G29" s="506">
        <v>1170</v>
      </c>
      <c r="H29" s="48">
        <f>+N29</f>
        <v>0.18000000000000005</v>
      </c>
      <c r="I29" s="49">
        <v>0.88</v>
      </c>
      <c r="J29" s="89">
        <f>E29*G29*(1-H29)*1440/1000000*2.75</f>
        <v>55.088747999999995</v>
      </c>
      <c r="K29" s="89">
        <f t="shared" ref="K29" si="22">(IF(G29&lt;L29,L29,G29)*(1-IF(H29&lt;N29,H29,N29))*E29*O29*Q29)/100000000</f>
        <v>52.885198080000002</v>
      </c>
      <c r="L29" s="39">
        <v>1136.6666666666667</v>
      </c>
      <c r="M29" s="39">
        <v>932.06666666666672</v>
      </c>
      <c r="N29" s="50">
        <f>1-(M29/L29)</f>
        <v>0.18000000000000005</v>
      </c>
      <c r="O29" s="51">
        <f>+'Trim Rwd'!H13</f>
        <v>264</v>
      </c>
      <c r="P29" s="52">
        <f>O29*(Q29-R29-S29)</f>
        <v>359568</v>
      </c>
      <c r="Q29" s="51">
        <v>1440</v>
      </c>
      <c r="R29" s="507">
        <v>0</v>
      </c>
      <c r="S29" s="507">
        <f>56+22</f>
        <v>78</v>
      </c>
      <c r="T29" s="41">
        <f>E29*M29*O29*Q29/100000000</f>
        <v>51.378497279999998</v>
      </c>
      <c r="U29" s="41">
        <f>E29*M29*O29*(Q29-R29-S29)/100000000</f>
        <v>48.595495344000007</v>
      </c>
      <c r="V29" s="41">
        <f>E29*G29*(1-N29)*O29/100*(R29+S29)/1000000</f>
        <v>2.8646148959999995</v>
      </c>
      <c r="W29" s="41">
        <f>+'5'!K8/1000</f>
        <v>48.494999999999997</v>
      </c>
      <c r="X29" s="508">
        <f>SUM(W29:W32)/SUM(K29:K32)</f>
        <v>0.9169862600616735</v>
      </c>
      <c r="Y29" s="218">
        <v>0</v>
      </c>
      <c r="Z29" s="41">
        <v>0</v>
      </c>
      <c r="AA29" s="53">
        <f>SUM(U29:U32)-SUM(W29:W32)-SUM(Z29:Z32)-SUM(Y29:Y32)</f>
        <v>0.10049534400000937</v>
      </c>
      <c r="AB29" s="53">
        <f>(SUM(K29:K32)-SUM(W29:W32)-SUM(Y29:Y32)-SUM(Z29:Z32)-SUM(AC29:AC32)-SUM(V29:V32))-AA29</f>
        <v>-8.1612960000008616E-2</v>
      </c>
      <c r="AC29" s="41">
        <f>K29-T29</f>
        <v>1.5067008000000044</v>
      </c>
      <c r="AD29" s="41">
        <f>+AM29+BC29</f>
        <v>5</v>
      </c>
      <c r="AE29" s="237" t="s">
        <v>394</v>
      </c>
      <c r="AF29" s="41">
        <v>5</v>
      </c>
      <c r="AG29" s="41"/>
      <c r="AH29" s="41"/>
      <c r="AI29" s="509"/>
      <c r="AJ29" s="41"/>
      <c r="AK29" s="41"/>
      <c r="AL29" s="41"/>
      <c r="AM29" s="41">
        <f>SUM(AF29:AL29)+AT29</f>
        <v>5</v>
      </c>
      <c r="AN29" s="41"/>
      <c r="AO29" s="41"/>
      <c r="AP29" s="41"/>
      <c r="AQ29" s="41"/>
      <c r="AR29" s="41">
        <f>SUM(AN29:AQ29)</f>
        <v>0</v>
      </c>
      <c r="AS29" s="41"/>
      <c r="AT29" s="41"/>
      <c r="AU29" s="41"/>
      <c r="AV29" s="41"/>
      <c r="AW29" s="41"/>
      <c r="AX29" s="41"/>
      <c r="AY29" s="41"/>
      <c r="AZ29" s="41"/>
      <c r="BA29" s="41"/>
      <c r="BB29" s="41"/>
      <c r="BC29" s="41">
        <f>+AR29+AS29+AU29+AV29+AX29</f>
        <v>0</v>
      </c>
      <c r="BD29" s="37">
        <v>2</v>
      </c>
      <c r="BE29" s="55"/>
      <c r="BF29" s="55"/>
      <c r="BG29" s="37"/>
      <c r="BH29" s="55"/>
    </row>
    <row r="30" spans="1:60" ht="12.95" customHeight="1">
      <c r="A30" s="44"/>
      <c r="B30" s="45"/>
      <c r="C30" s="451"/>
      <c r="D30" s="45"/>
      <c r="E30" s="46"/>
      <c r="F30" s="46"/>
      <c r="G30" s="506"/>
      <c r="H30" s="48"/>
      <c r="I30" s="49"/>
      <c r="J30" s="89"/>
      <c r="K30" s="89"/>
      <c r="L30" s="39"/>
      <c r="M30" s="39"/>
      <c r="N30" s="50"/>
      <c r="O30" s="51"/>
      <c r="P30" s="52"/>
      <c r="Q30" s="51"/>
      <c r="R30" s="507"/>
      <c r="S30" s="507"/>
      <c r="T30" s="41"/>
      <c r="U30" s="41"/>
      <c r="V30" s="41"/>
      <c r="W30" s="41"/>
      <c r="X30" s="42"/>
      <c r="Y30" s="218"/>
      <c r="Z30" s="41"/>
      <c r="AA30" s="41"/>
      <c r="AB30" s="41"/>
      <c r="AC30" s="41"/>
      <c r="AD30" s="41">
        <f t="shared" ref="AD30:AD33" si="23">+AM30+BC30</f>
        <v>17</v>
      </c>
      <c r="AE30" s="237" t="s">
        <v>475</v>
      </c>
      <c r="AF30" s="41"/>
      <c r="AG30" s="41">
        <v>17</v>
      </c>
      <c r="AH30" s="41"/>
      <c r="AI30" s="509"/>
      <c r="AJ30" s="41"/>
      <c r="AK30" s="41"/>
      <c r="AL30" s="41"/>
      <c r="AM30" s="41">
        <f t="shared" ref="AM30:AM33" si="24">SUM(AF30:AL30)+AT30</f>
        <v>17</v>
      </c>
      <c r="AN30" s="90"/>
      <c r="AO30" s="41"/>
      <c r="AP30" s="41"/>
      <c r="AQ30" s="41"/>
      <c r="AR30" s="41">
        <f t="shared" ref="AR30:AR33" si="25">SUM(AN30:AQ30)</f>
        <v>0</v>
      </c>
      <c r="AS30" s="41"/>
      <c r="AT30" s="41"/>
      <c r="AU30" s="41"/>
      <c r="AV30" s="41"/>
      <c r="AW30" s="41"/>
      <c r="AX30" s="41"/>
      <c r="AY30" s="41"/>
      <c r="AZ30" s="41"/>
      <c r="BA30" s="41"/>
      <c r="BB30" s="41"/>
      <c r="BC30" s="41">
        <f t="shared" ref="BC30:BC33" si="26">+AR30+AS30+AU30+AV30+AX30</f>
        <v>0</v>
      </c>
      <c r="BD30" s="54"/>
      <c r="BE30" s="55">
        <v>12</v>
      </c>
      <c r="BF30" s="55"/>
      <c r="BG30" s="54"/>
      <c r="BH30" s="55"/>
    </row>
    <row r="31" spans="1:60" ht="12.95" customHeight="1">
      <c r="A31" s="44"/>
      <c r="B31" s="45"/>
      <c r="C31" s="451"/>
      <c r="D31" s="45"/>
      <c r="E31" s="46"/>
      <c r="F31" s="46"/>
      <c r="G31" s="47"/>
      <c r="H31" s="48"/>
      <c r="I31" s="49"/>
      <c r="J31" s="89"/>
      <c r="K31" s="89"/>
      <c r="L31" s="39"/>
      <c r="M31" s="39"/>
      <c r="N31" s="50"/>
      <c r="O31" s="51"/>
      <c r="P31" s="52"/>
      <c r="Q31" s="51"/>
      <c r="R31" s="507"/>
      <c r="S31" s="507"/>
      <c r="T31" s="41"/>
      <c r="U31" s="41"/>
      <c r="V31" s="41"/>
      <c r="W31" s="41"/>
      <c r="X31" s="42"/>
      <c r="Y31" s="218"/>
      <c r="Z31" s="41"/>
      <c r="AA31" s="41"/>
      <c r="AB31" s="41"/>
      <c r="AC31" s="41"/>
      <c r="AD31" s="41">
        <f t="shared" si="23"/>
        <v>27</v>
      </c>
      <c r="AE31" s="237" t="s">
        <v>396</v>
      </c>
      <c r="AF31" s="37"/>
      <c r="AG31" s="37"/>
      <c r="AH31" s="37">
        <v>27</v>
      </c>
      <c r="AJ31" s="41"/>
      <c r="AK31" s="41"/>
      <c r="AL31" s="41"/>
      <c r="AM31" s="41">
        <f t="shared" si="24"/>
        <v>27</v>
      </c>
      <c r="AN31" s="41"/>
      <c r="AO31" s="41"/>
      <c r="AP31" s="41"/>
      <c r="AQ31" s="41"/>
      <c r="AR31" s="41">
        <f t="shared" si="25"/>
        <v>0</v>
      </c>
      <c r="AS31" s="41"/>
      <c r="AT31" s="41"/>
      <c r="AU31" s="41"/>
      <c r="AV31" s="41"/>
      <c r="AW31" s="41"/>
      <c r="AX31" s="41"/>
      <c r="AY31" s="41"/>
      <c r="AZ31" s="41"/>
      <c r="BA31" s="41"/>
      <c r="BB31" s="41"/>
      <c r="BC31" s="41">
        <f t="shared" si="26"/>
        <v>0</v>
      </c>
      <c r="BD31" s="37"/>
      <c r="BE31" s="510"/>
      <c r="BF31" s="510"/>
      <c r="BG31" s="37"/>
      <c r="BH31" s="510"/>
    </row>
    <row r="32" spans="1:60" ht="12.95" customHeight="1">
      <c r="A32" s="44"/>
      <c r="B32" s="45"/>
      <c r="C32" s="451"/>
      <c r="D32" s="45"/>
      <c r="E32" s="46"/>
      <c r="F32" s="46"/>
      <c r="G32" s="47"/>
      <c r="H32" s="48"/>
      <c r="I32" s="49"/>
      <c r="J32" s="89"/>
      <c r="K32" s="89"/>
      <c r="L32" s="39"/>
      <c r="M32" s="39"/>
      <c r="N32" s="50"/>
      <c r="O32" s="51"/>
      <c r="P32" s="52"/>
      <c r="Q32" s="38"/>
      <c r="R32" s="507"/>
      <c r="S32" s="507"/>
      <c r="T32" s="41"/>
      <c r="U32" s="41"/>
      <c r="V32" s="41"/>
      <c r="W32" s="41"/>
      <c r="X32" s="42"/>
      <c r="Y32" s="218"/>
      <c r="Z32" s="41"/>
      <c r="AA32" s="41"/>
      <c r="AB32" s="41"/>
      <c r="AC32" s="41"/>
      <c r="AD32" s="41">
        <f t="shared" si="23"/>
        <v>7</v>
      </c>
      <c r="AE32" s="240" t="s">
        <v>225</v>
      </c>
      <c r="AF32" s="41"/>
      <c r="AG32" s="41"/>
      <c r="AH32" s="41"/>
      <c r="AI32" s="509">
        <v>7</v>
      </c>
      <c r="AJ32" s="41"/>
      <c r="AK32" s="41"/>
      <c r="AL32" s="41"/>
      <c r="AM32" s="41">
        <f t="shared" si="24"/>
        <v>7</v>
      </c>
      <c r="AN32" s="41"/>
      <c r="AO32" s="41"/>
      <c r="AP32" s="41"/>
      <c r="AQ32" s="41"/>
      <c r="AR32" s="41">
        <f t="shared" si="25"/>
        <v>0</v>
      </c>
      <c r="AS32" s="41"/>
      <c r="AT32" s="41"/>
      <c r="AU32" s="41"/>
      <c r="AV32" s="41"/>
      <c r="AW32" s="41"/>
      <c r="AX32" s="41"/>
      <c r="AY32" s="41"/>
      <c r="AZ32" s="41"/>
      <c r="BA32" s="41"/>
      <c r="BB32" s="41"/>
      <c r="BC32" s="41">
        <f t="shared" si="26"/>
        <v>0</v>
      </c>
      <c r="BD32" s="54"/>
      <c r="BE32" s="55"/>
      <c r="BF32" s="55"/>
      <c r="BG32" s="54"/>
      <c r="BH32" s="55"/>
    </row>
    <row r="33" spans="1:60" ht="12.95" customHeight="1">
      <c r="A33" s="44"/>
      <c r="B33" s="45"/>
      <c r="C33" s="451"/>
      <c r="D33" s="45"/>
      <c r="E33" s="46"/>
      <c r="F33" s="46"/>
      <c r="G33" s="47"/>
      <c r="H33" s="48"/>
      <c r="I33" s="49"/>
      <c r="J33" s="89"/>
      <c r="K33" s="89"/>
      <c r="L33" s="39"/>
      <c r="M33" s="39"/>
      <c r="N33" s="50"/>
      <c r="O33" s="51"/>
      <c r="P33" s="52"/>
      <c r="Q33" s="51"/>
      <c r="R33" s="507"/>
      <c r="S33" s="507"/>
      <c r="T33" s="41"/>
      <c r="U33" s="41"/>
      <c r="V33" s="41"/>
      <c r="W33" s="41"/>
      <c r="X33" s="42"/>
      <c r="Y33" s="218"/>
      <c r="Z33" s="41"/>
      <c r="AA33" s="41"/>
      <c r="AB33" s="41"/>
      <c r="AC33" s="41"/>
      <c r="AD33" s="41">
        <f t="shared" si="23"/>
        <v>22</v>
      </c>
      <c r="AE33" s="237" t="s">
        <v>485</v>
      </c>
      <c r="AF33" s="37"/>
      <c r="AG33" s="37"/>
      <c r="AH33" s="37"/>
      <c r="AJ33" s="41">
        <v>22</v>
      </c>
      <c r="AK33" s="41"/>
      <c r="AL33" s="41"/>
      <c r="AM33" s="41">
        <f t="shared" si="24"/>
        <v>22</v>
      </c>
      <c r="AN33" s="41"/>
      <c r="AO33" s="41"/>
      <c r="AP33" s="41"/>
      <c r="AQ33" s="41"/>
      <c r="AR33" s="41">
        <f t="shared" si="25"/>
        <v>0</v>
      </c>
      <c r="AS33" s="41"/>
      <c r="AT33" s="41"/>
      <c r="AU33" s="41"/>
      <c r="AV33" s="41"/>
      <c r="AW33" s="41"/>
      <c r="AX33" s="41"/>
      <c r="AY33" s="41"/>
      <c r="AZ33" s="41"/>
      <c r="BA33" s="41"/>
      <c r="BB33" s="41"/>
      <c r="BC33" s="41">
        <f t="shared" si="26"/>
        <v>0</v>
      </c>
      <c r="BD33" s="37"/>
      <c r="BE33" s="510"/>
      <c r="BF33" s="55"/>
      <c r="BG33" s="55"/>
      <c r="BH33" s="55"/>
    </row>
    <row r="34" spans="1:60" ht="12.95" customHeight="1">
      <c r="A34" s="44"/>
      <c r="B34" s="45"/>
      <c r="C34" s="451"/>
      <c r="D34" s="45"/>
      <c r="E34" s="46"/>
      <c r="F34" s="46"/>
      <c r="G34" s="47"/>
      <c r="H34" s="48"/>
      <c r="I34" s="49"/>
      <c r="J34" s="89"/>
      <c r="K34" s="89"/>
      <c r="L34" s="39"/>
      <c r="M34" s="39"/>
      <c r="N34" s="50"/>
      <c r="O34" s="51"/>
      <c r="P34" s="52"/>
      <c r="Q34" s="38"/>
      <c r="R34" s="507"/>
      <c r="S34" s="507"/>
      <c r="T34" s="41"/>
      <c r="U34" s="41"/>
      <c r="V34" s="41"/>
      <c r="W34" s="41"/>
      <c r="X34" s="42"/>
      <c r="Y34" s="218"/>
      <c r="Z34" s="41"/>
      <c r="AA34" s="41"/>
      <c r="AB34" s="41"/>
      <c r="AC34" s="41"/>
      <c r="AD34" s="41"/>
      <c r="AE34" s="240"/>
      <c r="AF34" s="41"/>
      <c r="AG34" s="41"/>
      <c r="AH34" s="41"/>
      <c r="AI34" s="509"/>
      <c r="AJ34" s="41"/>
      <c r="AK34" s="41"/>
      <c r="AL34" s="41"/>
      <c r="AM34" s="41"/>
      <c r="AN34" s="41"/>
      <c r="AO34" s="41"/>
      <c r="AP34" s="41"/>
      <c r="AQ34" s="41"/>
      <c r="AR34" s="41"/>
      <c r="AS34" s="41"/>
      <c r="AT34" s="41"/>
      <c r="AU34" s="41"/>
      <c r="AV34" s="41"/>
      <c r="AW34" s="41"/>
      <c r="AX34" s="41"/>
      <c r="AY34" s="41"/>
      <c r="AZ34" s="41"/>
      <c r="BA34" s="41"/>
      <c r="BB34" s="41"/>
      <c r="BC34" s="41"/>
      <c r="BD34" s="54"/>
      <c r="BE34" s="55"/>
      <c r="BF34" s="55"/>
      <c r="BG34" s="37"/>
      <c r="BH34" s="55"/>
    </row>
    <row r="35" spans="1:60" ht="12.95" customHeight="1">
      <c r="A35" s="44">
        <v>46028</v>
      </c>
      <c r="B35" s="45" t="s">
        <v>417</v>
      </c>
      <c r="C35" s="451">
        <f>(M35*E35*O35*Q35)/100000000</f>
        <v>0.107352432</v>
      </c>
      <c r="D35" s="45" t="s">
        <v>430</v>
      </c>
      <c r="E35" s="46">
        <v>14.5</v>
      </c>
      <c r="F35" s="46">
        <v>1</v>
      </c>
      <c r="G35" s="506">
        <v>1170</v>
      </c>
      <c r="H35" s="48">
        <f>+N35</f>
        <v>0.18000000000000005</v>
      </c>
      <c r="I35" s="49">
        <v>0.88</v>
      </c>
      <c r="J35" s="89">
        <f>E35*G35*(1-H35)*1440/1000000*2.75</f>
        <v>55.088747999999995</v>
      </c>
      <c r="K35" s="89">
        <f t="shared" ref="K35:K37" si="27">(IF(G35&lt;L35,L35,G35)*(1-IF(H35&lt;N35,H35,N35))*E35*O35*Q35)/100000000</f>
        <v>0.110177496</v>
      </c>
      <c r="L35" s="39">
        <v>1140</v>
      </c>
      <c r="M35" s="39">
        <v>934.8</v>
      </c>
      <c r="N35" s="50">
        <f>1-(M35/L35)</f>
        <v>0.18000000000000005</v>
      </c>
      <c r="O35" s="51">
        <f>+'Trim Rwd'!H15</f>
        <v>264</v>
      </c>
      <c r="P35" s="52">
        <f>O35*(Q35-R35-S35)</f>
        <v>528</v>
      </c>
      <c r="Q35" s="51">
        <v>3</v>
      </c>
      <c r="R35" s="507">
        <v>0</v>
      </c>
      <c r="S35" s="507">
        <v>1</v>
      </c>
      <c r="T35" s="41">
        <f>E35*M35*O35*Q35/100000000</f>
        <v>0.107352432</v>
      </c>
      <c r="U35" s="41">
        <f>E35*M35*O35*(Q35-R35-S35)/100000000</f>
        <v>7.1568287999999994E-2</v>
      </c>
      <c r="V35" s="41">
        <f>E35*G35*(1-N35)*O35/100*(R35+S35)/1000000</f>
        <v>3.6725831999999993E-2</v>
      </c>
      <c r="W35" s="41">
        <f>+'6'!K8/1000</f>
        <v>3.101</v>
      </c>
      <c r="X35" s="508">
        <f>SUM(W35:W38)/SUM(K35:K38)</f>
        <v>0.4061402593999982</v>
      </c>
      <c r="Y35" s="218">
        <v>0</v>
      </c>
      <c r="Z35" s="41">
        <v>0</v>
      </c>
      <c r="AA35" s="53">
        <f>SUM(U35:U38)-SUM(W35:W38)-SUM(Z35:Z38)-SUM(Y35:Y38)</f>
        <v>1.5061131080000045</v>
      </c>
      <c r="AB35" s="53">
        <f>(SUM(K35:K38)-SUM(W35:W38)-SUM(Y35:Y38)-SUM(Z35:Z38)-SUM(AC35:AC38)-SUM(V35:V38))-AA35</f>
        <v>-1.8230582008779095</v>
      </c>
      <c r="AC35" s="41">
        <f>K35-T35</f>
        <v>2.8250640000000021E-3</v>
      </c>
      <c r="AD35" s="41">
        <f>+AM35+BC35</f>
        <v>0</v>
      </c>
      <c r="AE35" s="237" t="s">
        <v>386</v>
      </c>
      <c r="AF35" s="41">
        <v>0</v>
      </c>
      <c r="AG35" s="41"/>
      <c r="AH35" s="41"/>
      <c r="AI35" s="509"/>
      <c r="AJ35" s="41"/>
      <c r="AK35" s="41"/>
      <c r="AL35" s="41"/>
      <c r="AM35" s="41">
        <f>SUM(AF35:AL35)+AT35</f>
        <v>0</v>
      </c>
      <c r="AN35" s="41"/>
      <c r="AO35" s="41"/>
      <c r="AP35" s="41"/>
      <c r="AQ35" s="41"/>
      <c r="AR35" s="41">
        <f>SUM(AN35:AQ35)</f>
        <v>0</v>
      </c>
      <c r="AS35" s="41"/>
      <c r="AT35" s="41"/>
      <c r="AU35" s="41"/>
      <c r="AV35" s="41"/>
      <c r="AW35" s="41"/>
      <c r="AX35" s="41"/>
      <c r="AY35" s="41"/>
      <c r="AZ35" s="41"/>
      <c r="BA35" s="41"/>
      <c r="BB35" s="41"/>
      <c r="BC35" s="41">
        <f>+AR35+AS35+AU35+AV35+AX35</f>
        <v>0</v>
      </c>
      <c r="BD35" s="37">
        <v>0</v>
      </c>
      <c r="BE35" s="55"/>
      <c r="BF35" s="55"/>
      <c r="BG35" s="37"/>
      <c r="BH35" s="55"/>
    </row>
    <row r="36" spans="1:60" ht="12.95" customHeight="1">
      <c r="A36" s="44"/>
      <c r="B36" s="45" t="s">
        <v>505</v>
      </c>
      <c r="C36" s="451">
        <f t="shared" ref="C36:C37" si="28">(M36*E36*O36*Q36)/100000000</f>
        <v>14.131290375000001</v>
      </c>
      <c r="D36" s="45" t="s">
        <v>430</v>
      </c>
      <c r="E36" s="46">
        <v>29</v>
      </c>
      <c r="F36" s="46">
        <v>1</v>
      </c>
      <c r="G36" s="506">
        <v>565</v>
      </c>
      <c r="H36" s="48">
        <f t="shared" ref="H36:H37" si="29">+N36</f>
        <v>0.15000000000000002</v>
      </c>
      <c r="I36" s="49">
        <v>0.88</v>
      </c>
      <c r="J36" s="89">
        <f t="shared" ref="J36:J37" si="30">E36*G36*(1-H36)*1440/1000000*2.75</f>
        <v>55.151910000000001</v>
      </c>
      <c r="K36" s="89">
        <f t="shared" si="27"/>
        <v>15.968358123750001</v>
      </c>
      <c r="L36" s="39">
        <v>500</v>
      </c>
      <c r="M36" s="39">
        <v>425</v>
      </c>
      <c r="N36" s="50">
        <f t="shared" ref="N36:N37" si="31">1-(M36/L36)</f>
        <v>0.15000000000000002</v>
      </c>
      <c r="O36" s="51">
        <f>+'Trim Rwd'!H17</f>
        <v>256.5</v>
      </c>
      <c r="P36" s="52">
        <f t="shared" ref="P36:P37" si="32">O36*(Q36-R36-S36)</f>
        <v>9234</v>
      </c>
      <c r="Q36" s="51">
        <f>927-480</f>
        <v>447</v>
      </c>
      <c r="R36" s="507">
        <f>874-480</f>
        <v>394</v>
      </c>
      <c r="S36" s="507">
        <v>17</v>
      </c>
      <c r="T36" s="41">
        <f t="shared" ref="T36:T37" si="33">E36*M36*O36*Q36/100000000</f>
        <v>14.131290375000001</v>
      </c>
      <c r="U36" s="41">
        <f t="shared" ref="U36:U37" si="34">E36*M36*O36*(Q36-R36-S36)/100000000</f>
        <v>1.1380904999999999</v>
      </c>
      <c r="V36" s="41">
        <f t="shared" ref="V36:V37" si="35">E36*G36*(1-N36)*O36/100*(R36+S36)/1000000</f>
        <v>14.682315858749998</v>
      </c>
      <c r="W36" s="41">
        <f>+'5'!K15/1000</f>
        <v>0</v>
      </c>
      <c r="X36" s="42"/>
      <c r="Y36" s="218"/>
      <c r="Z36" s="41"/>
      <c r="AA36" s="41"/>
      <c r="AB36" s="41"/>
      <c r="AC36" s="41">
        <f t="shared" ref="AC36:AC37" si="36">K36-T36</f>
        <v>1.83706774875</v>
      </c>
      <c r="AD36" s="41">
        <f t="shared" ref="AD36:AD40" si="37">+AM36+BC36</f>
        <v>11</v>
      </c>
      <c r="AE36" s="237" t="s">
        <v>437</v>
      </c>
      <c r="AF36" s="41"/>
      <c r="AG36" s="41">
        <v>11</v>
      </c>
      <c r="AH36" s="41"/>
      <c r="AI36" s="509"/>
      <c r="AJ36" s="41"/>
      <c r="AK36" s="41"/>
      <c r="AL36" s="41"/>
      <c r="AM36" s="41">
        <f t="shared" ref="AM36:AM38" si="38">SUM(AF36:AL36)+AT36</f>
        <v>11</v>
      </c>
      <c r="AN36" s="90"/>
      <c r="AO36" s="41"/>
      <c r="AP36" s="41"/>
      <c r="AQ36" s="41"/>
      <c r="AR36" s="41">
        <f t="shared" ref="AR36:AR40" si="39">SUM(AN36:AQ36)</f>
        <v>0</v>
      </c>
      <c r="AS36" s="41"/>
      <c r="AT36" s="41"/>
      <c r="AU36" s="41"/>
      <c r="AV36" s="41"/>
      <c r="AW36" s="41"/>
      <c r="AX36" s="41"/>
      <c r="AY36" s="41"/>
      <c r="AZ36" s="41"/>
      <c r="BA36" s="41"/>
      <c r="BB36" s="41"/>
      <c r="BC36" s="41">
        <f t="shared" ref="BC36:BC40" si="40">+AR36+AS36+AU36+AV36+AX36</f>
        <v>0</v>
      </c>
      <c r="BD36" s="54"/>
      <c r="BE36" s="55">
        <v>5</v>
      </c>
      <c r="BF36" s="55"/>
      <c r="BG36" s="54"/>
      <c r="BH36" s="55"/>
    </row>
    <row r="37" spans="1:60" ht="12.95" customHeight="1">
      <c r="A37" s="44"/>
      <c r="B37" s="45" t="s">
        <v>505</v>
      </c>
      <c r="C37" s="451">
        <f t="shared" si="28"/>
        <v>14.791513680000003</v>
      </c>
      <c r="D37" s="45" t="s">
        <v>430</v>
      </c>
      <c r="E37" s="46">
        <v>17</v>
      </c>
      <c r="F37" s="46">
        <v>1</v>
      </c>
      <c r="G37" s="506">
        <v>995</v>
      </c>
      <c r="H37" s="48">
        <f t="shared" si="29"/>
        <v>0.17825581395348833</v>
      </c>
      <c r="I37" s="49">
        <v>0.88</v>
      </c>
      <c r="J37" s="89">
        <f t="shared" si="30"/>
        <v>55.043219511627917</v>
      </c>
      <c r="K37" s="89">
        <f t="shared" si="27"/>
        <v>18.18302717276163</v>
      </c>
      <c r="L37" s="39">
        <v>809.41176470588232</v>
      </c>
      <c r="M37" s="39">
        <v>665.12941176470588</v>
      </c>
      <c r="N37" s="50">
        <f t="shared" si="31"/>
        <v>0.17825581395348833</v>
      </c>
      <c r="O37" s="51">
        <f>+'Trim Rwd'!H16</f>
        <v>256.5</v>
      </c>
      <c r="P37" s="52">
        <f t="shared" si="32"/>
        <v>125685</v>
      </c>
      <c r="Q37" s="51">
        <v>510</v>
      </c>
      <c r="R37" s="507">
        <v>0</v>
      </c>
      <c r="S37" s="507">
        <v>20</v>
      </c>
      <c r="T37" s="41">
        <f t="shared" si="33"/>
        <v>14.791513680000003</v>
      </c>
      <c r="U37" s="41">
        <f t="shared" si="34"/>
        <v>14.211454320000003</v>
      </c>
      <c r="V37" s="41">
        <f t="shared" si="35"/>
        <v>0.71305988912790708</v>
      </c>
      <c r="W37" s="41">
        <f>+'6'!K9/1000</f>
        <v>10.814</v>
      </c>
      <c r="X37" s="42"/>
      <c r="Y37" s="218"/>
      <c r="Z37" s="41"/>
      <c r="AA37" s="41"/>
      <c r="AB37" s="41"/>
      <c r="AC37" s="41">
        <f t="shared" si="36"/>
        <v>3.3915134927616268</v>
      </c>
      <c r="AD37" s="41">
        <f t="shared" si="37"/>
        <v>22</v>
      </c>
      <c r="AE37" s="237" t="s">
        <v>416</v>
      </c>
      <c r="AF37" s="37"/>
      <c r="AG37" s="37"/>
      <c r="AH37" s="37">
        <v>22</v>
      </c>
      <c r="AJ37" s="41"/>
      <c r="AK37" s="41"/>
      <c r="AL37" s="41"/>
      <c r="AM37" s="41">
        <f t="shared" si="38"/>
        <v>22</v>
      </c>
      <c r="AN37" s="41"/>
      <c r="AO37" s="41"/>
      <c r="AP37" s="41"/>
      <c r="AQ37" s="41"/>
      <c r="AR37" s="41">
        <f t="shared" si="39"/>
        <v>0</v>
      </c>
      <c r="AS37" s="41"/>
      <c r="AT37" s="41"/>
      <c r="AU37" s="41"/>
      <c r="AV37" s="41"/>
      <c r="AW37" s="41"/>
      <c r="AX37" s="41"/>
      <c r="AY37" s="41"/>
      <c r="AZ37" s="41"/>
      <c r="BA37" s="41"/>
      <c r="BB37" s="41"/>
      <c r="BC37" s="41">
        <f t="shared" si="40"/>
        <v>0</v>
      </c>
      <c r="BD37" s="37"/>
      <c r="BE37" s="510"/>
      <c r="BF37" s="510"/>
      <c r="BG37" s="37"/>
      <c r="BH37" s="510"/>
    </row>
    <row r="38" spans="1:60" ht="12.95" customHeight="1">
      <c r="A38" s="44"/>
      <c r="B38" s="45"/>
      <c r="C38" s="451"/>
      <c r="D38" s="45"/>
      <c r="E38" s="46"/>
      <c r="F38" s="46"/>
      <c r="G38" s="47"/>
      <c r="H38" s="48"/>
      <c r="I38" s="49"/>
      <c r="J38" s="89"/>
      <c r="K38" s="89"/>
      <c r="L38" s="39"/>
      <c r="M38" s="39"/>
      <c r="N38" s="50"/>
      <c r="O38" s="51"/>
      <c r="P38" s="52"/>
      <c r="Q38" s="38"/>
      <c r="R38" s="507"/>
      <c r="S38" s="507"/>
      <c r="T38" s="41"/>
      <c r="U38" s="41"/>
      <c r="V38" s="41"/>
      <c r="W38" s="41"/>
      <c r="X38" s="42"/>
      <c r="Y38" s="218"/>
      <c r="Z38" s="41"/>
      <c r="AA38" s="41"/>
      <c r="AB38" s="41"/>
      <c r="AC38" s="41"/>
      <c r="AD38" s="41">
        <f t="shared" si="37"/>
        <v>5</v>
      </c>
      <c r="AE38" s="240" t="s">
        <v>225</v>
      </c>
      <c r="AF38" s="41"/>
      <c r="AG38" s="41"/>
      <c r="AH38" s="41"/>
      <c r="AI38" s="509">
        <v>5</v>
      </c>
      <c r="AJ38" s="41"/>
      <c r="AK38" s="41"/>
      <c r="AL38" s="41"/>
      <c r="AM38" s="41">
        <f t="shared" si="38"/>
        <v>5</v>
      </c>
      <c r="AN38" s="41"/>
      <c r="AO38" s="41"/>
      <c r="AP38" s="41"/>
      <c r="AQ38" s="41"/>
      <c r="AR38" s="41">
        <f t="shared" si="39"/>
        <v>0</v>
      </c>
      <c r="AS38" s="41"/>
      <c r="AT38" s="41"/>
      <c r="AU38" s="41"/>
      <c r="AV38" s="41"/>
      <c r="AW38" s="41"/>
      <c r="AX38" s="41"/>
      <c r="AY38" s="41"/>
      <c r="AZ38" s="41"/>
      <c r="BA38" s="41"/>
      <c r="BB38" s="41"/>
      <c r="BC38" s="41">
        <f t="shared" si="40"/>
        <v>0</v>
      </c>
      <c r="BD38" s="54"/>
      <c r="BE38" s="55"/>
      <c r="BF38" s="55"/>
      <c r="BG38" s="54"/>
      <c r="BH38" s="55"/>
    </row>
    <row r="39" spans="1:60" ht="12.95" customHeight="1">
      <c r="A39" s="44"/>
      <c r="B39" s="45"/>
      <c r="C39" s="451"/>
      <c r="D39" s="45"/>
      <c r="E39" s="46"/>
      <c r="F39" s="46"/>
      <c r="G39" s="47"/>
      <c r="H39" s="48"/>
      <c r="I39" s="49"/>
      <c r="J39" s="89"/>
      <c r="K39" s="89"/>
      <c r="L39" s="39"/>
      <c r="M39" s="39"/>
      <c r="N39" s="50"/>
      <c r="O39" s="51"/>
      <c r="P39" s="52"/>
      <c r="Q39" s="38"/>
      <c r="R39" s="507"/>
      <c r="S39" s="507"/>
      <c r="T39" s="41"/>
      <c r="U39" s="41"/>
      <c r="V39" s="41"/>
      <c r="W39" s="41"/>
      <c r="X39" s="42"/>
      <c r="Y39" s="218"/>
      <c r="Z39" s="41"/>
      <c r="AA39" s="41"/>
      <c r="AB39" s="41"/>
      <c r="AC39" s="41"/>
      <c r="AD39" s="41">
        <f t="shared" si="37"/>
        <v>0</v>
      </c>
      <c r="AE39" s="240" t="s">
        <v>506</v>
      </c>
      <c r="AF39" s="41"/>
      <c r="AG39" s="41"/>
      <c r="AH39" s="41"/>
      <c r="AI39" s="509"/>
      <c r="AJ39" s="41"/>
      <c r="AK39" s="41"/>
      <c r="AL39" s="41"/>
      <c r="AM39" s="41">
        <f t="shared" ref="AM39:AM40" si="41">SUM(AF39:AL39)+AT39</f>
        <v>0</v>
      </c>
      <c r="AN39" s="41"/>
      <c r="AO39" s="41"/>
      <c r="AP39" s="41"/>
      <c r="AQ39" s="41"/>
      <c r="AR39" s="41">
        <f t="shared" si="39"/>
        <v>0</v>
      </c>
      <c r="AS39" s="41"/>
      <c r="AT39" s="41"/>
      <c r="AU39" s="41">
        <f>480-480</f>
        <v>0</v>
      </c>
      <c r="AV39" s="41"/>
      <c r="AW39" s="41"/>
      <c r="AX39" s="41"/>
      <c r="AY39" s="41"/>
      <c r="AZ39" s="41"/>
      <c r="BA39" s="41"/>
      <c r="BB39" s="41"/>
      <c r="BC39" s="41">
        <f t="shared" si="40"/>
        <v>0</v>
      </c>
      <c r="BD39" s="54"/>
      <c r="BE39" s="55"/>
      <c r="BF39" s="55"/>
      <c r="BG39" s="54"/>
      <c r="BH39" s="55"/>
    </row>
    <row r="40" spans="1:60" ht="12.95" customHeight="1">
      <c r="A40" s="44"/>
      <c r="B40" s="45"/>
      <c r="C40" s="451"/>
      <c r="D40" s="45"/>
      <c r="E40" s="46"/>
      <c r="F40" s="46"/>
      <c r="G40" s="47"/>
      <c r="H40" s="48"/>
      <c r="I40" s="49"/>
      <c r="J40" s="89"/>
      <c r="K40" s="89"/>
      <c r="L40" s="39"/>
      <c r="M40" s="39"/>
      <c r="N40" s="50"/>
      <c r="O40" s="51"/>
      <c r="P40" s="52"/>
      <c r="Q40" s="38"/>
      <c r="R40" s="507"/>
      <c r="S40" s="507"/>
      <c r="T40" s="41"/>
      <c r="U40" s="41"/>
      <c r="V40" s="41"/>
      <c r="W40" s="41"/>
      <c r="X40" s="42"/>
      <c r="Y40" s="218"/>
      <c r="Z40" s="41"/>
      <c r="AA40" s="41"/>
      <c r="AB40" s="41"/>
      <c r="AC40" s="41"/>
      <c r="AD40" s="41">
        <f t="shared" si="37"/>
        <v>394</v>
      </c>
      <c r="AE40" s="240" t="s">
        <v>507</v>
      </c>
      <c r="AF40" s="41"/>
      <c r="AG40" s="41"/>
      <c r="AH40" s="41"/>
      <c r="AI40" s="509"/>
      <c r="AJ40" s="41"/>
      <c r="AK40" s="41"/>
      <c r="AL40" s="41"/>
      <c r="AM40" s="41">
        <f t="shared" si="41"/>
        <v>0</v>
      </c>
      <c r="AN40" s="41"/>
      <c r="AO40" s="41"/>
      <c r="AP40" s="41"/>
      <c r="AQ40" s="41"/>
      <c r="AR40" s="41">
        <f t="shared" si="39"/>
        <v>0</v>
      </c>
      <c r="AS40" s="41">
        <v>394</v>
      </c>
      <c r="AT40" s="41"/>
      <c r="AU40" s="41"/>
      <c r="AV40" s="41"/>
      <c r="AW40" s="41"/>
      <c r="AX40" s="41"/>
      <c r="AY40" s="41"/>
      <c r="AZ40" s="41"/>
      <c r="BA40" s="41"/>
      <c r="BB40" s="41"/>
      <c r="BC40" s="41">
        <f t="shared" si="40"/>
        <v>394</v>
      </c>
      <c r="BD40" s="54"/>
      <c r="BE40" s="55"/>
      <c r="BF40" s="55"/>
      <c r="BG40" s="54"/>
      <c r="BH40" s="55"/>
    </row>
    <row r="41" spans="1:60" ht="12.95" customHeight="1">
      <c r="A41" s="44"/>
      <c r="B41" s="45"/>
      <c r="C41" s="451"/>
      <c r="D41" s="45"/>
      <c r="E41" s="46"/>
      <c r="F41" s="46"/>
      <c r="G41" s="47"/>
      <c r="H41" s="48"/>
      <c r="I41" s="49"/>
      <c r="J41" s="89"/>
      <c r="K41" s="89"/>
      <c r="L41" s="39"/>
      <c r="M41" s="39"/>
      <c r="N41" s="50"/>
      <c r="O41" s="51"/>
      <c r="P41" s="52"/>
      <c r="Q41" s="51"/>
      <c r="R41" s="507"/>
      <c r="S41" s="507"/>
      <c r="T41" s="41"/>
      <c r="U41" s="41"/>
      <c r="V41" s="41"/>
      <c r="W41" s="41"/>
      <c r="X41" s="508"/>
      <c r="Y41" s="218"/>
      <c r="Z41" s="41"/>
      <c r="AA41" s="53"/>
      <c r="AB41" s="53"/>
      <c r="AC41" s="41"/>
      <c r="AD41" s="41"/>
      <c r="AE41" s="237"/>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54"/>
      <c r="BE41" s="55"/>
      <c r="BF41" s="510"/>
      <c r="BG41" s="37"/>
      <c r="BH41" s="510"/>
    </row>
    <row r="42" spans="1:60" ht="12.95" customHeight="1">
      <c r="A42" s="44">
        <v>46029</v>
      </c>
      <c r="B42" s="45" t="s">
        <v>505</v>
      </c>
      <c r="C42" s="451">
        <f t="shared" ref="C42:C45" si="42">(M42*E42*O42*Q42)/100000000</f>
        <v>12.115596924</v>
      </c>
      <c r="D42" s="45" t="s">
        <v>430</v>
      </c>
      <c r="E42" s="46">
        <v>17</v>
      </c>
      <c r="F42" s="46">
        <v>1</v>
      </c>
      <c r="G42" s="506">
        <v>1000</v>
      </c>
      <c r="H42" s="48">
        <f t="shared" ref="H42:H45" si="43">+N42</f>
        <v>0.18000000000000005</v>
      </c>
      <c r="I42" s="49">
        <v>0.88</v>
      </c>
      <c r="J42" s="89">
        <f t="shared" ref="J42:J45" si="44">E42*G42*(1-H42)*1440/1000000*2.75</f>
        <v>55.202399999999997</v>
      </c>
      <c r="K42" s="89">
        <f t="shared" ref="K42:K45" si="45">(IF(G42&lt;L42,L42,G42)*(1-IF(H42&lt;N42,H42,N42))*E42*O42*Q42)/100000000</f>
        <v>14.0879034</v>
      </c>
      <c r="L42" s="39">
        <v>860</v>
      </c>
      <c r="M42" s="39">
        <v>705.19999999999993</v>
      </c>
      <c r="N42" s="50">
        <f t="shared" ref="N42:N45" si="46">1-(M42/L42)</f>
        <v>0.18000000000000005</v>
      </c>
      <c r="O42" s="51">
        <f>+'Trim Rwd'!H19</f>
        <v>256.5</v>
      </c>
      <c r="P42" s="52">
        <f>O42*(Q42-R42-S42)</f>
        <v>96700.5</v>
      </c>
      <c r="Q42" s="51">
        <v>394</v>
      </c>
      <c r="R42" s="507">
        <v>0</v>
      </c>
      <c r="S42" s="507">
        <v>17</v>
      </c>
      <c r="T42" s="41">
        <f>E42*M42*O42*Q42/100000000</f>
        <v>12.115596924</v>
      </c>
      <c r="U42" s="41">
        <f>E42*M42*O42*(Q42-R42-S42)/100000000</f>
        <v>11.592842742</v>
      </c>
      <c r="V42" s="41">
        <f>E42*G42*(1-N42)*O42/100*(R42+S42)/1000000</f>
        <v>0.60785369999999994</v>
      </c>
      <c r="W42" s="41">
        <f>+'7'!K9/1000</f>
        <v>14.016</v>
      </c>
      <c r="X42" s="508">
        <f>SUM(W42:W45)/SUM(K42:K45)</f>
        <v>0.74549342410421804</v>
      </c>
      <c r="Y42" s="218">
        <v>0</v>
      </c>
      <c r="Z42" s="41">
        <v>0</v>
      </c>
      <c r="AA42" s="53">
        <f>SUM(U42:U45)-SUM(W42:W45)-SUM(Z42:Z45)-SUM(Y42:Y45)</f>
        <v>4.856312214270738</v>
      </c>
      <c r="AB42" s="53">
        <f>(SUM(K42:K45)-SUM(W42:W45)-SUM(Y42:Y45)-SUM(Z42:Z45)-SUM(AC42:AC45)-SUM(V42:V45))-AA42</f>
        <v>1.3841596228599533</v>
      </c>
      <c r="AC42" s="41">
        <f>K42-T42</f>
        <v>1.972306476</v>
      </c>
      <c r="AD42" s="41">
        <f>+AM42+BC42</f>
        <v>0</v>
      </c>
      <c r="AE42" s="237" t="s">
        <v>386</v>
      </c>
      <c r="AF42" s="41">
        <v>0</v>
      </c>
      <c r="AG42" s="41"/>
      <c r="AH42" s="41"/>
      <c r="AI42" s="509"/>
      <c r="AJ42" s="41"/>
      <c r="AK42" s="41"/>
      <c r="AL42" s="41"/>
      <c r="AM42" s="41">
        <f>SUM(AF42:AL42)+AT42</f>
        <v>0</v>
      </c>
      <c r="AN42" s="41"/>
      <c r="AO42" s="41"/>
      <c r="AP42" s="41"/>
      <c r="AQ42" s="41"/>
      <c r="AR42" s="41">
        <f>SUM(AN42:AQ42)</f>
        <v>0</v>
      </c>
      <c r="AS42" s="41"/>
      <c r="AT42" s="41"/>
      <c r="AU42" s="41"/>
      <c r="AV42" s="41"/>
      <c r="AW42" s="41"/>
      <c r="AX42" s="41"/>
      <c r="AY42" s="41"/>
      <c r="AZ42" s="41"/>
      <c r="BA42" s="41"/>
      <c r="BB42" s="41"/>
      <c r="BC42" s="41">
        <f>+AR42+AS42+AU42+AV42+AX42</f>
        <v>0</v>
      </c>
      <c r="BD42" s="37">
        <v>0</v>
      </c>
      <c r="BE42" s="55"/>
      <c r="BF42" s="55"/>
      <c r="BG42" s="37"/>
      <c r="BH42" s="55"/>
    </row>
    <row r="43" spans="1:60" ht="12.95" customHeight="1">
      <c r="A43" s="44"/>
      <c r="B43" s="45" t="s">
        <v>505</v>
      </c>
      <c r="C43" s="451">
        <f t="shared" si="42"/>
        <v>1.3583366420000003</v>
      </c>
      <c r="D43" s="45" t="s">
        <v>430</v>
      </c>
      <c r="E43" s="46">
        <v>35.5</v>
      </c>
      <c r="F43" s="46">
        <v>1</v>
      </c>
      <c r="G43" s="506">
        <v>480</v>
      </c>
      <c r="H43" s="48">
        <f t="shared" si="43"/>
        <v>0.17999999999999983</v>
      </c>
      <c r="I43" s="49">
        <v>0.88</v>
      </c>
      <c r="J43" s="89">
        <f t="shared" si="44"/>
        <v>55.332288000000013</v>
      </c>
      <c r="K43" s="89">
        <f t="shared" si="45"/>
        <v>1.3583366420000003</v>
      </c>
      <c r="L43" s="39">
        <v>516.06060606060601</v>
      </c>
      <c r="M43" s="39">
        <v>423.16969696969699</v>
      </c>
      <c r="N43" s="50">
        <f t="shared" si="46"/>
        <v>0.17999999999999983</v>
      </c>
      <c r="O43" s="51">
        <f>+'Trim Rwd'!H22</f>
        <v>274</v>
      </c>
      <c r="P43" s="52">
        <f t="shared" ref="P43:P45" si="47">O43*(Q43-R43-S43)</f>
        <v>7946</v>
      </c>
      <c r="Q43" s="51">
        <v>33</v>
      </c>
      <c r="R43" s="507">
        <v>0</v>
      </c>
      <c r="S43" s="507">
        <f>57-S42-S44-S45</f>
        <v>4</v>
      </c>
      <c r="T43" s="41">
        <f t="shared" ref="T43:T45" si="48">E43*M43*O43*Q43/100000000</f>
        <v>1.3583366420000003</v>
      </c>
      <c r="U43" s="41">
        <f t="shared" ref="U43:U45" si="49">E43*M43*O43*(Q43-R43-S43)/100000000</f>
        <v>1.1936897763030303</v>
      </c>
      <c r="V43" s="41">
        <f t="shared" ref="V43:V45" si="50">E43*G43*(1-N43)*O43/100*(R43+S43)/1000000</f>
        <v>0.15314188800000003</v>
      </c>
      <c r="W43" s="41">
        <f>+'5'!K22/1000</f>
        <v>0</v>
      </c>
      <c r="X43" s="42"/>
      <c r="Y43" s="218"/>
      <c r="Z43" s="41"/>
      <c r="AA43" s="41"/>
      <c r="AB43" s="41"/>
      <c r="AC43" s="41">
        <f t="shared" ref="AC43:AC44" si="51">K43-T43</f>
        <v>0</v>
      </c>
      <c r="AD43" s="41">
        <f t="shared" ref="AD43:AD45" si="52">+AM43+BC43</f>
        <v>8</v>
      </c>
      <c r="AE43" s="237" t="s">
        <v>437</v>
      </c>
      <c r="AF43" s="41"/>
      <c r="AG43" s="41">
        <v>8</v>
      </c>
      <c r="AH43" s="41"/>
      <c r="AI43" s="509"/>
      <c r="AJ43" s="41"/>
      <c r="AK43" s="41"/>
      <c r="AL43" s="41"/>
      <c r="AM43" s="41">
        <f t="shared" ref="AM43:AM45" si="53">SUM(AF43:AL43)+AT43</f>
        <v>8</v>
      </c>
      <c r="AN43" s="90"/>
      <c r="AO43" s="41"/>
      <c r="AP43" s="41"/>
      <c r="AQ43" s="41"/>
      <c r="AR43" s="41">
        <f t="shared" ref="AR43:AR45" si="54">SUM(AN43:AQ43)</f>
        <v>0</v>
      </c>
      <c r="AS43" s="41"/>
      <c r="AT43" s="41"/>
      <c r="AU43" s="41"/>
      <c r="AV43" s="41"/>
      <c r="AW43" s="41"/>
      <c r="AX43" s="41"/>
      <c r="AY43" s="41"/>
      <c r="AZ43" s="41"/>
      <c r="BA43" s="41"/>
      <c r="BB43" s="41"/>
      <c r="BC43" s="41">
        <f t="shared" ref="BC43:BC45" si="55">+AR43+AS43+AU43+AV43+AX43</f>
        <v>0</v>
      </c>
      <c r="BD43" s="54"/>
      <c r="BE43" s="55">
        <v>5</v>
      </c>
      <c r="BF43" s="55"/>
      <c r="BG43" s="54"/>
      <c r="BH43" s="55"/>
    </row>
    <row r="44" spans="1:60" ht="12.95" customHeight="1">
      <c r="A44" s="44"/>
      <c r="B44" s="45" t="s">
        <v>505</v>
      </c>
      <c r="C44" s="451">
        <f t="shared" si="42"/>
        <v>25.380822961999996</v>
      </c>
      <c r="D44" s="45" t="s">
        <v>430</v>
      </c>
      <c r="E44" s="46">
        <v>22</v>
      </c>
      <c r="F44" s="46">
        <v>1</v>
      </c>
      <c r="G44" s="506">
        <v>745</v>
      </c>
      <c r="H44" s="48">
        <f t="shared" si="43"/>
        <v>0.15204235062997051</v>
      </c>
      <c r="I44" s="49">
        <v>0.88</v>
      </c>
      <c r="J44" s="89">
        <f t="shared" si="44"/>
        <v>55.036182457772149</v>
      </c>
      <c r="K44" s="89">
        <f t="shared" si="45"/>
        <v>27.431367547437464</v>
      </c>
      <c r="L44" s="39">
        <v>689.30989583333337</v>
      </c>
      <c r="M44" s="39">
        <v>584.50559895833328</v>
      </c>
      <c r="N44" s="50">
        <f t="shared" si="46"/>
        <v>0.15204235062997051</v>
      </c>
      <c r="O44" s="51">
        <f>+'Trim Rwd'!H20</f>
        <v>257</v>
      </c>
      <c r="P44" s="52">
        <f t="shared" si="47"/>
        <v>191722</v>
      </c>
      <c r="Q44" s="51">
        <v>768</v>
      </c>
      <c r="R44" s="507">
        <v>0</v>
      </c>
      <c r="S44" s="507">
        <v>22</v>
      </c>
      <c r="T44" s="41">
        <f t="shared" si="48"/>
        <v>25.380822961999996</v>
      </c>
      <c r="U44" s="41">
        <f t="shared" si="49"/>
        <v>24.653768137567706</v>
      </c>
      <c r="V44" s="41">
        <f t="shared" si="50"/>
        <v>0.78579438286930225</v>
      </c>
      <c r="W44" s="41">
        <f>+'7'!K10/1000</f>
        <v>24.459</v>
      </c>
      <c r="X44" s="42"/>
      <c r="Y44" s="218"/>
      <c r="Z44" s="41">
        <f>+'7'!D25/1000</f>
        <v>0.82599999999999996</v>
      </c>
      <c r="AA44" s="41"/>
      <c r="AB44" s="41"/>
      <c r="AC44" s="41">
        <f t="shared" si="51"/>
        <v>2.0505445854374678</v>
      </c>
      <c r="AD44" s="41">
        <f t="shared" si="52"/>
        <v>41</v>
      </c>
      <c r="AE44" s="237" t="s">
        <v>524</v>
      </c>
      <c r="AF44" s="37"/>
      <c r="AG44" s="37"/>
      <c r="AH44" s="37">
        <v>41</v>
      </c>
      <c r="AJ44" s="41"/>
      <c r="AK44" s="41"/>
      <c r="AL44" s="41"/>
      <c r="AM44" s="41">
        <f t="shared" si="53"/>
        <v>41</v>
      </c>
      <c r="AN44" s="41"/>
      <c r="AO44" s="41"/>
      <c r="AP44" s="41"/>
      <c r="AQ44" s="41"/>
      <c r="AR44" s="41">
        <f t="shared" si="54"/>
        <v>0</v>
      </c>
      <c r="AS44" s="41"/>
      <c r="AT44" s="41"/>
      <c r="AU44" s="41"/>
      <c r="AV44" s="41"/>
      <c r="AW44" s="41"/>
      <c r="AX44" s="41"/>
      <c r="AY44" s="41"/>
      <c r="AZ44" s="41"/>
      <c r="BA44" s="41"/>
      <c r="BB44" s="41"/>
      <c r="BC44" s="41">
        <f t="shared" si="55"/>
        <v>0</v>
      </c>
      <c r="BD44" s="37"/>
      <c r="BE44" s="510"/>
      <c r="BF44" s="510"/>
      <c r="BG44" s="37"/>
      <c r="BH44" s="510"/>
    </row>
    <row r="45" spans="1:60" ht="12.95" customHeight="1">
      <c r="A45" s="44"/>
      <c r="B45" s="45" t="s">
        <v>505</v>
      </c>
      <c r="C45" s="451">
        <f t="shared" si="42"/>
        <v>7.1241031680000004</v>
      </c>
      <c r="D45" s="45" t="s">
        <v>430</v>
      </c>
      <c r="E45" s="46">
        <v>14</v>
      </c>
      <c r="F45" s="46">
        <v>1</v>
      </c>
      <c r="G45" s="506">
        <v>1275</v>
      </c>
      <c r="H45" s="48">
        <f t="shared" si="43"/>
        <v>0.21999999999999986</v>
      </c>
      <c r="I45" s="49">
        <v>0.88</v>
      </c>
      <c r="J45" s="89">
        <f t="shared" si="44"/>
        <v>55.135080000000002</v>
      </c>
      <c r="K45" s="89">
        <f t="shared" si="45"/>
        <v>8.7325056000000032</v>
      </c>
      <c r="L45" s="39">
        <v>1040.1632653061224</v>
      </c>
      <c r="M45" s="39">
        <v>811.32734693877558</v>
      </c>
      <c r="N45" s="50">
        <f t="shared" si="46"/>
        <v>0.21999999999999986</v>
      </c>
      <c r="O45" s="51">
        <f>+'Trim Rwd'!H21</f>
        <v>256</v>
      </c>
      <c r="P45" s="52">
        <f t="shared" si="47"/>
        <v>59136</v>
      </c>
      <c r="Q45" s="51">
        <v>245</v>
      </c>
      <c r="R45" s="507">
        <v>0</v>
      </c>
      <c r="S45" s="507">
        <v>14</v>
      </c>
      <c r="T45" s="41">
        <f t="shared" si="48"/>
        <v>7.1241031680000004</v>
      </c>
      <c r="U45" s="41">
        <f t="shared" si="49"/>
        <v>6.7170115584000003</v>
      </c>
      <c r="V45" s="41">
        <f t="shared" si="50"/>
        <v>0.49900032000000005</v>
      </c>
      <c r="W45" s="41">
        <f>+'6'!K17/1000</f>
        <v>0</v>
      </c>
      <c r="X45" s="42"/>
      <c r="Y45" s="218"/>
      <c r="Z45" s="41"/>
      <c r="AA45" s="41"/>
      <c r="AB45" s="41"/>
      <c r="AC45" s="41"/>
      <c r="AD45" s="41">
        <f t="shared" si="52"/>
        <v>8</v>
      </c>
      <c r="AE45" s="240" t="s">
        <v>225</v>
      </c>
      <c r="AF45" s="41"/>
      <c r="AG45" s="41"/>
      <c r="AH45" s="41"/>
      <c r="AI45" s="509">
        <v>8</v>
      </c>
      <c r="AJ45" s="41"/>
      <c r="AK45" s="41"/>
      <c r="AL45" s="41"/>
      <c r="AM45" s="41">
        <f t="shared" si="53"/>
        <v>8</v>
      </c>
      <c r="AN45" s="41"/>
      <c r="AO45" s="41"/>
      <c r="AP45" s="41"/>
      <c r="AQ45" s="41"/>
      <c r="AR45" s="41">
        <f t="shared" si="54"/>
        <v>0</v>
      </c>
      <c r="AS45" s="41"/>
      <c r="AT45" s="41"/>
      <c r="AU45" s="41"/>
      <c r="AV45" s="41"/>
      <c r="AW45" s="41"/>
      <c r="AX45" s="41"/>
      <c r="AY45" s="41"/>
      <c r="AZ45" s="41"/>
      <c r="BA45" s="41"/>
      <c r="BB45" s="41"/>
      <c r="BC45" s="41">
        <f t="shared" si="55"/>
        <v>0</v>
      </c>
      <c r="BD45" s="54"/>
      <c r="BE45" s="55"/>
      <c r="BF45" s="55"/>
      <c r="BG45" s="54"/>
      <c r="BH45" s="55"/>
    </row>
    <row r="46" spans="1:60" ht="12.95" customHeight="1">
      <c r="A46" s="44"/>
      <c r="B46" s="45"/>
      <c r="C46" s="451"/>
      <c r="D46" s="45"/>
      <c r="E46" s="46"/>
      <c r="F46" s="46"/>
      <c r="G46" s="47"/>
      <c r="H46" s="48"/>
      <c r="I46" s="49"/>
      <c r="J46" s="89"/>
      <c r="K46" s="89"/>
      <c r="L46" s="39"/>
      <c r="M46" s="39"/>
      <c r="N46" s="50"/>
      <c r="O46" s="51"/>
      <c r="P46" s="52"/>
      <c r="Q46" s="51"/>
      <c r="R46" s="507"/>
      <c r="S46" s="507"/>
      <c r="T46" s="41"/>
      <c r="U46" s="41"/>
      <c r="V46" s="41"/>
      <c r="W46" s="41"/>
      <c r="X46" s="508"/>
      <c r="Y46" s="218"/>
      <c r="Z46" s="41"/>
      <c r="AA46" s="53"/>
      <c r="AB46" s="53"/>
      <c r="AC46" s="41"/>
      <c r="AD46" s="41"/>
      <c r="AE46" s="237"/>
      <c r="AF46" s="41"/>
      <c r="AG46" s="41"/>
      <c r="AH46" s="41"/>
      <c r="AI46" s="509"/>
      <c r="AJ46" s="41"/>
      <c r="AK46" s="41"/>
      <c r="AL46" s="41"/>
      <c r="AM46" s="41"/>
      <c r="AN46" s="41"/>
      <c r="AO46" s="41"/>
      <c r="AP46" s="41"/>
      <c r="AQ46" s="41"/>
      <c r="AR46" s="41"/>
      <c r="AS46" s="41"/>
      <c r="AT46" s="41"/>
      <c r="AU46" s="41"/>
      <c r="AV46" s="41"/>
      <c r="AW46" s="41"/>
      <c r="AX46" s="41"/>
      <c r="AY46" s="41"/>
      <c r="AZ46" s="41"/>
      <c r="BA46" s="41"/>
      <c r="BB46" s="41"/>
      <c r="BC46" s="41"/>
      <c r="BD46" s="37"/>
      <c r="BE46" s="55"/>
      <c r="BF46" s="55"/>
      <c r="BG46" s="54"/>
      <c r="BH46" s="55"/>
    </row>
    <row r="47" spans="1:60" ht="12.95" customHeight="1">
      <c r="A47" s="44">
        <v>46030</v>
      </c>
      <c r="B47" s="45" t="s">
        <v>505</v>
      </c>
      <c r="C47" s="451">
        <f t="shared" ref="C47:C50" si="56">(M47*E47*O47*Q47)/100000000</f>
        <v>4.5566975999999997</v>
      </c>
      <c r="D47" s="45" t="s">
        <v>430</v>
      </c>
      <c r="E47" s="46">
        <v>14</v>
      </c>
      <c r="F47" s="46">
        <v>1</v>
      </c>
      <c r="G47" s="506">
        <v>1275</v>
      </c>
      <c r="H47" s="48">
        <f t="shared" ref="H47:H50" si="57">+N47</f>
        <v>0.21999999999999997</v>
      </c>
      <c r="I47" s="49">
        <v>0.88</v>
      </c>
      <c r="J47" s="89">
        <f t="shared" ref="J47:J50" si="58">E47*G47*(1-H47)*1440/1000000*2.75</f>
        <v>55.135079999999995</v>
      </c>
      <c r="K47" s="89">
        <f t="shared" ref="K47:K50" si="59">(IF(G47&lt;L47,L47,G47)*(1-IF(H47&lt;N47,H47,N47))*E47*O47*Q47)/100000000</f>
        <v>5.8097894400000003</v>
      </c>
      <c r="L47" s="39">
        <v>1000</v>
      </c>
      <c r="M47" s="39">
        <v>780</v>
      </c>
      <c r="N47" s="50">
        <f t="shared" ref="N47:N50" si="60">1-(M47/L47)</f>
        <v>0.21999999999999997</v>
      </c>
      <c r="O47" s="51">
        <f>+'Trim Rwd'!H24</f>
        <v>256</v>
      </c>
      <c r="P47" s="52">
        <f>O47*(Q47-R47-S47)</f>
        <v>40448</v>
      </c>
      <c r="Q47" s="51">
        <v>163</v>
      </c>
      <c r="R47" s="507">
        <v>0</v>
      </c>
      <c r="S47" s="507">
        <f>30-S48-S49-S50</f>
        <v>5</v>
      </c>
      <c r="T47" s="41">
        <f>E47*M47*O47*Q47/100000000</f>
        <v>4.5566975999999997</v>
      </c>
      <c r="U47" s="41">
        <f>E47*M47*O47*(Q47-R47-S47)/100000000</f>
        <v>4.4169216000000002</v>
      </c>
      <c r="V47" s="41">
        <f>E47*G47*(1-N47)*O47/100*(R47+S47)/1000000</f>
        <v>0.1782144</v>
      </c>
      <c r="W47" s="41">
        <f>+'8'!K11/1000</f>
        <v>8.0429999999999993</v>
      </c>
      <c r="X47" s="508">
        <f>SUM(W47:W50)/SUM(K47:K50)</f>
        <v>0.80092416256322629</v>
      </c>
      <c r="Y47" s="218">
        <v>0</v>
      </c>
      <c r="Z47" s="41">
        <f>+'8'!D7/1000</f>
        <v>0.77300000000000002</v>
      </c>
      <c r="AA47" s="53">
        <f>SUM(U47:U50)-SUM(W47:W50)-SUM(Z47:Z50)-SUM(Y47:Y50)</f>
        <v>6.4436743129999989</v>
      </c>
      <c r="AB47" s="53">
        <f>(SUM(K47:K50)-SUM(W47:W50)-SUM(Y47:Y50)-SUM(Z47:Z50)-SUM(AC47:AC50)-SUM(V47:V50))-AA47</f>
        <v>1.1307641050000017</v>
      </c>
      <c r="AC47" s="41">
        <f>K47-T47</f>
        <v>1.2530918400000006</v>
      </c>
      <c r="AD47" s="41">
        <f>+AM47+BC47</f>
        <v>0</v>
      </c>
      <c r="AE47" s="237" t="s">
        <v>386</v>
      </c>
      <c r="AF47" s="41">
        <v>0</v>
      </c>
      <c r="AG47" s="41"/>
      <c r="AH47" s="41"/>
      <c r="AI47" s="509"/>
      <c r="AJ47" s="41"/>
      <c r="AK47" s="41"/>
      <c r="AL47" s="41"/>
      <c r="AM47" s="41">
        <f>SUM(AF47:AL47)+AT47</f>
        <v>0</v>
      </c>
      <c r="AN47" s="41"/>
      <c r="AO47" s="41"/>
      <c r="AP47" s="41"/>
      <c r="AQ47" s="41"/>
      <c r="AR47" s="41">
        <f>SUM(AN47:AQ47)</f>
        <v>0</v>
      </c>
      <c r="AS47" s="41"/>
      <c r="AT47" s="41"/>
      <c r="AU47" s="41"/>
      <c r="AV47" s="41"/>
      <c r="AW47" s="41"/>
      <c r="AX47" s="41"/>
      <c r="AY47" s="41"/>
      <c r="AZ47" s="41"/>
      <c r="BA47" s="41"/>
      <c r="BB47" s="41"/>
      <c r="BC47" s="41">
        <f>+AR47+AS47+AU47+AV47+AX47</f>
        <v>0</v>
      </c>
      <c r="BD47" s="37">
        <v>0</v>
      </c>
      <c r="BE47" s="55"/>
      <c r="BF47" s="55"/>
      <c r="BG47" s="37"/>
      <c r="BH47" s="55"/>
    </row>
    <row r="48" spans="1:60" ht="12.95" customHeight="1">
      <c r="A48" s="44"/>
      <c r="B48" s="45" t="s">
        <v>505</v>
      </c>
      <c r="C48" s="451">
        <f t="shared" si="56"/>
        <v>3.4489607520000001</v>
      </c>
      <c r="D48" s="45" t="s">
        <v>430</v>
      </c>
      <c r="E48" s="46">
        <v>35.5</v>
      </c>
      <c r="F48" s="46">
        <v>1</v>
      </c>
      <c r="G48" s="506">
        <v>440</v>
      </c>
      <c r="H48" s="48">
        <f t="shared" si="57"/>
        <v>0.10999999999999999</v>
      </c>
      <c r="I48" s="49">
        <v>0.88</v>
      </c>
      <c r="J48" s="89">
        <f t="shared" si="58"/>
        <v>55.051128000000006</v>
      </c>
      <c r="K48" s="89">
        <f t="shared" si="59"/>
        <v>3.4489607520000001</v>
      </c>
      <c r="L48" s="39">
        <v>480</v>
      </c>
      <c r="M48" s="39">
        <v>427.2</v>
      </c>
      <c r="N48" s="50">
        <f t="shared" si="60"/>
        <v>0.10999999999999999</v>
      </c>
      <c r="O48" s="51">
        <f>+'Trim Rwd'!H28</f>
        <v>274</v>
      </c>
      <c r="P48" s="52">
        <f t="shared" ref="P48:P50" si="61">O48*(Q48-R48-S48)</f>
        <v>22194</v>
      </c>
      <c r="Q48" s="51">
        <v>83</v>
      </c>
      <c r="R48" s="507">
        <v>0</v>
      </c>
      <c r="S48" s="507">
        <v>2</v>
      </c>
      <c r="T48" s="41">
        <f t="shared" ref="T48:T50" si="62">E48*M48*O48*Q48/100000000</f>
        <v>3.4489607520000001</v>
      </c>
      <c r="U48" s="41">
        <f t="shared" ref="U48:U50" si="63">E48*M48*O48*(Q48-R48-S48)/100000000</f>
        <v>3.3658532639999996</v>
      </c>
      <c r="V48" s="41">
        <f t="shared" ref="V48:V50" si="64">E48*G48*(1-N48)*O48/100*(R48+S48)/1000000</f>
        <v>7.6181864000000002E-2</v>
      </c>
      <c r="W48" s="41">
        <f>+'8'!K12/1000</f>
        <v>21.439</v>
      </c>
      <c r="X48" s="42"/>
      <c r="Y48" s="218"/>
      <c r="Z48" s="41"/>
      <c r="AA48" s="41"/>
      <c r="AB48" s="41"/>
      <c r="AC48" s="41">
        <f t="shared" ref="AC48:AC49" si="65">K48-T48</f>
        <v>0</v>
      </c>
      <c r="AD48" s="41">
        <f t="shared" ref="AD48:AD50" si="66">+AM48+BC48</f>
        <v>6</v>
      </c>
      <c r="AE48" s="237" t="s">
        <v>438</v>
      </c>
      <c r="AF48" s="41"/>
      <c r="AG48" s="41">
        <v>6</v>
      </c>
      <c r="AH48" s="41"/>
      <c r="AI48" s="509"/>
      <c r="AJ48" s="41"/>
      <c r="AK48" s="41"/>
      <c r="AL48" s="41"/>
      <c r="AM48" s="41">
        <f t="shared" ref="AM48:AM50" si="67">SUM(AF48:AL48)+AT48</f>
        <v>6</v>
      </c>
      <c r="AN48" s="90"/>
      <c r="AO48" s="41"/>
      <c r="AP48" s="41"/>
      <c r="AQ48" s="41"/>
      <c r="AR48" s="41">
        <f t="shared" ref="AR48:AR50" si="68">SUM(AN48:AQ48)</f>
        <v>0</v>
      </c>
      <c r="AS48" s="41"/>
      <c r="AT48" s="41"/>
      <c r="AU48" s="41"/>
      <c r="AV48" s="41"/>
      <c r="AW48" s="41"/>
      <c r="AX48" s="41"/>
      <c r="AY48" s="41"/>
      <c r="AZ48" s="41"/>
      <c r="BA48" s="41"/>
      <c r="BB48" s="41"/>
      <c r="BC48" s="41">
        <f t="shared" ref="BC48:BC50" si="69">+AR48+AS48+AU48+AV48+AX48</f>
        <v>0</v>
      </c>
      <c r="BD48" s="54"/>
      <c r="BE48" s="55">
        <v>8</v>
      </c>
      <c r="BF48" s="55"/>
      <c r="BG48" s="54"/>
      <c r="BH48" s="55"/>
    </row>
    <row r="49" spans="1:60" ht="12.95" customHeight="1">
      <c r="A49" s="44"/>
      <c r="B49" s="45" t="s">
        <v>505</v>
      </c>
      <c r="C49" s="451">
        <f t="shared" si="56"/>
        <v>23.357618973000001</v>
      </c>
      <c r="D49" s="45" t="s">
        <v>430</v>
      </c>
      <c r="E49" s="46">
        <v>29</v>
      </c>
      <c r="F49" s="46">
        <v>1</v>
      </c>
      <c r="G49" s="506">
        <v>540</v>
      </c>
      <c r="H49" s="48">
        <f t="shared" si="57"/>
        <v>0.10999999999999999</v>
      </c>
      <c r="I49" s="49">
        <v>0.88</v>
      </c>
      <c r="J49" s="89">
        <f t="shared" si="58"/>
        <v>55.192104</v>
      </c>
      <c r="K49" s="89">
        <f t="shared" si="59"/>
        <v>23.357618973000001</v>
      </c>
      <c r="L49" s="39">
        <v>590</v>
      </c>
      <c r="M49" s="39">
        <v>525.1</v>
      </c>
      <c r="N49" s="50">
        <f t="shared" si="60"/>
        <v>0.10999999999999999</v>
      </c>
      <c r="O49" s="51">
        <f>+'Trim Rwd'!H25</f>
        <v>256.5</v>
      </c>
      <c r="P49" s="52">
        <f t="shared" si="61"/>
        <v>150309</v>
      </c>
      <c r="Q49" s="51">
        <v>598</v>
      </c>
      <c r="R49" s="507">
        <v>0</v>
      </c>
      <c r="S49" s="507">
        <v>12</v>
      </c>
      <c r="T49" s="41">
        <f t="shared" si="62"/>
        <v>23.357618973000001</v>
      </c>
      <c r="U49" s="41">
        <f t="shared" si="63"/>
        <v>22.888904211000003</v>
      </c>
      <c r="V49" s="41">
        <f t="shared" si="64"/>
        <v>0.42899317200000003</v>
      </c>
      <c r="W49" s="41">
        <f>+'8'!K13/1000</f>
        <v>2.1930000000000001</v>
      </c>
      <c r="X49" s="42"/>
      <c r="Y49" s="218"/>
      <c r="Z49" s="41"/>
      <c r="AA49" s="41"/>
      <c r="AB49" s="41"/>
      <c r="AC49" s="41">
        <f t="shared" si="65"/>
        <v>0</v>
      </c>
      <c r="AD49" s="41">
        <f t="shared" si="66"/>
        <v>16</v>
      </c>
      <c r="AE49" s="237" t="s">
        <v>543</v>
      </c>
      <c r="AF49" s="37"/>
      <c r="AG49" s="37"/>
      <c r="AH49" s="37">
        <v>16</v>
      </c>
      <c r="AJ49" s="41"/>
      <c r="AK49" s="41"/>
      <c r="AL49" s="41"/>
      <c r="AM49" s="41">
        <f t="shared" si="67"/>
        <v>16</v>
      </c>
      <c r="AN49" s="41"/>
      <c r="AO49" s="41"/>
      <c r="AP49" s="41"/>
      <c r="AQ49" s="41"/>
      <c r="AR49" s="41">
        <f t="shared" si="68"/>
        <v>0</v>
      </c>
      <c r="AS49" s="41"/>
      <c r="AT49" s="41"/>
      <c r="AU49" s="41"/>
      <c r="AV49" s="41"/>
      <c r="AW49" s="41"/>
      <c r="AX49" s="41"/>
      <c r="AY49" s="41"/>
      <c r="AZ49" s="41"/>
      <c r="BA49" s="41"/>
      <c r="BB49" s="41"/>
      <c r="BC49" s="41">
        <f t="shared" si="69"/>
        <v>0</v>
      </c>
      <c r="BD49" s="37"/>
      <c r="BE49" s="510"/>
      <c r="BF49" s="510"/>
      <c r="BG49" s="37"/>
      <c r="BH49" s="510"/>
    </row>
    <row r="50" spans="1:60" ht="12.95" customHeight="1">
      <c r="A50" s="44"/>
      <c r="B50" s="45" t="s">
        <v>537</v>
      </c>
      <c r="C50" s="451">
        <f t="shared" si="56"/>
        <v>20.5859370288</v>
      </c>
      <c r="D50" s="45" t="s">
        <v>430</v>
      </c>
      <c r="E50" s="46">
        <v>15.5</v>
      </c>
      <c r="F50" s="46">
        <v>1</v>
      </c>
      <c r="G50" s="506">
        <v>1045</v>
      </c>
      <c r="H50" s="48">
        <f t="shared" si="57"/>
        <v>0.14000000000000001</v>
      </c>
      <c r="I50" s="49">
        <v>0.88</v>
      </c>
      <c r="J50" s="89">
        <f t="shared" si="58"/>
        <v>55.162205999999998</v>
      </c>
      <c r="K50" s="89">
        <f t="shared" si="59"/>
        <v>21.729600197066663</v>
      </c>
      <c r="L50" s="39">
        <v>990</v>
      </c>
      <c r="M50" s="39">
        <v>851.4</v>
      </c>
      <c r="N50" s="50">
        <f t="shared" si="60"/>
        <v>0.14000000000000001</v>
      </c>
      <c r="O50" s="51">
        <f>+'Trim Rwd'!H26</f>
        <v>261.73333333333335</v>
      </c>
      <c r="P50" s="52">
        <f t="shared" si="61"/>
        <v>153114</v>
      </c>
      <c r="Q50" s="51">
        <v>596</v>
      </c>
      <c r="R50" s="507">
        <v>0</v>
      </c>
      <c r="S50" s="507">
        <v>11</v>
      </c>
      <c r="T50" s="41">
        <f t="shared" si="62"/>
        <v>20.5859370288</v>
      </c>
      <c r="U50" s="41">
        <f t="shared" si="63"/>
        <v>20.205995238</v>
      </c>
      <c r="V50" s="41">
        <f t="shared" si="64"/>
        <v>0.40104966806666675</v>
      </c>
      <c r="W50" s="41">
        <f>+'8'!K14/1000</f>
        <v>11.852</v>
      </c>
      <c r="X50" s="42"/>
      <c r="Y50" s="218"/>
      <c r="Z50" s="41">
        <f>+'8'!D25/1000</f>
        <v>0.13400000000000001</v>
      </c>
      <c r="AA50" s="41"/>
      <c r="AB50" s="41"/>
      <c r="AC50" s="41"/>
      <c r="AD50" s="41">
        <f t="shared" si="66"/>
        <v>8</v>
      </c>
      <c r="AE50" s="240" t="s">
        <v>225</v>
      </c>
      <c r="AF50" s="41"/>
      <c r="AG50" s="41"/>
      <c r="AH50" s="41"/>
      <c r="AI50" s="509">
        <v>8</v>
      </c>
      <c r="AJ50" s="41"/>
      <c r="AK50" s="41"/>
      <c r="AL50" s="41"/>
      <c r="AM50" s="41">
        <f t="shared" si="67"/>
        <v>8</v>
      </c>
      <c r="AN50" s="41"/>
      <c r="AO50" s="41"/>
      <c r="AP50" s="41"/>
      <c r="AQ50" s="41"/>
      <c r="AR50" s="41">
        <f t="shared" si="68"/>
        <v>0</v>
      </c>
      <c r="AS50" s="41"/>
      <c r="AT50" s="41"/>
      <c r="AU50" s="41"/>
      <c r="AV50" s="41"/>
      <c r="AW50" s="41"/>
      <c r="AX50" s="41"/>
      <c r="AY50" s="41"/>
      <c r="AZ50" s="41"/>
      <c r="BA50" s="41"/>
      <c r="BB50" s="41"/>
      <c r="BC50" s="41">
        <f t="shared" si="69"/>
        <v>0</v>
      </c>
      <c r="BD50" s="54"/>
      <c r="BE50" s="55"/>
      <c r="BF50" s="55"/>
      <c r="BG50" s="54"/>
      <c r="BH50" s="55"/>
    </row>
    <row r="51" spans="1:60" ht="12.95" customHeight="1">
      <c r="A51" s="44"/>
      <c r="B51" s="45"/>
      <c r="C51" s="451"/>
      <c r="D51" s="45"/>
      <c r="E51" s="46"/>
      <c r="F51" s="46"/>
      <c r="G51" s="47"/>
      <c r="H51" s="47"/>
      <c r="I51" s="49"/>
      <c r="J51" s="89"/>
      <c r="K51" s="89"/>
      <c r="L51" s="39"/>
      <c r="M51" s="39"/>
      <c r="N51" s="50"/>
      <c r="O51" s="51"/>
      <c r="P51" s="52"/>
      <c r="Q51" s="51"/>
      <c r="R51" s="507"/>
      <c r="S51" s="507"/>
      <c r="T51" s="41"/>
      <c r="U51" s="41"/>
      <c r="V51" s="41"/>
      <c r="W51" s="41"/>
      <c r="X51" s="508"/>
      <c r="Y51" s="218"/>
      <c r="Z51" s="41"/>
      <c r="AA51" s="53"/>
      <c r="AB51" s="53"/>
      <c r="AC51" s="41"/>
      <c r="AD51" s="41"/>
      <c r="AE51" s="237"/>
      <c r="AF51" s="41"/>
      <c r="AG51" s="41"/>
      <c r="AH51" s="41"/>
      <c r="AI51" s="509"/>
      <c r="AJ51" s="41"/>
      <c r="AK51" s="41"/>
      <c r="AL51" s="41"/>
      <c r="AM51" s="41"/>
      <c r="AN51" s="41"/>
      <c r="AO51" s="41"/>
      <c r="AP51" s="41"/>
      <c r="AQ51" s="41"/>
      <c r="AR51" s="41"/>
      <c r="AS51" s="41"/>
      <c r="AT51" s="41"/>
      <c r="AU51" s="41"/>
      <c r="AV51" s="41"/>
      <c r="AW51" s="41"/>
      <c r="AX51" s="41"/>
      <c r="AY51" s="41"/>
      <c r="AZ51" s="41"/>
      <c r="BA51" s="41"/>
      <c r="BB51" s="41"/>
      <c r="BC51" s="41"/>
      <c r="BD51" s="37"/>
      <c r="BE51" s="55"/>
      <c r="BF51" s="55"/>
      <c r="BG51" s="55"/>
      <c r="BH51" s="55"/>
    </row>
    <row r="52" spans="1:60" ht="12.95" customHeight="1">
      <c r="A52" s="44">
        <v>46031</v>
      </c>
      <c r="B52" s="45" t="s">
        <v>537</v>
      </c>
      <c r="C52" s="451">
        <f t="shared" ref="C52:C54" si="70">(M52*E52*O52*Q52)/100000000</f>
        <v>26.869240080000001</v>
      </c>
      <c r="D52" s="45" t="s">
        <v>430</v>
      </c>
      <c r="E52" s="46">
        <v>15.5</v>
      </c>
      <c r="F52" s="46">
        <v>1</v>
      </c>
      <c r="G52" s="506">
        <f>+L52</f>
        <v>956.84210526315792</v>
      </c>
      <c r="H52" s="506">
        <f>+M52</f>
        <v>832.45263157894738</v>
      </c>
      <c r="I52" s="49">
        <v>0.88</v>
      </c>
      <c r="J52" s="89">
        <f t="shared" ref="J52:J54" si="71">E52*G52*(1-H52)*1440/1000000*2.75</f>
        <v>-48832.018248864275</v>
      </c>
      <c r="K52" s="89">
        <f t="shared" ref="K52:K54" si="72">(IF(G52&lt;L52,L52,G52)*(1-IF(H52&lt;N52,H52,N52))*E52*O52*Q52)/100000000</f>
        <v>26.869240080000001</v>
      </c>
      <c r="L52" s="39">
        <v>956.84210526315792</v>
      </c>
      <c r="M52" s="39">
        <v>832.45263157894738</v>
      </c>
      <c r="N52" s="50">
        <f t="shared" ref="N52:N54" si="73">1-(M52/L52)</f>
        <v>0.13</v>
      </c>
      <c r="O52" s="51">
        <f>+'Trim Rwd'!H28</f>
        <v>274</v>
      </c>
      <c r="P52" s="52">
        <f t="shared" ref="P52:P54" si="74">O52*(Q52-R52-S52)</f>
        <v>202760</v>
      </c>
      <c r="Q52" s="51">
        <v>760</v>
      </c>
      <c r="R52" s="507">
        <v>0</v>
      </c>
      <c r="S52" s="507">
        <v>20</v>
      </c>
      <c r="T52" s="41">
        <f t="shared" ref="T52:T54" si="75">E52*M52*O52*Q52/100000000</f>
        <v>26.869240080000001</v>
      </c>
      <c r="U52" s="41">
        <f t="shared" ref="U52:U54" si="76">E52*M52*O52*(Q52-R52-S52)/100000000</f>
        <v>26.162154814736844</v>
      </c>
      <c r="V52" s="41">
        <f t="shared" ref="V52:V54" si="77">E52*G52*(1-N52)*O52/100*(R52+S52)/1000000</f>
        <v>0.70708526526315785</v>
      </c>
      <c r="W52" s="41">
        <f>+'9'!K14/1000</f>
        <v>35.075000000000003</v>
      </c>
      <c r="X52" s="508">
        <f>SUM(W52:W55)/SUM(K52:K55)</f>
        <v>1.0926871585621687</v>
      </c>
      <c r="Y52" s="218">
        <v>0</v>
      </c>
      <c r="Z52" s="41">
        <v>0</v>
      </c>
      <c r="AA52" s="53">
        <f>SUM(U52:U55)-SUM(W52:W55)-SUM(Z52:Z55)-SUM(Y52:Y55)</f>
        <v>-6.1787833705663058</v>
      </c>
      <c r="AB52" s="53">
        <f>(SUM(K52:K55)-SUM(W52:W55)-SUM(Y52:Y55)-SUM(Z52:Z55)-SUM(AC52:AC55)-SUM(V52:V55))-AA52</f>
        <v>0</v>
      </c>
      <c r="AC52" s="41">
        <f>K52-T52</f>
        <v>0</v>
      </c>
      <c r="AD52" s="41">
        <f>+AM52+BC52</f>
        <v>0</v>
      </c>
      <c r="AE52" s="237" t="s">
        <v>386</v>
      </c>
      <c r="AF52" s="41">
        <v>0</v>
      </c>
      <c r="AG52" s="41"/>
      <c r="AH52" s="41"/>
      <c r="AI52" s="509"/>
      <c r="AJ52" s="41"/>
      <c r="AK52" s="41"/>
      <c r="AL52" s="41"/>
      <c r="AM52" s="41">
        <f>SUM(AF52:AL52)+AT52</f>
        <v>0</v>
      </c>
      <c r="AN52" s="41"/>
      <c r="AO52" s="41"/>
      <c r="AP52" s="41"/>
      <c r="AQ52" s="41"/>
      <c r="AR52" s="41">
        <f>SUM(AN52:AQ52)</f>
        <v>0</v>
      </c>
      <c r="AS52" s="41"/>
      <c r="AT52" s="41"/>
      <c r="AU52" s="41"/>
      <c r="AV52" s="41"/>
      <c r="AW52" s="41"/>
      <c r="AX52" s="41"/>
      <c r="AY52" s="41"/>
      <c r="AZ52" s="41"/>
      <c r="BA52" s="41"/>
      <c r="BB52" s="41"/>
      <c r="BC52" s="41">
        <f>+AR52+AS52+AU52+AV52+AX52</f>
        <v>0</v>
      </c>
      <c r="BD52" s="37">
        <v>0</v>
      </c>
      <c r="BE52" s="55"/>
      <c r="BF52" s="55"/>
      <c r="BG52" s="37"/>
      <c r="BH52" s="55"/>
    </row>
    <row r="53" spans="1:60" ht="12.95" customHeight="1">
      <c r="A53" s="44"/>
      <c r="B53" s="45" t="s">
        <v>569</v>
      </c>
      <c r="C53" s="451">
        <f t="shared" si="70"/>
        <v>4.432270752</v>
      </c>
      <c r="D53" s="45" t="s">
        <v>430</v>
      </c>
      <c r="E53" s="46">
        <v>14</v>
      </c>
      <c r="F53" s="46">
        <v>1</v>
      </c>
      <c r="G53" s="506">
        <f>+L53</f>
        <v>920</v>
      </c>
      <c r="H53" s="48">
        <f>+N53</f>
        <v>0.21999999999999997</v>
      </c>
      <c r="I53" s="49">
        <v>0.88</v>
      </c>
      <c r="J53" s="89">
        <f t="shared" si="71"/>
        <v>39.783743999999999</v>
      </c>
      <c r="K53" s="89">
        <f t="shared" si="72"/>
        <v>4.432270752</v>
      </c>
      <c r="L53" s="39">
        <v>920</v>
      </c>
      <c r="M53" s="39">
        <v>717.6</v>
      </c>
      <c r="N53" s="50">
        <f t="shared" si="73"/>
        <v>0.21999999999999997</v>
      </c>
      <c r="O53" s="51">
        <f>+'Trim Rwd'!H33</f>
        <v>256.5</v>
      </c>
      <c r="P53" s="52">
        <f t="shared" si="74"/>
        <v>42835.5</v>
      </c>
      <c r="Q53" s="51">
        <v>172</v>
      </c>
      <c r="R53" s="507">
        <v>0</v>
      </c>
      <c r="S53" s="507">
        <v>5</v>
      </c>
      <c r="T53" s="41">
        <f t="shared" si="75"/>
        <v>4.432270752</v>
      </c>
      <c r="U53" s="41">
        <f t="shared" si="76"/>
        <v>4.3034256719999995</v>
      </c>
      <c r="V53" s="41">
        <f t="shared" si="77"/>
        <v>0.12884508</v>
      </c>
      <c r="W53" s="41">
        <f>+'9'!K15/1000</f>
        <v>4.62</v>
      </c>
      <c r="X53" s="42"/>
      <c r="Y53" s="218"/>
      <c r="Z53" s="41">
        <f>+'9'!D17/1000</f>
        <v>0.66400000000000003</v>
      </c>
      <c r="AA53" s="41"/>
      <c r="AB53" s="41"/>
      <c r="AC53" s="41">
        <f t="shared" ref="AC53:AC54" si="78">K53-T53</f>
        <v>0</v>
      </c>
      <c r="AD53" s="41">
        <f t="shared" ref="AD53:AD56" si="79">+AM53+BC53</f>
        <v>8</v>
      </c>
      <c r="AE53" s="237" t="s">
        <v>570</v>
      </c>
      <c r="AF53" s="41"/>
      <c r="AG53" s="41">
        <v>8</v>
      </c>
      <c r="AH53" s="41"/>
      <c r="AI53" s="509"/>
      <c r="AJ53" s="41"/>
      <c r="AK53" s="41"/>
      <c r="AL53" s="41"/>
      <c r="AM53" s="41">
        <f t="shared" ref="AM53:AM55" si="80">SUM(AF53:AL53)+AT53</f>
        <v>8</v>
      </c>
      <c r="AN53" s="90"/>
      <c r="AO53" s="41"/>
      <c r="AP53" s="41"/>
      <c r="AQ53" s="41"/>
      <c r="AR53" s="41">
        <f t="shared" ref="AR53:AR55" si="81">SUM(AN53:AQ53)</f>
        <v>0</v>
      </c>
      <c r="AS53" s="41"/>
      <c r="AT53" s="41"/>
      <c r="AU53" s="41"/>
      <c r="AV53" s="41"/>
      <c r="AW53" s="41"/>
      <c r="AX53" s="41"/>
      <c r="AY53" s="41"/>
      <c r="AZ53" s="41"/>
      <c r="BA53" s="41"/>
      <c r="BB53" s="41"/>
      <c r="BC53" s="41">
        <f t="shared" ref="BC53:BC56" si="82">+AR53+AS53+AU53+AV53+AX53</f>
        <v>0</v>
      </c>
      <c r="BD53" s="54"/>
      <c r="BE53" s="55">
        <v>9</v>
      </c>
      <c r="BF53" s="55"/>
      <c r="BG53" s="54"/>
      <c r="BH53" s="55"/>
    </row>
    <row r="54" spans="1:60" ht="12.95" customHeight="1">
      <c r="A54" s="44"/>
      <c r="B54" s="45" t="s">
        <v>417</v>
      </c>
      <c r="C54" s="451">
        <f t="shared" si="70"/>
        <v>14.783042835</v>
      </c>
      <c r="D54" s="45" t="s">
        <v>430</v>
      </c>
      <c r="E54" s="46">
        <v>13.5</v>
      </c>
      <c r="F54" s="46">
        <v>1</v>
      </c>
      <c r="G54" s="506">
        <f>+L54</f>
        <v>964.42913385826773</v>
      </c>
      <c r="H54" s="48">
        <f>+N54</f>
        <v>0.15000000000000002</v>
      </c>
      <c r="I54" s="49">
        <v>0.88</v>
      </c>
      <c r="J54" s="89">
        <f t="shared" si="71"/>
        <v>43.824624271653541</v>
      </c>
      <c r="K54" s="89">
        <f t="shared" si="72"/>
        <v>14.783042835</v>
      </c>
      <c r="L54" s="39">
        <v>964.42913385826773</v>
      </c>
      <c r="M54" s="39">
        <v>819.76476377952758</v>
      </c>
      <c r="N54" s="50">
        <f t="shared" si="73"/>
        <v>0.15000000000000002</v>
      </c>
      <c r="O54" s="51">
        <f>+'Trim Rwd'!H30</f>
        <v>262.95238095238096</v>
      </c>
      <c r="P54" s="52">
        <f t="shared" si="74"/>
        <v>129898.4761904762</v>
      </c>
      <c r="Q54" s="51">
        <v>508</v>
      </c>
      <c r="R54" s="507">
        <v>0</v>
      </c>
      <c r="S54" s="507">
        <f>221-207</f>
        <v>14</v>
      </c>
      <c r="T54" s="41">
        <f t="shared" si="75"/>
        <v>14.783042835</v>
      </c>
      <c r="U54" s="41">
        <f t="shared" si="76"/>
        <v>14.37563614269685</v>
      </c>
      <c r="V54" s="41">
        <f t="shared" si="77"/>
        <v>0.40740669230314958</v>
      </c>
      <c r="W54" s="41">
        <f>+'9'!K7/1000</f>
        <v>10.661</v>
      </c>
      <c r="X54" s="42"/>
      <c r="Y54" s="218"/>
      <c r="Z54" s="41"/>
      <c r="AA54" s="41"/>
      <c r="AB54" s="41"/>
      <c r="AC54" s="41">
        <f t="shared" si="78"/>
        <v>0</v>
      </c>
      <c r="AD54" s="41">
        <f t="shared" si="79"/>
        <v>16</v>
      </c>
      <c r="AE54" s="237" t="s">
        <v>571</v>
      </c>
      <c r="AF54" s="37"/>
      <c r="AG54" s="37"/>
      <c r="AH54" s="37">
        <v>16</v>
      </c>
      <c r="AJ54" s="41"/>
      <c r="AK54" s="41"/>
      <c r="AL54" s="41"/>
      <c r="AM54" s="41">
        <f t="shared" si="80"/>
        <v>16</v>
      </c>
      <c r="AN54" s="41"/>
      <c r="AO54" s="41"/>
      <c r="AP54" s="41"/>
      <c r="AQ54" s="41"/>
      <c r="AR54" s="41">
        <f t="shared" si="81"/>
        <v>0</v>
      </c>
      <c r="AS54" s="41"/>
      <c r="AT54" s="41"/>
      <c r="AU54" s="41"/>
      <c r="AV54" s="41"/>
      <c r="AW54" s="41"/>
      <c r="AX54" s="41"/>
      <c r="AY54" s="41"/>
      <c r="AZ54" s="41"/>
      <c r="BA54" s="41"/>
      <c r="BB54" s="41"/>
      <c r="BC54" s="41">
        <f t="shared" si="82"/>
        <v>0</v>
      </c>
      <c r="BD54" s="37"/>
      <c r="BE54" s="510"/>
      <c r="BF54" s="510"/>
      <c r="BG54" s="37"/>
      <c r="BH54" s="510"/>
    </row>
    <row r="55" spans="1:60" ht="12.95" customHeight="1">
      <c r="A55" s="44"/>
      <c r="B55" s="45"/>
      <c r="C55" s="451"/>
      <c r="D55" s="45"/>
      <c r="E55" s="46"/>
      <c r="F55" s="46"/>
      <c r="G55" s="506"/>
      <c r="H55" s="48"/>
      <c r="I55" s="49"/>
      <c r="J55" s="89"/>
      <c r="K55" s="89"/>
      <c r="L55" s="39"/>
      <c r="M55" s="39"/>
      <c r="N55" s="50"/>
      <c r="O55" s="51"/>
      <c r="P55" s="52"/>
      <c r="Q55" s="51"/>
      <c r="R55" s="507"/>
      <c r="S55" s="507"/>
      <c r="T55" s="41"/>
      <c r="U55" s="41"/>
      <c r="V55" s="41"/>
      <c r="W55" s="41"/>
      <c r="X55" s="42"/>
      <c r="Y55" s="218"/>
      <c r="Z55" s="41"/>
      <c r="AA55" s="41"/>
      <c r="AB55" s="41"/>
      <c r="AC55" s="41"/>
      <c r="AD55" s="41">
        <f t="shared" si="79"/>
        <v>15</v>
      </c>
      <c r="AE55" s="240" t="s">
        <v>225</v>
      </c>
      <c r="AF55" s="41"/>
      <c r="AG55" s="41"/>
      <c r="AH55" s="41"/>
      <c r="AI55" s="509">
        <v>15</v>
      </c>
      <c r="AJ55" s="41"/>
      <c r="AK55" s="41"/>
      <c r="AL55" s="41"/>
      <c r="AM55" s="41">
        <f t="shared" si="80"/>
        <v>15</v>
      </c>
      <c r="AN55" s="41"/>
      <c r="AO55" s="41"/>
      <c r="AP55" s="41"/>
      <c r="AQ55" s="41"/>
      <c r="AR55" s="41">
        <f t="shared" si="81"/>
        <v>0</v>
      </c>
      <c r="AS55" s="41"/>
      <c r="AT55" s="41"/>
      <c r="AU55" s="41"/>
      <c r="AV55" s="41"/>
      <c r="AW55" s="41"/>
      <c r="AX55" s="41"/>
      <c r="AY55" s="41"/>
      <c r="AZ55" s="41"/>
      <c r="BA55" s="41"/>
      <c r="BB55" s="41"/>
      <c r="BC55" s="41">
        <f t="shared" si="82"/>
        <v>0</v>
      </c>
      <c r="BD55" s="54"/>
      <c r="BE55" s="55"/>
      <c r="BF55" s="55"/>
      <c r="BG55" s="54"/>
      <c r="BH55" s="55"/>
    </row>
    <row r="56" spans="1:60" ht="12.95" customHeight="1">
      <c r="A56" s="44"/>
      <c r="B56" s="45"/>
      <c r="C56" s="451"/>
      <c r="D56" s="45"/>
      <c r="E56" s="46"/>
      <c r="F56" s="46"/>
      <c r="G56" s="506"/>
      <c r="H56" s="48"/>
      <c r="I56" s="49"/>
      <c r="J56" s="89"/>
      <c r="K56" s="89"/>
      <c r="L56" s="39"/>
      <c r="M56" s="39"/>
      <c r="N56" s="50"/>
      <c r="O56" s="51"/>
      <c r="P56" s="52"/>
      <c r="Q56" s="51"/>
      <c r="R56" s="507"/>
      <c r="S56" s="507"/>
      <c r="T56" s="41"/>
      <c r="U56" s="41"/>
      <c r="V56" s="41"/>
      <c r="W56" s="41"/>
      <c r="X56" s="42"/>
      <c r="Y56" s="218"/>
      <c r="Z56" s="41"/>
      <c r="AA56" s="41"/>
      <c r="AB56" s="41"/>
      <c r="AC56" s="41"/>
      <c r="AD56" s="41">
        <f t="shared" si="79"/>
        <v>0</v>
      </c>
      <c r="AE56" s="240" t="s">
        <v>606</v>
      </c>
      <c r="AF56" s="41"/>
      <c r="AG56" s="41"/>
      <c r="AH56" s="41"/>
      <c r="AI56" s="509"/>
      <c r="AJ56" s="41"/>
      <c r="AK56" s="41"/>
      <c r="AL56" s="41"/>
      <c r="AM56" s="41">
        <f>SUM(AF56:AL56)+AT56+AZ56+AX56+AV56+AT56</f>
        <v>0</v>
      </c>
      <c r="AN56" s="41"/>
      <c r="AO56" s="41"/>
      <c r="AP56" s="41"/>
      <c r="AQ56" s="41"/>
      <c r="AR56" s="41">
        <f t="shared" ref="AR56" si="83">SUM(AN56:AQ56)</f>
        <v>0</v>
      </c>
      <c r="AS56" s="41"/>
      <c r="AT56" s="41"/>
      <c r="AU56" s="41"/>
      <c r="AV56" s="41"/>
      <c r="AW56" s="41"/>
      <c r="AX56" s="41"/>
      <c r="AY56" s="41"/>
      <c r="AZ56" s="41">
        <f>207-207</f>
        <v>0</v>
      </c>
      <c r="BA56" s="41"/>
      <c r="BB56" s="41"/>
      <c r="BC56" s="41">
        <f t="shared" si="82"/>
        <v>0</v>
      </c>
      <c r="BD56" s="54"/>
      <c r="BE56" s="55"/>
      <c r="BF56" s="55"/>
      <c r="BG56" s="54"/>
      <c r="BH56" s="55"/>
    </row>
    <row r="57" spans="1:60" ht="12.95" customHeight="1">
      <c r="A57" s="44"/>
      <c r="B57" s="45"/>
      <c r="C57" s="451"/>
      <c r="D57" s="45"/>
      <c r="E57" s="46"/>
      <c r="F57" s="46"/>
      <c r="G57" s="47"/>
      <c r="H57" s="47"/>
      <c r="I57" s="49"/>
      <c r="J57" s="89"/>
      <c r="K57" s="89"/>
      <c r="L57" s="39"/>
      <c r="M57" s="39"/>
      <c r="N57" s="50"/>
      <c r="O57" s="51"/>
      <c r="P57" s="52"/>
      <c r="Q57" s="51"/>
      <c r="R57" s="507"/>
      <c r="S57" s="507"/>
      <c r="T57" s="41"/>
      <c r="U57" s="41"/>
      <c r="V57" s="41"/>
      <c r="W57" s="41"/>
      <c r="X57" s="42"/>
      <c r="Y57" s="218"/>
      <c r="Z57" s="41"/>
      <c r="AA57" s="41"/>
      <c r="AB57" s="41"/>
      <c r="AC57" s="41"/>
      <c r="AD57" s="41"/>
      <c r="AE57" s="240"/>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37"/>
      <c r="BE57" s="55"/>
      <c r="BF57" s="55"/>
      <c r="BG57" s="37"/>
      <c r="BH57" s="55"/>
    </row>
    <row r="58" spans="1:60" ht="12.95" customHeight="1">
      <c r="A58" s="44">
        <v>46032</v>
      </c>
      <c r="B58" s="45" t="s">
        <v>417</v>
      </c>
      <c r="C58" s="451">
        <f t="shared" ref="C58:C59" si="84">(M58*E58*O58*Q58)/100000000</f>
        <v>39.954809211455668</v>
      </c>
      <c r="D58" s="45" t="s">
        <v>430</v>
      </c>
      <c r="E58" s="46">
        <v>13.5</v>
      </c>
      <c r="F58" s="46">
        <v>1</v>
      </c>
      <c r="G58" s="506">
        <f>+L58</f>
        <v>1092.2827041264268</v>
      </c>
      <c r="H58" s="48">
        <f>+N58</f>
        <v>0.16095136282161548</v>
      </c>
      <c r="I58" s="49">
        <v>0.88</v>
      </c>
      <c r="J58" s="89">
        <f t="shared" ref="J58:J59" si="85">E58*G58*(1-H58)*1440/1000000*2.75</f>
        <v>48.994930683055323</v>
      </c>
      <c r="K58" s="89">
        <f t="shared" ref="K58:K59" si="86">(IF(G58&lt;L58,L58,G58)*(1-IF(H58&lt;N58,H58,N58))*E58*O58*Q58)/100000000</f>
        <v>39.954809211455668</v>
      </c>
      <c r="L58" s="39">
        <v>1092.2827041264268</v>
      </c>
      <c r="M58" s="39">
        <v>916.47831431079896</v>
      </c>
      <c r="N58" s="50">
        <f t="shared" ref="N58:N59" si="87">1-(M58/L58)</f>
        <v>0.16095136282161548</v>
      </c>
      <c r="O58" s="51">
        <f>+'Trim Rwd'!H35</f>
        <v>256.5</v>
      </c>
      <c r="P58" s="52">
        <f t="shared" ref="P58:P59" si="88">O58*(Q58-R58-S58)</f>
        <v>284458.5</v>
      </c>
      <c r="Q58" s="51">
        <f>1346-87</f>
        <v>1259</v>
      </c>
      <c r="R58" s="507">
        <f>120</f>
        <v>120</v>
      </c>
      <c r="S58" s="507">
        <f>158-128</f>
        <v>30</v>
      </c>
      <c r="T58" s="41">
        <f t="shared" ref="T58:T59" si="89">E58*M58*O58*Q58/100000000</f>
        <v>39.954809211455668</v>
      </c>
      <c r="U58" s="41">
        <f t="shared" ref="U58:U59" si="90">E58*M58*O58*(Q58-R58-S58)/100000000</f>
        <v>35.194506287136086</v>
      </c>
      <c r="V58" s="41">
        <f t="shared" ref="V58:V59" si="91">E58*G58*(1-N58)*O58/100*(R58+S58)/1000000</f>
        <v>4.7603029243195785</v>
      </c>
      <c r="W58" s="41">
        <f>+'10'!K7/1000</f>
        <v>34.994999999999997</v>
      </c>
      <c r="X58" s="508">
        <f>SUM(W58:W61)/SUM(K58:K61)</f>
        <v>0.82017967408415349</v>
      </c>
      <c r="Y58" s="218">
        <v>0</v>
      </c>
      <c r="Z58" s="41">
        <v>0</v>
      </c>
      <c r="AA58" s="53">
        <f>SUM(U58:U61)-SUM(W58:W61)-SUM(Z58:Z61)-SUM(Y58:Y61)</f>
        <v>2.6828694871360881</v>
      </c>
      <c r="AB58" s="53">
        <f>(SUM(K58:K61)-SUM(W58:W61)-SUM(Y58:Y61)-SUM(Z58:Z61)-SUM(AC58:AC61)-SUM(V58:V61))-AA58</f>
        <v>4.4408920985006262E-15</v>
      </c>
      <c r="AC58" s="41">
        <f>K58-T58</f>
        <v>0</v>
      </c>
      <c r="AD58" s="41">
        <f>+AM58+BC58</f>
        <v>0</v>
      </c>
      <c r="AE58" s="237" t="s">
        <v>394</v>
      </c>
      <c r="AF58" s="41">
        <v>0</v>
      </c>
      <c r="AG58" s="41"/>
      <c r="AH58" s="41"/>
      <c r="AI58" s="509"/>
      <c r="AJ58" s="41"/>
      <c r="AK58" s="41"/>
      <c r="AL58" s="41"/>
      <c r="AM58" s="41">
        <f>SUM(AF58:AL58)+AT58</f>
        <v>0</v>
      </c>
      <c r="AN58" s="41"/>
      <c r="AO58" s="41"/>
      <c r="AP58" s="41"/>
      <c r="AQ58" s="41"/>
      <c r="AR58" s="41">
        <f>SUM(AN58:AQ58)</f>
        <v>0</v>
      </c>
      <c r="AS58" s="41"/>
      <c r="AT58" s="41"/>
      <c r="AU58" s="41"/>
      <c r="AV58" s="41"/>
      <c r="AW58" s="41"/>
      <c r="AX58" s="41"/>
      <c r="AY58" s="41"/>
      <c r="AZ58" s="41"/>
      <c r="BA58" s="41"/>
      <c r="BB58" s="41"/>
      <c r="BC58" s="41">
        <f>+AR58+AS58+AU58+AV58+AX58</f>
        <v>0</v>
      </c>
      <c r="BD58" s="37">
        <v>2</v>
      </c>
      <c r="BE58" s="55"/>
      <c r="BF58" s="55"/>
      <c r="BG58" s="37"/>
      <c r="BH58" s="55"/>
    </row>
    <row r="59" spans="1:60" ht="12.95" customHeight="1">
      <c r="A59" s="44"/>
      <c r="B59" s="45" t="s">
        <v>417</v>
      </c>
      <c r="C59" s="451">
        <f t="shared" si="84"/>
        <v>3.5198111999999999</v>
      </c>
      <c r="D59" s="45" t="s">
        <v>430</v>
      </c>
      <c r="E59" s="46">
        <v>15</v>
      </c>
      <c r="F59" s="46">
        <v>1</v>
      </c>
      <c r="G59" s="506">
        <f>+L59</f>
        <v>1160</v>
      </c>
      <c r="H59" s="48">
        <f>+N59</f>
        <v>0.19999999999999996</v>
      </c>
      <c r="I59" s="49">
        <v>0.88</v>
      </c>
      <c r="J59" s="89">
        <f t="shared" si="85"/>
        <v>55.123199999999997</v>
      </c>
      <c r="K59" s="89">
        <f t="shared" si="86"/>
        <v>3.5198111999999999</v>
      </c>
      <c r="L59" s="39">
        <v>1160</v>
      </c>
      <c r="M59" s="39">
        <v>928</v>
      </c>
      <c r="N59" s="50">
        <f t="shared" si="87"/>
        <v>0.19999999999999996</v>
      </c>
      <c r="O59" s="51">
        <f>+'Trim Rwd'!H36</f>
        <v>269</v>
      </c>
      <c r="P59" s="52">
        <f t="shared" si="88"/>
        <v>22596</v>
      </c>
      <c r="Q59" s="51">
        <v>94</v>
      </c>
      <c r="R59" s="507">
        <v>0</v>
      </c>
      <c r="S59" s="507">
        <v>10</v>
      </c>
      <c r="T59" s="41">
        <f t="shared" si="89"/>
        <v>3.5198111999999999</v>
      </c>
      <c r="U59" s="41">
        <f t="shared" si="90"/>
        <v>3.1453631999999998</v>
      </c>
      <c r="V59" s="41">
        <f t="shared" si="91"/>
        <v>0.374448</v>
      </c>
      <c r="W59" s="41">
        <f>+'10'!K16/1000</f>
        <v>0.66200000000000003</v>
      </c>
      <c r="X59" s="42"/>
      <c r="Y59" s="218"/>
      <c r="Z59" s="41"/>
      <c r="AA59" s="41"/>
      <c r="AB59" s="41"/>
      <c r="AC59" s="41">
        <f>K59-T59</f>
        <v>0</v>
      </c>
      <c r="AD59" s="41">
        <f t="shared" ref="AD59:AD64" si="92">+AM59+BC59</f>
        <v>10</v>
      </c>
      <c r="AE59" s="237" t="s">
        <v>475</v>
      </c>
      <c r="AF59" s="41"/>
      <c r="AG59" s="41">
        <v>10</v>
      </c>
      <c r="AH59" s="41"/>
      <c r="AI59" s="509"/>
      <c r="AJ59" s="41"/>
      <c r="AK59" s="41"/>
      <c r="AL59" s="41"/>
      <c r="AM59" s="41">
        <f t="shared" ref="AM59:AM61" si="93">SUM(AF59:AL59)+AT59</f>
        <v>10</v>
      </c>
      <c r="AN59" s="90"/>
      <c r="AO59" s="41"/>
      <c r="AP59" s="41"/>
      <c r="AQ59" s="41"/>
      <c r="AR59" s="41">
        <f t="shared" ref="AR59:AR63" si="94">SUM(AN59:AQ59)</f>
        <v>0</v>
      </c>
      <c r="AS59" s="41"/>
      <c r="AT59" s="41"/>
      <c r="AU59" s="41"/>
      <c r="AV59" s="41"/>
      <c r="AW59" s="41"/>
      <c r="AX59" s="41"/>
      <c r="AY59" s="41"/>
      <c r="AZ59" s="41"/>
      <c r="BA59" s="41"/>
      <c r="BB59" s="41"/>
      <c r="BC59" s="41">
        <f t="shared" ref="BC59:BC62" si="95">+AR59+AS59+AU59+AV59+AX59</f>
        <v>0</v>
      </c>
      <c r="BD59" s="54"/>
      <c r="BE59" s="55">
        <v>12</v>
      </c>
      <c r="BF59" s="55"/>
      <c r="BG59" s="54"/>
      <c r="BH59" s="55"/>
    </row>
    <row r="60" spans="1:60" ht="12.95" customHeight="1">
      <c r="A60" s="44"/>
      <c r="B60" s="45"/>
      <c r="C60" s="451"/>
      <c r="D60" s="45"/>
      <c r="E60" s="46"/>
      <c r="F60" s="46"/>
      <c r="G60" s="47"/>
      <c r="H60" s="48"/>
      <c r="I60" s="49"/>
      <c r="J60" s="89"/>
      <c r="K60" s="89"/>
      <c r="L60" s="39"/>
      <c r="M60" s="39"/>
      <c r="N60" s="50"/>
      <c r="O60" s="51"/>
      <c r="P60" s="52"/>
      <c r="Q60" s="51"/>
      <c r="R60" s="507"/>
      <c r="S60" s="507"/>
      <c r="T60" s="41"/>
      <c r="U60" s="41"/>
      <c r="V60" s="41"/>
      <c r="W60" s="41"/>
      <c r="X60" s="42"/>
      <c r="Y60" s="218"/>
      <c r="Z60" s="41"/>
      <c r="AA60" s="41"/>
      <c r="AB60" s="41"/>
      <c r="AC60" s="41"/>
      <c r="AD60" s="41">
        <f t="shared" si="92"/>
        <v>22</v>
      </c>
      <c r="AE60" s="237" t="s">
        <v>396</v>
      </c>
      <c r="AF60" s="37"/>
      <c r="AG60" s="37"/>
      <c r="AH60" s="37">
        <v>22</v>
      </c>
      <c r="AJ60" s="41"/>
      <c r="AK60" s="41"/>
      <c r="AL60" s="41"/>
      <c r="AM60" s="41">
        <f t="shared" si="93"/>
        <v>22</v>
      </c>
      <c r="AN60" s="41"/>
      <c r="AO60" s="41"/>
      <c r="AP60" s="41"/>
      <c r="AQ60" s="41"/>
      <c r="AR60" s="41">
        <f t="shared" si="94"/>
        <v>0</v>
      </c>
      <c r="AS60" s="41"/>
      <c r="AT60" s="41"/>
      <c r="AU60" s="41"/>
      <c r="AV60" s="41"/>
      <c r="AW60" s="41"/>
      <c r="AX60" s="41"/>
      <c r="AY60" s="41"/>
      <c r="AZ60" s="41"/>
      <c r="BA60" s="41"/>
      <c r="BB60" s="41"/>
      <c r="BC60" s="41">
        <f t="shared" si="95"/>
        <v>0</v>
      </c>
      <c r="BD60" s="37"/>
      <c r="BE60" s="510"/>
      <c r="BF60" s="510"/>
      <c r="BG60" s="37"/>
      <c r="BH60" s="510"/>
    </row>
    <row r="61" spans="1:60" ht="12.95" customHeight="1">
      <c r="A61" s="44"/>
      <c r="B61" s="45"/>
      <c r="C61" s="451"/>
      <c r="D61" s="45"/>
      <c r="E61" s="46"/>
      <c r="F61" s="46"/>
      <c r="G61" s="47"/>
      <c r="H61" s="48"/>
      <c r="I61" s="49"/>
      <c r="J61" s="89"/>
      <c r="K61" s="89"/>
      <c r="L61" s="39"/>
      <c r="M61" s="39"/>
      <c r="N61" s="50"/>
      <c r="O61" s="51"/>
      <c r="P61" s="52"/>
      <c r="Q61" s="38"/>
      <c r="R61" s="507"/>
      <c r="S61" s="507"/>
      <c r="T61" s="41"/>
      <c r="U61" s="41"/>
      <c r="V61" s="41"/>
      <c r="W61" s="41"/>
      <c r="X61" s="42"/>
      <c r="Y61" s="218"/>
      <c r="Z61" s="41"/>
      <c r="AA61" s="41"/>
      <c r="AB61" s="41"/>
      <c r="AC61" s="41"/>
      <c r="AD61" s="41">
        <f t="shared" si="92"/>
        <v>8</v>
      </c>
      <c r="AE61" s="240" t="s">
        <v>225</v>
      </c>
      <c r="AF61" s="41"/>
      <c r="AG61" s="41"/>
      <c r="AH61" s="41"/>
      <c r="AI61" s="509">
        <v>8</v>
      </c>
      <c r="AJ61" s="41"/>
      <c r="AK61" s="41"/>
      <c r="AL61" s="41"/>
      <c r="AM61" s="41">
        <f t="shared" si="93"/>
        <v>8</v>
      </c>
      <c r="AN61" s="41"/>
      <c r="AO61" s="41"/>
      <c r="AP61" s="41"/>
      <c r="AQ61" s="41"/>
      <c r="AR61" s="41">
        <f t="shared" si="94"/>
        <v>0</v>
      </c>
      <c r="AS61" s="41"/>
      <c r="AT61" s="41"/>
      <c r="AU61" s="41"/>
      <c r="AV61" s="41"/>
      <c r="AW61" s="41"/>
      <c r="AX61" s="41"/>
      <c r="AY61" s="41"/>
      <c r="AZ61" s="41"/>
      <c r="BA61" s="41"/>
      <c r="BB61" s="41"/>
      <c r="BC61" s="41">
        <f t="shared" si="95"/>
        <v>0</v>
      </c>
      <c r="BD61" s="54"/>
      <c r="BE61" s="55"/>
      <c r="BF61" s="55"/>
      <c r="BG61" s="54"/>
      <c r="BH61" s="55"/>
    </row>
    <row r="62" spans="1:60" ht="12.95" customHeight="1">
      <c r="A62" s="44"/>
      <c r="B62" s="45"/>
      <c r="C62" s="451"/>
      <c r="D62" s="45"/>
      <c r="E62" s="46"/>
      <c r="F62" s="46"/>
      <c r="G62" s="47"/>
      <c r="H62" s="48"/>
      <c r="I62" s="49"/>
      <c r="J62" s="89"/>
      <c r="K62" s="89"/>
      <c r="L62" s="39"/>
      <c r="M62" s="39"/>
      <c r="N62" s="50"/>
      <c r="O62" s="51"/>
      <c r="P62" s="52"/>
      <c r="Q62" s="38"/>
      <c r="R62" s="507"/>
      <c r="S62" s="507"/>
      <c r="T62" s="41"/>
      <c r="U62" s="41"/>
      <c r="V62" s="41"/>
      <c r="W62" s="41"/>
      <c r="X62" s="42"/>
      <c r="Y62" s="218"/>
      <c r="Z62" s="41"/>
      <c r="AA62" s="41"/>
      <c r="AB62" s="41"/>
      <c r="AC62" s="41"/>
      <c r="AD62" s="41">
        <f t="shared" si="92"/>
        <v>120</v>
      </c>
      <c r="AE62" s="240" t="s">
        <v>607</v>
      </c>
      <c r="AF62" s="41"/>
      <c r="AG62" s="41"/>
      <c r="AH62" s="41"/>
      <c r="AI62" s="509"/>
      <c r="AJ62" s="41"/>
      <c r="AK62" s="41"/>
      <c r="AL62" s="41"/>
      <c r="AM62" s="41">
        <f t="shared" ref="AM62:AM63" si="96">SUM(AF62:AL62)+AT62</f>
        <v>0</v>
      </c>
      <c r="AN62" s="41">
        <v>120</v>
      </c>
      <c r="AO62" s="41"/>
      <c r="AP62" s="41"/>
      <c r="AQ62" s="41"/>
      <c r="AR62" s="41">
        <f t="shared" si="94"/>
        <v>120</v>
      </c>
      <c r="AS62" s="41"/>
      <c r="AT62" s="41"/>
      <c r="AU62" s="41"/>
      <c r="AV62" s="41"/>
      <c r="AW62" s="41"/>
      <c r="AX62" s="41"/>
      <c r="AY62" s="41"/>
      <c r="AZ62" s="41"/>
      <c r="BA62" s="41"/>
      <c r="BB62" s="41"/>
      <c r="BC62" s="41">
        <f t="shared" si="95"/>
        <v>120</v>
      </c>
      <c r="BD62" s="54"/>
      <c r="BE62" s="55"/>
      <c r="BF62" s="55"/>
      <c r="BG62" s="54"/>
      <c r="BH62" s="55"/>
    </row>
    <row r="63" spans="1:60" ht="12.95" customHeight="1">
      <c r="A63" s="44"/>
      <c r="B63" s="45"/>
      <c r="C63" s="451"/>
      <c r="D63" s="45"/>
      <c r="E63" s="46"/>
      <c r="F63" s="46"/>
      <c r="G63" s="47"/>
      <c r="H63" s="48"/>
      <c r="I63" s="49"/>
      <c r="J63" s="89"/>
      <c r="K63" s="89"/>
      <c r="L63" s="39"/>
      <c r="M63" s="39"/>
      <c r="N63" s="50"/>
      <c r="O63" s="51"/>
      <c r="P63" s="52"/>
      <c r="Q63" s="38"/>
      <c r="R63" s="507"/>
      <c r="S63" s="507"/>
      <c r="T63" s="41"/>
      <c r="U63" s="41"/>
      <c r="V63" s="41"/>
      <c r="W63" s="41"/>
      <c r="X63" s="42"/>
      <c r="Y63" s="218"/>
      <c r="Z63" s="41"/>
      <c r="AA63" s="41"/>
      <c r="AB63" s="41"/>
      <c r="AC63" s="41"/>
      <c r="AD63" s="41">
        <f t="shared" si="92"/>
        <v>0</v>
      </c>
      <c r="AE63" s="240" t="s">
        <v>608</v>
      </c>
      <c r="AF63" s="41"/>
      <c r="AG63" s="41"/>
      <c r="AH63" s="41"/>
      <c r="AI63" s="509"/>
      <c r="AJ63" s="41"/>
      <c r="AK63" s="41"/>
      <c r="AL63" s="41"/>
      <c r="AM63" s="41">
        <f t="shared" si="96"/>
        <v>0</v>
      </c>
      <c r="AN63" s="41"/>
      <c r="AO63" s="41"/>
      <c r="AP63" s="41"/>
      <c r="AQ63" s="41"/>
      <c r="AR63" s="41">
        <f t="shared" si="94"/>
        <v>0</v>
      </c>
      <c r="AS63" s="41"/>
      <c r="AT63" s="41"/>
      <c r="AU63" s="41"/>
      <c r="AV63" s="41"/>
      <c r="AW63" s="41"/>
      <c r="AX63" s="41"/>
      <c r="AY63" s="41"/>
      <c r="AZ63" s="41"/>
      <c r="BA63" s="41">
        <f>87-87</f>
        <v>0</v>
      </c>
      <c r="BB63" s="41"/>
      <c r="BC63" s="41">
        <f>+AR63+AS63+AU63+AV63+AX63+BA63</f>
        <v>0</v>
      </c>
      <c r="BD63" s="54"/>
      <c r="BE63" s="55"/>
      <c r="BF63" s="55"/>
      <c r="BG63" s="54"/>
      <c r="BH63" s="55"/>
    </row>
    <row r="64" spans="1:60" ht="12.95" customHeight="1">
      <c r="A64" s="44"/>
      <c r="B64" s="45"/>
      <c r="C64" s="451"/>
      <c r="D64" s="45"/>
      <c r="E64" s="46"/>
      <c r="F64" s="46"/>
      <c r="G64" s="47"/>
      <c r="H64" s="48"/>
      <c r="I64" s="49"/>
      <c r="J64" s="89"/>
      <c r="K64" s="89"/>
      <c r="L64" s="39"/>
      <c r="M64" s="39"/>
      <c r="N64" s="50"/>
      <c r="O64" s="51"/>
      <c r="P64" s="52"/>
      <c r="Q64" s="38"/>
      <c r="R64" s="507"/>
      <c r="S64" s="507"/>
      <c r="T64" s="41"/>
      <c r="U64" s="41"/>
      <c r="V64" s="41"/>
      <c r="W64" s="41"/>
      <c r="X64" s="42"/>
      <c r="Y64" s="218"/>
      <c r="Z64" s="41"/>
      <c r="AA64" s="41"/>
      <c r="AB64" s="41"/>
      <c r="AC64" s="41"/>
      <c r="AD64" s="41">
        <f t="shared" si="92"/>
        <v>0</v>
      </c>
      <c r="AE64" s="240" t="s">
        <v>609</v>
      </c>
      <c r="AF64" s="41"/>
      <c r="AG64" s="41"/>
      <c r="AH64" s="41"/>
      <c r="AI64" s="509"/>
      <c r="AJ64" s="41"/>
      <c r="AK64" s="41"/>
      <c r="AL64" s="41"/>
      <c r="AM64" s="41">
        <f>SUM(AF64:AL64)+AT64+AV64+AX64+AZ64</f>
        <v>0</v>
      </c>
      <c r="AN64" s="41"/>
      <c r="AO64" s="41"/>
      <c r="AP64" s="41"/>
      <c r="AQ64" s="41"/>
      <c r="AR64" s="41">
        <f t="shared" ref="AR64" si="97">SUM(AN64:AQ64)</f>
        <v>0</v>
      </c>
      <c r="AS64" s="41"/>
      <c r="AT64" s="41"/>
      <c r="AU64" s="41"/>
      <c r="AV64" s="41"/>
      <c r="AW64" s="41"/>
      <c r="AX64" s="41"/>
      <c r="AY64" s="41"/>
      <c r="AZ64" s="41">
        <f>128-128</f>
        <v>0</v>
      </c>
      <c r="BA64" s="41"/>
      <c r="BB64" s="41"/>
      <c r="BC64" s="41">
        <f>+AR64+AS64+AU64+AV64+AX64+BA64</f>
        <v>0</v>
      </c>
      <c r="BD64" s="54"/>
      <c r="BE64" s="55"/>
      <c r="BF64" s="55"/>
      <c r="BG64" s="54"/>
      <c r="BH64" s="55"/>
    </row>
    <row r="65" spans="1:60" ht="12.95" customHeight="1">
      <c r="A65" s="44"/>
      <c r="B65" s="45"/>
      <c r="C65" s="451"/>
      <c r="D65" s="45"/>
      <c r="E65" s="46"/>
      <c r="F65" s="46"/>
      <c r="G65" s="47"/>
      <c r="H65" s="47"/>
      <c r="I65" s="49"/>
      <c r="J65" s="89"/>
      <c r="K65" s="89"/>
      <c r="L65" s="39"/>
      <c r="M65" s="39"/>
      <c r="N65" s="50"/>
      <c r="O65" s="51"/>
      <c r="P65" s="52"/>
      <c r="Q65" s="379"/>
      <c r="R65" s="54"/>
      <c r="S65" s="54"/>
      <c r="T65" s="41"/>
      <c r="U65" s="41"/>
      <c r="V65" s="41"/>
      <c r="W65" s="37"/>
      <c r="X65" s="42"/>
      <c r="Y65" s="218"/>
      <c r="Z65" s="37"/>
      <c r="AA65" s="53"/>
      <c r="AB65" s="53"/>
      <c r="AC65" s="41"/>
      <c r="AD65" s="41"/>
      <c r="AE65" s="240"/>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37"/>
      <c r="BE65" s="55"/>
      <c r="BF65" s="55"/>
      <c r="BG65" s="37"/>
      <c r="BH65" s="55"/>
    </row>
    <row r="66" spans="1:60" ht="12.95" customHeight="1">
      <c r="A66" s="44">
        <v>46033</v>
      </c>
      <c r="B66" s="45" t="s">
        <v>417</v>
      </c>
      <c r="C66" s="451">
        <f t="shared" ref="C66" si="98">(M66*E66*O66*Q66)/100000000</f>
        <v>54.230400000000003</v>
      </c>
      <c r="D66" s="45" t="s">
        <v>430</v>
      </c>
      <c r="E66" s="46">
        <v>15</v>
      </c>
      <c r="F66" s="46">
        <v>1</v>
      </c>
      <c r="G66" s="506">
        <v>1160</v>
      </c>
      <c r="H66" s="48">
        <f t="shared" ref="H66" si="99">+N66</f>
        <v>0.20000000000000007</v>
      </c>
      <c r="I66" s="49">
        <v>0.88</v>
      </c>
      <c r="J66" s="89">
        <f t="shared" ref="J66" si="100">E66*G66*(1-H66)*1440/1000000*2.75</f>
        <v>55.123199999999983</v>
      </c>
      <c r="K66" s="89">
        <f t="shared" ref="K66" si="101">(IF(G66&lt;L66,L66,G66)*(1-IF(H66&lt;N66,H66,N66))*E66*O66*Q66)/100000000</f>
        <v>54.230400000000003</v>
      </c>
      <c r="L66" s="39">
        <v>1166.6666666666667</v>
      </c>
      <c r="M66" s="39">
        <v>933.33333333333337</v>
      </c>
      <c r="N66" s="50">
        <f t="shared" ref="N66" si="102">1-(M66/L66)</f>
        <v>0.20000000000000007</v>
      </c>
      <c r="O66" s="51">
        <f>+'Trim Rwd'!H38</f>
        <v>269</v>
      </c>
      <c r="P66" s="52">
        <f t="shared" ref="P66" si="103">O66*(Q66-R66-S66)</f>
        <v>377138</v>
      </c>
      <c r="Q66" s="51">
        <v>1440</v>
      </c>
      <c r="R66" s="507">
        <v>0</v>
      </c>
      <c r="S66" s="507">
        <v>38</v>
      </c>
      <c r="T66" s="41">
        <f t="shared" ref="T66" si="104">E66*M66*O66*Q66/100000000</f>
        <v>54.230400000000003</v>
      </c>
      <c r="U66" s="41">
        <f t="shared" ref="U66" si="105">E66*M66*O66*(Q66-R66-S66)/100000000</f>
        <v>52.799320000000002</v>
      </c>
      <c r="V66" s="41">
        <f t="shared" ref="V66" si="106">E66*G66*(1-N66)*O66/100*(R66+S66)/1000000</f>
        <v>1.4229023999999999</v>
      </c>
      <c r="W66" s="41">
        <f>+'11'!K16/1000</f>
        <v>52.124000000000002</v>
      </c>
      <c r="X66" s="508">
        <f>SUM(W66:W69)/SUM(K66:K69)</f>
        <v>0.96115831710627253</v>
      </c>
      <c r="Y66" s="218">
        <v>0</v>
      </c>
      <c r="Z66" s="41">
        <v>0</v>
      </c>
      <c r="AA66" s="53">
        <f>SUM(U66:U69)-SUM(W66:W69)-SUM(Z66:Z69)-SUM(Y66:Y69)</f>
        <v>0.67531999999999925</v>
      </c>
      <c r="AB66" s="53">
        <f>(SUM(K66:K69)-SUM(W66:W69)-SUM(Y66:Y69)-SUM(Z66:Z69)-SUM(AC66:AC69)-SUM(V66:V69))-AA66</f>
        <v>8.1776000000015614E-3</v>
      </c>
      <c r="AC66" s="41">
        <f>K66-T66</f>
        <v>0</v>
      </c>
      <c r="AD66" s="41">
        <f>+AM66+BC66</f>
        <v>0</v>
      </c>
      <c r="AE66" s="237" t="s">
        <v>386</v>
      </c>
      <c r="AF66" s="41">
        <v>0</v>
      </c>
      <c r="AG66" s="41"/>
      <c r="AH66" s="41"/>
      <c r="AI66" s="509"/>
      <c r="AJ66" s="41"/>
      <c r="AK66" s="41"/>
      <c r="AL66" s="41"/>
      <c r="AM66" s="41">
        <f>SUM(AF66:AL66)+AT66</f>
        <v>0</v>
      </c>
      <c r="AN66" s="41"/>
      <c r="AO66" s="41"/>
      <c r="AP66" s="41"/>
      <c r="AQ66" s="41"/>
      <c r="AR66" s="41">
        <f>SUM(AN66:AQ66)</f>
        <v>0</v>
      </c>
      <c r="AS66" s="41"/>
      <c r="AT66" s="41"/>
      <c r="AU66" s="41"/>
      <c r="AV66" s="41"/>
      <c r="AW66" s="41"/>
      <c r="AX66" s="41"/>
      <c r="AY66" s="41"/>
      <c r="AZ66" s="41"/>
      <c r="BA66" s="41"/>
      <c r="BB66" s="41"/>
      <c r="BC66" s="41">
        <f>+AR66+AS66+AU66+AV66+AX66</f>
        <v>0</v>
      </c>
      <c r="BD66" s="37">
        <v>0</v>
      </c>
      <c r="BE66" s="55"/>
      <c r="BF66" s="55"/>
      <c r="BG66" s="37"/>
      <c r="BH66" s="55"/>
    </row>
    <row r="67" spans="1:60" ht="12.95" customHeight="1">
      <c r="A67" s="44"/>
      <c r="B67" s="45"/>
      <c r="C67" s="451"/>
      <c r="D67" s="45"/>
      <c r="E67" s="46"/>
      <c r="F67" s="46"/>
      <c r="G67" s="506"/>
      <c r="H67" s="48"/>
      <c r="I67" s="49"/>
      <c r="J67" s="89"/>
      <c r="K67" s="89"/>
      <c r="L67" s="39"/>
      <c r="M67" s="39"/>
      <c r="N67" s="50"/>
      <c r="O67" s="51"/>
      <c r="P67" s="52"/>
      <c r="Q67" s="51"/>
      <c r="R67" s="507"/>
      <c r="S67" s="507"/>
      <c r="T67" s="41"/>
      <c r="U67" s="41"/>
      <c r="V67" s="41"/>
      <c r="W67" s="41"/>
      <c r="X67" s="42"/>
      <c r="Y67" s="218"/>
      <c r="Z67" s="41"/>
      <c r="AA67" s="41"/>
      <c r="AB67" s="41"/>
      <c r="AC67" s="41">
        <f>K67-T67</f>
        <v>0</v>
      </c>
      <c r="AD67" s="41">
        <f t="shared" ref="AD67:AD69" si="107">+AM67+BC67</f>
        <v>15</v>
      </c>
      <c r="AE67" s="237" t="s">
        <v>597</v>
      </c>
      <c r="AF67" s="41"/>
      <c r="AG67" s="41">
        <v>15</v>
      </c>
      <c r="AH67" s="41"/>
      <c r="AI67" s="509"/>
      <c r="AJ67" s="41"/>
      <c r="AK67" s="41"/>
      <c r="AL67" s="41"/>
      <c r="AM67" s="41">
        <f t="shared" ref="AM67:AM69" si="108">SUM(AF67:AL67)+AT67</f>
        <v>15</v>
      </c>
      <c r="AN67" s="90"/>
      <c r="AO67" s="41"/>
      <c r="AP67" s="41"/>
      <c r="AQ67" s="41"/>
      <c r="AR67" s="41">
        <f t="shared" ref="AR67:AR69" si="109">SUM(AN67:AQ67)</f>
        <v>0</v>
      </c>
      <c r="AS67" s="41"/>
      <c r="AT67" s="41"/>
      <c r="AU67" s="41"/>
      <c r="AV67" s="41"/>
      <c r="AW67" s="41"/>
      <c r="AX67" s="41"/>
      <c r="AY67" s="41"/>
      <c r="AZ67" s="41"/>
      <c r="BA67" s="41"/>
      <c r="BB67" s="41"/>
      <c r="BC67" s="41">
        <f t="shared" ref="BC67:BC69" si="110">+AR67+AS67+AU67+AV67+AX67</f>
        <v>0</v>
      </c>
      <c r="BD67" s="54"/>
      <c r="BE67" s="55">
        <v>14</v>
      </c>
      <c r="BF67" s="55"/>
      <c r="BG67" s="54"/>
      <c r="BH67" s="55"/>
    </row>
    <row r="68" spans="1:60" ht="12.95" customHeight="1">
      <c r="A68" s="44"/>
      <c r="B68" s="45"/>
      <c r="C68" s="451"/>
      <c r="D68" s="45"/>
      <c r="E68" s="46"/>
      <c r="F68" s="46"/>
      <c r="G68" s="47"/>
      <c r="H68" s="48"/>
      <c r="I68" s="49"/>
      <c r="J68" s="89"/>
      <c r="K68" s="89"/>
      <c r="L68" s="39"/>
      <c r="M68" s="39"/>
      <c r="N68" s="50"/>
      <c r="O68" s="51"/>
      <c r="P68" s="52"/>
      <c r="Q68" s="51"/>
      <c r="R68" s="507"/>
      <c r="S68" s="507"/>
      <c r="T68" s="41"/>
      <c r="U68" s="41"/>
      <c r="V68" s="41"/>
      <c r="W68" s="41"/>
      <c r="X68" s="42"/>
      <c r="Y68" s="218"/>
      <c r="Z68" s="41"/>
      <c r="AA68" s="41"/>
      <c r="AB68" s="41"/>
      <c r="AC68" s="41"/>
      <c r="AD68" s="41">
        <f t="shared" si="107"/>
        <v>23</v>
      </c>
      <c r="AE68" s="237" t="s">
        <v>598</v>
      </c>
      <c r="AF68" s="37"/>
      <c r="AG68" s="37"/>
      <c r="AH68" s="37">
        <v>23</v>
      </c>
      <c r="AJ68" s="41"/>
      <c r="AK68" s="41"/>
      <c r="AL68" s="41"/>
      <c r="AM68" s="41">
        <f t="shared" si="108"/>
        <v>23</v>
      </c>
      <c r="AN68" s="41"/>
      <c r="AO68" s="41"/>
      <c r="AP68" s="41"/>
      <c r="AQ68" s="41"/>
      <c r="AR68" s="41">
        <f t="shared" si="109"/>
        <v>0</v>
      </c>
      <c r="AS68" s="41"/>
      <c r="AT68" s="41"/>
      <c r="AU68" s="41"/>
      <c r="AV68" s="41"/>
      <c r="AW68" s="41"/>
      <c r="AX68" s="41"/>
      <c r="AY68" s="41"/>
      <c r="AZ68" s="41"/>
      <c r="BA68" s="41"/>
      <c r="BB68" s="41"/>
      <c r="BC68" s="41">
        <f t="shared" si="110"/>
        <v>0</v>
      </c>
      <c r="BD68" s="37"/>
      <c r="BE68" s="510"/>
      <c r="BF68" s="510"/>
      <c r="BG68" s="37"/>
      <c r="BH68" s="510"/>
    </row>
    <row r="69" spans="1:60" ht="12.95" customHeight="1">
      <c r="A69" s="44"/>
      <c r="B69" s="45"/>
      <c r="C69" s="451"/>
      <c r="D69" s="45"/>
      <c r="E69" s="46"/>
      <c r="F69" s="46"/>
      <c r="G69" s="47"/>
      <c r="H69" s="48"/>
      <c r="I69" s="49"/>
      <c r="J69" s="89"/>
      <c r="K69" s="89"/>
      <c r="L69" s="39"/>
      <c r="M69" s="39"/>
      <c r="N69" s="50"/>
      <c r="O69" s="51"/>
      <c r="P69" s="52"/>
      <c r="Q69" s="38"/>
      <c r="R69" s="507"/>
      <c r="S69" s="507"/>
      <c r="T69" s="41"/>
      <c r="U69" s="41"/>
      <c r="V69" s="41"/>
      <c r="W69" s="41"/>
      <c r="X69" s="42"/>
      <c r="Y69" s="218"/>
      <c r="Z69" s="41"/>
      <c r="AA69" s="41"/>
      <c r="AB69" s="41"/>
      <c r="AC69" s="41"/>
      <c r="AD69" s="41">
        <f t="shared" si="107"/>
        <v>0</v>
      </c>
      <c r="AE69" s="240" t="s">
        <v>225</v>
      </c>
      <c r="AF69" s="41"/>
      <c r="AG69" s="41"/>
      <c r="AH69" s="41"/>
      <c r="AI69" s="509">
        <v>0</v>
      </c>
      <c r="AJ69" s="41"/>
      <c r="AK69" s="41"/>
      <c r="AL69" s="41"/>
      <c r="AM69" s="41">
        <f t="shared" si="108"/>
        <v>0</v>
      </c>
      <c r="AN69" s="41"/>
      <c r="AO69" s="41"/>
      <c r="AP69" s="41"/>
      <c r="AQ69" s="41"/>
      <c r="AR69" s="41">
        <f t="shared" si="109"/>
        <v>0</v>
      </c>
      <c r="AS69" s="41"/>
      <c r="AT69" s="41"/>
      <c r="AU69" s="41"/>
      <c r="AV69" s="41"/>
      <c r="AW69" s="41"/>
      <c r="AX69" s="41"/>
      <c r="AY69" s="41"/>
      <c r="AZ69" s="41"/>
      <c r="BA69" s="41"/>
      <c r="BB69" s="41"/>
      <c r="BC69" s="41">
        <f t="shared" si="110"/>
        <v>0</v>
      </c>
      <c r="BD69" s="54"/>
      <c r="BE69" s="55"/>
      <c r="BF69" s="55"/>
      <c r="BG69" s="54"/>
      <c r="BH69" s="55"/>
    </row>
    <row r="70" spans="1:60" ht="12.95" customHeight="1">
      <c r="A70" s="44"/>
      <c r="B70" s="45"/>
      <c r="C70" s="451"/>
      <c r="D70" s="45"/>
      <c r="E70" s="46"/>
      <c r="F70" s="46"/>
      <c r="G70" s="47"/>
      <c r="H70" s="47"/>
      <c r="I70" s="49"/>
      <c r="J70" s="89"/>
      <c r="K70" s="89"/>
      <c r="L70" s="39"/>
      <c r="M70" s="39"/>
      <c r="N70" s="50"/>
      <c r="O70" s="51"/>
      <c r="P70" s="52"/>
      <c r="Q70" s="51"/>
      <c r="R70" s="507"/>
      <c r="S70" s="507"/>
      <c r="T70" s="41"/>
      <c r="U70" s="41"/>
      <c r="V70" s="41"/>
      <c r="W70" s="41"/>
      <c r="X70" s="42"/>
      <c r="Y70" s="218"/>
      <c r="Z70" s="41"/>
      <c r="AA70" s="41"/>
      <c r="AB70" s="41"/>
      <c r="AC70" s="41"/>
      <c r="AD70" s="41"/>
      <c r="AE70" s="237"/>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37"/>
      <c r="BE70" s="55"/>
      <c r="BF70" s="55"/>
      <c r="BG70" s="55"/>
      <c r="BH70" s="55"/>
    </row>
    <row r="71" spans="1:60" ht="12.95" customHeight="1">
      <c r="A71" s="44">
        <v>46034</v>
      </c>
      <c r="B71" s="45" t="s">
        <v>417</v>
      </c>
      <c r="C71" s="451">
        <f t="shared" ref="C71:C72" si="111">(M71*E71*O71*Q71)/100000000</f>
        <v>11.821258800000001</v>
      </c>
      <c r="D71" s="45" t="s">
        <v>430</v>
      </c>
      <c r="E71" s="46">
        <v>15</v>
      </c>
      <c r="F71" s="46">
        <v>1</v>
      </c>
      <c r="G71" s="506">
        <v>1160</v>
      </c>
      <c r="H71" s="48">
        <f t="shared" ref="H71:H72" si="112">+N71</f>
        <v>0.19999999999999996</v>
      </c>
      <c r="I71" s="49">
        <v>0.88</v>
      </c>
      <c r="J71" s="89">
        <f t="shared" ref="J71:J72" si="113">E71*G71*(1-H71)*1440/1000000*2.75</f>
        <v>55.123199999999997</v>
      </c>
      <c r="K71" s="89">
        <f t="shared" ref="K71:K72" si="114">(IF(G71&lt;L71,L71,G71)*(1-IF(H71&lt;N71,H71,N71))*E71*O71*Q71)/100000000</f>
        <v>11.821258800000001</v>
      </c>
      <c r="L71" s="39">
        <v>1170</v>
      </c>
      <c r="M71" s="39">
        <v>936</v>
      </c>
      <c r="N71" s="50">
        <f t="shared" ref="N71:N72" si="115">1-(M71/L71)</f>
        <v>0.19999999999999996</v>
      </c>
      <c r="O71" s="51">
        <f>+'Trim Rwd'!H40</f>
        <v>269</v>
      </c>
      <c r="P71" s="52">
        <f t="shared" ref="P71:P72" si="116">O71*(Q71-R71-S71)</f>
        <v>79086</v>
      </c>
      <c r="Q71" s="51">
        <v>313</v>
      </c>
      <c r="R71" s="507">
        <v>0</v>
      </c>
      <c r="S71" s="507">
        <v>19</v>
      </c>
      <c r="T71" s="41">
        <f t="shared" ref="T71:T72" si="117">E71*M71*O71*Q71/100000000</f>
        <v>11.821258800000001</v>
      </c>
      <c r="U71" s="41">
        <f t="shared" ref="U71:U72" si="118">E71*M71*O71*(Q71-R71-S71)/100000000</f>
        <v>11.103674399999999</v>
      </c>
      <c r="V71" s="41">
        <f t="shared" ref="V71:V72" si="119">E71*G71*(1-N71)*O71/100*(R71+S71)/1000000</f>
        <v>0.71145120000000006</v>
      </c>
      <c r="W71" s="41">
        <f>+'12'!K16/1000</f>
        <v>15.846</v>
      </c>
      <c r="X71" s="508">
        <f>SUM(W71:W74)/SUM(K71:K74)</f>
        <v>0.97246329252895347</v>
      </c>
      <c r="Y71" s="218">
        <v>0</v>
      </c>
      <c r="Z71" s="41">
        <v>0</v>
      </c>
      <c r="AA71" s="53">
        <f>SUM(U71:U74)-SUM(W71:W74)-SUM(Z71:Z74)-SUM(Y71:Y74)</f>
        <v>-1.5373926029068343</v>
      </c>
      <c r="AB71" s="53">
        <f>(SUM(K71:K74)-SUM(W71:W74)-SUM(Y71:Y74)-SUM(Z71:Z74)-SUM(AC71:AC74)-SUM(V71:V74))-AA71</f>
        <v>-2.6255205093159706E-2</v>
      </c>
      <c r="AC71" s="41">
        <f>K71-T71</f>
        <v>0</v>
      </c>
      <c r="AD71" s="41">
        <f>+AM71+BC71</f>
        <v>1</v>
      </c>
      <c r="AE71" s="237" t="s">
        <v>619</v>
      </c>
      <c r="AF71" s="41">
        <v>1</v>
      </c>
      <c r="AG71" s="41"/>
      <c r="AH71" s="41"/>
      <c r="AI71" s="509"/>
      <c r="AJ71" s="41"/>
      <c r="AK71" s="41"/>
      <c r="AL71" s="41"/>
      <c r="AM71" s="41">
        <f>SUM(AF71:AL71)+AT71</f>
        <v>1</v>
      </c>
      <c r="AN71" s="41"/>
      <c r="AO71" s="41"/>
      <c r="AP71" s="41"/>
      <c r="AQ71" s="41"/>
      <c r="AR71" s="41">
        <f>SUM(AN71:AQ71)</f>
        <v>0</v>
      </c>
      <c r="AS71" s="41"/>
      <c r="AT71" s="41"/>
      <c r="AU71" s="41"/>
      <c r="AV71" s="41"/>
      <c r="AW71" s="41"/>
      <c r="AX71" s="41"/>
      <c r="AY71" s="41"/>
      <c r="AZ71" s="41"/>
      <c r="BA71" s="41"/>
      <c r="BB71" s="41"/>
      <c r="BC71" s="41">
        <f>+AR71+AS71+AU71+AV71+AX71</f>
        <v>0</v>
      </c>
      <c r="BD71" s="37">
        <v>1</v>
      </c>
      <c r="BE71" s="55"/>
      <c r="BF71" s="55"/>
      <c r="BG71" s="37"/>
      <c r="BH71" s="55"/>
    </row>
    <row r="72" spans="1:60" ht="12.95" customHeight="1">
      <c r="A72" s="44"/>
      <c r="B72" s="45" t="s">
        <v>417</v>
      </c>
      <c r="C72" s="451">
        <f t="shared" si="111"/>
        <v>41.306484492000003</v>
      </c>
      <c r="D72" s="45" t="s">
        <v>430</v>
      </c>
      <c r="E72" s="46">
        <v>14</v>
      </c>
      <c r="F72" s="46">
        <v>1</v>
      </c>
      <c r="G72" s="506">
        <v>1275</v>
      </c>
      <c r="H72" s="48">
        <f t="shared" si="112"/>
        <v>0.21999999999999997</v>
      </c>
      <c r="I72" s="49">
        <v>0.88</v>
      </c>
      <c r="J72" s="89">
        <f t="shared" si="113"/>
        <v>55.135079999999995</v>
      </c>
      <c r="K72" s="89">
        <f t="shared" si="114"/>
        <v>42.523208910000001</v>
      </c>
      <c r="L72" s="39">
        <v>1238.5181898846495</v>
      </c>
      <c r="M72" s="39">
        <v>966.04418811002665</v>
      </c>
      <c r="N72" s="50">
        <f t="shared" si="115"/>
        <v>0.21999999999999997</v>
      </c>
      <c r="O72" s="51">
        <f>+'Trim Rwd'!H41</f>
        <v>271</v>
      </c>
      <c r="P72" s="52">
        <f t="shared" si="116"/>
        <v>297287</v>
      </c>
      <c r="Q72" s="51">
        <v>1127</v>
      </c>
      <c r="R72" s="507">
        <v>0</v>
      </c>
      <c r="S72" s="507">
        <v>30</v>
      </c>
      <c r="T72" s="41">
        <f t="shared" si="117"/>
        <v>41.306484492000003</v>
      </c>
      <c r="U72" s="41">
        <f t="shared" si="118"/>
        <v>40.206932997093169</v>
      </c>
      <c r="V72" s="41">
        <f t="shared" si="119"/>
        <v>1.1319399000000001</v>
      </c>
      <c r="W72" s="41">
        <f>+'12'!K17/1000</f>
        <v>37.002000000000002</v>
      </c>
      <c r="X72" s="42"/>
      <c r="Y72" s="218"/>
      <c r="Z72" s="41"/>
      <c r="AA72" s="41"/>
      <c r="AB72" s="41"/>
      <c r="AC72" s="41">
        <f>K72-T72</f>
        <v>1.2167244179999983</v>
      </c>
      <c r="AD72" s="41">
        <f t="shared" ref="AD72:AD74" si="120">+AM72+BC72</f>
        <v>15</v>
      </c>
      <c r="AE72" s="237" t="s">
        <v>597</v>
      </c>
      <c r="AF72" s="41"/>
      <c r="AG72" s="41">
        <v>15</v>
      </c>
      <c r="AH72" s="41"/>
      <c r="AI72" s="509"/>
      <c r="AJ72" s="41"/>
      <c r="AK72" s="41"/>
      <c r="AL72" s="41"/>
      <c r="AM72" s="41">
        <f t="shared" ref="AM72:AM74" si="121">SUM(AF72:AL72)+AT72</f>
        <v>15</v>
      </c>
      <c r="AN72" s="90"/>
      <c r="AO72" s="41"/>
      <c r="AP72" s="41"/>
      <c r="AQ72" s="41"/>
      <c r="AR72" s="41">
        <f t="shared" ref="AR72:AR74" si="122">SUM(AN72:AQ72)</f>
        <v>0</v>
      </c>
      <c r="AS72" s="41"/>
      <c r="AT72" s="41"/>
      <c r="AU72" s="41"/>
      <c r="AV72" s="41"/>
      <c r="AW72" s="41"/>
      <c r="AX72" s="41"/>
      <c r="AY72" s="41"/>
      <c r="AZ72" s="41"/>
      <c r="BA72" s="41"/>
      <c r="BB72" s="41"/>
      <c r="BC72" s="41">
        <f t="shared" ref="BC72:BC74" si="123">+AR72+AS72+AU72+AV72+AX72</f>
        <v>0</v>
      </c>
      <c r="BD72" s="54"/>
      <c r="BE72" s="55">
        <v>14</v>
      </c>
      <c r="BF72" s="55"/>
      <c r="BG72" s="54"/>
      <c r="BH72" s="55"/>
    </row>
    <row r="73" spans="1:60" ht="12.95" customHeight="1">
      <c r="A73" s="44"/>
      <c r="B73" s="45"/>
      <c r="C73" s="451"/>
      <c r="D73" s="45"/>
      <c r="E73" s="46"/>
      <c r="F73" s="46"/>
      <c r="G73" s="47"/>
      <c r="H73" s="48"/>
      <c r="I73" s="49"/>
      <c r="J73" s="89"/>
      <c r="K73" s="89"/>
      <c r="L73" s="39"/>
      <c r="M73" s="39"/>
      <c r="N73" s="50"/>
      <c r="O73" s="51"/>
      <c r="P73" s="52"/>
      <c r="Q73" s="51"/>
      <c r="R73" s="507"/>
      <c r="S73" s="507"/>
      <c r="T73" s="41"/>
      <c r="U73" s="41"/>
      <c r="V73" s="41"/>
      <c r="W73" s="41"/>
      <c r="X73" s="42"/>
      <c r="Y73" s="218"/>
      <c r="Z73" s="41"/>
      <c r="AA73" s="41"/>
      <c r="AB73" s="41"/>
      <c r="AC73" s="41"/>
      <c r="AD73" s="41">
        <f t="shared" si="120"/>
        <v>25</v>
      </c>
      <c r="AE73" s="237" t="s">
        <v>621</v>
      </c>
      <c r="AF73" s="37"/>
      <c r="AG73" s="37"/>
      <c r="AH73" s="37">
        <v>25</v>
      </c>
      <c r="AJ73" s="41"/>
      <c r="AK73" s="41"/>
      <c r="AL73" s="41"/>
      <c r="AM73" s="41">
        <f t="shared" si="121"/>
        <v>25</v>
      </c>
      <c r="AN73" s="41"/>
      <c r="AO73" s="41"/>
      <c r="AP73" s="41"/>
      <c r="AQ73" s="41"/>
      <c r="AR73" s="41">
        <f t="shared" si="122"/>
        <v>0</v>
      </c>
      <c r="AS73" s="41"/>
      <c r="AT73" s="41"/>
      <c r="AU73" s="41"/>
      <c r="AV73" s="41"/>
      <c r="AW73" s="41"/>
      <c r="AX73" s="41"/>
      <c r="AY73" s="41"/>
      <c r="AZ73" s="41"/>
      <c r="BA73" s="41"/>
      <c r="BB73" s="41"/>
      <c r="BC73" s="41">
        <f t="shared" si="123"/>
        <v>0</v>
      </c>
      <c r="BD73" s="37"/>
      <c r="BE73" s="510"/>
      <c r="BF73" s="510"/>
      <c r="BG73" s="37"/>
      <c r="BH73" s="510"/>
    </row>
    <row r="74" spans="1:60" ht="12.95" customHeight="1">
      <c r="A74" s="44"/>
      <c r="B74" s="45"/>
      <c r="C74" s="451"/>
      <c r="D74" s="45"/>
      <c r="E74" s="46"/>
      <c r="F74" s="46"/>
      <c r="G74" s="47"/>
      <c r="H74" s="48"/>
      <c r="I74" s="49"/>
      <c r="J74" s="89"/>
      <c r="K74" s="89"/>
      <c r="L74" s="39"/>
      <c r="M74" s="39"/>
      <c r="N74" s="50"/>
      <c r="O74" s="51"/>
      <c r="P74" s="52"/>
      <c r="Q74" s="38"/>
      <c r="R74" s="507"/>
      <c r="S74" s="507"/>
      <c r="T74" s="41"/>
      <c r="U74" s="41"/>
      <c r="V74" s="41"/>
      <c r="W74" s="41"/>
      <c r="X74" s="42"/>
      <c r="Y74" s="218"/>
      <c r="Z74" s="41"/>
      <c r="AA74" s="41"/>
      <c r="AB74" s="41"/>
      <c r="AC74" s="41"/>
      <c r="AD74" s="41">
        <f t="shared" si="120"/>
        <v>8</v>
      </c>
      <c r="AE74" s="240" t="s">
        <v>225</v>
      </c>
      <c r="AF74" s="41"/>
      <c r="AG74" s="41"/>
      <c r="AH74" s="41"/>
      <c r="AI74" s="509">
        <v>8</v>
      </c>
      <c r="AJ74" s="41"/>
      <c r="AK74" s="41"/>
      <c r="AL74" s="41"/>
      <c r="AM74" s="41">
        <f t="shared" si="121"/>
        <v>8</v>
      </c>
      <c r="AN74" s="41"/>
      <c r="AO74" s="41"/>
      <c r="AP74" s="41"/>
      <c r="AQ74" s="41"/>
      <c r="AR74" s="41">
        <f t="shared" si="122"/>
        <v>0</v>
      </c>
      <c r="AS74" s="41"/>
      <c r="AT74" s="41"/>
      <c r="AU74" s="41"/>
      <c r="AV74" s="41"/>
      <c r="AW74" s="41"/>
      <c r="AX74" s="41"/>
      <c r="AY74" s="41"/>
      <c r="AZ74" s="41"/>
      <c r="BA74" s="41"/>
      <c r="BB74" s="41"/>
      <c r="BC74" s="41">
        <f t="shared" si="123"/>
        <v>0</v>
      </c>
      <c r="BD74" s="54"/>
      <c r="BE74" s="55"/>
      <c r="BF74" s="55"/>
      <c r="BG74" s="54"/>
      <c r="BH74" s="55"/>
    </row>
    <row r="75" spans="1:60" ht="12.95" customHeight="1">
      <c r="A75" s="44"/>
      <c r="B75" s="45"/>
      <c r="C75" s="451"/>
      <c r="D75" s="45"/>
      <c r="E75" s="46"/>
      <c r="F75" s="46"/>
      <c r="G75" s="47"/>
      <c r="H75" s="47"/>
      <c r="I75" s="49"/>
      <c r="J75" s="89"/>
      <c r="K75" s="89"/>
      <c r="L75" s="39"/>
      <c r="M75" s="39"/>
      <c r="N75" s="50"/>
      <c r="O75" s="51"/>
      <c r="P75" s="52"/>
      <c r="Q75" s="51"/>
      <c r="R75" s="507"/>
      <c r="S75" s="507"/>
      <c r="T75" s="41"/>
      <c r="U75" s="41"/>
      <c r="V75" s="41"/>
      <c r="W75" s="41"/>
      <c r="X75" s="508"/>
      <c r="Y75" s="218"/>
      <c r="Z75" s="41"/>
      <c r="AA75" s="53"/>
      <c r="AB75" s="53"/>
      <c r="AC75" s="41"/>
      <c r="AD75" s="41"/>
      <c r="AE75" s="237"/>
      <c r="AF75" s="41"/>
      <c r="AG75" s="41"/>
      <c r="AH75" s="41"/>
      <c r="AI75" s="509"/>
      <c r="AJ75" s="41"/>
      <c r="AK75" s="41"/>
      <c r="AL75" s="41"/>
      <c r="AM75" s="41"/>
      <c r="AN75" s="41"/>
      <c r="AO75" s="41"/>
      <c r="AP75" s="41"/>
      <c r="AQ75" s="41"/>
      <c r="AR75" s="41"/>
      <c r="AS75" s="41"/>
      <c r="AT75" s="41"/>
      <c r="AU75" s="41"/>
      <c r="AV75" s="41"/>
      <c r="AW75" s="41"/>
      <c r="AX75" s="41"/>
      <c r="AY75" s="41"/>
      <c r="AZ75" s="41"/>
      <c r="BA75" s="41"/>
      <c r="BB75" s="41"/>
      <c r="BC75" s="41"/>
      <c r="BD75" s="37"/>
      <c r="BE75" s="55"/>
      <c r="BF75" s="55"/>
      <c r="BG75" s="55"/>
      <c r="BH75" s="55"/>
    </row>
    <row r="76" spans="1:60" ht="12.95" customHeight="1">
      <c r="A76" s="44">
        <v>46035</v>
      </c>
      <c r="B76" s="45" t="s">
        <v>417</v>
      </c>
      <c r="C76" s="451">
        <f t="shared" ref="C76:C77" si="124">(M76*E76*O76*Q76)/100000000</f>
        <v>22.189778100000002</v>
      </c>
      <c r="D76" s="45" t="s">
        <v>430</v>
      </c>
      <c r="E76" s="46">
        <v>14</v>
      </c>
      <c r="F76" s="46">
        <v>1</v>
      </c>
      <c r="G76" s="506">
        <v>1275</v>
      </c>
      <c r="H76" s="48">
        <f t="shared" ref="H76:H77" si="125">+N76</f>
        <v>0.22000000000000008</v>
      </c>
      <c r="I76" s="49">
        <v>0.88</v>
      </c>
      <c r="J76" s="89">
        <f t="shared" ref="J76:J77" si="126">E76*G76*(1-H76)*1440/1000000*2.75</f>
        <v>55.135079999999988</v>
      </c>
      <c r="K76" s="89">
        <f t="shared" ref="K76:K77" si="127">(IF(G76&lt;L76,L76,G76)*(1-IF(H76&lt;N76,H76,N76))*E76*O76*Q76)/100000000</f>
        <v>23.204767949999994</v>
      </c>
      <c r="L76" s="39">
        <v>1219.2307692307693</v>
      </c>
      <c r="M76" s="39">
        <v>951</v>
      </c>
      <c r="N76" s="50">
        <f t="shared" ref="N76:N77" si="128">1-(M76/L76)</f>
        <v>0.22000000000000008</v>
      </c>
      <c r="O76" s="51">
        <f>+'Trim Rwd'!H43</f>
        <v>271</v>
      </c>
      <c r="P76" s="52">
        <f t="shared" ref="P76:P77" si="129">O76*(Q76-R76-S76)</f>
        <v>116530</v>
      </c>
      <c r="Q76" s="51">
        <f>455+160</f>
        <v>615</v>
      </c>
      <c r="R76" s="507">
        <v>160</v>
      </c>
      <c r="S76" s="507">
        <v>25</v>
      </c>
      <c r="T76" s="41">
        <f t="shared" ref="T76:T77" si="130">E76*M76*O76*Q76/100000000</f>
        <v>22.189778100000002</v>
      </c>
      <c r="U76" s="41">
        <f t="shared" ref="U76:U77" si="131">E76*M76*O76*(Q76-R76-S76)/100000000</f>
        <v>15.5148042</v>
      </c>
      <c r="V76" s="41">
        <f t="shared" ref="V76:V77" si="132">E76*G76*(1-N76)*O76/100*(R76+S76)/1000000</f>
        <v>6.9802960499999989</v>
      </c>
      <c r="W76" s="41">
        <f>+'13'!K17/1000</f>
        <v>15.83</v>
      </c>
      <c r="X76" s="508">
        <f>SUM(W76:W79)/SUM(K76:K79)</f>
        <v>0.78774374949149717</v>
      </c>
      <c r="Y76" s="218">
        <v>0</v>
      </c>
      <c r="Z76" s="41">
        <v>0</v>
      </c>
      <c r="AA76" s="53">
        <f>SUM(U76:U79)-SUM(W76:W79)-SUM(Z76:Z79)-SUM(Y76:Y79)</f>
        <v>2.2598189999999931</v>
      </c>
      <c r="AB76" s="53">
        <f>(SUM(K76:K79)-SUM(W76:W79)-SUM(Y76:Y79)-SUM(Z76:Z79)-SUM(AC76:AC79)-SUM(V76:V79))-AA76</f>
        <v>-0.30532214999999319</v>
      </c>
      <c r="AC76" s="41">
        <f>K76-T76</f>
        <v>1.0149898499999921</v>
      </c>
      <c r="AD76" s="41">
        <f>+AM76+BC76</f>
        <v>0</v>
      </c>
      <c r="AE76" s="237" t="s">
        <v>386</v>
      </c>
      <c r="AF76" s="41">
        <v>0</v>
      </c>
      <c r="AG76" s="41"/>
      <c r="AH76" s="41"/>
      <c r="AI76" s="509"/>
      <c r="AJ76" s="41"/>
      <c r="AK76" s="41"/>
      <c r="AL76" s="41"/>
      <c r="AM76" s="41">
        <f>SUM(AF76:AL76)+AT76</f>
        <v>0</v>
      </c>
      <c r="AN76" s="41"/>
      <c r="AO76" s="41"/>
      <c r="AP76" s="41"/>
      <c r="AQ76" s="41"/>
      <c r="AR76" s="41">
        <f>SUM(AN76:AQ76)</f>
        <v>0</v>
      </c>
      <c r="AS76" s="41"/>
      <c r="AT76" s="41"/>
      <c r="AU76" s="41"/>
      <c r="AV76" s="41"/>
      <c r="AW76" s="41"/>
      <c r="AX76" s="41"/>
      <c r="AY76" s="41"/>
      <c r="AZ76" s="41"/>
      <c r="BA76" s="41"/>
      <c r="BB76" s="41"/>
      <c r="BC76" s="41">
        <f>+AR76+AS76+AU76+AV76+AX76</f>
        <v>0</v>
      </c>
      <c r="BD76" s="37">
        <v>0</v>
      </c>
      <c r="BE76" s="55"/>
      <c r="BF76" s="55"/>
      <c r="BG76" s="37"/>
      <c r="BH76" s="55"/>
    </row>
    <row r="77" spans="1:60" ht="12.95" customHeight="1">
      <c r="A77" s="44"/>
      <c r="B77" s="45" t="s">
        <v>417</v>
      </c>
      <c r="C77" s="451">
        <f t="shared" si="124"/>
        <v>30.679506</v>
      </c>
      <c r="D77" s="45" t="s">
        <v>430</v>
      </c>
      <c r="E77" s="46">
        <v>15</v>
      </c>
      <c r="F77" s="46">
        <v>1</v>
      </c>
      <c r="G77" s="506">
        <f>+L77</f>
        <v>1160</v>
      </c>
      <c r="H77" s="48">
        <f t="shared" si="125"/>
        <v>0.22000000000000008</v>
      </c>
      <c r="I77" s="49">
        <v>0.88</v>
      </c>
      <c r="J77" s="89">
        <f t="shared" si="126"/>
        <v>53.745119999999986</v>
      </c>
      <c r="K77" s="89">
        <f t="shared" si="127"/>
        <v>30.679506</v>
      </c>
      <c r="L77" s="39">
        <v>1160</v>
      </c>
      <c r="M77" s="39">
        <v>904.8</v>
      </c>
      <c r="N77" s="50">
        <f t="shared" si="128"/>
        <v>0.22000000000000008</v>
      </c>
      <c r="O77" s="51">
        <f>+'Trim Rwd'!H44</f>
        <v>274</v>
      </c>
      <c r="P77" s="52">
        <f t="shared" si="129"/>
        <v>215090</v>
      </c>
      <c r="Q77" s="51">
        <v>825</v>
      </c>
      <c r="R77" s="507">
        <v>0</v>
      </c>
      <c r="S77" s="507">
        <v>40</v>
      </c>
      <c r="T77" s="41">
        <f t="shared" si="130"/>
        <v>30.679506</v>
      </c>
      <c r="U77" s="41">
        <f t="shared" si="131"/>
        <v>29.192014799999999</v>
      </c>
      <c r="V77" s="41">
        <f t="shared" si="132"/>
        <v>1.4874912</v>
      </c>
      <c r="W77" s="41">
        <f>+'13'!K16/1000</f>
        <v>26.617000000000001</v>
      </c>
      <c r="X77" s="42"/>
      <c r="Y77" s="218"/>
      <c r="Z77" s="41"/>
      <c r="AA77" s="41"/>
      <c r="AB77" s="41"/>
      <c r="AC77" s="41">
        <f>K77-T77</f>
        <v>0</v>
      </c>
      <c r="AD77" s="41">
        <f t="shared" ref="AD77:AD80" si="133">+AM77+BC77</f>
        <v>19</v>
      </c>
      <c r="AE77" s="237" t="s">
        <v>633</v>
      </c>
      <c r="AF77" s="41"/>
      <c r="AG77" s="41">
        <v>19</v>
      </c>
      <c r="AH77" s="41"/>
      <c r="AI77" s="509"/>
      <c r="AJ77" s="41"/>
      <c r="AK77" s="41"/>
      <c r="AL77" s="41"/>
      <c r="AM77" s="41">
        <f t="shared" ref="AM77:AM79" si="134">SUM(AF77:AL77)+AT77</f>
        <v>19</v>
      </c>
      <c r="AN77" s="90"/>
      <c r="AO77" s="41"/>
      <c r="AP77" s="41"/>
      <c r="AQ77" s="41"/>
      <c r="AR77" s="41">
        <f t="shared" ref="AR77:AR79" si="135">SUM(AN77:AQ77)</f>
        <v>0</v>
      </c>
      <c r="AS77" s="41"/>
      <c r="AT77" s="41"/>
      <c r="AU77" s="41"/>
      <c r="AV77" s="41"/>
      <c r="AW77" s="41"/>
      <c r="AX77" s="41"/>
      <c r="AY77" s="41"/>
      <c r="AZ77" s="41"/>
      <c r="BA77" s="41"/>
      <c r="BB77" s="41"/>
      <c r="BC77" s="41">
        <f t="shared" ref="BC77:BC80" si="136">+AR77+AS77+AU77+AV77+AX77</f>
        <v>0</v>
      </c>
      <c r="BD77" s="54"/>
      <c r="BE77" s="55">
        <v>15</v>
      </c>
      <c r="BF77" s="55"/>
      <c r="BG77" s="54"/>
      <c r="BH77" s="55"/>
    </row>
    <row r="78" spans="1:60" ht="12.95" customHeight="1">
      <c r="A78" s="44"/>
      <c r="B78" s="45"/>
      <c r="C78" s="451"/>
      <c r="D78" s="45"/>
      <c r="E78" s="46"/>
      <c r="F78" s="46"/>
      <c r="G78" s="47"/>
      <c r="H78" s="48"/>
      <c r="I78" s="49"/>
      <c r="J78" s="89"/>
      <c r="K78" s="89"/>
      <c r="L78" s="39"/>
      <c r="M78" s="39"/>
      <c r="N78" s="50"/>
      <c r="O78" s="51"/>
      <c r="P78" s="52"/>
      <c r="Q78" s="51"/>
      <c r="R78" s="507"/>
      <c r="S78" s="507"/>
      <c r="T78" s="41"/>
      <c r="U78" s="41"/>
      <c r="V78" s="41"/>
      <c r="W78" s="41"/>
      <c r="X78" s="42"/>
      <c r="Y78" s="218"/>
      <c r="Z78" s="41"/>
      <c r="AA78" s="41"/>
      <c r="AB78" s="41"/>
      <c r="AC78" s="41"/>
      <c r="AD78" s="41">
        <f t="shared" si="133"/>
        <v>46</v>
      </c>
      <c r="AE78" s="237" t="s">
        <v>439</v>
      </c>
      <c r="AF78" s="37"/>
      <c r="AG78" s="37"/>
      <c r="AH78" s="37">
        <v>46</v>
      </c>
      <c r="AJ78" s="41"/>
      <c r="AK78" s="41"/>
      <c r="AL78" s="41"/>
      <c r="AM78" s="41">
        <f t="shared" si="134"/>
        <v>46</v>
      </c>
      <c r="AN78" s="41"/>
      <c r="AO78" s="41"/>
      <c r="AP78" s="41"/>
      <c r="AQ78" s="41"/>
      <c r="AR78" s="41">
        <f t="shared" si="135"/>
        <v>0</v>
      </c>
      <c r="AS78" s="41"/>
      <c r="AT78" s="41"/>
      <c r="AU78" s="41"/>
      <c r="AV78" s="41"/>
      <c r="AW78" s="41"/>
      <c r="AX78" s="41"/>
      <c r="AY78" s="41"/>
      <c r="AZ78" s="41"/>
      <c r="BA78" s="41"/>
      <c r="BB78" s="41"/>
      <c r="BC78" s="41">
        <f t="shared" si="136"/>
        <v>0</v>
      </c>
      <c r="BD78" s="37"/>
      <c r="BE78" s="510"/>
      <c r="BF78" s="510"/>
      <c r="BG78" s="37"/>
      <c r="BH78" s="510"/>
    </row>
    <row r="79" spans="1:60" ht="12.95" customHeight="1">
      <c r="A79" s="44"/>
      <c r="B79" s="45"/>
      <c r="C79" s="451"/>
      <c r="D79" s="45"/>
      <c r="E79" s="46"/>
      <c r="F79" s="46"/>
      <c r="G79" s="47"/>
      <c r="H79" s="48"/>
      <c r="I79" s="49"/>
      <c r="J79" s="89"/>
      <c r="K79" s="89"/>
      <c r="L79" s="39"/>
      <c r="M79" s="39"/>
      <c r="N79" s="50"/>
      <c r="O79" s="51"/>
      <c r="P79" s="52"/>
      <c r="Q79" s="38"/>
      <c r="R79" s="507"/>
      <c r="S79" s="507"/>
      <c r="T79" s="41"/>
      <c r="U79" s="41"/>
      <c r="V79" s="41"/>
      <c r="W79" s="41"/>
      <c r="X79" s="42"/>
      <c r="Y79" s="218"/>
      <c r="Z79" s="41"/>
      <c r="AA79" s="41"/>
      <c r="AB79" s="41"/>
      <c r="AC79" s="41"/>
      <c r="AD79" s="41">
        <f t="shared" si="133"/>
        <v>0</v>
      </c>
      <c r="AE79" s="240" t="s">
        <v>225</v>
      </c>
      <c r="AF79" s="41"/>
      <c r="AG79" s="41"/>
      <c r="AH79" s="41"/>
      <c r="AI79" s="509">
        <v>0</v>
      </c>
      <c r="AJ79" s="41"/>
      <c r="AK79" s="41"/>
      <c r="AL79" s="41"/>
      <c r="AM79" s="41">
        <f t="shared" si="134"/>
        <v>0</v>
      </c>
      <c r="AN79" s="41"/>
      <c r="AO79" s="41"/>
      <c r="AP79" s="41"/>
      <c r="AQ79" s="41"/>
      <c r="AR79" s="41">
        <f t="shared" si="135"/>
        <v>0</v>
      </c>
      <c r="AS79" s="41"/>
      <c r="AT79" s="41"/>
      <c r="AU79" s="41"/>
      <c r="AV79" s="41"/>
      <c r="AW79" s="41"/>
      <c r="AX79" s="41"/>
      <c r="AY79" s="41"/>
      <c r="AZ79" s="41"/>
      <c r="BA79" s="41"/>
      <c r="BB79" s="41"/>
      <c r="BC79" s="41">
        <f t="shared" si="136"/>
        <v>0</v>
      </c>
      <c r="BD79" s="54"/>
      <c r="BE79" s="55"/>
      <c r="BF79" s="55"/>
      <c r="BG79" s="54"/>
      <c r="BH79" s="55"/>
    </row>
    <row r="80" spans="1:60" ht="12.95" customHeight="1">
      <c r="A80" s="44"/>
      <c r="B80" s="45"/>
      <c r="C80" s="451"/>
      <c r="D80" s="45"/>
      <c r="E80" s="46"/>
      <c r="F80" s="46"/>
      <c r="G80" s="47"/>
      <c r="H80" s="48"/>
      <c r="I80" s="49"/>
      <c r="J80" s="89"/>
      <c r="K80" s="89"/>
      <c r="L80" s="39"/>
      <c r="M80" s="39"/>
      <c r="N80" s="50"/>
      <c r="O80" s="51"/>
      <c r="P80" s="52"/>
      <c r="Q80" s="38"/>
      <c r="R80" s="507"/>
      <c r="S80" s="507"/>
      <c r="T80" s="41"/>
      <c r="U80" s="41"/>
      <c r="V80" s="41"/>
      <c r="W80" s="41"/>
      <c r="X80" s="42"/>
      <c r="Y80" s="218"/>
      <c r="Z80" s="41"/>
      <c r="AA80" s="41"/>
      <c r="AB80" s="41"/>
      <c r="AC80" s="41"/>
      <c r="AD80" s="41">
        <f t="shared" si="133"/>
        <v>160</v>
      </c>
      <c r="AE80" s="240" t="s">
        <v>634</v>
      </c>
      <c r="AF80" s="41"/>
      <c r="AG80" s="41"/>
      <c r="AH80" s="41"/>
      <c r="AI80" s="509"/>
      <c r="AJ80" s="41"/>
      <c r="AK80" s="41"/>
      <c r="AL80" s="41"/>
      <c r="AM80" s="41">
        <f t="shared" ref="AM80" si="137">SUM(AF80:AL80)+AT80</f>
        <v>0</v>
      </c>
      <c r="AN80" s="41"/>
      <c r="AO80" s="41"/>
      <c r="AP80" s="41">
        <v>160</v>
      </c>
      <c r="AQ80" s="41"/>
      <c r="AR80" s="41">
        <f t="shared" ref="AR80" si="138">SUM(AN80:AQ80)</f>
        <v>160</v>
      </c>
      <c r="AS80" s="41"/>
      <c r="AT80" s="41"/>
      <c r="AU80" s="41"/>
      <c r="AV80" s="41"/>
      <c r="AW80" s="41"/>
      <c r="AX80" s="41"/>
      <c r="AY80" s="41"/>
      <c r="AZ80" s="41"/>
      <c r="BA80" s="41"/>
      <c r="BB80" s="41"/>
      <c r="BC80" s="41">
        <f t="shared" si="136"/>
        <v>160</v>
      </c>
      <c r="BD80" s="54"/>
      <c r="BE80" s="55"/>
      <c r="BF80" s="55"/>
      <c r="BG80" s="54"/>
      <c r="BH80" s="55"/>
    </row>
    <row r="81" spans="1:60" ht="12.95" customHeight="1">
      <c r="A81" s="44"/>
      <c r="B81" s="45"/>
      <c r="C81" s="451"/>
      <c r="D81" s="45"/>
      <c r="E81" s="46"/>
      <c r="F81" s="46"/>
      <c r="G81" s="47"/>
      <c r="H81" s="47"/>
      <c r="I81" s="49"/>
      <c r="J81" s="89"/>
      <c r="K81" s="89"/>
      <c r="L81" s="39"/>
      <c r="M81" s="39"/>
      <c r="N81" s="50"/>
      <c r="O81" s="51"/>
      <c r="P81" s="52"/>
      <c r="Q81" s="51"/>
      <c r="R81" s="507"/>
      <c r="S81" s="507"/>
      <c r="T81" s="41"/>
      <c r="U81" s="41"/>
      <c r="V81" s="41"/>
      <c r="W81" s="41"/>
      <c r="X81" s="508"/>
      <c r="Y81" s="218"/>
      <c r="Z81" s="41"/>
      <c r="AA81" s="53"/>
      <c r="AB81" s="53"/>
      <c r="AC81" s="41"/>
      <c r="AD81" s="41"/>
      <c r="AE81" s="237"/>
      <c r="AF81" s="41"/>
      <c r="AG81" s="41"/>
      <c r="AH81" s="41"/>
      <c r="AI81" s="509"/>
      <c r="AJ81" s="41"/>
      <c r="AK81" s="41"/>
      <c r="AL81" s="41"/>
      <c r="AM81" s="41"/>
      <c r="AN81" s="41"/>
      <c r="AO81" s="41"/>
      <c r="AP81" s="41"/>
      <c r="AQ81" s="41"/>
      <c r="AR81" s="41"/>
      <c r="AS81" s="41"/>
      <c r="AT81" s="41"/>
      <c r="AU81" s="41"/>
      <c r="AV81" s="41"/>
      <c r="AW81" s="41"/>
      <c r="AX81" s="41"/>
      <c r="AY81" s="41"/>
      <c r="AZ81" s="41"/>
      <c r="BA81" s="41"/>
      <c r="BB81" s="41"/>
      <c r="BC81" s="41"/>
      <c r="BD81" s="37"/>
      <c r="BE81" s="55"/>
      <c r="BF81" s="55"/>
      <c r="BG81" s="55"/>
      <c r="BH81" s="55"/>
    </row>
    <row r="82" spans="1:60" ht="12.95" customHeight="1">
      <c r="A82" s="44">
        <v>46036</v>
      </c>
      <c r="B82" s="45" t="s">
        <v>417</v>
      </c>
      <c r="C82" s="451">
        <f t="shared" ref="C82" si="139">(M82*E82*O82*Q82)/100000000</f>
        <v>53.899560000000001</v>
      </c>
      <c r="D82" s="45" t="s">
        <v>430</v>
      </c>
      <c r="E82" s="46">
        <v>15</v>
      </c>
      <c r="F82" s="46">
        <v>1</v>
      </c>
      <c r="G82" s="506">
        <f>+L82</f>
        <v>1163.3333333333333</v>
      </c>
      <c r="H82" s="48">
        <f t="shared" ref="H82" si="140">+N82</f>
        <v>0.21999999999999997</v>
      </c>
      <c r="I82" s="49">
        <v>0.88</v>
      </c>
      <c r="J82" s="89">
        <f t="shared" ref="J82" si="141">E82*G82*(1-H82)*1440/1000000*2.75</f>
        <v>53.899560000000001</v>
      </c>
      <c r="K82" s="89">
        <f t="shared" ref="K82" si="142">(IF(G82&lt;L82,L82,G82)*(1-IF(H82&lt;N82,H82,N82))*E82*O82*Q82)/100000000</f>
        <v>53.899560000000001</v>
      </c>
      <c r="L82" s="39">
        <v>1163.3333333333333</v>
      </c>
      <c r="M82" s="39">
        <v>907.4</v>
      </c>
      <c r="N82" s="50">
        <f t="shared" ref="N82" si="143">1-(M82/L82)</f>
        <v>0.21999999999999997</v>
      </c>
      <c r="O82" s="51">
        <f>+'Trim Rwd'!H46</f>
        <v>275</v>
      </c>
      <c r="P82" s="52">
        <f t="shared" ref="P82" si="144">O82*(Q82-R82-S82)</f>
        <v>382525</v>
      </c>
      <c r="Q82" s="51">
        <v>1440</v>
      </c>
      <c r="R82" s="507">
        <v>0</v>
      </c>
      <c r="S82" s="507">
        <v>49</v>
      </c>
      <c r="T82" s="41">
        <f t="shared" ref="T82" si="145">E82*M82*O82*Q82/100000000</f>
        <v>53.899560000000001</v>
      </c>
      <c r="U82" s="41">
        <f t="shared" ref="U82" si="146">E82*M82*O82*(Q82-R82-S82)/100000000</f>
        <v>52.065477749999999</v>
      </c>
      <c r="V82" s="41">
        <f t="shared" ref="V82" si="147">E82*G82*(1-N82)*O82/100*(R82+S82)/1000000</f>
        <v>1.83408225</v>
      </c>
      <c r="W82" s="41">
        <f>+'14'!K16/1000</f>
        <v>50.981000000000002</v>
      </c>
      <c r="X82" s="508">
        <f>SUM(W82:W85)/SUM(K82:K85)</f>
        <v>0.94585187708396878</v>
      </c>
      <c r="Y82" s="218">
        <v>0</v>
      </c>
      <c r="Z82" s="41">
        <v>0</v>
      </c>
      <c r="AA82" s="53">
        <f>SUM(U82:U85)-SUM(W82:W85)-SUM(Z82:Z85)-SUM(Y82:Y85)</f>
        <v>1.0844777499999978</v>
      </c>
      <c r="AB82" s="53">
        <f>(SUM(K82:K85)-SUM(W82:W85)-SUM(Y82:Y85)-SUM(Z82:Z85)-SUM(AC82:AC85)-SUM(V82:V85))-AA82</f>
        <v>0</v>
      </c>
      <c r="AC82" s="41">
        <f>K82-T82</f>
        <v>0</v>
      </c>
      <c r="AD82" s="41">
        <f>+AM82+BC82</f>
        <v>1</v>
      </c>
      <c r="AE82" s="237" t="s">
        <v>619</v>
      </c>
      <c r="AF82" s="41">
        <v>1</v>
      </c>
      <c r="AG82" s="41"/>
      <c r="AH82" s="41"/>
      <c r="AI82" s="509"/>
      <c r="AJ82" s="41"/>
      <c r="AK82" s="41"/>
      <c r="AL82" s="41"/>
      <c r="AM82" s="41">
        <f>SUM(AF82:AL82)+AT82</f>
        <v>1</v>
      </c>
      <c r="AN82" s="41"/>
      <c r="AO82" s="41"/>
      <c r="AP82" s="41"/>
      <c r="AQ82" s="41"/>
      <c r="AR82" s="41">
        <f>SUM(AN82:AQ82)</f>
        <v>0</v>
      </c>
      <c r="AS82" s="41"/>
      <c r="AT82" s="41"/>
      <c r="AU82" s="41"/>
      <c r="AV82" s="41"/>
      <c r="AW82" s="41"/>
      <c r="AX82" s="41"/>
      <c r="AY82" s="41"/>
      <c r="AZ82" s="41"/>
      <c r="BA82" s="41"/>
      <c r="BB82" s="41"/>
      <c r="BC82" s="41">
        <f>+AR82+AS82+AU82+AV82+AX82</f>
        <v>0</v>
      </c>
      <c r="BD82" s="37">
        <v>1</v>
      </c>
      <c r="BE82" s="55"/>
      <c r="BF82" s="55"/>
      <c r="BG82" s="37"/>
      <c r="BH82" s="55"/>
    </row>
    <row r="83" spans="1:60" ht="12.95" customHeight="1">
      <c r="A83" s="44"/>
      <c r="B83" s="45"/>
      <c r="C83" s="451"/>
      <c r="D83" s="45"/>
      <c r="E83" s="46"/>
      <c r="F83" s="46"/>
      <c r="G83" s="506"/>
      <c r="H83" s="48"/>
      <c r="I83" s="49"/>
      <c r="J83" s="89"/>
      <c r="K83" s="89"/>
      <c r="L83" s="39"/>
      <c r="M83" s="39"/>
      <c r="N83" s="50"/>
      <c r="O83" s="51"/>
      <c r="P83" s="52"/>
      <c r="Q83" s="51"/>
      <c r="R83" s="507"/>
      <c r="S83" s="507"/>
      <c r="T83" s="41"/>
      <c r="U83" s="41"/>
      <c r="V83" s="41"/>
      <c r="W83" s="41"/>
      <c r="X83" s="42"/>
      <c r="Y83" s="218"/>
      <c r="Z83" s="41"/>
      <c r="AA83" s="41"/>
      <c r="AB83" s="41"/>
      <c r="AC83" s="41">
        <f>K83-T83</f>
        <v>0</v>
      </c>
      <c r="AD83" s="41">
        <f t="shared" ref="AD83:AD85" si="148">+AM83+BC83</f>
        <v>13</v>
      </c>
      <c r="AE83" s="237" t="s">
        <v>640</v>
      </c>
      <c r="AF83" s="41"/>
      <c r="AG83" s="41">
        <v>13</v>
      </c>
      <c r="AH83" s="41"/>
      <c r="AI83" s="509"/>
      <c r="AJ83" s="41"/>
      <c r="AK83" s="41"/>
      <c r="AL83" s="41"/>
      <c r="AM83" s="41">
        <f t="shared" ref="AM83:AM85" si="149">SUM(AF83:AL83)+AT83</f>
        <v>13</v>
      </c>
      <c r="AN83" s="90"/>
      <c r="AO83" s="41"/>
      <c r="AP83" s="41"/>
      <c r="AQ83" s="41"/>
      <c r="AR83" s="41">
        <f t="shared" ref="AR83:AR85" si="150">SUM(AN83:AQ83)</f>
        <v>0</v>
      </c>
      <c r="AS83" s="41"/>
      <c r="AT83" s="41"/>
      <c r="AU83" s="41"/>
      <c r="AV83" s="41"/>
      <c r="AW83" s="41"/>
      <c r="AX83" s="41"/>
      <c r="AY83" s="41"/>
      <c r="AZ83" s="41"/>
      <c r="BA83" s="41"/>
      <c r="BB83" s="41"/>
      <c r="BC83" s="41">
        <f t="shared" ref="BC83:BC85" si="151">+AR83+AS83+AU83+AV83+AX83</f>
        <v>0</v>
      </c>
      <c r="BD83" s="54"/>
      <c r="BE83" s="55">
        <v>10</v>
      </c>
      <c r="BF83" s="55"/>
      <c r="BG83" s="54"/>
      <c r="BH83" s="55"/>
    </row>
    <row r="84" spans="1:60" ht="12.95" customHeight="1">
      <c r="A84" s="44"/>
      <c r="B84" s="45"/>
      <c r="C84" s="451"/>
      <c r="D84" s="45"/>
      <c r="E84" s="46"/>
      <c r="F84" s="46"/>
      <c r="G84" s="47"/>
      <c r="H84" s="48"/>
      <c r="I84" s="49"/>
      <c r="J84" s="89"/>
      <c r="K84" s="89"/>
      <c r="L84" s="39"/>
      <c r="M84" s="39"/>
      <c r="N84" s="50"/>
      <c r="O84" s="51"/>
      <c r="P84" s="52"/>
      <c r="Q84" s="51"/>
      <c r="R84" s="507"/>
      <c r="S84" s="507"/>
      <c r="T84" s="41"/>
      <c r="U84" s="41"/>
      <c r="V84" s="41"/>
      <c r="W84" s="41"/>
      <c r="X84" s="42"/>
      <c r="Y84" s="218"/>
      <c r="Z84" s="41"/>
      <c r="AA84" s="41"/>
      <c r="AB84" s="41"/>
      <c r="AC84" s="41"/>
      <c r="AD84" s="41">
        <f t="shared" si="148"/>
        <v>19</v>
      </c>
      <c r="AE84" s="237" t="s">
        <v>457</v>
      </c>
      <c r="AF84" s="37"/>
      <c r="AG84" s="37"/>
      <c r="AH84" s="37">
        <v>19</v>
      </c>
      <c r="AJ84" s="41"/>
      <c r="AK84" s="41"/>
      <c r="AL84" s="41"/>
      <c r="AM84" s="41">
        <f t="shared" si="149"/>
        <v>19</v>
      </c>
      <c r="AN84" s="41"/>
      <c r="AO84" s="41"/>
      <c r="AP84" s="41"/>
      <c r="AQ84" s="41"/>
      <c r="AR84" s="41">
        <f t="shared" si="150"/>
        <v>0</v>
      </c>
      <c r="AS84" s="41"/>
      <c r="AT84" s="41"/>
      <c r="AU84" s="41"/>
      <c r="AV84" s="41"/>
      <c r="AW84" s="41"/>
      <c r="AX84" s="41"/>
      <c r="AY84" s="41"/>
      <c r="AZ84" s="41"/>
      <c r="BA84" s="41"/>
      <c r="BB84" s="41"/>
      <c r="BC84" s="41">
        <f t="shared" si="151"/>
        <v>0</v>
      </c>
      <c r="BD84" s="37"/>
      <c r="BE84" s="510"/>
      <c r="BF84" s="510"/>
      <c r="BG84" s="37"/>
      <c r="BH84" s="510"/>
    </row>
    <row r="85" spans="1:60" ht="12.95" customHeight="1">
      <c r="A85" s="44"/>
      <c r="B85" s="45"/>
      <c r="C85" s="451"/>
      <c r="D85" s="45"/>
      <c r="E85" s="46"/>
      <c r="F85" s="46"/>
      <c r="G85" s="47"/>
      <c r="H85" s="48"/>
      <c r="I85" s="49"/>
      <c r="J85" s="89"/>
      <c r="K85" s="89"/>
      <c r="L85" s="39"/>
      <c r="M85" s="39"/>
      <c r="N85" s="50"/>
      <c r="O85" s="51"/>
      <c r="P85" s="52"/>
      <c r="Q85" s="38"/>
      <c r="R85" s="507"/>
      <c r="S85" s="507"/>
      <c r="T85" s="41"/>
      <c r="U85" s="41"/>
      <c r="V85" s="41"/>
      <c r="W85" s="41"/>
      <c r="X85" s="42"/>
      <c r="Y85" s="218"/>
      <c r="Z85" s="41"/>
      <c r="AA85" s="41"/>
      <c r="AB85" s="41"/>
      <c r="AC85" s="41"/>
      <c r="AD85" s="41">
        <f t="shared" si="148"/>
        <v>16</v>
      </c>
      <c r="AE85" s="240" t="s">
        <v>225</v>
      </c>
      <c r="AF85" s="41"/>
      <c r="AG85" s="41"/>
      <c r="AH85" s="41"/>
      <c r="AI85" s="509">
        <v>16</v>
      </c>
      <c r="AJ85" s="41"/>
      <c r="AK85" s="41"/>
      <c r="AL85" s="41"/>
      <c r="AM85" s="41">
        <f t="shared" si="149"/>
        <v>16</v>
      </c>
      <c r="AN85" s="41"/>
      <c r="AO85" s="41"/>
      <c r="AP85" s="41"/>
      <c r="AQ85" s="41"/>
      <c r="AR85" s="41">
        <f t="shared" si="150"/>
        <v>0</v>
      </c>
      <c r="AS85" s="41"/>
      <c r="AT85" s="41"/>
      <c r="AU85" s="41"/>
      <c r="AV85" s="41"/>
      <c r="AW85" s="41"/>
      <c r="AX85" s="41"/>
      <c r="AY85" s="41"/>
      <c r="AZ85" s="41"/>
      <c r="BA85" s="41"/>
      <c r="BB85" s="41"/>
      <c r="BC85" s="41">
        <f t="shared" si="151"/>
        <v>0</v>
      </c>
      <c r="BD85" s="54"/>
      <c r="BE85" s="55"/>
      <c r="BF85" s="55"/>
      <c r="BG85" s="54"/>
      <c r="BH85" s="55"/>
    </row>
    <row r="86" spans="1:60" ht="12.95" customHeight="1">
      <c r="A86" s="44"/>
      <c r="B86" s="45"/>
      <c r="C86" s="451"/>
      <c r="D86" s="45"/>
      <c r="E86" s="46"/>
      <c r="F86" s="46"/>
      <c r="G86" s="47"/>
      <c r="H86" s="47"/>
      <c r="I86" s="49"/>
      <c r="J86" s="89"/>
      <c r="K86" s="89"/>
      <c r="L86" s="39"/>
      <c r="M86" s="39"/>
      <c r="N86" s="50"/>
      <c r="O86" s="51"/>
      <c r="P86" s="52"/>
      <c r="Q86" s="51"/>
      <c r="R86" s="507"/>
      <c r="S86" s="507"/>
      <c r="T86" s="41"/>
      <c r="U86" s="41"/>
      <c r="V86" s="41"/>
      <c r="W86" s="41"/>
      <c r="X86" s="508"/>
      <c r="Y86" s="218"/>
      <c r="Z86" s="41"/>
      <c r="AA86" s="53"/>
      <c r="AB86" s="53"/>
      <c r="AC86" s="41"/>
      <c r="AD86" s="41"/>
      <c r="AE86" s="237"/>
      <c r="AF86" s="41"/>
      <c r="AG86" s="41"/>
      <c r="AH86" s="41"/>
      <c r="AI86" s="509"/>
      <c r="AJ86" s="41"/>
      <c r="AK86" s="41"/>
      <c r="AL86" s="41"/>
      <c r="AM86" s="41"/>
      <c r="AN86" s="41"/>
      <c r="AO86" s="41"/>
      <c r="AP86" s="41"/>
      <c r="AQ86" s="41"/>
      <c r="AR86" s="41"/>
      <c r="AS86" s="41"/>
      <c r="AT86" s="41"/>
      <c r="AU86" s="41"/>
      <c r="AV86" s="41"/>
      <c r="AW86" s="41"/>
      <c r="AX86" s="41"/>
      <c r="AY86" s="41"/>
      <c r="AZ86" s="41"/>
      <c r="BA86" s="41"/>
      <c r="BB86" s="41"/>
      <c r="BC86" s="41"/>
      <c r="BD86" s="37"/>
      <c r="BE86" s="55"/>
      <c r="BF86" s="55"/>
      <c r="BG86" s="55"/>
      <c r="BH86" s="55"/>
    </row>
    <row r="87" spans="1:60" ht="12.95" customHeight="1">
      <c r="A87" s="44">
        <v>46037</v>
      </c>
      <c r="B87" s="45" t="s">
        <v>417</v>
      </c>
      <c r="C87" s="451">
        <f t="shared" ref="C87" si="152">(M87*E87*O87*Q87)/100000000</f>
        <v>55.430394591549302</v>
      </c>
      <c r="D87" s="45" t="s">
        <v>430</v>
      </c>
      <c r="E87" s="46">
        <v>15</v>
      </c>
      <c r="F87" s="46">
        <v>1</v>
      </c>
      <c r="G87" s="506">
        <f>+L87</f>
        <v>1170</v>
      </c>
      <c r="H87" s="48">
        <f t="shared" ref="H87" si="153">+N87</f>
        <v>0.19999999999999996</v>
      </c>
      <c r="I87" s="49">
        <v>0.88</v>
      </c>
      <c r="J87" s="89">
        <f t="shared" ref="J87" si="154">E87*G87*(1-H87)*1440/1000000*2.75</f>
        <v>55.598400000000005</v>
      </c>
      <c r="K87" s="89">
        <f t="shared" ref="K87" si="155">(IF(G87&lt;L87,L87,G87)*(1-IF(H87&lt;N87,H87,N87))*E87*O87*Q87)/100000000</f>
        <v>55.430394591549302</v>
      </c>
      <c r="L87" s="39">
        <v>1170</v>
      </c>
      <c r="M87" s="39">
        <v>936</v>
      </c>
      <c r="N87" s="50">
        <f t="shared" ref="N87" si="156">1-(M87/L87)</f>
        <v>0.19999999999999996</v>
      </c>
      <c r="O87" s="51">
        <f>+'Trim Rwd'!H48</f>
        <v>274.16901408450707</v>
      </c>
      <c r="P87" s="52">
        <f t="shared" ref="P87" si="157">O87*(Q87-R87-S87)</f>
        <v>380820.76056338032</v>
      </c>
      <c r="Q87" s="51">
        <v>1440</v>
      </c>
      <c r="R87" s="507">
        <v>0</v>
      </c>
      <c r="S87" s="507">
        <v>51</v>
      </c>
      <c r="T87" s="41">
        <f t="shared" ref="T87" si="158">E87*M87*O87*Q87/100000000</f>
        <v>55.430394591549302</v>
      </c>
      <c r="U87" s="41">
        <f t="shared" ref="U87" si="159">E87*M87*O87*(Q87-R87-S87)/100000000</f>
        <v>53.46723478309859</v>
      </c>
      <c r="V87" s="41">
        <f t="shared" ref="V87" si="160">E87*G87*(1-N87)*O87/100*(R87+S87)/1000000</f>
        <v>1.9631598084507045</v>
      </c>
      <c r="W87" s="41">
        <f>+'15'!K16/1000</f>
        <v>53.661999999999999</v>
      </c>
      <c r="X87" s="508">
        <f>SUM(W87:W90)/SUM(K87:K90)</f>
        <v>0.96809702322020086</v>
      </c>
      <c r="Y87" s="218">
        <v>0</v>
      </c>
      <c r="Z87" s="41">
        <f>+'15'!D34/1000</f>
        <v>0.69</v>
      </c>
      <c r="AA87" s="53">
        <f>SUM(U87:U90)-SUM(W87:W90)-SUM(Z87:Z90)-SUM(Y87:Y90)</f>
        <v>-0.88476521690140908</v>
      </c>
      <c r="AB87" s="53">
        <f>(SUM(K87:K90)-SUM(W87:W90)-SUM(Y87:Y90)-SUM(Z87:Z90)-SUM(AC87:AC90)-SUM(V87:V90))-AA87</f>
        <v>7.3274719625260332E-15</v>
      </c>
      <c r="AC87" s="41">
        <f>K87-T87</f>
        <v>0</v>
      </c>
      <c r="AD87" s="41">
        <f>+AM87+BC87</f>
        <v>0</v>
      </c>
      <c r="AE87" s="237" t="s">
        <v>386</v>
      </c>
      <c r="AF87" s="41">
        <v>0</v>
      </c>
      <c r="AG87" s="41"/>
      <c r="AH87" s="41"/>
      <c r="AI87" s="509"/>
      <c r="AJ87" s="41"/>
      <c r="AK87" s="41"/>
      <c r="AL87" s="41"/>
      <c r="AM87" s="41">
        <f>SUM(AF87:AL87)+AT87</f>
        <v>0</v>
      </c>
      <c r="AN87" s="41"/>
      <c r="AO87" s="41"/>
      <c r="AP87" s="41"/>
      <c r="AQ87" s="41"/>
      <c r="AR87" s="41">
        <f>SUM(AN87:AQ87)</f>
        <v>0</v>
      </c>
      <c r="AS87" s="41"/>
      <c r="AT87" s="41"/>
      <c r="AU87" s="41"/>
      <c r="AV87" s="41"/>
      <c r="AW87" s="41"/>
      <c r="AX87" s="41"/>
      <c r="AY87" s="41"/>
      <c r="AZ87" s="41"/>
      <c r="BA87" s="41"/>
      <c r="BB87" s="41"/>
      <c r="BC87" s="41">
        <f>+AR87+AS87+AU87+AV87+AX87</f>
        <v>0</v>
      </c>
      <c r="BD87" s="37">
        <v>0</v>
      </c>
      <c r="BE87" s="55"/>
      <c r="BF87" s="55"/>
      <c r="BG87" s="37"/>
      <c r="BH87" s="55"/>
    </row>
    <row r="88" spans="1:60" ht="12.95" customHeight="1">
      <c r="A88" s="44"/>
      <c r="B88" s="45"/>
      <c r="C88" s="451"/>
      <c r="D88" s="45"/>
      <c r="E88" s="46"/>
      <c r="F88" s="46"/>
      <c r="G88" s="506"/>
      <c r="H88" s="48"/>
      <c r="I88" s="49"/>
      <c r="J88" s="89"/>
      <c r="K88" s="89"/>
      <c r="L88" s="39"/>
      <c r="M88" s="39"/>
      <c r="N88" s="50"/>
      <c r="O88" s="51"/>
      <c r="P88" s="52"/>
      <c r="Q88" s="51"/>
      <c r="R88" s="507"/>
      <c r="S88" s="507"/>
      <c r="T88" s="41"/>
      <c r="U88" s="41"/>
      <c r="V88" s="41"/>
      <c r="W88" s="41"/>
      <c r="X88" s="42"/>
      <c r="Y88" s="218"/>
      <c r="Z88" s="41"/>
      <c r="AA88" s="41"/>
      <c r="AB88" s="41"/>
      <c r="AC88" s="41">
        <f>K88-T88</f>
        <v>0</v>
      </c>
      <c r="AD88" s="41">
        <f t="shared" ref="AD88:AD90" si="161">+AM88+BC88</f>
        <v>14</v>
      </c>
      <c r="AE88" s="237" t="s">
        <v>651</v>
      </c>
      <c r="AF88" s="41"/>
      <c r="AG88" s="41">
        <v>14</v>
      </c>
      <c r="AH88" s="41"/>
      <c r="AI88" s="509"/>
      <c r="AJ88" s="41"/>
      <c r="AK88" s="41"/>
      <c r="AL88" s="41"/>
      <c r="AM88" s="41">
        <f t="shared" ref="AM88:AM90" si="162">SUM(AF88:AL88)+AT88</f>
        <v>14</v>
      </c>
      <c r="AN88" s="90"/>
      <c r="AO88" s="41"/>
      <c r="AP88" s="41"/>
      <c r="AQ88" s="41"/>
      <c r="AR88" s="41">
        <f t="shared" ref="AR88:AR90" si="163">SUM(AN88:AQ88)</f>
        <v>0</v>
      </c>
      <c r="AS88" s="41"/>
      <c r="AT88" s="41"/>
      <c r="AU88" s="41"/>
      <c r="AV88" s="41"/>
      <c r="AW88" s="41"/>
      <c r="AX88" s="41"/>
      <c r="AY88" s="41"/>
      <c r="AZ88" s="41"/>
      <c r="BA88" s="41"/>
      <c r="BB88" s="41"/>
      <c r="BC88" s="41">
        <f t="shared" ref="BC88:BC90" si="164">+AR88+AS88+AU88+AV88+AX88</f>
        <v>0</v>
      </c>
      <c r="BD88" s="54"/>
      <c r="BE88" s="55">
        <v>13</v>
      </c>
      <c r="BF88" s="55"/>
      <c r="BG88" s="54"/>
      <c r="BH88" s="55"/>
    </row>
    <row r="89" spans="1:60" ht="12.95" customHeight="1">
      <c r="A89" s="44"/>
      <c r="B89" s="45"/>
      <c r="C89" s="451"/>
      <c r="D89" s="45"/>
      <c r="E89" s="46"/>
      <c r="F89" s="46"/>
      <c r="G89" s="47"/>
      <c r="H89" s="48"/>
      <c r="I89" s="49"/>
      <c r="J89" s="89"/>
      <c r="K89" s="89"/>
      <c r="L89" s="39"/>
      <c r="M89" s="39"/>
      <c r="N89" s="50"/>
      <c r="O89" s="51"/>
      <c r="P89" s="52"/>
      <c r="Q89" s="51"/>
      <c r="R89" s="507"/>
      <c r="S89" s="507"/>
      <c r="T89" s="41"/>
      <c r="U89" s="41"/>
      <c r="V89" s="41"/>
      <c r="W89" s="41"/>
      <c r="X89" s="42"/>
      <c r="Y89" s="218"/>
      <c r="Z89" s="41"/>
      <c r="AA89" s="41"/>
      <c r="AB89" s="41"/>
      <c r="AC89" s="41"/>
      <c r="AD89" s="41">
        <f t="shared" si="161"/>
        <v>23</v>
      </c>
      <c r="AE89" s="237" t="s">
        <v>420</v>
      </c>
      <c r="AF89" s="37"/>
      <c r="AG89" s="37"/>
      <c r="AH89" s="37">
        <v>23</v>
      </c>
      <c r="AJ89" s="41"/>
      <c r="AK89" s="41"/>
      <c r="AL89" s="41"/>
      <c r="AM89" s="41">
        <f t="shared" si="162"/>
        <v>23</v>
      </c>
      <c r="AN89" s="41"/>
      <c r="AO89" s="41"/>
      <c r="AP89" s="41"/>
      <c r="AQ89" s="41"/>
      <c r="AR89" s="41">
        <f t="shared" si="163"/>
        <v>0</v>
      </c>
      <c r="AS89" s="41"/>
      <c r="AT89" s="41"/>
      <c r="AU89" s="41"/>
      <c r="AV89" s="41"/>
      <c r="AW89" s="41"/>
      <c r="AX89" s="41"/>
      <c r="AY89" s="41"/>
      <c r="AZ89" s="41"/>
      <c r="BA89" s="41"/>
      <c r="BB89" s="41"/>
      <c r="BC89" s="41">
        <f t="shared" si="164"/>
        <v>0</v>
      </c>
      <c r="BD89" s="37"/>
      <c r="BE89" s="510"/>
      <c r="BF89" s="510"/>
      <c r="BG89" s="37"/>
      <c r="BH89" s="510"/>
    </row>
    <row r="90" spans="1:60" ht="12.95" customHeight="1">
      <c r="A90" s="44"/>
      <c r="B90" s="45"/>
      <c r="C90" s="451"/>
      <c r="D90" s="45"/>
      <c r="E90" s="46"/>
      <c r="F90" s="46"/>
      <c r="G90" s="47"/>
      <c r="H90" s="48"/>
      <c r="I90" s="49"/>
      <c r="J90" s="89"/>
      <c r="K90" s="89"/>
      <c r="L90" s="39"/>
      <c r="M90" s="39"/>
      <c r="N90" s="50"/>
      <c r="O90" s="51"/>
      <c r="P90" s="52"/>
      <c r="Q90" s="38"/>
      <c r="R90" s="507"/>
      <c r="S90" s="507"/>
      <c r="T90" s="41"/>
      <c r="U90" s="41"/>
      <c r="V90" s="41"/>
      <c r="W90" s="41"/>
      <c r="X90" s="42"/>
      <c r="Y90" s="218"/>
      <c r="Z90" s="41"/>
      <c r="AA90" s="41"/>
      <c r="AB90" s="41"/>
      <c r="AC90" s="41"/>
      <c r="AD90" s="41">
        <f t="shared" si="161"/>
        <v>14</v>
      </c>
      <c r="AE90" s="240" t="s">
        <v>225</v>
      </c>
      <c r="AF90" s="41"/>
      <c r="AG90" s="41"/>
      <c r="AH90" s="41"/>
      <c r="AI90" s="509">
        <v>14</v>
      </c>
      <c r="AJ90" s="41"/>
      <c r="AK90" s="41"/>
      <c r="AL90" s="41"/>
      <c r="AM90" s="41">
        <f t="shared" si="162"/>
        <v>14</v>
      </c>
      <c r="AN90" s="41"/>
      <c r="AO90" s="41"/>
      <c r="AP90" s="41"/>
      <c r="AQ90" s="41"/>
      <c r="AR90" s="41">
        <f t="shared" si="163"/>
        <v>0</v>
      </c>
      <c r="AS90" s="41"/>
      <c r="AT90" s="41"/>
      <c r="AU90" s="41"/>
      <c r="AV90" s="41"/>
      <c r="AW90" s="41"/>
      <c r="AX90" s="41"/>
      <c r="AY90" s="41"/>
      <c r="AZ90" s="41"/>
      <c r="BA90" s="41"/>
      <c r="BB90" s="41"/>
      <c r="BC90" s="41">
        <f t="shared" si="164"/>
        <v>0</v>
      </c>
      <c r="BD90" s="54"/>
      <c r="BE90" s="55"/>
      <c r="BF90" s="55"/>
      <c r="BG90" s="54"/>
      <c r="BH90" s="55"/>
    </row>
    <row r="91" spans="1:60" ht="12.95" customHeight="1">
      <c r="A91" s="44"/>
      <c r="B91" s="45"/>
      <c r="C91" s="451"/>
      <c r="D91" s="45"/>
      <c r="E91" s="46"/>
      <c r="F91" s="46"/>
      <c r="G91" s="47"/>
      <c r="H91" s="47"/>
      <c r="I91" s="49"/>
      <c r="J91" s="89"/>
      <c r="K91" s="89"/>
      <c r="L91" s="39"/>
      <c r="M91" s="39"/>
      <c r="N91" s="50"/>
      <c r="O91" s="51"/>
      <c r="P91" s="52"/>
      <c r="Q91" s="51"/>
      <c r="R91" s="507"/>
      <c r="S91" s="507"/>
      <c r="T91" s="41"/>
      <c r="U91" s="41"/>
      <c r="V91" s="41"/>
      <c r="W91" s="41"/>
      <c r="X91" s="42"/>
      <c r="Y91" s="218"/>
      <c r="Z91" s="41"/>
      <c r="AA91" s="41"/>
      <c r="AB91" s="41"/>
      <c r="AC91" s="41"/>
      <c r="AD91" s="41"/>
      <c r="AE91" s="237"/>
      <c r="AF91" s="41"/>
      <c r="AG91" s="41"/>
      <c r="AH91" s="41"/>
      <c r="AI91" s="509"/>
      <c r="AJ91" s="41"/>
      <c r="AK91" s="41"/>
      <c r="AL91" s="41"/>
      <c r="AM91" s="41"/>
      <c r="AN91" s="90"/>
      <c r="AO91" s="41"/>
      <c r="AP91" s="41"/>
      <c r="AQ91" s="41"/>
      <c r="AR91" s="41"/>
      <c r="AS91" s="41"/>
      <c r="AT91" s="41"/>
      <c r="AU91" s="41"/>
      <c r="AV91" s="41"/>
      <c r="AW91" s="41"/>
      <c r="AX91" s="41"/>
      <c r="AY91" s="41"/>
      <c r="AZ91" s="41"/>
      <c r="BA91" s="41"/>
      <c r="BB91" s="41"/>
      <c r="BC91" s="41"/>
      <c r="BD91" s="54"/>
      <c r="BE91" s="55"/>
      <c r="BF91" s="55"/>
      <c r="BG91" s="55"/>
      <c r="BH91" s="55"/>
    </row>
    <row r="92" spans="1:60" ht="12.95" customHeight="1">
      <c r="A92" s="44">
        <v>46038</v>
      </c>
      <c r="B92" s="45" t="s">
        <v>417</v>
      </c>
      <c r="C92" s="451">
        <f t="shared" ref="C92" si="165">(M92*E92*O92*Q92)/100000000</f>
        <v>55.396223999999997</v>
      </c>
      <c r="D92" s="45" t="s">
        <v>430</v>
      </c>
      <c r="E92" s="46">
        <v>15</v>
      </c>
      <c r="F92" s="46">
        <v>1</v>
      </c>
      <c r="G92" s="506">
        <f>+L92</f>
        <v>1170</v>
      </c>
      <c r="H92" s="48">
        <f t="shared" ref="H92" si="166">+N92</f>
        <v>0.19999999999999996</v>
      </c>
      <c r="I92" s="49">
        <v>0.88</v>
      </c>
      <c r="J92" s="89">
        <f t="shared" ref="J92" si="167">E92*G92*(1-H92)*1440/1000000*2.75</f>
        <v>55.598400000000005</v>
      </c>
      <c r="K92" s="89">
        <f t="shared" ref="K92" si="168">(IF(G92&lt;L92,L92,G92)*(1-IF(H92&lt;N92,H92,N92))*E92*O92*Q92)/100000000</f>
        <v>55.396223999999997</v>
      </c>
      <c r="L92" s="39">
        <v>1170</v>
      </c>
      <c r="M92" s="39">
        <v>936</v>
      </c>
      <c r="N92" s="50">
        <f t="shared" ref="N92" si="169">1-(M92/L92)</f>
        <v>0.19999999999999996</v>
      </c>
      <c r="O92" s="51">
        <f>+'Trim Rwd'!H51</f>
        <v>274</v>
      </c>
      <c r="P92" s="52">
        <f t="shared" ref="P92" si="170">O92*(Q92-R92-S92)</f>
        <v>381134</v>
      </c>
      <c r="Q92" s="51">
        <v>1440</v>
      </c>
      <c r="R92" s="507">
        <v>0</v>
      </c>
      <c r="S92" s="507">
        <v>49</v>
      </c>
      <c r="T92" s="41">
        <f t="shared" ref="T92" si="171">E92*M92*O92*Q92/100000000</f>
        <v>55.396223999999997</v>
      </c>
      <c r="U92" s="41">
        <f t="shared" ref="U92" si="172">E92*M92*O92*(Q92-R92-S92)/100000000</f>
        <v>53.511213599999998</v>
      </c>
      <c r="V92" s="41">
        <f t="shared" ref="V92" si="173">E92*G92*(1-N92)*O92/100*(R92+S92)/1000000</f>
        <v>1.8850103999999999</v>
      </c>
      <c r="W92" s="41">
        <f>+'16'!K16/1000</f>
        <v>49.744</v>
      </c>
      <c r="X92" s="508">
        <f>SUM(W92:W95)/SUM(K92:K95)</f>
        <v>0.89796734160075609</v>
      </c>
      <c r="Y92" s="218">
        <v>0</v>
      </c>
      <c r="Z92" s="41">
        <f>+'16'!D34/1000</f>
        <v>0.39</v>
      </c>
      <c r="AA92" s="53">
        <f>SUM(U92:U95)-SUM(W92:W95)-SUM(Z92:Z95)-SUM(Y92:Y95)</f>
        <v>3.3772135999999979</v>
      </c>
      <c r="AB92" s="53">
        <f>(SUM(K92:K95)-SUM(W92:W95)-SUM(Y92:Y95)-SUM(Z92:Z95)-SUM(AC92:AC95)-SUM(V92:V95))-AA92</f>
        <v>0</v>
      </c>
      <c r="AC92" s="41">
        <f>K92-T92</f>
        <v>0</v>
      </c>
      <c r="AD92" s="41">
        <f>+AM92+BC92</f>
        <v>4</v>
      </c>
      <c r="AE92" s="237" t="s">
        <v>394</v>
      </c>
      <c r="AF92" s="41">
        <v>4</v>
      </c>
      <c r="AG92" s="41"/>
      <c r="AH92" s="41"/>
      <c r="AI92" s="509"/>
      <c r="AJ92" s="41"/>
      <c r="AK92" s="41"/>
      <c r="AL92" s="41"/>
      <c r="AM92" s="41">
        <f>SUM(AF92:AL92)+AT92</f>
        <v>4</v>
      </c>
      <c r="AN92" s="41"/>
      <c r="AO92" s="41"/>
      <c r="AP92" s="41"/>
      <c r="AQ92" s="41"/>
      <c r="AR92" s="41">
        <f>SUM(AN92:AQ92)</f>
        <v>0</v>
      </c>
      <c r="AS92" s="41"/>
      <c r="AT92" s="41"/>
      <c r="AU92" s="41"/>
      <c r="AV92" s="41"/>
      <c r="AW92" s="41"/>
      <c r="AX92" s="41"/>
      <c r="AY92" s="41"/>
      <c r="AZ92" s="41"/>
      <c r="BA92" s="41"/>
      <c r="BB92" s="41"/>
      <c r="BC92" s="41">
        <f>+AR92+AS92+AU92+AV92+AX92</f>
        <v>0</v>
      </c>
      <c r="BD92" s="37">
        <v>2</v>
      </c>
      <c r="BE92" s="55"/>
      <c r="BF92" s="55"/>
      <c r="BG92" s="37"/>
      <c r="BH92" s="55"/>
    </row>
    <row r="93" spans="1:60" ht="12.95" customHeight="1">
      <c r="A93" s="44"/>
      <c r="B93" s="45"/>
      <c r="C93" s="451"/>
      <c r="D93" s="45"/>
      <c r="E93" s="46"/>
      <c r="F93" s="46"/>
      <c r="G93" s="506"/>
      <c r="H93" s="48"/>
      <c r="I93" s="49"/>
      <c r="J93" s="89"/>
      <c r="K93" s="89"/>
      <c r="L93" s="39"/>
      <c r="M93" s="39"/>
      <c r="N93" s="50"/>
      <c r="O93" s="51"/>
      <c r="P93" s="52"/>
      <c r="Q93" s="51"/>
      <c r="R93" s="507"/>
      <c r="S93" s="507"/>
      <c r="T93" s="41"/>
      <c r="U93" s="41"/>
      <c r="V93" s="41"/>
      <c r="W93" s="41"/>
      <c r="X93" s="42"/>
      <c r="Y93" s="218"/>
      <c r="Z93" s="41"/>
      <c r="AA93" s="41"/>
      <c r="AB93" s="41"/>
      <c r="AC93" s="41">
        <f>K93-T93</f>
        <v>0</v>
      </c>
      <c r="AD93" s="41">
        <f t="shared" ref="AD93:AD95" si="174">+AM93+BC93</f>
        <v>11</v>
      </c>
      <c r="AE93" s="237" t="s">
        <v>570</v>
      </c>
      <c r="AF93" s="41"/>
      <c r="AG93" s="41">
        <v>11</v>
      </c>
      <c r="AH93" s="41"/>
      <c r="AI93" s="509"/>
      <c r="AJ93" s="41"/>
      <c r="AK93" s="41"/>
      <c r="AL93" s="41"/>
      <c r="AM93" s="41">
        <f t="shared" ref="AM93:AM95" si="175">SUM(AF93:AL93)+AT93</f>
        <v>11</v>
      </c>
      <c r="AN93" s="90"/>
      <c r="AO93" s="41"/>
      <c r="AP93" s="41"/>
      <c r="AQ93" s="41"/>
      <c r="AR93" s="41">
        <f t="shared" ref="AR93:AR95" si="176">SUM(AN93:AQ93)</f>
        <v>0</v>
      </c>
      <c r="AS93" s="41"/>
      <c r="AT93" s="41"/>
      <c r="AU93" s="41"/>
      <c r="AV93" s="41"/>
      <c r="AW93" s="41"/>
      <c r="AX93" s="41"/>
      <c r="AY93" s="41"/>
      <c r="AZ93" s="41"/>
      <c r="BA93" s="41"/>
      <c r="BB93" s="41"/>
      <c r="BC93" s="41">
        <f t="shared" ref="BC93:BC95" si="177">+AR93+AS93+AU93+AV93+AX93</f>
        <v>0</v>
      </c>
      <c r="BD93" s="54"/>
      <c r="BE93" s="55">
        <v>9</v>
      </c>
      <c r="BF93" s="55"/>
      <c r="BG93" s="54"/>
      <c r="BH93" s="55"/>
    </row>
    <row r="94" spans="1:60" ht="12.95" customHeight="1">
      <c r="A94" s="44"/>
      <c r="B94" s="45"/>
      <c r="C94" s="451"/>
      <c r="D94" s="45"/>
      <c r="E94" s="46"/>
      <c r="F94" s="46"/>
      <c r="G94" s="47"/>
      <c r="H94" s="48"/>
      <c r="I94" s="49"/>
      <c r="J94" s="89"/>
      <c r="K94" s="89"/>
      <c r="L94" s="39"/>
      <c r="M94" s="39"/>
      <c r="N94" s="50"/>
      <c r="O94" s="51"/>
      <c r="P94" s="52"/>
      <c r="Q94" s="51"/>
      <c r="R94" s="507"/>
      <c r="S94" s="507"/>
      <c r="T94" s="41"/>
      <c r="U94" s="41"/>
      <c r="V94" s="41"/>
      <c r="W94" s="41"/>
      <c r="X94" s="42"/>
      <c r="Y94" s="218"/>
      <c r="Z94" s="41"/>
      <c r="AA94" s="41"/>
      <c r="AB94" s="41"/>
      <c r="AC94" s="41"/>
      <c r="AD94" s="41">
        <f t="shared" si="174"/>
        <v>20</v>
      </c>
      <c r="AE94" s="237" t="s">
        <v>457</v>
      </c>
      <c r="AF94" s="37"/>
      <c r="AG94" s="37"/>
      <c r="AH94" s="37">
        <v>20</v>
      </c>
      <c r="AJ94" s="41"/>
      <c r="AK94" s="41"/>
      <c r="AL94" s="41"/>
      <c r="AM94" s="41">
        <f t="shared" si="175"/>
        <v>20</v>
      </c>
      <c r="AN94" s="41"/>
      <c r="AO94" s="41"/>
      <c r="AP94" s="41"/>
      <c r="AQ94" s="41"/>
      <c r="AR94" s="41">
        <f t="shared" si="176"/>
        <v>0</v>
      </c>
      <c r="AS94" s="41"/>
      <c r="AT94" s="41"/>
      <c r="AU94" s="41"/>
      <c r="AV94" s="41"/>
      <c r="AW94" s="41"/>
      <c r="AX94" s="41"/>
      <c r="AY94" s="41"/>
      <c r="AZ94" s="41"/>
      <c r="BA94" s="41"/>
      <c r="BB94" s="41"/>
      <c r="BC94" s="41">
        <f t="shared" si="177"/>
        <v>0</v>
      </c>
      <c r="BD94" s="37"/>
      <c r="BE94" s="510"/>
      <c r="BF94" s="510"/>
      <c r="BG94" s="37"/>
      <c r="BH94" s="510"/>
    </row>
    <row r="95" spans="1:60" ht="12.95" customHeight="1">
      <c r="A95" s="44"/>
      <c r="B95" s="45"/>
      <c r="C95" s="451"/>
      <c r="D95" s="45"/>
      <c r="E95" s="46"/>
      <c r="F95" s="46"/>
      <c r="G95" s="47"/>
      <c r="H95" s="48"/>
      <c r="I95" s="49"/>
      <c r="J95" s="89"/>
      <c r="K95" s="89"/>
      <c r="L95" s="39"/>
      <c r="M95" s="39"/>
      <c r="N95" s="50"/>
      <c r="O95" s="51"/>
      <c r="P95" s="52"/>
      <c r="Q95" s="38"/>
      <c r="R95" s="507"/>
      <c r="S95" s="507"/>
      <c r="T95" s="41"/>
      <c r="U95" s="41"/>
      <c r="V95" s="41"/>
      <c r="W95" s="41"/>
      <c r="X95" s="42"/>
      <c r="Y95" s="218"/>
      <c r="Z95" s="41"/>
      <c r="AA95" s="41"/>
      <c r="AB95" s="41"/>
      <c r="AC95" s="41"/>
      <c r="AD95" s="41">
        <f t="shared" si="174"/>
        <v>14</v>
      </c>
      <c r="AE95" s="240" t="s">
        <v>225</v>
      </c>
      <c r="AF95" s="41"/>
      <c r="AG95" s="41"/>
      <c r="AH95" s="41"/>
      <c r="AI95" s="509">
        <v>14</v>
      </c>
      <c r="AJ95" s="41"/>
      <c r="AK95" s="41"/>
      <c r="AL95" s="41"/>
      <c r="AM95" s="41">
        <f t="shared" si="175"/>
        <v>14</v>
      </c>
      <c r="AN95" s="41"/>
      <c r="AO95" s="41"/>
      <c r="AP95" s="41"/>
      <c r="AQ95" s="41"/>
      <c r="AR95" s="41">
        <f t="shared" si="176"/>
        <v>0</v>
      </c>
      <c r="AS95" s="41"/>
      <c r="AT95" s="41"/>
      <c r="AU95" s="41"/>
      <c r="AV95" s="41"/>
      <c r="AW95" s="41"/>
      <c r="AX95" s="41"/>
      <c r="AY95" s="41"/>
      <c r="AZ95" s="41"/>
      <c r="BA95" s="41"/>
      <c r="BB95" s="41"/>
      <c r="BC95" s="41">
        <f t="shared" si="177"/>
        <v>0</v>
      </c>
      <c r="BD95" s="54"/>
      <c r="BE95" s="55"/>
      <c r="BF95" s="55"/>
      <c r="BG95" s="54"/>
      <c r="BH95" s="55"/>
    </row>
    <row r="96" spans="1:60" ht="12.95" customHeight="1">
      <c r="A96" s="44"/>
      <c r="B96" s="45"/>
      <c r="C96" s="451"/>
      <c r="D96" s="45"/>
      <c r="E96" s="46"/>
      <c r="F96" s="46"/>
      <c r="G96" s="47"/>
      <c r="H96" s="47"/>
      <c r="I96" s="49"/>
      <c r="J96" s="89"/>
      <c r="K96" s="89"/>
      <c r="L96" s="39"/>
      <c r="M96" s="39"/>
      <c r="N96" s="50"/>
      <c r="O96" s="51"/>
      <c r="P96" s="52"/>
      <c r="Q96" s="51"/>
      <c r="R96" s="507"/>
      <c r="S96" s="507"/>
      <c r="T96" s="41"/>
      <c r="U96" s="41"/>
      <c r="V96" s="41"/>
      <c r="W96" s="41"/>
      <c r="X96" s="42"/>
      <c r="Y96" s="218"/>
      <c r="Z96" s="41"/>
      <c r="AA96" s="41"/>
      <c r="AB96" s="41"/>
      <c r="AC96" s="41"/>
      <c r="AD96" s="41"/>
      <c r="AE96" s="237"/>
      <c r="AF96" s="41"/>
      <c r="AG96" s="41"/>
      <c r="AH96" s="41"/>
      <c r="AI96" s="509"/>
      <c r="AJ96" s="41"/>
      <c r="AK96" s="41"/>
      <c r="AL96" s="41"/>
      <c r="AM96" s="41"/>
      <c r="AN96" s="90"/>
      <c r="AO96" s="41"/>
      <c r="AP96" s="41"/>
      <c r="AQ96" s="41"/>
      <c r="AR96" s="41"/>
      <c r="AS96" s="41"/>
      <c r="AT96" s="41"/>
      <c r="AU96" s="41"/>
      <c r="AV96" s="41"/>
      <c r="AW96" s="41"/>
      <c r="AX96" s="41"/>
      <c r="AY96" s="41"/>
      <c r="AZ96" s="41"/>
      <c r="BA96" s="41"/>
      <c r="BB96" s="41"/>
      <c r="BC96" s="41"/>
      <c r="BD96" s="54"/>
      <c r="BE96" s="55"/>
      <c r="BF96" s="55"/>
      <c r="BG96" s="55"/>
      <c r="BH96" s="55"/>
    </row>
    <row r="97" spans="1:60" ht="12.95" customHeight="1">
      <c r="A97" s="44">
        <v>46039</v>
      </c>
      <c r="B97" s="45" t="s">
        <v>417</v>
      </c>
      <c r="C97" s="451">
        <f t="shared" ref="C97:C99" si="178">(M97*E97*O97*Q97)/100000000</f>
        <v>12.732454799999998</v>
      </c>
      <c r="D97" s="45" t="s">
        <v>430</v>
      </c>
      <c r="E97" s="46">
        <v>15</v>
      </c>
      <c r="F97" s="46">
        <v>1</v>
      </c>
      <c r="G97" s="506">
        <f>+L97</f>
        <v>1170</v>
      </c>
      <c r="H97" s="48">
        <f t="shared" ref="H97:H99" si="179">+N97</f>
        <v>0.19999999999999996</v>
      </c>
      <c r="I97" s="49">
        <v>0.88</v>
      </c>
      <c r="J97" s="89">
        <f t="shared" ref="J97:J99" si="180">E97*G97*(1-H97)*1440/1000000*2.75</f>
        <v>55.598400000000005</v>
      </c>
      <c r="K97" s="89">
        <f t="shared" ref="K97:K99" si="181">(IF(G97&lt;L97,L97,G97)*(1-IF(H97&lt;N97,H97,N97))*E97*O97*Q97)/100000000</f>
        <v>12.732454799999998</v>
      </c>
      <c r="L97" s="39">
        <v>1170</v>
      </c>
      <c r="M97" s="39">
        <v>936</v>
      </c>
      <c r="N97" s="50">
        <f t="shared" ref="N97:N99" si="182">1-(M97/L97)</f>
        <v>0.19999999999999996</v>
      </c>
      <c r="O97" s="51">
        <f>+'Trim Rwd'!H53</f>
        <v>272.33333333333331</v>
      </c>
      <c r="P97" s="52">
        <f t="shared" ref="P97:P99" si="183">O97*(Q97-R97-S97)</f>
        <v>87963.666666666657</v>
      </c>
      <c r="Q97" s="51">
        <v>333</v>
      </c>
      <c r="R97" s="507">
        <v>0</v>
      </c>
      <c r="S97" s="507">
        <v>10</v>
      </c>
      <c r="T97" s="41">
        <f t="shared" ref="T97:T99" si="184">E97*M97*O97*Q97/100000000</f>
        <v>12.732454799999998</v>
      </c>
      <c r="U97" s="41">
        <f t="shared" ref="U97:U99" si="185">E97*M97*O97*(Q97-R97-S97)/100000000</f>
        <v>12.350098799999998</v>
      </c>
      <c r="V97" s="41">
        <f t="shared" ref="V97:V99" si="186">E97*G97*(1-N97)*O97/100*(R97+S97)/1000000</f>
        <v>0.38235599999999997</v>
      </c>
      <c r="W97" s="41">
        <f>+'17'!K16/1000</f>
        <v>17.858000000000001</v>
      </c>
      <c r="X97" s="508">
        <f>SUM(W97:W100)/SUM(K97:K100)</f>
        <v>0.9300051344179695</v>
      </c>
      <c r="Y97" s="218">
        <v>0</v>
      </c>
      <c r="Z97" s="41">
        <v>0</v>
      </c>
      <c r="AA97" s="53">
        <f>SUM(U97:U100)-SUM(W97:W100)-SUM(Z97:Z100)-SUM(Y97:Y100)</f>
        <v>-2.2998222269951754</v>
      </c>
      <c r="AB97" s="53">
        <f>(SUM(K97:K100)-SUM(W97:W100)-SUM(Y97:Y100)-SUM(Z97:Z100)-SUM(AC97:AC100)-SUM(V97:V100))-AA97</f>
        <v>0.12727680107468586</v>
      </c>
      <c r="AC97" s="41">
        <f>K97-T97</f>
        <v>0</v>
      </c>
      <c r="AD97" s="41">
        <f>+AM97+BC97</f>
        <v>4</v>
      </c>
      <c r="AE97" s="237" t="s">
        <v>394</v>
      </c>
      <c r="AF97" s="41">
        <v>4</v>
      </c>
      <c r="AG97" s="41"/>
      <c r="AH97" s="41"/>
      <c r="AI97" s="509"/>
      <c r="AJ97" s="41"/>
      <c r="AK97" s="41"/>
      <c r="AL97" s="41"/>
      <c r="AM97" s="41">
        <f>SUM(AF97:AL97)+AT97</f>
        <v>4</v>
      </c>
      <c r="AN97" s="41"/>
      <c r="AO97" s="41"/>
      <c r="AP97" s="41"/>
      <c r="AQ97" s="41"/>
      <c r="AR97" s="41">
        <f>SUM(AN97:AQ97)</f>
        <v>0</v>
      </c>
      <c r="AS97" s="41"/>
      <c r="AT97" s="41"/>
      <c r="AU97" s="41"/>
      <c r="AV97" s="41"/>
      <c r="AW97" s="41"/>
      <c r="AX97" s="41"/>
      <c r="AY97" s="41"/>
      <c r="AZ97" s="41"/>
      <c r="BA97" s="41"/>
      <c r="BB97" s="41"/>
      <c r="BC97" s="41">
        <f>+AR97+AS97+AU97+AV97+AX97</f>
        <v>0</v>
      </c>
      <c r="BD97" s="37">
        <v>2</v>
      </c>
      <c r="BE97" s="55"/>
      <c r="BF97" s="55"/>
      <c r="BG97" s="37"/>
      <c r="BH97" s="55"/>
    </row>
    <row r="98" spans="1:60" ht="12.95" customHeight="1">
      <c r="A98" s="44"/>
      <c r="B98" s="45" t="s">
        <v>417</v>
      </c>
      <c r="C98" s="451">
        <f t="shared" si="178"/>
        <v>20.146567108695653</v>
      </c>
      <c r="D98" s="45" t="s">
        <v>430</v>
      </c>
      <c r="E98" s="46">
        <v>18</v>
      </c>
      <c r="F98" s="46">
        <v>1</v>
      </c>
      <c r="G98" s="506">
        <v>930</v>
      </c>
      <c r="H98" s="48">
        <f t="shared" si="179"/>
        <v>0.16928953399541635</v>
      </c>
      <c r="I98" s="49">
        <v>0.88</v>
      </c>
      <c r="J98" s="89">
        <f t="shared" si="180"/>
        <v>55.068129075630246</v>
      </c>
      <c r="K98" s="89">
        <f t="shared" si="181"/>
        <v>20.146567108695653</v>
      </c>
      <c r="L98" s="39">
        <v>948.55072463768113</v>
      </c>
      <c r="M98" s="39">
        <v>787.97101449275362</v>
      </c>
      <c r="N98" s="50">
        <f t="shared" si="182"/>
        <v>0.16928953399541635</v>
      </c>
      <c r="O98" s="51">
        <f>+'Trim Rwd'!H55</f>
        <v>267.5</v>
      </c>
      <c r="P98" s="52">
        <f t="shared" si="183"/>
        <v>106732.5</v>
      </c>
      <c r="Q98" s="51">
        <f>414+117</f>
        <v>531</v>
      </c>
      <c r="R98" s="507">
        <v>117</v>
      </c>
      <c r="S98" s="507">
        <v>15</v>
      </c>
      <c r="T98" s="41">
        <f t="shared" si="184"/>
        <v>20.146567108695653</v>
      </c>
      <c r="U98" s="41">
        <f t="shared" si="185"/>
        <v>15.13838093478261</v>
      </c>
      <c r="V98" s="41">
        <f t="shared" si="186"/>
        <v>4.910241509243698</v>
      </c>
      <c r="W98" s="41">
        <f>+'17'!K19/1000</f>
        <v>32.713000000000001</v>
      </c>
      <c r="X98" s="42"/>
      <c r="Y98" s="218"/>
      <c r="Z98" s="41"/>
      <c r="AA98" s="41"/>
      <c r="AB98" s="41"/>
      <c r="AC98" s="41">
        <f>K98-T98</f>
        <v>0</v>
      </c>
      <c r="AD98" s="41">
        <f t="shared" ref="AD98:AD101" si="187">+AM98+BC98</f>
        <v>14</v>
      </c>
      <c r="AE98" s="237" t="s">
        <v>438</v>
      </c>
      <c r="AF98" s="41"/>
      <c r="AG98" s="41">
        <v>14</v>
      </c>
      <c r="AH98" s="41"/>
      <c r="AI98" s="509"/>
      <c r="AJ98" s="41"/>
      <c r="AK98" s="41"/>
      <c r="AL98" s="41"/>
      <c r="AM98" s="41">
        <f t="shared" ref="AM98:AM100" si="188">SUM(AF98:AL98)+AT98</f>
        <v>14</v>
      </c>
      <c r="AN98" s="90"/>
      <c r="AO98" s="41"/>
      <c r="AP98" s="41"/>
      <c r="AQ98" s="41"/>
      <c r="AR98" s="41">
        <f t="shared" ref="AR98:AR101" si="189">SUM(AN98:AQ98)</f>
        <v>0</v>
      </c>
      <c r="AS98" s="41"/>
      <c r="AT98" s="41"/>
      <c r="AU98" s="41"/>
      <c r="AV98" s="41"/>
      <c r="AW98" s="41"/>
      <c r="AX98" s="41"/>
      <c r="AY98" s="41"/>
      <c r="AZ98" s="41"/>
      <c r="BA98" s="41"/>
      <c r="BB98" s="41"/>
      <c r="BC98" s="41">
        <f t="shared" ref="BC98:BC101" si="190">+AR98+AS98+AU98+AV98+AX98</f>
        <v>0</v>
      </c>
      <c r="BD98" s="54"/>
      <c r="BE98" s="55">
        <v>8</v>
      </c>
      <c r="BF98" s="55"/>
      <c r="BG98" s="54"/>
      <c r="BH98" s="55"/>
    </row>
    <row r="99" spans="1:60" ht="12.95" customHeight="1">
      <c r="A99" s="44"/>
      <c r="B99" s="45" t="s">
        <v>417</v>
      </c>
      <c r="C99" s="451">
        <f t="shared" si="178"/>
        <v>22.378737535999999</v>
      </c>
      <c r="D99" s="45" t="s">
        <v>430</v>
      </c>
      <c r="E99" s="46">
        <v>16</v>
      </c>
      <c r="F99" s="46">
        <v>1</v>
      </c>
      <c r="G99" s="506">
        <v>1040</v>
      </c>
      <c r="H99" s="48">
        <f t="shared" si="179"/>
        <v>0.16167282423619367</v>
      </c>
      <c r="I99" s="49">
        <v>0.88</v>
      </c>
      <c r="J99" s="89">
        <f t="shared" si="180"/>
        <v>55.241066250650569</v>
      </c>
      <c r="K99" s="89">
        <f t="shared" si="181"/>
        <v>22.378737535999999</v>
      </c>
      <c r="L99" s="39">
        <v>1080.7986111111111</v>
      </c>
      <c r="M99" s="39">
        <v>906.06284722222222</v>
      </c>
      <c r="N99" s="50">
        <f t="shared" si="182"/>
        <v>0.16167282423619367</v>
      </c>
      <c r="O99" s="51">
        <f>+'Trim Rwd'!H56</f>
        <v>268</v>
      </c>
      <c r="P99" s="52">
        <f t="shared" si="183"/>
        <v>149008</v>
      </c>
      <c r="Q99" s="51">
        <v>576</v>
      </c>
      <c r="R99" s="507">
        <v>0</v>
      </c>
      <c r="S99" s="507">
        <v>20</v>
      </c>
      <c r="T99" s="41">
        <f t="shared" si="184"/>
        <v>22.378737535999999</v>
      </c>
      <c r="U99" s="41">
        <f t="shared" si="185"/>
        <v>21.601698038222221</v>
      </c>
      <c r="V99" s="41">
        <f t="shared" si="186"/>
        <v>0.74770736137244198</v>
      </c>
      <c r="W99" s="41">
        <f>+'17'!K18/1000</f>
        <v>0.81899999999999995</v>
      </c>
      <c r="X99" s="42"/>
      <c r="Y99" s="218"/>
      <c r="Z99" s="41"/>
      <c r="AA99" s="41"/>
      <c r="AB99" s="41"/>
      <c r="AC99" s="41"/>
      <c r="AD99" s="41">
        <f t="shared" si="187"/>
        <v>19</v>
      </c>
      <c r="AE99" s="237" t="s">
        <v>457</v>
      </c>
      <c r="AF99" s="37"/>
      <c r="AG99" s="37"/>
      <c r="AH99" s="37">
        <v>19</v>
      </c>
      <c r="AJ99" s="41"/>
      <c r="AK99" s="41"/>
      <c r="AL99" s="41"/>
      <c r="AM99" s="41">
        <f t="shared" si="188"/>
        <v>19</v>
      </c>
      <c r="AN99" s="41"/>
      <c r="AO99" s="41"/>
      <c r="AP99" s="41"/>
      <c r="AQ99" s="41"/>
      <c r="AR99" s="41">
        <f t="shared" si="189"/>
        <v>0</v>
      </c>
      <c r="AS99" s="41"/>
      <c r="AT99" s="41"/>
      <c r="AU99" s="41"/>
      <c r="AV99" s="41"/>
      <c r="AW99" s="41"/>
      <c r="AX99" s="41"/>
      <c r="AY99" s="41"/>
      <c r="AZ99" s="41"/>
      <c r="BA99" s="41"/>
      <c r="BB99" s="41"/>
      <c r="BC99" s="41">
        <f t="shared" si="190"/>
        <v>0</v>
      </c>
      <c r="BD99" s="37"/>
      <c r="BE99" s="510"/>
      <c r="BF99" s="510"/>
      <c r="BG99" s="37"/>
      <c r="BH99" s="510"/>
    </row>
    <row r="100" spans="1:60" ht="12.95" customHeight="1">
      <c r="A100" s="44"/>
      <c r="B100" s="45"/>
      <c r="C100" s="451"/>
      <c r="D100" s="45"/>
      <c r="E100" s="46"/>
      <c r="F100" s="46"/>
      <c r="G100" s="47"/>
      <c r="H100" s="48"/>
      <c r="I100" s="49"/>
      <c r="J100" s="89"/>
      <c r="K100" s="89"/>
      <c r="L100" s="39"/>
      <c r="M100" s="39"/>
      <c r="N100" s="50"/>
      <c r="O100" s="51"/>
      <c r="P100" s="52"/>
      <c r="Q100" s="38"/>
      <c r="R100" s="507"/>
      <c r="S100" s="507"/>
      <c r="T100" s="41"/>
      <c r="U100" s="41"/>
      <c r="V100" s="41"/>
      <c r="W100" s="41"/>
      <c r="X100" s="42"/>
      <c r="Y100" s="218"/>
      <c r="Z100" s="41"/>
      <c r="AA100" s="41"/>
      <c r="AB100" s="41"/>
      <c r="AC100" s="41"/>
      <c r="AD100" s="41">
        <f t="shared" si="187"/>
        <v>8</v>
      </c>
      <c r="AE100" s="240" t="s">
        <v>225</v>
      </c>
      <c r="AF100" s="41"/>
      <c r="AG100" s="41"/>
      <c r="AH100" s="41"/>
      <c r="AI100" s="509">
        <v>8</v>
      </c>
      <c r="AJ100" s="41"/>
      <c r="AK100" s="41"/>
      <c r="AL100" s="41"/>
      <c r="AM100" s="41">
        <f t="shared" si="188"/>
        <v>8</v>
      </c>
      <c r="AN100" s="41"/>
      <c r="AO100" s="41"/>
      <c r="AP100" s="41"/>
      <c r="AQ100" s="41"/>
      <c r="AR100" s="41">
        <f t="shared" si="189"/>
        <v>0</v>
      </c>
      <c r="AS100" s="41"/>
      <c r="AT100" s="41"/>
      <c r="AU100" s="41"/>
      <c r="AV100" s="41"/>
      <c r="AW100" s="41"/>
      <c r="AX100" s="41"/>
      <c r="AY100" s="41"/>
      <c r="AZ100" s="41"/>
      <c r="BA100" s="41"/>
      <c r="BB100" s="41"/>
      <c r="BC100" s="41">
        <f t="shared" si="190"/>
        <v>0</v>
      </c>
      <c r="BD100" s="54"/>
      <c r="BE100" s="55"/>
      <c r="BF100" s="55"/>
      <c r="BG100" s="54"/>
      <c r="BH100" s="55"/>
    </row>
    <row r="101" spans="1:60" ht="12.95" customHeight="1">
      <c r="A101" s="44"/>
      <c r="B101" s="45"/>
      <c r="C101" s="451"/>
      <c r="D101" s="45"/>
      <c r="E101" s="46"/>
      <c r="F101" s="46"/>
      <c r="G101" s="47"/>
      <c r="H101" s="48"/>
      <c r="I101" s="49"/>
      <c r="J101" s="89"/>
      <c r="K101" s="89"/>
      <c r="L101" s="39"/>
      <c r="M101" s="39"/>
      <c r="N101" s="50"/>
      <c r="O101" s="51"/>
      <c r="P101" s="52"/>
      <c r="Q101" s="38"/>
      <c r="R101" s="507"/>
      <c r="S101" s="507"/>
      <c r="T101" s="41"/>
      <c r="U101" s="41"/>
      <c r="V101" s="41"/>
      <c r="W101" s="41"/>
      <c r="X101" s="42"/>
      <c r="Y101" s="218"/>
      <c r="Z101" s="41"/>
      <c r="AA101" s="41"/>
      <c r="AB101" s="41"/>
      <c r="AC101" s="41"/>
      <c r="AD101" s="41">
        <f t="shared" si="187"/>
        <v>117</v>
      </c>
      <c r="AE101" s="240" t="s">
        <v>673</v>
      </c>
      <c r="AF101" s="41"/>
      <c r="AG101" s="41"/>
      <c r="AH101" s="41"/>
      <c r="AI101" s="509"/>
      <c r="AJ101" s="41"/>
      <c r="AK101" s="41"/>
      <c r="AL101" s="41"/>
      <c r="AM101" s="41">
        <f t="shared" ref="AM101" si="191">SUM(AF101:AL101)+AT101</f>
        <v>0</v>
      </c>
      <c r="AN101" s="41"/>
      <c r="AO101" s="41"/>
      <c r="AP101" s="41">
        <v>117</v>
      </c>
      <c r="AQ101" s="41"/>
      <c r="AR101" s="41">
        <f t="shared" si="189"/>
        <v>117</v>
      </c>
      <c r="AS101" s="41"/>
      <c r="AT101" s="41"/>
      <c r="AU101" s="41"/>
      <c r="AV101" s="41"/>
      <c r="AW101" s="41"/>
      <c r="AX101" s="41"/>
      <c r="AY101" s="41"/>
      <c r="AZ101" s="41"/>
      <c r="BA101" s="41"/>
      <c r="BB101" s="41"/>
      <c r="BC101" s="41">
        <f t="shared" si="190"/>
        <v>117</v>
      </c>
      <c r="BD101" s="54"/>
      <c r="BE101" s="55"/>
      <c r="BF101" s="55"/>
      <c r="BG101" s="54"/>
      <c r="BH101" s="55"/>
    </row>
    <row r="102" spans="1:60" ht="12.95" customHeight="1">
      <c r="A102" s="44"/>
      <c r="B102" s="45"/>
      <c r="C102" s="451"/>
      <c r="D102" s="45"/>
      <c r="E102" s="46"/>
      <c r="F102" s="46"/>
      <c r="G102" s="47"/>
      <c r="H102" s="47"/>
      <c r="I102" s="49"/>
      <c r="J102" s="89"/>
      <c r="K102" s="89"/>
      <c r="L102" s="39"/>
      <c r="M102" s="39"/>
      <c r="N102" s="50"/>
      <c r="O102" s="51"/>
      <c r="P102" s="52"/>
      <c r="Q102" s="51"/>
      <c r="R102" s="507"/>
      <c r="S102" s="507"/>
      <c r="T102" s="41"/>
      <c r="U102" s="41"/>
      <c r="V102" s="41"/>
      <c r="W102" s="41"/>
      <c r="X102" s="508"/>
      <c r="Y102" s="218"/>
      <c r="Z102" s="41"/>
      <c r="AA102" s="53"/>
      <c r="AB102" s="53"/>
      <c r="AC102" s="41"/>
      <c r="AD102" s="41"/>
      <c r="AE102" s="237"/>
      <c r="AF102" s="41"/>
      <c r="AG102" s="41"/>
      <c r="AH102" s="41"/>
      <c r="AI102" s="509"/>
      <c r="AJ102" s="41"/>
      <c r="AK102" s="41"/>
      <c r="AL102" s="41"/>
      <c r="AM102" s="41"/>
      <c r="AN102" s="41"/>
      <c r="AO102" s="41"/>
      <c r="AP102" s="41"/>
      <c r="AQ102" s="41"/>
      <c r="AR102" s="41"/>
      <c r="AS102" s="41"/>
      <c r="AT102" s="41"/>
      <c r="AU102" s="41"/>
      <c r="AV102" s="41"/>
      <c r="AW102" s="41"/>
      <c r="AX102" s="41"/>
      <c r="AY102" s="41"/>
      <c r="AZ102" s="41"/>
      <c r="BA102" s="41"/>
      <c r="BB102" s="41"/>
      <c r="BC102" s="41"/>
      <c r="BD102" s="37"/>
      <c r="BE102" s="55"/>
      <c r="BF102" s="55"/>
      <c r="BG102" s="55"/>
      <c r="BH102" s="55"/>
    </row>
    <row r="103" spans="1:60" ht="12.95" customHeight="1">
      <c r="A103" s="44">
        <v>46040</v>
      </c>
      <c r="B103" s="45" t="s">
        <v>417</v>
      </c>
      <c r="C103" s="451">
        <f t="shared" ref="C103:C105" si="192">(M103*E103*O103*Q103)/100000000</f>
        <v>13.2910848</v>
      </c>
      <c r="D103" s="45" t="s">
        <v>430</v>
      </c>
      <c r="E103" s="46">
        <v>16</v>
      </c>
      <c r="F103" s="46">
        <v>1</v>
      </c>
      <c r="G103" s="506">
        <v>1060</v>
      </c>
      <c r="H103" s="48">
        <f t="shared" ref="H103:H105" si="193">+N103</f>
        <v>0.17999999999999994</v>
      </c>
      <c r="I103" s="49">
        <v>0.88</v>
      </c>
      <c r="J103" s="89">
        <f t="shared" ref="J103:J105" si="194">E103*G103*(1-H103)*1440/1000000*2.75</f>
        <v>55.072512000000003</v>
      </c>
      <c r="K103" s="89">
        <f t="shared" ref="K103:K105" si="195">(IF(G103&lt;L103,L103,G103)*(1-IF(H103&lt;N103,H103,N103))*E103*O103*Q103)/100000000</f>
        <v>13.2910848</v>
      </c>
      <c r="L103" s="39">
        <v>1080</v>
      </c>
      <c r="M103" s="39">
        <v>885.6</v>
      </c>
      <c r="N103" s="50">
        <f t="shared" ref="N103:N105" si="196">1-(M103/L103)</f>
        <v>0.17999999999999994</v>
      </c>
      <c r="O103" s="51">
        <f>+'Trim Rwd'!H58</f>
        <v>268</v>
      </c>
      <c r="P103" s="52">
        <f t="shared" ref="P103:P105" si="197">O103*(Q103-R103-S103)</f>
        <v>89780</v>
      </c>
      <c r="Q103" s="51">
        <v>350</v>
      </c>
      <c r="R103" s="507">
        <v>0</v>
      </c>
      <c r="S103" s="507">
        <v>15</v>
      </c>
      <c r="T103" s="41">
        <f t="shared" ref="T103:T105" si="198">E103*M103*O103*Q103/100000000</f>
        <v>13.2910848</v>
      </c>
      <c r="U103" s="41">
        <f t="shared" ref="U103:U105" si="199">E103*M103*O103*(Q103-R103-S103)/100000000</f>
        <v>12.721466879999999</v>
      </c>
      <c r="V103" s="41">
        <f t="shared" ref="V103:V105" si="200">E103*G103*(1-N103)*O103/100*(R103+S103)/1000000</f>
        <v>0.55906944000000003</v>
      </c>
      <c r="W103" s="41">
        <f>+'18'!K18/1000</f>
        <v>17.131</v>
      </c>
      <c r="X103" s="508">
        <f>SUM(W103:W106)/SUM(K103:K106)</f>
        <v>0.93143981179529367</v>
      </c>
      <c r="Y103" s="218">
        <v>0</v>
      </c>
      <c r="Z103" s="41">
        <v>0</v>
      </c>
      <c r="AA103" s="53">
        <f>SUM(U103:U106)-SUM(W103:W106)-SUM(Z103:Z106)-SUM(Y103:Y106)</f>
        <v>1.3039187520000013</v>
      </c>
      <c r="AB103" s="53">
        <f>(SUM(K103:K106)-SUM(W103:W106)-SUM(Y103:Y106)-SUM(Z103:Z106)-SUM(AC103:AC106)-SUM(V103:V106))-AA103</f>
        <v>6.2292480000003536E-2</v>
      </c>
      <c r="AC103" s="41">
        <f>K103-T103</f>
        <v>0</v>
      </c>
      <c r="AD103" s="41">
        <f>+AM103+BC103</f>
        <v>0</v>
      </c>
      <c r="AE103" s="237" t="s">
        <v>386</v>
      </c>
      <c r="AF103" s="41">
        <v>0</v>
      </c>
      <c r="AG103" s="41"/>
      <c r="AH103" s="41"/>
      <c r="AI103" s="509"/>
      <c r="AJ103" s="41"/>
      <c r="AK103" s="41"/>
      <c r="AL103" s="41"/>
      <c r="AM103" s="41">
        <f>SUM(AF103:AL103)+AT103</f>
        <v>0</v>
      </c>
      <c r="AN103" s="41"/>
      <c r="AO103" s="41"/>
      <c r="AP103" s="41"/>
      <c r="AQ103" s="41"/>
      <c r="AR103" s="41">
        <f>SUM(AN103:AQ103)</f>
        <v>0</v>
      </c>
      <c r="AS103" s="41"/>
      <c r="AT103" s="41"/>
      <c r="AU103" s="41"/>
      <c r="AV103" s="41"/>
      <c r="AW103" s="41"/>
      <c r="AX103" s="41"/>
      <c r="AY103" s="41"/>
      <c r="AZ103" s="41"/>
      <c r="BA103" s="41"/>
      <c r="BB103" s="41"/>
      <c r="BC103" s="41">
        <f>+AR103+AS103+AU103+AV103+AX103</f>
        <v>0</v>
      </c>
      <c r="BD103" s="37">
        <v>0</v>
      </c>
      <c r="BE103" s="55"/>
      <c r="BF103" s="55"/>
      <c r="BG103" s="37"/>
      <c r="BH103" s="55"/>
    </row>
    <row r="104" spans="1:60" ht="12.95" customHeight="1">
      <c r="A104" s="44"/>
      <c r="B104" s="45" t="s">
        <v>417</v>
      </c>
      <c r="C104" s="451">
        <f t="shared" si="192"/>
        <v>13.600047999999999</v>
      </c>
      <c r="D104" s="45" t="s">
        <v>430</v>
      </c>
      <c r="E104" s="46">
        <v>20</v>
      </c>
      <c r="F104" s="46">
        <v>1</v>
      </c>
      <c r="G104" s="506">
        <v>870</v>
      </c>
      <c r="H104" s="48">
        <f t="shared" si="193"/>
        <v>0.19999999999999996</v>
      </c>
      <c r="I104" s="49">
        <v>0.88</v>
      </c>
      <c r="J104" s="89">
        <f t="shared" si="194"/>
        <v>55.123199999999997</v>
      </c>
      <c r="K104" s="89">
        <f t="shared" si="195"/>
        <v>13.600047999999999</v>
      </c>
      <c r="L104" s="39">
        <v>950</v>
      </c>
      <c r="M104" s="39">
        <v>760</v>
      </c>
      <c r="N104" s="50">
        <f t="shared" si="196"/>
        <v>0.19999999999999996</v>
      </c>
      <c r="O104" s="51">
        <f>+'Trim Rwd'!H59</f>
        <v>269.5</v>
      </c>
      <c r="P104" s="52">
        <f t="shared" si="197"/>
        <v>85431.5</v>
      </c>
      <c r="Q104" s="51">
        <v>332</v>
      </c>
      <c r="R104" s="507">
        <v>0</v>
      </c>
      <c r="S104" s="507">
        <v>15</v>
      </c>
      <c r="T104" s="41">
        <f t="shared" si="198"/>
        <v>13.600047999999999</v>
      </c>
      <c r="U104" s="41">
        <f t="shared" si="199"/>
        <v>12.985588</v>
      </c>
      <c r="V104" s="41">
        <f t="shared" si="200"/>
        <v>0.56271599999999999</v>
      </c>
      <c r="W104" s="41">
        <f>+'18'!K20/1000</f>
        <v>12.647</v>
      </c>
      <c r="X104" s="42"/>
      <c r="Y104" s="218"/>
      <c r="Z104" s="41"/>
      <c r="AA104" s="41"/>
      <c r="AB104" s="41"/>
      <c r="AC104" s="41">
        <f>K104-T104</f>
        <v>0</v>
      </c>
      <c r="AD104" s="41">
        <f t="shared" ref="AD104:AD106" si="201">+AM104+BC104</f>
        <v>8</v>
      </c>
      <c r="AE104" s="237" t="s">
        <v>438</v>
      </c>
      <c r="AF104" s="41"/>
      <c r="AG104" s="41">
        <v>8</v>
      </c>
      <c r="AH104" s="41"/>
      <c r="AI104" s="509"/>
      <c r="AJ104" s="41"/>
      <c r="AK104" s="41"/>
      <c r="AL104" s="41"/>
      <c r="AM104" s="41">
        <f t="shared" ref="AM104:AM106" si="202">SUM(AF104:AL104)+AT104</f>
        <v>8</v>
      </c>
      <c r="AN104" s="90"/>
      <c r="AO104" s="41"/>
      <c r="AP104" s="41"/>
      <c r="AQ104" s="41"/>
      <c r="AR104" s="41">
        <f t="shared" ref="AR104:AR106" si="203">SUM(AN104:AQ104)</f>
        <v>0</v>
      </c>
      <c r="AS104" s="41"/>
      <c r="AT104" s="41"/>
      <c r="AU104" s="41"/>
      <c r="AV104" s="41"/>
      <c r="AW104" s="41"/>
      <c r="AX104" s="41"/>
      <c r="AY104" s="41"/>
      <c r="AZ104" s="41"/>
      <c r="BA104" s="41"/>
      <c r="BB104" s="41"/>
      <c r="BC104" s="41">
        <f t="shared" ref="BC104:BC106" si="204">+AR104+AS104+AU104+AV104+AX104</f>
        <v>0</v>
      </c>
      <c r="BD104" s="54"/>
      <c r="BE104" s="55">
        <v>8</v>
      </c>
      <c r="BF104" s="55"/>
      <c r="BG104" s="54"/>
      <c r="BH104" s="55"/>
    </row>
    <row r="105" spans="1:60" ht="12.95" customHeight="1">
      <c r="A105" s="44"/>
      <c r="B105" s="45" t="s">
        <v>417</v>
      </c>
      <c r="C105" s="451">
        <f t="shared" si="192"/>
        <v>27.181067424000002</v>
      </c>
      <c r="D105" s="45" t="s">
        <v>430</v>
      </c>
      <c r="E105" s="46">
        <v>14</v>
      </c>
      <c r="F105" s="46">
        <v>1</v>
      </c>
      <c r="G105" s="506">
        <f>+L105</f>
        <v>1140</v>
      </c>
      <c r="H105" s="48">
        <f t="shared" si="193"/>
        <v>0.18000000000000005</v>
      </c>
      <c r="I105" s="49">
        <v>0.88</v>
      </c>
      <c r="J105" s="89">
        <f t="shared" si="194"/>
        <v>51.825311999999997</v>
      </c>
      <c r="K105" s="89">
        <f t="shared" si="195"/>
        <v>27.181067424000002</v>
      </c>
      <c r="L105" s="39">
        <v>1140</v>
      </c>
      <c r="M105" s="39">
        <v>934.8</v>
      </c>
      <c r="N105" s="50">
        <f t="shared" si="196"/>
        <v>0.18000000000000005</v>
      </c>
      <c r="O105" s="51">
        <f>+'Trim Rwd'!H60</f>
        <v>274</v>
      </c>
      <c r="P105" s="52">
        <f t="shared" si="197"/>
        <v>198376</v>
      </c>
      <c r="Q105" s="51">
        <v>758</v>
      </c>
      <c r="R105" s="507">
        <v>0</v>
      </c>
      <c r="S105" s="507">
        <v>34</v>
      </c>
      <c r="T105" s="41">
        <f t="shared" si="198"/>
        <v>27.181067424000002</v>
      </c>
      <c r="U105" s="41">
        <f t="shared" si="199"/>
        <v>25.961863871999999</v>
      </c>
      <c r="V105" s="41">
        <f t="shared" si="200"/>
        <v>1.219203552</v>
      </c>
      <c r="W105" s="41">
        <f>+'18'!K17/1000</f>
        <v>20.587</v>
      </c>
      <c r="X105" s="42"/>
      <c r="Y105" s="218"/>
      <c r="Z105" s="41"/>
      <c r="AA105" s="41"/>
      <c r="AB105" s="41"/>
      <c r="AC105" s="41">
        <f>K105-T105</f>
        <v>0</v>
      </c>
      <c r="AD105" s="41">
        <f t="shared" si="201"/>
        <v>31</v>
      </c>
      <c r="AE105" s="237" t="s">
        <v>674</v>
      </c>
      <c r="AF105" s="37"/>
      <c r="AG105" s="37"/>
      <c r="AH105" s="37">
        <v>31</v>
      </c>
      <c r="AJ105" s="41"/>
      <c r="AK105" s="41"/>
      <c r="AL105" s="41"/>
      <c r="AM105" s="41">
        <f t="shared" si="202"/>
        <v>31</v>
      </c>
      <c r="AN105" s="41"/>
      <c r="AO105" s="41"/>
      <c r="AP105" s="41"/>
      <c r="AQ105" s="41"/>
      <c r="AR105" s="41">
        <f t="shared" si="203"/>
        <v>0</v>
      </c>
      <c r="AS105" s="41"/>
      <c r="AT105" s="41"/>
      <c r="AU105" s="41"/>
      <c r="AV105" s="41"/>
      <c r="AW105" s="41"/>
      <c r="AX105" s="41"/>
      <c r="AY105" s="41"/>
      <c r="AZ105" s="41"/>
      <c r="BA105" s="41"/>
      <c r="BB105" s="41"/>
      <c r="BC105" s="41">
        <f t="shared" si="204"/>
        <v>0</v>
      </c>
      <c r="BD105" s="37"/>
      <c r="BE105" s="510"/>
      <c r="BF105" s="510"/>
      <c r="BG105" s="37"/>
      <c r="BH105" s="510"/>
    </row>
    <row r="106" spans="1:60" ht="12.95" customHeight="1">
      <c r="A106" s="44"/>
      <c r="B106" s="45"/>
      <c r="C106" s="451"/>
      <c r="D106" s="45"/>
      <c r="E106" s="46"/>
      <c r="F106" s="46"/>
      <c r="G106" s="47"/>
      <c r="H106" s="48"/>
      <c r="I106" s="49"/>
      <c r="J106" s="89"/>
      <c r="K106" s="89"/>
      <c r="L106" s="39"/>
      <c r="M106" s="39"/>
      <c r="N106" s="50"/>
      <c r="O106" s="51"/>
      <c r="P106" s="52"/>
      <c r="Q106" s="38"/>
      <c r="R106" s="507"/>
      <c r="S106" s="507"/>
      <c r="T106" s="41"/>
      <c r="U106" s="41"/>
      <c r="V106" s="41"/>
      <c r="W106" s="41"/>
      <c r="X106" s="42"/>
      <c r="Y106" s="218"/>
      <c r="Z106" s="41"/>
      <c r="AA106" s="41"/>
      <c r="AB106" s="41"/>
      <c r="AC106" s="41"/>
      <c r="AD106" s="41">
        <f t="shared" si="201"/>
        <v>25</v>
      </c>
      <c r="AE106" s="240" t="s">
        <v>225</v>
      </c>
      <c r="AF106" s="41"/>
      <c r="AG106" s="41"/>
      <c r="AH106" s="41"/>
      <c r="AI106" s="509">
        <v>25</v>
      </c>
      <c r="AJ106" s="41"/>
      <c r="AK106" s="41"/>
      <c r="AL106" s="41"/>
      <c r="AM106" s="41">
        <f t="shared" si="202"/>
        <v>25</v>
      </c>
      <c r="AN106" s="41"/>
      <c r="AO106" s="41"/>
      <c r="AP106" s="41"/>
      <c r="AQ106" s="41"/>
      <c r="AR106" s="41">
        <f t="shared" si="203"/>
        <v>0</v>
      </c>
      <c r="AS106" s="41"/>
      <c r="AT106" s="41"/>
      <c r="AU106" s="41"/>
      <c r="AV106" s="41"/>
      <c r="AW106" s="41"/>
      <c r="AX106" s="41"/>
      <c r="AY106" s="41"/>
      <c r="AZ106" s="41"/>
      <c r="BA106" s="41"/>
      <c r="BB106" s="41"/>
      <c r="BC106" s="41">
        <f t="shared" si="204"/>
        <v>0</v>
      </c>
      <c r="BD106" s="54"/>
      <c r="BE106" s="55"/>
      <c r="BF106" s="55"/>
      <c r="BG106" s="54"/>
      <c r="BH106" s="55"/>
    </row>
    <row r="107" spans="1:60" ht="12.95" customHeight="1">
      <c r="A107" s="44"/>
      <c r="B107" s="45"/>
      <c r="C107" s="451"/>
      <c r="D107" s="45"/>
      <c r="E107" s="46"/>
      <c r="F107" s="46"/>
      <c r="G107" s="47"/>
      <c r="H107" s="47"/>
      <c r="I107" s="49"/>
      <c r="J107" s="89"/>
      <c r="K107" s="89"/>
      <c r="L107" s="39"/>
      <c r="M107" s="39"/>
      <c r="N107" s="50"/>
      <c r="O107" s="51"/>
      <c r="P107" s="52"/>
      <c r="Q107" s="51"/>
      <c r="R107" s="507"/>
      <c r="S107" s="507"/>
      <c r="T107" s="41"/>
      <c r="U107" s="41"/>
      <c r="V107" s="41"/>
      <c r="W107" s="41"/>
      <c r="X107" s="42"/>
      <c r="Y107" s="218"/>
      <c r="Z107" s="41"/>
      <c r="AA107" s="53"/>
      <c r="AB107" s="53"/>
      <c r="AC107" s="41"/>
      <c r="AD107" s="41"/>
      <c r="AE107" s="237"/>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37"/>
      <c r="BE107" s="55"/>
      <c r="BF107" s="55"/>
      <c r="BG107" s="55"/>
      <c r="BH107" s="55"/>
    </row>
    <row r="108" spans="1:60" ht="12.95" customHeight="1">
      <c r="A108" s="44">
        <v>46041</v>
      </c>
      <c r="B108" s="45" t="s">
        <v>417</v>
      </c>
      <c r="C108" s="451">
        <f t="shared" ref="C108:C109" si="205">(M108*E108*O108*Q108)/100000000</f>
        <v>42.032126080000005</v>
      </c>
      <c r="D108" s="45" t="s">
        <v>430</v>
      </c>
      <c r="E108" s="46">
        <v>14</v>
      </c>
      <c r="F108" s="46">
        <v>1</v>
      </c>
      <c r="G108" s="506">
        <f>+L108</f>
        <v>1188.9409722222222</v>
      </c>
      <c r="H108" s="48">
        <f t="shared" ref="H108:H109" si="206">+N108</f>
        <v>0.19999999999999996</v>
      </c>
      <c r="I108" s="49">
        <v>0.88</v>
      </c>
      <c r="J108" s="89">
        <f t="shared" ref="J108:J109" si="207">E108*G108*(1-H108)*1440/1000000*2.75</f>
        <v>52.731909999999999</v>
      </c>
      <c r="K108" s="89">
        <f t="shared" ref="K108:K109" si="208">(IF(G108&lt;L108,L108,G108)*(1-IF(H108&lt;N108,H108,N108))*E108*O108*Q108)/100000000</f>
        <v>42.032126080000005</v>
      </c>
      <c r="L108" s="39">
        <v>1188.9409722222222</v>
      </c>
      <c r="M108" s="39">
        <v>951.15277777777783</v>
      </c>
      <c r="N108" s="50">
        <f t="shared" ref="N108:N109" si="209">1-(M108/L108)</f>
        <v>0.19999999999999996</v>
      </c>
      <c r="O108" s="51">
        <f>+'Trim Rwd'!H62</f>
        <v>274</v>
      </c>
      <c r="P108" s="52">
        <f t="shared" ref="P108:P109" si="210">O108*(Q108-R108-S108)</f>
        <v>305510</v>
      </c>
      <c r="Q108" s="51">
        <v>1152</v>
      </c>
      <c r="R108" s="507">
        <v>0</v>
      </c>
      <c r="S108" s="507">
        <v>37</v>
      </c>
      <c r="T108" s="41">
        <f t="shared" ref="T108:T109" si="211">E108*M108*O108*Q108/100000000</f>
        <v>42.032126080000005</v>
      </c>
      <c r="U108" s="41">
        <f t="shared" ref="U108:U109" si="212">E108*M108*O108*(Q108-R108-S108)/100000000</f>
        <v>40.682135919444448</v>
      </c>
      <c r="V108" s="41">
        <f t="shared" ref="V108:V109" si="213">E108*G108*(1-N108)*O108/100*(R108+S108)/1000000</f>
        <v>1.3499901605555555</v>
      </c>
      <c r="W108" s="41">
        <f>+'19'!K17/1000</f>
        <v>44.625999999999998</v>
      </c>
      <c r="X108" s="508">
        <f>SUM(W108:W111)/SUM(K108:K111)</f>
        <v>0.95476788324925643</v>
      </c>
      <c r="Y108" s="218">
        <v>0</v>
      </c>
      <c r="Z108" s="41">
        <v>0</v>
      </c>
      <c r="AA108" s="53">
        <f>SUM(U108:U111)-SUM(W108:W111)-SUM(Z108:Z111)-SUM(Y108:Y111)</f>
        <v>0.66552871944445258</v>
      </c>
      <c r="AB108" s="53">
        <f>(SUM(K108:K111)-SUM(W108:W111)-SUM(Y108:Y111)-SUM(Z108:Z111)-SUM(AC108:AC111)-SUM(V108:V111))-AA108</f>
        <v>3.2279999999946796E-3</v>
      </c>
      <c r="AC108" s="41">
        <f>K108-T108</f>
        <v>0</v>
      </c>
      <c r="AD108" s="41">
        <f>+AM108+BC108</f>
        <v>0</v>
      </c>
      <c r="AE108" s="237" t="s">
        <v>386</v>
      </c>
      <c r="AF108" s="41">
        <v>0</v>
      </c>
      <c r="AG108" s="41"/>
      <c r="AH108" s="41"/>
      <c r="AI108" s="509"/>
      <c r="AJ108" s="41"/>
      <c r="AK108" s="41"/>
      <c r="AL108" s="41"/>
      <c r="AM108" s="41">
        <f>SUM(AF108:AL108)+AT108</f>
        <v>0</v>
      </c>
      <c r="AN108" s="41"/>
      <c r="AO108" s="41"/>
      <c r="AP108" s="41"/>
      <c r="AQ108" s="41"/>
      <c r="AR108" s="41">
        <f>SUM(AN108:AQ108)</f>
        <v>0</v>
      </c>
      <c r="AS108" s="41"/>
      <c r="AT108" s="41"/>
      <c r="AU108" s="41"/>
      <c r="AV108" s="41"/>
      <c r="AW108" s="41"/>
      <c r="AX108" s="41"/>
      <c r="AY108" s="41"/>
      <c r="AZ108" s="41"/>
      <c r="BA108" s="41"/>
      <c r="BB108" s="41"/>
      <c r="BC108" s="41">
        <f>+AR108+AS108+AU108+AV108+AX108</f>
        <v>0</v>
      </c>
      <c r="BD108" s="37">
        <v>0</v>
      </c>
      <c r="BE108" s="55"/>
      <c r="BF108" s="55"/>
      <c r="BG108" s="37"/>
      <c r="BH108" s="55"/>
    </row>
    <row r="109" spans="1:60" ht="12.95" customHeight="1">
      <c r="A109" s="44"/>
      <c r="B109" s="45" t="s">
        <v>417</v>
      </c>
      <c r="C109" s="451">
        <f t="shared" si="205"/>
        <v>10.8770688</v>
      </c>
      <c r="D109" s="45" t="s">
        <v>430</v>
      </c>
      <c r="E109" s="46">
        <v>15</v>
      </c>
      <c r="F109" s="46">
        <v>1</v>
      </c>
      <c r="G109" s="506">
        <v>1160</v>
      </c>
      <c r="H109" s="48">
        <f t="shared" si="206"/>
        <v>0.19999999999999996</v>
      </c>
      <c r="I109" s="49">
        <v>0.88</v>
      </c>
      <c r="J109" s="89">
        <f t="shared" si="207"/>
        <v>55.123199999999997</v>
      </c>
      <c r="K109" s="89">
        <f t="shared" si="208"/>
        <v>10.8770688</v>
      </c>
      <c r="L109" s="39">
        <v>1170</v>
      </c>
      <c r="M109" s="39">
        <v>936</v>
      </c>
      <c r="N109" s="50">
        <f t="shared" si="209"/>
        <v>0.19999999999999996</v>
      </c>
      <c r="O109" s="51">
        <f>+'Trim Rwd'!H63</f>
        <v>269</v>
      </c>
      <c r="P109" s="52">
        <f t="shared" si="210"/>
        <v>74782</v>
      </c>
      <c r="Q109" s="51">
        <f>1440-Q108</f>
        <v>288</v>
      </c>
      <c r="R109" s="507">
        <v>0</v>
      </c>
      <c r="S109" s="507">
        <v>10</v>
      </c>
      <c r="T109" s="41">
        <f t="shared" si="211"/>
        <v>10.8770688</v>
      </c>
      <c r="U109" s="41">
        <f t="shared" si="212"/>
        <v>10.499392800000001</v>
      </c>
      <c r="V109" s="41">
        <f t="shared" si="213"/>
        <v>0.374448</v>
      </c>
      <c r="W109" s="41">
        <f>+'19'!K16/1000</f>
        <v>5.89</v>
      </c>
      <c r="X109" s="42"/>
      <c r="Y109" s="218"/>
      <c r="Z109" s="41"/>
      <c r="AA109" s="41"/>
      <c r="AB109" s="41"/>
      <c r="AC109" s="41">
        <f>K109-T109</f>
        <v>0</v>
      </c>
      <c r="AD109" s="41">
        <f t="shared" ref="AD109:AD111" si="214">+AM109+BC109</f>
        <v>13</v>
      </c>
      <c r="AE109" s="237" t="s">
        <v>640</v>
      </c>
      <c r="AF109" s="41"/>
      <c r="AG109" s="41">
        <v>13</v>
      </c>
      <c r="AH109" s="41"/>
      <c r="AI109" s="509"/>
      <c r="AJ109" s="41"/>
      <c r="AK109" s="41"/>
      <c r="AL109" s="41"/>
      <c r="AM109" s="41">
        <f t="shared" ref="AM109:AM111" si="215">SUM(AF109:AL109)+AT109</f>
        <v>13</v>
      </c>
      <c r="AN109" s="90"/>
      <c r="AO109" s="41"/>
      <c r="AP109" s="41"/>
      <c r="AQ109" s="41"/>
      <c r="AR109" s="41">
        <f t="shared" ref="AR109:AR111" si="216">SUM(AN109:AQ109)</f>
        <v>0</v>
      </c>
      <c r="AS109" s="41"/>
      <c r="AT109" s="41"/>
      <c r="AU109" s="41"/>
      <c r="AV109" s="41"/>
      <c r="AW109" s="41"/>
      <c r="AX109" s="41"/>
      <c r="AY109" s="41"/>
      <c r="AZ109" s="41"/>
      <c r="BA109" s="41"/>
      <c r="BB109" s="41"/>
      <c r="BC109" s="41">
        <f t="shared" ref="BC109:BC111" si="217">+AR109+AS109+AU109+AV109+AX109</f>
        <v>0</v>
      </c>
      <c r="BD109" s="54"/>
      <c r="BE109" s="55">
        <v>10</v>
      </c>
      <c r="BF109" s="55"/>
      <c r="BG109" s="54"/>
      <c r="BH109" s="55"/>
    </row>
    <row r="110" spans="1:60" ht="12.95" customHeight="1">
      <c r="A110" s="44"/>
      <c r="B110" s="45"/>
      <c r="C110" s="451"/>
      <c r="D110" s="45"/>
      <c r="E110" s="46"/>
      <c r="F110" s="46"/>
      <c r="G110" s="47"/>
      <c r="H110" s="48"/>
      <c r="I110" s="49"/>
      <c r="J110" s="89"/>
      <c r="K110" s="89"/>
      <c r="L110" s="39"/>
      <c r="M110" s="39"/>
      <c r="N110" s="50"/>
      <c r="O110" s="51"/>
      <c r="P110" s="52"/>
      <c r="Q110" s="51"/>
      <c r="R110" s="507"/>
      <c r="S110" s="507"/>
      <c r="T110" s="41"/>
      <c r="U110" s="41"/>
      <c r="V110" s="41"/>
      <c r="W110" s="41"/>
      <c r="X110" s="42"/>
      <c r="Y110" s="218"/>
      <c r="Z110" s="41"/>
      <c r="AA110" s="41"/>
      <c r="AB110" s="41"/>
      <c r="AC110" s="41"/>
      <c r="AD110" s="41">
        <f t="shared" si="214"/>
        <v>26</v>
      </c>
      <c r="AE110" s="237" t="s">
        <v>457</v>
      </c>
      <c r="AF110" s="37"/>
      <c r="AG110" s="37"/>
      <c r="AH110" s="37">
        <v>26</v>
      </c>
      <c r="AJ110" s="41"/>
      <c r="AK110" s="41"/>
      <c r="AL110" s="41"/>
      <c r="AM110" s="41">
        <f t="shared" si="215"/>
        <v>26</v>
      </c>
      <c r="AN110" s="41"/>
      <c r="AO110" s="41"/>
      <c r="AP110" s="41"/>
      <c r="AQ110" s="41"/>
      <c r="AR110" s="41">
        <f t="shared" si="216"/>
        <v>0</v>
      </c>
      <c r="AS110" s="41"/>
      <c r="AT110" s="41"/>
      <c r="AU110" s="41"/>
      <c r="AV110" s="41"/>
      <c r="AW110" s="41"/>
      <c r="AX110" s="41"/>
      <c r="AY110" s="41"/>
      <c r="AZ110" s="41"/>
      <c r="BA110" s="41"/>
      <c r="BB110" s="41"/>
      <c r="BC110" s="41">
        <f t="shared" si="217"/>
        <v>0</v>
      </c>
      <c r="BD110" s="37"/>
      <c r="BE110" s="510"/>
      <c r="BF110" s="510"/>
      <c r="BG110" s="37"/>
      <c r="BH110" s="510"/>
    </row>
    <row r="111" spans="1:60" ht="12.95" customHeight="1">
      <c r="A111" s="44"/>
      <c r="B111" s="45"/>
      <c r="C111" s="451"/>
      <c r="D111" s="45"/>
      <c r="E111" s="46"/>
      <c r="F111" s="46"/>
      <c r="G111" s="47"/>
      <c r="H111" s="48"/>
      <c r="I111" s="49"/>
      <c r="J111" s="89"/>
      <c r="K111" s="89"/>
      <c r="L111" s="39"/>
      <c r="M111" s="39"/>
      <c r="N111" s="50"/>
      <c r="O111" s="51"/>
      <c r="P111" s="52"/>
      <c r="Q111" s="38"/>
      <c r="R111" s="507"/>
      <c r="S111" s="507"/>
      <c r="T111" s="41"/>
      <c r="U111" s="41"/>
      <c r="V111" s="41"/>
      <c r="W111" s="41"/>
      <c r="X111" s="42"/>
      <c r="Y111" s="218"/>
      <c r="Z111" s="41"/>
      <c r="AA111" s="41"/>
      <c r="AB111" s="41"/>
      <c r="AC111" s="41"/>
      <c r="AD111" s="41">
        <f t="shared" si="214"/>
        <v>8</v>
      </c>
      <c r="AE111" s="240" t="s">
        <v>225</v>
      </c>
      <c r="AF111" s="41"/>
      <c r="AG111" s="41"/>
      <c r="AH111" s="41"/>
      <c r="AI111" s="509">
        <v>8</v>
      </c>
      <c r="AJ111" s="41"/>
      <c r="AK111" s="41"/>
      <c r="AL111" s="41"/>
      <c r="AM111" s="41">
        <f t="shared" si="215"/>
        <v>8</v>
      </c>
      <c r="AN111" s="41"/>
      <c r="AO111" s="41"/>
      <c r="AP111" s="41"/>
      <c r="AQ111" s="41"/>
      <c r="AR111" s="41">
        <f t="shared" si="216"/>
        <v>0</v>
      </c>
      <c r="AS111" s="41"/>
      <c r="AT111" s="41"/>
      <c r="AU111" s="41"/>
      <c r="AV111" s="41"/>
      <c r="AW111" s="41"/>
      <c r="AX111" s="41"/>
      <c r="AY111" s="41"/>
      <c r="AZ111" s="41"/>
      <c r="BA111" s="41"/>
      <c r="BB111" s="41"/>
      <c r="BC111" s="41">
        <f t="shared" si="217"/>
        <v>0</v>
      </c>
      <c r="BD111" s="54"/>
      <c r="BE111" s="55"/>
      <c r="BF111" s="55"/>
      <c r="BG111" s="54"/>
      <c r="BH111" s="55"/>
    </row>
    <row r="112" spans="1:60" ht="12.95" customHeight="1">
      <c r="A112" s="44"/>
      <c r="B112" s="45"/>
      <c r="C112" s="451"/>
      <c r="D112" s="45"/>
      <c r="E112" s="46"/>
      <c r="F112" s="46"/>
      <c r="G112" s="47"/>
      <c r="H112" s="47"/>
      <c r="I112" s="49"/>
      <c r="J112" s="89"/>
      <c r="K112" s="89"/>
      <c r="L112" s="39"/>
      <c r="M112" s="39"/>
      <c r="N112" s="50"/>
      <c r="O112" s="51"/>
      <c r="P112" s="52"/>
      <c r="Q112" s="51"/>
      <c r="R112" s="507"/>
      <c r="S112" s="507"/>
      <c r="T112" s="41"/>
      <c r="U112" s="41"/>
      <c r="V112" s="41"/>
      <c r="W112" s="41"/>
      <c r="X112" s="508"/>
      <c r="Y112" s="218"/>
      <c r="Z112" s="41"/>
      <c r="AA112" s="53"/>
      <c r="AB112" s="53"/>
      <c r="AC112" s="41"/>
      <c r="AD112" s="41"/>
      <c r="AE112" s="237"/>
      <c r="AF112" s="41"/>
      <c r="AG112" s="41"/>
      <c r="AH112" s="41"/>
      <c r="AI112" s="509"/>
      <c r="AJ112" s="41"/>
      <c r="AK112" s="41"/>
      <c r="AL112" s="41"/>
      <c r="AM112" s="41"/>
      <c r="AN112" s="41"/>
      <c r="AO112" s="41"/>
      <c r="AP112" s="41"/>
      <c r="AQ112" s="41"/>
      <c r="AR112" s="41"/>
      <c r="AS112" s="41"/>
      <c r="AT112" s="41"/>
      <c r="AU112" s="41"/>
      <c r="AV112" s="41"/>
      <c r="AW112" s="41"/>
      <c r="AX112" s="41"/>
      <c r="AY112" s="41"/>
      <c r="AZ112" s="41"/>
      <c r="BA112" s="41"/>
      <c r="BB112" s="41"/>
      <c r="BC112" s="41"/>
      <c r="BD112" s="37"/>
      <c r="BE112" s="55"/>
      <c r="BF112" s="55"/>
      <c r="BG112" s="55"/>
      <c r="BH112" s="55"/>
    </row>
    <row r="113" spans="1:60" ht="12.95" customHeight="1">
      <c r="A113" s="44">
        <v>46042</v>
      </c>
      <c r="B113" s="45" t="s">
        <v>417</v>
      </c>
      <c r="C113" s="451">
        <f t="shared" ref="C113" si="218">(M113*E113*O113*Q113)/100000000</f>
        <v>55.327176000000001</v>
      </c>
      <c r="D113" s="45" t="s">
        <v>430</v>
      </c>
      <c r="E113" s="46">
        <v>15</v>
      </c>
      <c r="F113" s="46">
        <v>1</v>
      </c>
      <c r="G113" s="506">
        <v>1175</v>
      </c>
      <c r="H113" s="48">
        <f t="shared" ref="H113" si="219">+N113</f>
        <v>0.20999999999999996</v>
      </c>
      <c r="I113" s="49">
        <v>0.88</v>
      </c>
      <c r="J113" s="89">
        <f t="shared" ref="J113" si="220">E113*G113*(1-H113)*1440/1000000*2.75</f>
        <v>55.13805</v>
      </c>
      <c r="K113" s="89">
        <f t="shared" ref="K113" si="221">(IF(G113&lt;L113,L113,G113)*(1-IF(H113&lt;N113,H113,N113))*E113*O113*Q113)/100000000</f>
        <v>55.327176000000001</v>
      </c>
      <c r="L113" s="39">
        <v>1183.3333333333333</v>
      </c>
      <c r="M113" s="39">
        <v>934.83333333333337</v>
      </c>
      <c r="N113" s="50">
        <f t="shared" ref="N113" si="222">1-(M113/L113)</f>
        <v>0.20999999999999996</v>
      </c>
      <c r="O113" s="51">
        <f>+'Trim Rwd'!H65</f>
        <v>274</v>
      </c>
      <c r="P113" s="52">
        <f t="shared" ref="P113" si="223">O113*(Q113-R113-S113)</f>
        <v>383052</v>
      </c>
      <c r="Q113" s="51">
        <f>1440-Q112</f>
        <v>1440</v>
      </c>
      <c r="R113" s="507">
        <v>0</v>
      </c>
      <c r="S113" s="507">
        <v>42</v>
      </c>
      <c r="T113" s="41">
        <f t="shared" ref="T113" si="224">E113*M113*O113*Q113/100000000</f>
        <v>55.327176000000001</v>
      </c>
      <c r="U113" s="41">
        <f t="shared" ref="U113" si="225">E113*M113*O113*(Q113-R113-S113)/100000000</f>
        <v>53.713466699999998</v>
      </c>
      <c r="V113" s="41">
        <f t="shared" ref="V113" si="226">E113*G113*(1-N113)*O113/100*(R113+S113)/1000000</f>
        <v>1.6023451499999999</v>
      </c>
      <c r="W113" s="41">
        <f>+'20'!K16/1000</f>
        <v>54.661000000000001</v>
      </c>
      <c r="X113" s="508">
        <f>SUM(W113:W116)/SUM(K113:K116)</f>
        <v>0.98795933484839349</v>
      </c>
      <c r="Y113" s="218">
        <v>0</v>
      </c>
      <c r="Z113" s="41">
        <v>0</v>
      </c>
      <c r="AA113" s="53">
        <f>SUM(U113:U116)-SUM(W113:W116)-SUM(Z113:Z116)-SUM(Y113:Y116)</f>
        <v>-0.94753330000000346</v>
      </c>
      <c r="AB113" s="53">
        <f>(SUM(K113:K116)-SUM(W113:W116)-SUM(Y113:Y116)-SUM(Z113:Z116)-SUM(AC113:AC116)-SUM(V113:V116))-AA113</f>
        <v>1.1364150000003681E-2</v>
      </c>
      <c r="AC113" s="41">
        <f>K113-T113</f>
        <v>0</v>
      </c>
      <c r="AD113" s="41">
        <f>+AM113+BC113</f>
        <v>0</v>
      </c>
      <c r="AE113" s="237" t="s">
        <v>386</v>
      </c>
      <c r="AF113" s="41">
        <v>0</v>
      </c>
      <c r="AG113" s="41"/>
      <c r="AH113" s="41"/>
      <c r="AI113" s="509"/>
      <c r="AJ113" s="41"/>
      <c r="AK113" s="41"/>
      <c r="AL113" s="41"/>
      <c r="AM113" s="41">
        <f>SUM(AF113:AL113)+AT113</f>
        <v>0</v>
      </c>
      <c r="AN113" s="41"/>
      <c r="AO113" s="41"/>
      <c r="AP113" s="41"/>
      <c r="AQ113" s="41"/>
      <c r="AR113" s="41">
        <f>SUM(AN113:AQ113)</f>
        <v>0</v>
      </c>
      <c r="AS113" s="41"/>
      <c r="AT113" s="41"/>
      <c r="AU113" s="41"/>
      <c r="AV113" s="41"/>
      <c r="AW113" s="41"/>
      <c r="AX113" s="41"/>
      <c r="AY113" s="41"/>
      <c r="AZ113" s="41"/>
      <c r="BA113" s="41"/>
      <c r="BB113" s="41"/>
      <c r="BC113" s="41">
        <f>+AR113+AS113+AU113+AV113+AX113</f>
        <v>0</v>
      </c>
      <c r="BD113" s="37">
        <v>0</v>
      </c>
      <c r="BE113" s="55"/>
      <c r="BF113" s="55"/>
      <c r="BG113" s="37"/>
      <c r="BH113" s="55"/>
    </row>
    <row r="114" spans="1:60" ht="12.95" customHeight="1">
      <c r="A114" s="44"/>
      <c r="B114" s="45"/>
      <c r="C114" s="451"/>
      <c r="D114" s="45"/>
      <c r="E114" s="46"/>
      <c r="F114" s="46"/>
      <c r="G114" s="506"/>
      <c r="H114" s="48"/>
      <c r="I114" s="49"/>
      <c r="J114" s="89"/>
      <c r="K114" s="89"/>
      <c r="L114" s="39"/>
      <c r="M114" s="39"/>
      <c r="N114" s="50"/>
      <c r="O114" s="51"/>
      <c r="P114" s="52"/>
      <c r="Q114" s="51"/>
      <c r="R114" s="507"/>
      <c r="S114" s="507"/>
      <c r="T114" s="41"/>
      <c r="U114" s="41"/>
      <c r="V114" s="41"/>
      <c r="W114" s="41"/>
      <c r="X114" s="42"/>
      <c r="Y114" s="218"/>
      <c r="Z114" s="41"/>
      <c r="AA114" s="41"/>
      <c r="AB114" s="41"/>
      <c r="AC114" s="41">
        <f>K114-T114</f>
        <v>0</v>
      </c>
      <c r="AD114" s="41">
        <f t="shared" ref="AD114:AD116" si="227">+AM114+BC114</f>
        <v>15</v>
      </c>
      <c r="AE114" s="237" t="s">
        <v>475</v>
      </c>
      <c r="AF114" s="41"/>
      <c r="AG114" s="41">
        <v>15</v>
      </c>
      <c r="AH114" s="41"/>
      <c r="AI114" s="509"/>
      <c r="AJ114" s="41"/>
      <c r="AK114" s="41"/>
      <c r="AL114" s="41"/>
      <c r="AM114" s="41">
        <f t="shared" ref="AM114:AM116" si="228">SUM(AF114:AL114)+AT114</f>
        <v>15</v>
      </c>
      <c r="AN114" s="90"/>
      <c r="AO114" s="41"/>
      <c r="AP114" s="41"/>
      <c r="AQ114" s="41"/>
      <c r="AR114" s="41">
        <f t="shared" ref="AR114:AR116" si="229">SUM(AN114:AQ114)</f>
        <v>0</v>
      </c>
      <c r="AS114" s="41"/>
      <c r="AT114" s="41"/>
      <c r="AU114" s="41"/>
      <c r="AV114" s="41"/>
      <c r="AW114" s="41"/>
      <c r="AX114" s="41"/>
      <c r="AY114" s="41"/>
      <c r="AZ114" s="41"/>
      <c r="BA114" s="41"/>
      <c r="BB114" s="41"/>
      <c r="BC114" s="41">
        <f t="shared" ref="BC114:BC116" si="230">+AR114+AS114+AU114+AV114+AX114</f>
        <v>0</v>
      </c>
      <c r="BD114" s="54"/>
      <c r="BE114" s="55">
        <v>12</v>
      </c>
      <c r="BF114" s="55"/>
      <c r="BG114" s="54"/>
      <c r="BH114" s="55"/>
    </row>
    <row r="115" spans="1:60" ht="12.95" customHeight="1">
      <c r="A115" s="44"/>
      <c r="B115" s="45"/>
      <c r="C115" s="451"/>
      <c r="D115" s="45"/>
      <c r="E115" s="46"/>
      <c r="F115" s="46"/>
      <c r="G115" s="47"/>
      <c r="H115" s="48"/>
      <c r="I115" s="49"/>
      <c r="J115" s="89"/>
      <c r="K115" s="89"/>
      <c r="L115" s="39"/>
      <c r="M115" s="39"/>
      <c r="N115" s="50"/>
      <c r="O115" s="51"/>
      <c r="P115" s="52"/>
      <c r="Q115" s="51"/>
      <c r="R115" s="507"/>
      <c r="S115" s="507"/>
      <c r="T115" s="41"/>
      <c r="U115" s="41"/>
      <c r="V115" s="41"/>
      <c r="W115" s="41"/>
      <c r="X115" s="42"/>
      <c r="Y115" s="218"/>
      <c r="Z115" s="41"/>
      <c r="AA115" s="41"/>
      <c r="AB115" s="41"/>
      <c r="AC115" s="41"/>
      <c r="AD115" s="41">
        <f t="shared" si="227"/>
        <v>21</v>
      </c>
      <c r="AE115" s="237" t="s">
        <v>598</v>
      </c>
      <c r="AF115" s="37"/>
      <c r="AG115" s="37"/>
      <c r="AH115" s="37">
        <v>21</v>
      </c>
      <c r="AJ115" s="41"/>
      <c r="AK115" s="41"/>
      <c r="AL115" s="41"/>
      <c r="AM115" s="41">
        <f t="shared" si="228"/>
        <v>21</v>
      </c>
      <c r="AN115" s="41"/>
      <c r="AO115" s="41"/>
      <c r="AP115" s="41"/>
      <c r="AQ115" s="41"/>
      <c r="AR115" s="41">
        <f t="shared" si="229"/>
        <v>0</v>
      </c>
      <c r="AS115" s="41"/>
      <c r="AT115" s="41"/>
      <c r="AU115" s="41"/>
      <c r="AV115" s="41"/>
      <c r="AW115" s="41"/>
      <c r="AX115" s="41"/>
      <c r="AY115" s="41"/>
      <c r="AZ115" s="41"/>
      <c r="BA115" s="41"/>
      <c r="BB115" s="41"/>
      <c r="BC115" s="41">
        <f t="shared" si="230"/>
        <v>0</v>
      </c>
      <c r="BD115" s="37"/>
      <c r="BE115" s="510"/>
      <c r="BF115" s="510"/>
      <c r="BG115" s="37"/>
      <c r="BH115" s="510"/>
    </row>
    <row r="116" spans="1:60" ht="12.95" customHeight="1">
      <c r="A116" s="44"/>
      <c r="B116" s="45"/>
      <c r="C116" s="451"/>
      <c r="D116" s="45"/>
      <c r="E116" s="46"/>
      <c r="F116" s="46"/>
      <c r="G116" s="47"/>
      <c r="H116" s="48"/>
      <c r="I116" s="49"/>
      <c r="J116" s="89"/>
      <c r="K116" s="89"/>
      <c r="L116" s="39"/>
      <c r="M116" s="39"/>
      <c r="N116" s="50"/>
      <c r="O116" s="51"/>
      <c r="P116" s="52"/>
      <c r="Q116" s="38"/>
      <c r="R116" s="507"/>
      <c r="S116" s="507"/>
      <c r="T116" s="41"/>
      <c r="U116" s="41"/>
      <c r="V116" s="41"/>
      <c r="W116" s="41"/>
      <c r="X116" s="42"/>
      <c r="Y116" s="218"/>
      <c r="Z116" s="41"/>
      <c r="AA116" s="41"/>
      <c r="AB116" s="41"/>
      <c r="AC116" s="41"/>
      <c r="AD116" s="41">
        <f t="shared" si="227"/>
        <v>6</v>
      </c>
      <c r="AE116" s="240" t="s">
        <v>225</v>
      </c>
      <c r="AF116" s="41"/>
      <c r="AG116" s="41"/>
      <c r="AH116" s="41"/>
      <c r="AI116" s="509">
        <v>6</v>
      </c>
      <c r="AJ116" s="41"/>
      <c r="AK116" s="41"/>
      <c r="AL116" s="41"/>
      <c r="AM116" s="41">
        <f t="shared" si="228"/>
        <v>6</v>
      </c>
      <c r="AN116" s="41"/>
      <c r="AO116" s="41"/>
      <c r="AP116" s="41"/>
      <c r="AQ116" s="41"/>
      <c r="AR116" s="41">
        <f t="shared" si="229"/>
        <v>0</v>
      </c>
      <c r="AS116" s="41"/>
      <c r="AT116" s="41"/>
      <c r="AU116" s="41"/>
      <c r="AV116" s="41"/>
      <c r="AW116" s="41"/>
      <c r="AX116" s="41"/>
      <c r="AY116" s="41"/>
      <c r="AZ116" s="41"/>
      <c r="BA116" s="41"/>
      <c r="BB116" s="41"/>
      <c r="BC116" s="41">
        <f t="shared" si="230"/>
        <v>0</v>
      </c>
      <c r="BD116" s="54"/>
      <c r="BE116" s="55"/>
      <c r="BF116" s="55"/>
      <c r="BG116" s="54"/>
      <c r="BH116" s="55"/>
    </row>
    <row r="117" spans="1:60" ht="12.95" customHeight="1">
      <c r="A117" s="44"/>
      <c r="B117" s="45"/>
      <c r="C117" s="451"/>
      <c r="D117" s="45"/>
      <c r="E117" s="46"/>
      <c r="F117" s="46"/>
      <c r="G117" s="47"/>
      <c r="H117" s="47"/>
      <c r="I117" s="49"/>
      <c r="J117" s="89"/>
      <c r="K117" s="89"/>
      <c r="L117" s="39"/>
      <c r="M117" s="39"/>
      <c r="N117" s="50"/>
      <c r="O117" s="51"/>
      <c r="P117" s="52"/>
      <c r="Q117" s="51"/>
      <c r="R117" s="507"/>
      <c r="S117" s="507"/>
      <c r="T117" s="41"/>
      <c r="U117" s="41"/>
      <c r="V117" s="41"/>
      <c r="W117" s="41"/>
      <c r="X117" s="508"/>
      <c r="Y117" s="218"/>
      <c r="Z117" s="41"/>
      <c r="AA117" s="53"/>
      <c r="AB117" s="53"/>
      <c r="AC117" s="41"/>
      <c r="AD117" s="41"/>
      <c r="AE117" s="237"/>
      <c r="AF117" s="41"/>
      <c r="AG117" s="41"/>
      <c r="AH117" s="41"/>
      <c r="AI117" s="509"/>
      <c r="AJ117" s="41"/>
      <c r="AK117" s="41"/>
      <c r="AL117" s="41"/>
      <c r="AM117" s="41"/>
      <c r="AN117" s="41"/>
      <c r="AO117" s="41"/>
      <c r="AP117" s="41"/>
      <c r="AQ117" s="41"/>
      <c r="AR117" s="41"/>
      <c r="AS117" s="41"/>
      <c r="AT117" s="41"/>
      <c r="AU117" s="41"/>
      <c r="AV117" s="41"/>
      <c r="AW117" s="41"/>
      <c r="AX117" s="41"/>
      <c r="AY117" s="41"/>
      <c r="AZ117" s="41"/>
      <c r="BA117" s="41"/>
      <c r="BB117" s="41"/>
      <c r="BC117" s="41"/>
      <c r="BD117" s="37"/>
      <c r="BE117" s="55"/>
      <c r="BF117" s="55"/>
      <c r="BG117" s="55"/>
      <c r="BH117" s="55"/>
    </row>
    <row r="118" spans="1:60" ht="12.95" customHeight="1">
      <c r="A118" s="44">
        <v>46043</v>
      </c>
      <c r="B118" s="45" t="s">
        <v>417</v>
      </c>
      <c r="C118" s="451">
        <f t="shared" ref="C118:C120" si="231">(M118*E118*O118*Q118)/100000000</f>
        <v>39.509404898478266</v>
      </c>
      <c r="D118" s="45" t="s">
        <v>430</v>
      </c>
      <c r="E118" s="46">
        <v>15</v>
      </c>
      <c r="F118" s="46">
        <v>1</v>
      </c>
      <c r="G118" s="506">
        <v>1175</v>
      </c>
      <c r="H118" s="48">
        <f t="shared" ref="H118" si="232">+N118</f>
        <v>0.20999999999999996</v>
      </c>
      <c r="I118" s="49">
        <v>0.88</v>
      </c>
      <c r="J118" s="89">
        <f t="shared" ref="J118:J120" si="233">E118*G118*(1-H118)*1440/1000000*2.75</f>
        <v>55.13805</v>
      </c>
      <c r="K118" s="89">
        <f t="shared" ref="K118:K120" si="234">(IF(G118&lt;L118,L118,G118)*(1-IF(H118&lt;N118,H118,N118))*E118*O118*Q118)/100000000</f>
        <v>39.509404898478266</v>
      </c>
      <c r="L118" s="39">
        <v>1179.3113482056256</v>
      </c>
      <c r="M118" s="39">
        <v>931.65596508244425</v>
      </c>
      <c r="N118" s="50">
        <f t="shared" ref="N118:N120" si="235">1-(M118/L118)</f>
        <v>0.20999999999999996</v>
      </c>
      <c r="O118" s="51">
        <f>+'Trim Rwd'!H68</f>
        <v>274.21739130434781</v>
      </c>
      <c r="P118" s="52">
        <f t="shared" ref="P118:P120" si="236">O118*(Q118-R118-S118)</f>
        <v>275862.69565217389</v>
      </c>
      <c r="Q118" s="51">
        <v>1031</v>
      </c>
      <c r="R118" s="507">
        <v>0</v>
      </c>
      <c r="S118" s="507">
        <f>48-S119-S120</f>
        <v>25</v>
      </c>
      <c r="T118" s="41">
        <f t="shared" ref="T118:T120" si="237">E118*M118*O118*Q118/100000000</f>
        <v>39.509404898478266</v>
      </c>
      <c r="U118" s="41">
        <f t="shared" ref="U118:U120" si="238">E118*M118*O118*(Q118-R118-S118)/100000000</f>
        <v>38.551368892210604</v>
      </c>
      <c r="V118" s="41">
        <f t="shared" ref="V118:V120" si="239">E118*G118*(1-N118)*O118/100*(R118+S118)/1000000</f>
        <v>0.95453360054347824</v>
      </c>
      <c r="W118" s="41">
        <f>+'21'!K16/1000</f>
        <v>42.070999999999998</v>
      </c>
      <c r="X118" s="508">
        <f>SUM(W118:W121)/SUM(K118:K121)</f>
        <v>0.93541317286663883</v>
      </c>
      <c r="Y118" s="218">
        <v>0</v>
      </c>
      <c r="Z118" s="41">
        <v>0</v>
      </c>
      <c r="AA118" s="53">
        <v>0</v>
      </c>
      <c r="AB118" s="53">
        <f>(SUM(K118:K121)-SUM(W118:W121)-SUM(Y118:Y121)-SUM(Z118:Z121)-SUM(AC118:AC121)-SUM(V118:V121))-AA118</f>
        <v>0.81352955593479392</v>
      </c>
      <c r="AC118" s="41">
        <f>K118-T118</f>
        <v>0</v>
      </c>
      <c r="AD118" s="41">
        <f>+AM118+BC118</f>
        <v>2</v>
      </c>
      <c r="AE118" s="237" t="s">
        <v>386</v>
      </c>
      <c r="AF118" s="41">
        <v>2</v>
      </c>
      <c r="AG118" s="41"/>
      <c r="AH118" s="41"/>
      <c r="AI118" s="509"/>
      <c r="AJ118" s="41"/>
      <c r="AK118" s="41"/>
      <c r="AL118" s="41"/>
      <c r="AM118" s="41">
        <f>SUM(AF118:AL118)+AT118</f>
        <v>2</v>
      </c>
      <c r="AN118" s="41"/>
      <c r="AO118" s="41"/>
      <c r="AP118" s="41"/>
      <c r="AQ118" s="41"/>
      <c r="AR118" s="41">
        <f>SUM(AN118:AQ118)</f>
        <v>0</v>
      </c>
      <c r="AS118" s="41"/>
      <c r="AT118" s="41"/>
      <c r="AU118" s="41"/>
      <c r="AV118" s="41"/>
      <c r="AW118" s="41"/>
      <c r="AX118" s="41"/>
      <c r="AY118" s="41"/>
      <c r="AZ118" s="41"/>
      <c r="BA118" s="41"/>
      <c r="BB118" s="41"/>
      <c r="BC118" s="41">
        <f>+AR118+AS118+AU118+AV118+AX118</f>
        <v>0</v>
      </c>
      <c r="BD118" s="37">
        <v>0</v>
      </c>
      <c r="BE118" s="55"/>
      <c r="BF118" s="55"/>
      <c r="BG118" s="37"/>
      <c r="BH118" s="55"/>
    </row>
    <row r="119" spans="1:60" ht="12.95" customHeight="1">
      <c r="A119" s="44"/>
      <c r="B119" s="45" t="s">
        <v>417</v>
      </c>
      <c r="C119" s="451">
        <f t="shared" si="231"/>
        <v>11.611475023499999</v>
      </c>
      <c r="D119" s="45" t="s">
        <v>430</v>
      </c>
      <c r="E119" s="46">
        <v>13.5</v>
      </c>
      <c r="F119" s="46">
        <v>1</v>
      </c>
      <c r="G119" s="506">
        <v>1305</v>
      </c>
      <c r="H119" s="48">
        <f>+N119</f>
        <v>0.20999999999999996</v>
      </c>
      <c r="I119" s="49">
        <v>0.88</v>
      </c>
      <c r="J119" s="89">
        <f t="shared" si="233"/>
        <v>55.114587</v>
      </c>
      <c r="K119" s="89">
        <f t="shared" si="234"/>
        <v>12.523119756750003</v>
      </c>
      <c r="L119" s="39">
        <v>1210</v>
      </c>
      <c r="M119" s="39">
        <v>955.9</v>
      </c>
      <c r="N119" s="50">
        <f t="shared" si="235"/>
        <v>0.20999999999999996</v>
      </c>
      <c r="O119" s="51">
        <f>+'Trim Rwd'!H70</f>
        <v>267</v>
      </c>
      <c r="P119" s="52">
        <f t="shared" si="236"/>
        <v>85173</v>
      </c>
      <c r="Q119" s="51">
        <v>337</v>
      </c>
      <c r="R119" s="507">
        <v>0</v>
      </c>
      <c r="S119" s="507">
        <v>18</v>
      </c>
      <c r="T119" s="41">
        <f t="shared" si="237"/>
        <v>11.611475023499999</v>
      </c>
      <c r="U119" s="41">
        <f t="shared" si="238"/>
        <v>10.991277544500001</v>
      </c>
      <c r="V119" s="41">
        <f t="shared" si="239"/>
        <v>0.66889066950000009</v>
      </c>
      <c r="W119" s="41">
        <f>+'21'!K7/1000</f>
        <v>8.9149999999999991</v>
      </c>
      <c r="X119" s="42"/>
      <c r="Y119" s="218"/>
      <c r="Z119" s="41"/>
      <c r="AA119" s="41"/>
      <c r="AB119" s="41"/>
      <c r="AC119" s="41">
        <f>K119-T119</f>
        <v>0.91164473325000372</v>
      </c>
      <c r="AD119" s="41">
        <f t="shared" ref="AD119:AD121" si="240">+AM119+BC119</f>
        <v>17</v>
      </c>
      <c r="AE119" s="237" t="s">
        <v>570</v>
      </c>
      <c r="AF119" s="41"/>
      <c r="AG119" s="41">
        <v>17</v>
      </c>
      <c r="AH119" s="41"/>
      <c r="AI119" s="509"/>
      <c r="AJ119" s="41"/>
      <c r="AK119" s="41"/>
      <c r="AL119" s="41"/>
      <c r="AM119" s="41">
        <f t="shared" ref="AM119:AM121" si="241">SUM(AF119:AL119)+AT119</f>
        <v>17</v>
      </c>
      <c r="AN119" s="90"/>
      <c r="AO119" s="41"/>
      <c r="AP119" s="41"/>
      <c r="AQ119" s="41"/>
      <c r="AR119" s="41">
        <f t="shared" ref="AR119:AR121" si="242">SUM(AN119:AQ119)</f>
        <v>0</v>
      </c>
      <c r="AS119" s="41"/>
      <c r="AT119" s="41"/>
      <c r="AU119" s="41"/>
      <c r="AV119" s="41"/>
      <c r="AW119" s="41"/>
      <c r="AX119" s="41"/>
      <c r="AY119" s="41"/>
      <c r="AZ119" s="41"/>
      <c r="BA119" s="41"/>
      <c r="BB119" s="41"/>
      <c r="BC119" s="41">
        <f t="shared" ref="BC119:BC121" si="243">+AR119+AS119+AU119+AV119+AX119</f>
        <v>0</v>
      </c>
      <c r="BD119" s="54"/>
      <c r="BE119" s="55">
        <v>9</v>
      </c>
      <c r="BF119" s="55"/>
      <c r="BG119" s="54"/>
      <c r="BH119" s="55"/>
    </row>
    <row r="120" spans="1:60" ht="12.95" customHeight="1">
      <c r="A120" s="44"/>
      <c r="B120" s="45" t="s">
        <v>417</v>
      </c>
      <c r="C120" s="451">
        <f t="shared" si="231"/>
        <v>2.473870464</v>
      </c>
      <c r="D120" s="45" t="s">
        <v>430</v>
      </c>
      <c r="E120" s="46">
        <v>13</v>
      </c>
      <c r="F120" s="46">
        <v>1</v>
      </c>
      <c r="G120" s="506">
        <f>+L120</f>
        <v>1230</v>
      </c>
      <c r="H120" s="48">
        <f>+N120</f>
        <v>0.20999999999999996</v>
      </c>
      <c r="I120" s="49">
        <v>0.88</v>
      </c>
      <c r="J120" s="89">
        <f t="shared" si="233"/>
        <v>50.023116000000002</v>
      </c>
      <c r="K120" s="89">
        <f t="shared" si="234"/>
        <v>2.473870464</v>
      </c>
      <c r="L120" s="39">
        <v>1230</v>
      </c>
      <c r="M120" s="39">
        <v>971.7</v>
      </c>
      <c r="N120" s="50">
        <f t="shared" si="235"/>
        <v>0.20999999999999996</v>
      </c>
      <c r="O120" s="51">
        <f>+'Trim Rwd'!H71</f>
        <v>272</v>
      </c>
      <c r="P120" s="52">
        <f t="shared" si="236"/>
        <v>18224</v>
      </c>
      <c r="Q120" s="51">
        <v>72</v>
      </c>
      <c r="R120" s="507">
        <v>0</v>
      </c>
      <c r="S120" s="507">
        <v>5</v>
      </c>
      <c r="T120" s="41">
        <f t="shared" si="237"/>
        <v>2.473870464</v>
      </c>
      <c r="U120" s="41">
        <f t="shared" si="238"/>
        <v>2.3020739040000002</v>
      </c>
      <c r="V120" s="41">
        <f t="shared" si="239"/>
        <v>0.17179656000000001</v>
      </c>
      <c r="W120" s="41">
        <f>+'20'!K23/1000</f>
        <v>0</v>
      </c>
      <c r="X120" s="42"/>
      <c r="Y120" s="218"/>
      <c r="Z120" s="41"/>
      <c r="AA120" s="41"/>
      <c r="AB120" s="41"/>
      <c r="AC120" s="41">
        <f>K120-T120</f>
        <v>0</v>
      </c>
      <c r="AD120" s="41">
        <f t="shared" si="240"/>
        <v>23</v>
      </c>
      <c r="AE120" s="237" t="s">
        <v>420</v>
      </c>
      <c r="AF120" s="37"/>
      <c r="AG120" s="37"/>
      <c r="AH120" s="37">
        <v>23</v>
      </c>
      <c r="AJ120" s="41"/>
      <c r="AK120" s="41"/>
      <c r="AL120" s="41"/>
      <c r="AM120" s="41">
        <f t="shared" si="241"/>
        <v>23</v>
      </c>
      <c r="AN120" s="41"/>
      <c r="AO120" s="41"/>
      <c r="AP120" s="41"/>
      <c r="AQ120" s="41"/>
      <c r="AR120" s="41">
        <f t="shared" si="242"/>
        <v>0</v>
      </c>
      <c r="AS120" s="41"/>
      <c r="AT120" s="41"/>
      <c r="AU120" s="41"/>
      <c r="AV120" s="41"/>
      <c r="AW120" s="41"/>
      <c r="AX120" s="41"/>
      <c r="AY120" s="41"/>
      <c r="AZ120" s="41"/>
      <c r="BA120" s="41"/>
      <c r="BB120" s="41"/>
      <c r="BC120" s="41">
        <f t="shared" si="243"/>
        <v>0</v>
      </c>
      <c r="BD120" s="37"/>
      <c r="BE120" s="510"/>
      <c r="BF120" s="510"/>
      <c r="BG120" s="37"/>
      <c r="BH120" s="510"/>
    </row>
    <row r="121" spans="1:60" ht="12.95" customHeight="1">
      <c r="A121" s="44"/>
      <c r="B121" s="45"/>
      <c r="C121" s="451"/>
      <c r="D121" s="45"/>
      <c r="E121" s="46"/>
      <c r="F121" s="46"/>
      <c r="G121" s="47"/>
      <c r="H121" s="48"/>
      <c r="I121" s="49"/>
      <c r="J121" s="89"/>
      <c r="K121" s="89"/>
      <c r="L121" s="39"/>
      <c r="M121" s="39"/>
      <c r="N121" s="50"/>
      <c r="O121" s="51"/>
      <c r="P121" s="52"/>
      <c r="Q121" s="38"/>
      <c r="R121" s="507"/>
      <c r="S121" s="507"/>
      <c r="T121" s="41"/>
      <c r="U121" s="41"/>
      <c r="V121" s="41"/>
      <c r="W121" s="41"/>
      <c r="X121" s="42"/>
      <c r="Y121" s="218"/>
      <c r="Z121" s="41"/>
      <c r="AA121" s="41"/>
      <c r="AB121" s="41"/>
      <c r="AC121" s="41"/>
      <c r="AD121" s="41">
        <f t="shared" si="240"/>
        <v>6</v>
      </c>
      <c r="AE121" s="240" t="s">
        <v>225</v>
      </c>
      <c r="AF121" s="41"/>
      <c r="AG121" s="41"/>
      <c r="AH121" s="41"/>
      <c r="AI121" s="509">
        <v>6</v>
      </c>
      <c r="AJ121" s="41"/>
      <c r="AK121" s="41"/>
      <c r="AL121" s="41"/>
      <c r="AM121" s="41">
        <f t="shared" si="241"/>
        <v>6</v>
      </c>
      <c r="AN121" s="41"/>
      <c r="AO121" s="41"/>
      <c r="AP121" s="41"/>
      <c r="AQ121" s="41"/>
      <c r="AR121" s="41">
        <f t="shared" si="242"/>
        <v>0</v>
      </c>
      <c r="AS121" s="41"/>
      <c r="AT121" s="41"/>
      <c r="AU121" s="41"/>
      <c r="AV121" s="41"/>
      <c r="AW121" s="41"/>
      <c r="AX121" s="41"/>
      <c r="AY121" s="41"/>
      <c r="AZ121" s="41"/>
      <c r="BA121" s="41"/>
      <c r="BB121" s="41"/>
      <c r="BC121" s="41">
        <f t="shared" si="243"/>
        <v>0</v>
      </c>
      <c r="BD121" s="54"/>
      <c r="BE121" s="55"/>
      <c r="BF121" s="55"/>
      <c r="BG121" s="54"/>
      <c r="BH121" s="55"/>
    </row>
    <row r="122" spans="1:60" ht="12.95" customHeight="1">
      <c r="A122" s="44"/>
      <c r="B122" s="561"/>
      <c r="C122" s="451"/>
      <c r="D122" s="45"/>
      <c r="E122" s="46"/>
      <c r="F122" s="46"/>
      <c r="G122" s="47"/>
      <c r="H122" s="47"/>
      <c r="I122" s="49"/>
      <c r="J122" s="89"/>
      <c r="K122" s="89"/>
      <c r="L122" s="39"/>
      <c r="M122" s="39"/>
      <c r="N122" s="50"/>
      <c r="O122" s="51"/>
      <c r="P122" s="52"/>
      <c r="Q122" s="38"/>
      <c r="R122" s="507"/>
      <c r="S122" s="507"/>
      <c r="T122" s="41"/>
      <c r="U122" s="41"/>
      <c r="V122" s="41"/>
      <c r="W122" s="41"/>
      <c r="X122" s="42"/>
      <c r="Y122" s="42"/>
      <c r="Z122" s="41"/>
      <c r="AA122" s="53"/>
      <c r="AB122" s="53"/>
      <c r="AC122" s="41"/>
      <c r="AD122" s="41"/>
      <c r="AE122" s="24"/>
      <c r="AF122" s="41"/>
      <c r="AG122" s="41"/>
      <c r="AH122" s="41"/>
      <c r="AI122" s="41"/>
      <c r="AJ122" s="41"/>
      <c r="AK122" s="41"/>
      <c r="AL122" s="41"/>
      <c r="AM122" s="41"/>
      <c r="AN122" s="41"/>
      <c r="AO122" s="41"/>
      <c r="AP122" s="41"/>
      <c r="AQ122" s="41"/>
      <c r="AR122" s="41"/>
      <c r="AS122" s="41"/>
      <c r="AT122" s="41"/>
      <c r="AU122" s="41"/>
      <c r="AV122" s="41"/>
      <c r="AW122" s="41"/>
      <c r="AX122" s="41"/>
      <c r="AY122" s="41"/>
      <c r="AZ122" s="41"/>
      <c r="BA122" s="41"/>
      <c r="BB122" s="41"/>
      <c r="BC122" s="41"/>
      <c r="BD122" s="37"/>
      <c r="BE122" s="55"/>
      <c r="BF122" s="55"/>
      <c r="BG122" s="55"/>
      <c r="BH122" s="55"/>
    </row>
    <row r="123" spans="1:60" ht="12.95" customHeight="1">
      <c r="A123" s="44">
        <v>46044</v>
      </c>
      <c r="B123" s="45" t="s">
        <v>417</v>
      </c>
      <c r="C123" s="451">
        <f t="shared" ref="C123" si="244">(M123*E123*O123*Q123)/100000000</f>
        <v>51.354600959999999</v>
      </c>
      <c r="D123" s="45" t="s">
        <v>430</v>
      </c>
      <c r="E123" s="46">
        <v>13</v>
      </c>
      <c r="F123" s="46">
        <v>1</v>
      </c>
      <c r="G123" s="506">
        <f>+L123</f>
        <v>1276.6666666666667</v>
      </c>
      <c r="H123" s="48">
        <f>+N123</f>
        <v>0.20999999999999996</v>
      </c>
      <c r="I123" s="49">
        <v>0.88</v>
      </c>
      <c r="J123" s="89">
        <f t="shared" ref="J123" si="245">E123*G123*(1-H123)*1440/1000000*2.75</f>
        <v>51.921012000000012</v>
      </c>
      <c r="K123" s="89">
        <f t="shared" ref="K123" si="246">(IF(G123&lt;L123,L123,G123)*(1-IF(H123&lt;N123,H123,N123))*E123*O123*Q123)/100000000</f>
        <v>51.354600959999999</v>
      </c>
      <c r="L123" s="39">
        <v>1276.6666666666667</v>
      </c>
      <c r="M123" s="39">
        <v>1008.5666666666667</v>
      </c>
      <c r="N123" s="50">
        <f t="shared" ref="N123" si="247">1-(M123/L123)</f>
        <v>0.20999999999999996</v>
      </c>
      <c r="O123" s="51">
        <f>+'Trim Rwd'!H73</f>
        <v>272</v>
      </c>
      <c r="P123" s="52">
        <f t="shared" ref="P123" si="248">O123*(Q123-R123-S123)</f>
        <v>374544</v>
      </c>
      <c r="Q123" s="51">
        <v>1440</v>
      </c>
      <c r="R123" s="507">
        <v>0</v>
      </c>
      <c r="S123" s="507">
        <v>63</v>
      </c>
      <c r="T123" s="41">
        <f t="shared" ref="T123" si="249">E123*M123*O123*Q123/100000000</f>
        <v>51.354600959999999</v>
      </c>
      <c r="U123" s="41">
        <f t="shared" ref="U123" si="250">E123*M123*O123*(Q123-R123-S123)/100000000</f>
        <v>49.107837168000003</v>
      </c>
      <c r="V123" s="41">
        <f t="shared" ref="V123" si="251">E123*G123*(1-N123)*O123/100*(R123+S123)/1000000</f>
        <v>2.2467637920000003</v>
      </c>
      <c r="W123" s="41">
        <f>+'22'!K21/1000</f>
        <v>45.847000000000001</v>
      </c>
      <c r="X123" s="508">
        <f>SUM(W123:W126)/SUM(K123:K126)</f>
        <v>0.94571857422918626</v>
      </c>
      <c r="Y123" s="218">
        <v>0</v>
      </c>
      <c r="Z123" s="41">
        <v>0</v>
      </c>
      <c r="AA123" s="53">
        <v>0</v>
      </c>
      <c r="AB123" s="53">
        <f>(SUM(K123:K126)-SUM(W123:W126)-SUM(Y123:Y126)-SUM(Z123:Z126)-SUM(AC123:AC126)-SUM(V123:V126))-AA123</f>
        <v>0.54083716799999859</v>
      </c>
      <c r="AC123" s="41">
        <f>K123-T123</f>
        <v>0</v>
      </c>
      <c r="AD123" s="41">
        <f>+AM123+BC123</f>
        <v>10</v>
      </c>
      <c r="AE123" s="237" t="s">
        <v>394</v>
      </c>
      <c r="AF123" s="41">
        <v>10</v>
      </c>
      <c r="AG123" s="41"/>
      <c r="AH123" s="41"/>
      <c r="AI123" s="509"/>
      <c r="AJ123" s="41"/>
      <c r="AK123" s="41"/>
      <c r="AL123" s="41"/>
      <c r="AM123" s="41">
        <f>SUM(AF123:AL123)+AT123</f>
        <v>10</v>
      </c>
      <c r="AN123" s="41"/>
      <c r="AO123" s="41"/>
      <c r="AP123" s="41"/>
      <c r="AQ123" s="41"/>
      <c r="AR123" s="41">
        <f>SUM(AN123:AQ123)</f>
        <v>0</v>
      </c>
      <c r="AS123" s="41"/>
      <c r="AT123" s="41"/>
      <c r="AU123" s="41"/>
      <c r="AV123" s="41"/>
      <c r="AW123" s="41"/>
      <c r="AX123" s="41"/>
      <c r="AY123" s="41"/>
      <c r="AZ123" s="41"/>
      <c r="BA123" s="41"/>
      <c r="BB123" s="41"/>
      <c r="BC123" s="41">
        <f>+AR123+AS123+AU123+AV123+AX123</f>
        <v>0</v>
      </c>
      <c r="BD123" s="37">
        <v>2</v>
      </c>
      <c r="BE123" s="55"/>
      <c r="BF123" s="55"/>
      <c r="BG123" s="37"/>
      <c r="BH123" s="55"/>
    </row>
    <row r="124" spans="1:60" ht="12.95" customHeight="1">
      <c r="A124" s="44"/>
      <c r="B124" s="45" t="s">
        <v>417</v>
      </c>
      <c r="C124" s="451"/>
      <c r="D124" s="45"/>
      <c r="E124" s="46">
        <v>13.5</v>
      </c>
      <c r="F124" s="46"/>
      <c r="G124" s="506"/>
      <c r="H124" s="48"/>
      <c r="I124" s="49"/>
      <c r="J124" s="89"/>
      <c r="K124" s="89"/>
      <c r="L124" s="39"/>
      <c r="M124" s="39"/>
      <c r="N124" s="50"/>
      <c r="O124" s="51"/>
      <c r="P124" s="52"/>
      <c r="Q124" s="51"/>
      <c r="R124" s="507"/>
      <c r="S124" s="507"/>
      <c r="T124" s="41"/>
      <c r="U124" s="41"/>
      <c r="V124" s="41"/>
      <c r="W124" s="41">
        <f>+'22'!K7/1000</f>
        <v>2.72</v>
      </c>
      <c r="X124" s="42"/>
      <c r="Y124" s="218"/>
      <c r="Z124" s="41"/>
      <c r="AA124" s="41"/>
      <c r="AB124" s="41"/>
      <c r="AC124" s="41">
        <f>K124-T124</f>
        <v>0</v>
      </c>
      <c r="AD124" s="41">
        <f t="shared" ref="AD124:AD126" si="252">+AM124+BC124</f>
        <v>17</v>
      </c>
      <c r="AE124" s="237" t="s">
        <v>570</v>
      </c>
      <c r="AF124" s="41"/>
      <c r="AG124" s="41">
        <v>17</v>
      </c>
      <c r="AH124" s="41"/>
      <c r="AI124" s="509"/>
      <c r="AJ124" s="41"/>
      <c r="AK124" s="41"/>
      <c r="AL124" s="41"/>
      <c r="AM124" s="41">
        <f t="shared" ref="AM124:AM126" si="253">SUM(AF124:AL124)+AT124</f>
        <v>17</v>
      </c>
      <c r="AN124" s="90"/>
      <c r="AO124" s="41"/>
      <c r="AP124" s="41"/>
      <c r="AQ124" s="41"/>
      <c r="AR124" s="41">
        <f t="shared" ref="AR124:AR126" si="254">SUM(AN124:AQ124)</f>
        <v>0</v>
      </c>
      <c r="AS124" s="41"/>
      <c r="AT124" s="41"/>
      <c r="AU124" s="41"/>
      <c r="AV124" s="41"/>
      <c r="AW124" s="41"/>
      <c r="AX124" s="41"/>
      <c r="AY124" s="41"/>
      <c r="AZ124" s="41"/>
      <c r="BA124" s="41"/>
      <c r="BB124" s="41"/>
      <c r="BC124" s="41">
        <f t="shared" ref="BC124:BC126" si="255">+AR124+AS124+AU124+AV124+AX124</f>
        <v>0</v>
      </c>
      <c r="BD124" s="54"/>
      <c r="BE124" s="55">
        <v>9</v>
      </c>
      <c r="BF124" s="55"/>
      <c r="BG124" s="54"/>
      <c r="BH124" s="55"/>
    </row>
    <row r="125" spans="1:60" ht="12.95" customHeight="1">
      <c r="A125" s="44"/>
      <c r="B125" s="45"/>
      <c r="C125" s="451"/>
      <c r="D125" s="45"/>
      <c r="E125" s="46"/>
      <c r="F125" s="46"/>
      <c r="G125" s="506"/>
      <c r="H125" s="48"/>
      <c r="I125" s="49"/>
      <c r="J125" s="89"/>
      <c r="K125" s="89"/>
      <c r="L125" s="39"/>
      <c r="M125" s="39"/>
      <c r="N125" s="50"/>
      <c r="O125" s="51"/>
      <c r="P125" s="52"/>
      <c r="Q125" s="51"/>
      <c r="R125" s="507"/>
      <c r="S125" s="507"/>
      <c r="T125" s="41"/>
      <c r="U125" s="41"/>
      <c r="V125" s="41"/>
      <c r="W125" s="41"/>
      <c r="X125" s="42"/>
      <c r="Y125" s="218"/>
      <c r="Z125" s="41"/>
      <c r="AA125" s="41"/>
      <c r="AB125" s="41"/>
      <c r="AC125" s="41"/>
      <c r="AD125" s="41">
        <f t="shared" si="252"/>
        <v>28</v>
      </c>
      <c r="AE125" s="237" t="s">
        <v>457</v>
      </c>
      <c r="AF125" s="37"/>
      <c r="AG125" s="37"/>
      <c r="AH125" s="37">
        <v>28</v>
      </c>
      <c r="AJ125" s="41"/>
      <c r="AK125" s="41"/>
      <c r="AL125" s="41"/>
      <c r="AM125" s="41">
        <f t="shared" si="253"/>
        <v>28</v>
      </c>
      <c r="AN125" s="41"/>
      <c r="AO125" s="41"/>
      <c r="AP125" s="41"/>
      <c r="AQ125" s="41"/>
      <c r="AR125" s="41">
        <f t="shared" si="254"/>
        <v>0</v>
      </c>
      <c r="AS125" s="41"/>
      <c r="AT125" s="41"/>
      <c r="AU125" s="41"/>
      <c r="AV125" s="41"/>
      <c r="AW125" s="41"/>
      <c r="AX125" s="41"/>
      <c r="AY125" s="41"/>
      <c r="AZ125" s="41"/>
      <c r="BA125" s="41"/>
      <c r="BB125" s="41"/>
      <c r="BC125" s="41">
        <f t="shared" si="255"/>
        <v>0</v>
      </c>
      <c r="BD125" s="37"/>
      <c r="BE125" s="510"/>
      <c r="BF125" s="510"/>
      <c r="BG125" s="37"/>
      <c r="BH125" s="510"/>
    </row>
    <row r="126" spans="1:60" ht="12.95" customHeight="1">
      <c r="A126" s="44"/>
      <c r="B126" s="45"/>
      <c r="C126" s="451"/>
      <c r="D126" s="45"/>
      <c r="E126" s="46"/>
      <c r="F126" s="46"/>
      <c r="G126" s="47"/>
      <c r="H126" s="48"/>
      <c r="I126" s="49"/>
      <c r="J126" s="89"/>
      <c r="K126" s="89"/>
      <c r="L126" s="39"/>
      <c r="M126" s="39"/>
      <c r="N126" s="50"/>
      <c r="O126" s="51"/>
      <c r="P126" s="52"/>
      <c r="Q126" s="38"/>
      <c r="R126" s="507"/>
      <c r="S126" s="507"/>
      <c r="T126" s="41"/>
      <c r="U126" s="41"/>
      <c r="V126" s="41"/>
      <c r="W126" s="41"/>
      <c r="X126" s="42"/>
      <c r="Y126" s="218"/>
      <c r="Z126" s="41"/>
      <c r="AA126" s="41"/>
      <c r="AB126" s="41"/>
      <c r="AC126" s="41"/>
      <c r="AD126" s="41">
        <f t="shared" si="252"/>
        <v>8</v>
      </c>
      <c r="AE126" s="240" t="s">
        <v>225</v>
      </c>
      <c r="AF126" s="41"/>
      <c r="AG126" s="41"/>
      <c r="AH126" s="41"/>
      <c r="AI126" s="509">
        <v>8</v>
      </c>
      <c r="AJ126" s="41"/>
      <c r="AK126" s="41"/>
      <c r="AL126" s="41"/>
      <c r="AM126" s="41">
        <f t="shared" si="253"/>
        <v>8</v>
      </c>
      <c r="AN126" s="41"/>
      <c r="AO126" s="41"/>
      <c r="AP126" s="41"/>
      <c r="AQ126" s="41"/>
      <c r="AR126" s="41">
        <f t="shared" si="254"/>
        <v>0</v>
      </c>
      <c r="AS126" s="41"/>
      <c r="AT126" s="41"/>
      <c r="AU126" s="41"/>
      <c r="AV126" s="41"/>
      <c r="AW126" s="41"/>
      <c r="AX126" s="41"/>
      <c r="AY126" s="41"/>
      <c r="AZ126" s="41"/>
      <c r="BA126" s="41"/>
      <c r="BB126" s="41"/>
      <c r="BC126" s="41">
        <f t="shared" si="255"/>
        <v>0</v>
      </c>
      <c r="BD126" s="54"/>
      <c r="BE126" s="55"/>
      <c r="BF126" s="55"/>
      <c r="BG126" s="54"/>
      <c r="BH126" s="55"/>
    </row>
    <row r="127" spans="1:60" ht="12.95" customHeight="1">
      <c r="A127" s="44"/>
      <c r="B127" s="561"/>
      <c r="C127" s="451"/>
      <c r="D127" s="45"/>
      <c r="E127" s="46"/>
      <c r="F127" s="46"/>
      <c r="G127" s="47"/>
      <c r="H127" s="47"/>
      <c r="I127" s="49"/>
      <c r="J127" s="89"/>
      <c r="K127" s="89"/>
      <c r="L127" s="39"/>
      <c r="M127" s="39"/>
      <c r="N127" s="50"/>
      <c r="O127" s="51"/>
      <c r="P127" s="52"/>
      <c r="Q127" s="38"/>
      <c r="R127" s="507"/>
      <c r="S127" s="507"/>
      <c r="T127" s="41"/>
      <c r="U127" s="41"/>
      <c r="V127" s="41"/>
      <c r="W127" s="41"/>
      <c r="X127" s="42"/>
      <c r="Y127" s="42"/>
      <c r="Z127" s="41"/>
      <c r="AA127" s="53"/>
      <c r="AB127" s="53"/>
      <c r="AC127" s="41"/>
      <c r="AD127" s="41"/>
      <c r="AE127" s="24"/>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37"/>
      <c r="BE127" s="55"/>
      <c r="BF127" s="55"/>
      <c r="BG127" s="55"/>
      <c r="BH127" s="55"/>
    </row>
    <row r="128" spans="1:60" ht="12.95" customHeight="1">
      <c r="A128" s="44">
        <v>46045</v>
      </c>
      <c r="B128" s="45" t="s">
        <v>417</v>
      </c>
      <c r="C128" s="451">
        <f t="shared" ref="C128:C129" si="256">(M128*E128*O128*Q128)/100000000</f>
        <v>7.8048713599999999</v>
      </c>
      <c r="D128" s="45" t="s">
        <v>430</v>
      </c>
      <c r="E128" s="46">
        <v>13</v>
      </c>
      <c r="F128" s="46">
        <v>1</v>
      </c>
      <c r="G128" s="506">
        <f t="shared" ref="G128:G129" si="257">+L128</f>
        <v>1270</v>
      </c>
      <c r="H128" s="48">
        <f t="shared" ref="H128:H129" si="258">+N128</f>
        <v>0.21000000000000008</v>
      </c>
      <c r="I128" s="49">
        <v>0.88</v>
      </c>
      <c r="J128" s="89">
        <f t="shared" ref="J128:J129" si="259">E128*G128*(1-H128)*1440/1000000*2.75</f>
        <v>51.649884</v>
      </c>
      <c r="K128" s="89">
        <f t="shared" ref="K128:K129" si="260">(IF(G128&lt;L128,L128,G128)*(1-IF(H128&lt;N128,H128,N128))*E128*O128*Q128)/100000000</f>
        <v>7.8048713599999999</v>
      </c>
      <c r="L128" s="39">
        <v>1270</v>
      </c>
      <c r="M128" s="39">
        <v>1003.3</v>
      </c>
      <c r="N128" s="50">
        <f t="shared" ref="N128:N129" si="261">1-(M128/L128)</f>
        <v>0.21000000000000008</v>
      </c>
      <c r="O128" s="51">
        <f>+'Trim Rwd'!H78</f>
        <v>272</v>
      </c>
      <c r="P128" s="52">
        <f t="shared" ref="P128:P129" si="262">O128*(Q128-R128-S128)</f>
        <v>56576</v>
      </c>
      <c r="Q128" s="51">
        <v>220</v>
      </c>
      <c r="R128" s="507">
        <v>0</v>
      </c>
      <c r="S128" s="507">
        <v>12</v>
      </c>
      <c r="T128" s="41">
        <f t="shared" ref="T128:T129" si="263">E128*M128*O128*Q128/100000000</f>
        <v>7.8048713599999999</v>
      </c>
      <c r="U128" s="41">
        <f t="shared" ref="U128:U129" si="264">E128*M128*O128*(Q128-R128-S128)/100000000</f>
        <v>7.379151104</v>
      </c>
      <c r="V128" s="41">
        <f t="shared" ref="V128:V129" si="265">E128*G128*(1-N128)*O128/100*(R128+S128)/1000000</f>
        <v>0.42572025599999991</v>
      </c>
      <c r="W128" s="41">
        <f>+'23'!K21/1000</f>
        <v>10.394</v>
      </c>
      <c r="X128" s="508">
        <f>SUM(W128:W131)/SUM(K128:K131)</f>
        <v>0.98849829071476736</v>
      </c>
      <c r="Y128" s="218">
        <v>0</v>
      </c>
      <c r="Z128" s="41">
        <v>0</v>
      </c>
      <c r="AA128" s="53">
        <v>0</v>
      </c>
      <c r="AB128" s="53">
        <f>(SUM(K128:K131)-SUM(W128:W131)-SUM(Y128:Y131)-SUM(Z128:Z131)-SUM(AC128:AC131)-SUM(V128:V131))-AA128</f>
        <v>-1.2800870358032796</v>
      </c>
      <c r="AC128" s="41">
        <f>K128-T128</f>
        <v>0</v>
      </c>
      <c r="AD128" s="41">
        <f>+AM128+BC128</f>
        <v>0</v>
      </c>
      <c r="AE128" s="237" t="s">
        <v>386</v>
      </c>
      <c r="AF128" s="41">
        <v>0</v>
      </c>
      <c r="AG128" s="41"/>
      <c r="AH128" s="41"/>
      <c r="AI128" s="509"/>
      <c r="AJ128" s="41"/>
      <c r="AK128" s="41"/>
      <c r="AL128" s="41"/>
      <c r="AM128" s="41">
        <f>SUM(AF128:AL128)+AT128</f>
        <v>0</v>
      </c>
      <c r="AN128" s="41"/>
      <c r="AO128" s="41"/>
      <c r="AP128" s="41"/>
      <c r="AQ128" s="41"/>
      <c r="AR128" s="41">
        <f>SUM(AN128:AQ128)</f>
        <v>0</v>
      </c>
      <c r="AS128" s="41"/>
      <c r="AT128" s="41"/>
      <c r="AU128" s="41"/>
      <c r="AV128" s="41"/>
      <c r="AW128" s="41"/>
      <c r="AX128" s="41"/>
      <c r="AY128" s="41"/>
      <c r="AZ128" s="41"/>
      <c r="BA128" s="41"/>
      <c r="BB128" s="41"/>
      <c r="BC128" s="41">
        <f>+AR128+AS128+AU128+AV128+AX128</f>
        <v>0</v>
      </c>
      <c r="BD128" s="37">
        <v>0</v>
      </c>
      <c r="BE128" s="55"/>
      <c r="BF128" s="55"/>
      <c r="BG128" s="37"/>
      <c r="BH128" s="55"/>
    </row>
    <row r="129" spans="1:60" ht="12.95" customHeight="1">
      <c r="A129" s="44"/>
      <c r="B129" s="45" t="s">
        <v>417</v>
      </c>
      <c r="C129" s="451">
        <f t="shared" si="256"/>
        <v>38.435977439999995</v>
      </c>
      <c r="D129" s="45" t="s">
        <v>430</v>
      </c>
      <c r="E129" s="46">
        <v>13.5</v>
      </c>
      <c r="F129" s="46">
        <v>1</v>
      </c>
      <c r="G129" s="506">
        <f t="shared" si="257"/>
        <v>1142.9344262295083</v>
      </c>
      <c r="H129" s="48">
        <f t="shared" si="258"/>
        <v>0.21000000000000008</v>
      </c>
      <c r="I129" s="49">
        <v>0.88</v>
      </c>
      <c r="J129" s="89">
        <f t="shared" si="259"/>
        <v>48.270006796721304</v>
      </c>
      <c r="K129" s="89">
        <f t="shared" si="260"/>
        <v>38.435977439999995</v>
      </c>
      <c r="L129" s="39">
        <v>1142.9344262295083</v>
      </c>
      <c r="M129" s="39">
        <v>902.91819672131146</v>
      </c>
      <c r="N129" s="50">
        <f t="shared" si="261"/>
        <v>0.21000000000000008</v>
      </c>
      <c r="O129" s="51">
        <f>+'Trim Rwd'!H76</f>
        <v>258.46153846153845</v>
      </c>
      <c r="P129" s="52">
        <f t="shared" si="262"/>
        <v>303950.76923076925</v>
      </c>
      <c r="Q129" s="51">
        <v>1220</v>
      </c>
      <c r="R129" s="507">
        <v>0</v>
      </c>
      <c r="S129" s="507">
        <f>166-122</f>
        <v>44</v>
      </c>
      <c r="T129" s="41">
        <f t="shared" si="263"/>
        <v>38.435977439999995</v>
      </c>
      <c r="U129" s="41">
        <f t="shared" si="264"/>
        <v>37.049761860196718</v>
      </c>
      <c r="V129" s="41">
        <f t="shared" si="265"/>
        <v>1.3862155798032785</v>
      </c>
      <c r="W129" s="41">
        <f>+'23'!K7/1000</f>
        <v>35.314999999999998</v>
      </c>
      <c r="X129" s="42"/>
      <c r="Y129" s="218"/>
      <c r="Z129" s="41"/>
      <c r="AA129" s="41"/>
      <c r="AB129" s="41"/>
      <c r="AC129" s="41">
        <f>K129-T129</f>
        <v>0</v>
      </c>
      <c r="AD129" s="41">
        <f t="shared" ref="AD129:AD132" si="266">+AM129+BC129</f>
        <v>15</v>
      </c>
      <c r="AE129" s="237" t="s">
        <v>640</v>
      </c>
      <c r="AF129" s="41"/>
      <c r="AG129" s="41">
        <v>15</v>
      </c>
      <c r="AH129" s="41"/>
      <c r="AI129" s="509"/>
      <c r="AJ129" s="41"/>
      <c r="AK129" s="41"/>
      <c r="AL129" s="41"/>
      <c r="AM129" s="41">
        <f t="shared" ref="AM129:AM131" si="267">SUM(AF129:AL129)+AT129</f>
        <v>15</v>
      </c>
      <c r="AN129" s="90"/>
      <c r="AO129" s="41"/>
      <c r="AP129" s="41"/>
      <c r="AQ129" s="41"/>
      <c r="AR129" s="41">
        <f t="shared" ref="AR129:AR131" si="268">SUM(AN129:AQ129)</f>
        <v>0</v>
      </c>
      <c r="AS129" s="41"/>
      <c r="AT129" s="41"/>
      <c r="AU129" s="41"/>
      <c r="AV129" s="41"/>
      <c r="AW129" s="41"/>
      <c r="AX129" s="41"/>
      <c r="AY129" s="41"/>
      <c r="AZ129" s="41"/>
      <c r="BA129" s="41"/>
      <c r="BB129" s="41"/>
      <c r="BC129" s="41">
        <f t="shared" ref="BC129:BC131" si="269">+AR129+AS129+AU129+AV129+AX129</f>
        <v>0</v>
      </c>
      <c r="BD129" s="54"/>
      <c r="BE129" s="55">
        <v>10</v>
      </c>
      <c r="BF129" s="55"/>
      <c r="BG129" s="54"/>
      <c r="BH129" s="55"/>
    </row>
    <row r="130" spans="1:60" ht="12.95" customHeight="1">
      <c r="A130" s="44"/>
      <c r="B130" s="45"/>
      <c r="C130" s="451"/>
      <c r="D130" s="45"/>
      <c r="E130" s="46"/>
      <c r="F130" s="46"/>
      <c r="G130" s="506"/>
      <c r="H130" s="48"/>
      <c r="I130" s="49"/>
      <c r="J130" s="89"/>
      <c r="K130" s="89"/>
      <c r="L130" s="39"/>
      <c r="M130" s="39"/>
      <c r="N130" s="50"/>
      <c r="O130" s="51"/>
      <c r="P130" s="52"/>
      <c r="Q130" s="51"/>
      <c r="R130" s="507"/>
      <c r="S130" s="507"/>
      <c r="T130" s="41"/>
      <c r="U130" s="41"/>
      <c r="V130" s="41"/>
      <c r="W130" s="41"/>
      <c r="X130" s="42"/>
      <c r="Y130" s="218"/>
      <c r="Z130" s="41"/>
      <c r="AA130" s="41"/>
      <c r="AB130" s="41"/>
      <c r="AC130" s="41"/>
      <c r="AD130" s="41">
        <f t="shared" si="266"/>
        <v>27</v>
      </c>
      <c r="AE130" s="237" t="s">
        <v>674</v>
      </c>
      <c r="AF130" s="37"/>
      <c r="AG130" s="37"/>
      <c r="AH130" s="37">
        <v>27</v>
      </c>
      <c r="AJ130" s="41"/>
      <c r="AK130" s="41"/>
      <c r="AL130" s="41"/>
      <c r="AM130" s="41">
        <f t="shared" si="267"/>
        <v>27</v>
      </c>
      <c r="AN130" s="41"/>
      <c r="AO130" s="41"/>
      <c r="AP130" s="41"/>
      <c r="AQ130" s="41"/>
      <c r="AR130" s="41">
        <f t="shared" si="268"/>
        <v>0</v>
      </c>
      <c r="AS130" s="41"/>
      <c r="AT130" s="41"/>
      <c r="AU130" s="41"/>
      <c r="AV130" s="41"/>
      <c r="AW130" s="41"/>
      <c r="AX130" s="41"/>
      <c r="AY130" s="41"/>
      <c r="AZ130" s="41"/>
      <c r="BA130" s="41"/>
      <c r="BB130" s="41"/>
      <c r="BC130" s="41">
        <f t="shared" si="269"/>
        <v>0</v>
      </c>
      <c r="BD130" s="37"/>
      <c r="BE130" s="510"/>
      <c r="BF130" s="510"/>
      <c r="BG130" s="37"/>
      <c r="BH130" s="510"/>
    </row>
    <row r="131" spans="1:60" ht="15.75" customHeight="1">
      <c r="A131" s="44"/>
      <c r="B131" s="45"/>
      <c r="C131" s="451"/>
      <c r="D131" s="45"/>
      <c r="E131" s="46"/>
      <c r="F131" s="46"/>
      <c r="G131" s="47"/>
      <c r="H131" s="48"/>
      <c r="I131" s="49"/>
      <c r="J131" s="89"/>
      <c r="K131" s="89"/>
      <c r="L131" s="39"/>
      <c r="M131" s="39"/>
      <c r="N131" s="50"/>
      <c r="O131" s="51"/>
      <c r="P131" s="52"/>
      <c r="Q131" s="38"/>
      <c r="R131" s="507"/>
      <c r="S131" s="507"/>
      <c r="T131" s="41"/>
      <c r="U131" s="41"/>
      <c r="V131" s="41"/>
      <c r="W131" s="41"/>
      <c r="X131" s="42"/>
      <c r="Y131" s="218"/>
      <c r="Z131" s="41"/>
      <c r="AA131" s="41"/>
      <c r="AB131" s="41"/>
      <c r="AC131" s="41"/>
      <c r="AD131" s="41">
        <f t="shared" si="266"/>
        <v>14</v>
      </c>
      <c r="AE131" s="240" t="s">
        <v>225</v>
      </c>
      <c r="AF131" s="41"/>
      <c r="AG131" s="41"/>
      <c r="AH131" s="41"/>
      <c r="AI131" s="509">
        <v>14</v>
      </c>
      <c r="AJ131" s="41"/>
      <c r="AK131" s="41"/>
      <c r="AL131" s="41"/>
      <c r="AM131" s="41">
        <f t="shared" si="267"/>
        <v>14</v>
      </c>
      <c r="AN131" s="41"/>
      <c r="AO131" s="41"/>
      <c r="AP131" s="41"/>
      <c r="AQ131" s="41"/>
      <c r="AR131" s="41">
        <f t="shared" si="268"/>
        <v>0</v>
      </c>
      <c r="AS131" s="41"/>
      <c r="AT131" s="41"/>
      <c r="AU131" s="41"/>
      <c r="AV131" s="41"/>
      <c r="AW131" s="41"/>
      <c r="AX131" s="41"/>
      <c r="AY131" s="41"/>
      <c r="AZ131" s="41"/>
      <c r="BA131" s="41"/>
      <c r="BB131" s="41"/>
      <c r="BC131" s="41">
        <f t="shared" si="269"/>
        <v>0</v>
      </c>
      <c r="BD131" s="54"/>
      <c r="BE131" s="55"/>
      <c r="BF131" s="55"/>
      <c r="BG131" s="54"/>
      <c r="BH131" s="55"/>
    </row>
    <row r="132" spans="1:60" ht="12.95" customHeight="1">
      <c r="A132" s="44"/>
      <c r="B132" s="45"/>
      <c r="C132" s="451"/>
      <c r="D132" s="45"/>
      <c r="E132" s="46"/>
      <c r="F132" s="46"/>
      <c r="G132" s="47"/>
      <c r="H132" s="48"/>
      <c r="I132" s="49"/>
      <c r="J132" s="89"/>
      <c r="K132" s="89"/>
      <c r="L132" s="39"/>
      <c r="M132" s="39"/>
      <c r="N132" s="50"/>
      <c r="O132" s="51"/>
      <c r="P132" s="52"/>
      <c r="Q132" s="38"/>
      <c r="R132" s="507"/>
      <c r="S132" s="507"/>
      <c r="T132" s="41"/>
      <c r="U132" s="41"/>
      <c r="V132" s="41"/>
      <c r="W132" s="41"/>
      <c r="X132" s="42"/>
      <c r="Y132" s="218"/>
      <c r="Z132" s="41"/>
      <c r="AA132" s="41"/>
      <c r="AB132" s="41"/>
      <c r="AC132" s="41"/>
      <c r="AD132" s="41">
        <f t="shared" si="266"/>
        <v>0</v>
      </c>
      <c r="AE132" s="240" t="s">
        <v>609</v>
      </c>
      <c r="AF132" s="41"/>
      <c r="AG132" s="41"/>
      <c r="AH132" s="41"/>
      <c r="AI132" s="509"/>
      <c r="AJ132" s="41"/>
      <c r="AK132" s="41"/>
      <c r="AL132" s="41"/>
      <c r="AM132" s="41">
        <f>SUM(AF132:AL132)+AT132+AV132+AX132+AZ132</f>
        <v>0</v>
      </c>
      <c r="AN132" s="41"/>
      <c r="AO132" s="41"/>
      <c r="AP132" s="41"/>
      <c r="AQ132" s="41"/>
      <c r="AR132" s="41">
        <f t="shared" ref="AR132" si="270">SUM(AN132:AQ132)</f>
        <v>0</v>
      </c>
      <c r="AS132" s="41"/>
      <c r="AT132" s="41"/>
      <c r="AU132" s="41"/>
      <c r="AV132" s="41"/>
      <c r="AW132" s="41"/>
      <c r="AX132" s="41"/>
      <c r="AY132" s="41"/>
      <c r="AZ132" s="41">
        <f>122-122</f>
        <v>0</v>
      </c>
      <c r="BA132" s="41"/>
      <c r="BB132" s="41"/>
      <c r="BC132" s="41">
        <f>+AR132+AS132+AU132+AV132+AX132+BA132</f>
        <v>0</v>
      </c>
      <c r="BD132" s="54"/>
      <c r="BE132" s="55"/>
      <c r="BF132" s="55"/>
      <c r="BG132" s="54"/>
      <c r="BH132" s="55"/>
    </row>
    <row r="133" spans="1:60" ht="12.95" customHeight="1">
      <c r="A133" s="44"/>
      <c r="B133" s="45"/>
      <c r="C133" s="451"/>
      <c r="D133" s="45"/>
      <c r="E133" s="46"/>
      <c r="F133" s="46"/>
      <c r="G133" s="47"/>
      <c r="H133" s="48"/>
      <c r="I133" s="49"/>
      <c r="J133" s="89"/>
      <c r="K133" s="89"/>
      <c r="L133" s="39"/>
      <c r="M133" s="39"/>
      <c r="N133" s="50"/>
      <c r="O133" s="51"/>
      <c r="P133" s="52"/>
      <c r="Q133" s="51"/>
      <c r="R133" s="507"/>
      <c r="S133" s="507"/>
      <c r="T133" s="41"/>
      <c r="U133" s="41"/>
      <c r="V133" s="41"/>
      <c r="W133" s="41"/>
      <c r="X133" s="508"/>
      <c r="Y133" s="218"/>
      <c r="Z133" s="41"/>
      <c r="AA133" s="53"/>
      <c r="AB133" s="53"/>
      <c r="AC133" s="41"/>
      <c r="AD133" s="41"/>
      <c r="AE133"/>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37"/>
      <c r="BE133" s="55"/>
      <c r="BF133" s="55"/>
      <c r="BG133" s="55"/>
      <c r="BH133" s="55"/>
    </row>
    <row r="134" spans="1:60" ht="12.95" customHeight="1">
      <c r="A134" s="44">
        <v>46046</v>
      </c>
      <c r="B134" s="45" t="s">
        <v>417</v>
      </c>
      <c r="C134" s="451">
        <f t="shared" ref="C134" si="271">(M134*E134*O134*Q134)/100000000</f>
        <v>46.316621896874999</v>
      </c>
      <c r="D134" s="45" t="s">
        <v>430</v>
      </c>
      <c r="E134" s="46">
        <v>13.5</v>
      </c>
      <c r="F134" s="46">
        <v>1</v>
      </c>
      <c r="G134" s="506">
        <f t="shared" ref="G134" si="272">+L134</f>
        <v>1210.8365019011408</v>
      </c>
      <c r="H134" s="48">
        <f t="shared" ref="H134" si="273">+N134</f>
        <v>0.21000000000000008</v>
      </c>
      <c r="I134" s="49">
        <v>0.88</v>
      </c>
      <c r="J134" s="89">
        <f t="shared" ref="J134" si="274">E134*G134*(1-H134)*1440/1000000*2.75</f>
        <v>51.137742319391634</v>
      </c>
      <c r="K134" s="89">
        <f t="shared" ref="K134" si="275">(IF(G134&lt;L134,L134,G134)*(1-IF(H134&lt;N134,H134,N134))*E134*O134*Q134)/100000000</f>
        <v>46.316621896874999</v>
      </c>
      <c r="L134" s="39">
        <v>1210.8365019011408</v>
      </c>
      <c r="M134" s="39">
        <v>956.56083650190112</v>
      </c>
      <c r="N134" s="50">
        <f t="shared" ref="N134" si="276">1-(M134/L134)</f>
        <v>0.21000000000000008</v>
      </c>
      <c r="O134" s="51">
        <f>+'Trim Rwd'!H80</f>
        <v>272.75</v>
      </c>
      <c r="P134" s="52">
        <f t="shared" ref="P134" si="277">O134*(Q134-R134-S134)</f>
        <v>345028.75</v>
      </c>
      <c r="Q134" s="51">
        <f>1440-125</f>
        <v>1315</v>
      </c>
      <c r="R134" s="507">
        <f>125-125</f>
        <v>0</v>
      </c>
      <c r="S134" s="507">
        <f>122-72</f>
        <v>50</v>
      </c>
      <c r="T134" s="41">
        <f t="shared" ref="T134" si="278">E134*M134*O134*Q134/100000000</f>
        <v>46.316621896874999</v>
      </c>
      <c r="U134" s="41">
        <f t="shared" ref="U134" si="279">E134*M134*O134*(Q134-R134-S134)/100000000</f>
        <v>44.555533611822717</v>
      </c>
      <c r="V134" s="41">
        <f t="shared" ref="V134" si="280">E134*G134*(1-N134)*O134/100*(R134+S134)/1000000</f>
        <v>1.7610882850522811</v>
      </c>
      <c r="W134" s="41">
        <f>+'24'!K7/1000</f>
        <v>41.923000000000002</v>
      </c>
      <c r="X134" s="508">
        <f>SUM(W134:W137)/SUM(K134:K137)</f>
        <v>0.90513941395256559</v>
      </c>
      <c r="Y134" s="218">
        <v>0</v>
      </c>
      <c r="Z134" s="41">
        <v>0</v>
      </c>
      <c r="AA134" s="53">
        <v>0</v>
      </c>
      <c r="AB134" s="53">
        <f>(SUM(K134:K137)-SUM(W134:W137)-SUM(Y134:Y137)-SUM(Z134:Z137)-SUM(AC134:AC137)-SUM(V134:V137))-AA134</f>
        <v>2.6325336118227156</v>
      </c>
      <c r="AC134" s="41">
        <f>K134-T134</f>
        <v>0</v>
      </c>
      <c r="AD134" s="41">
        <f>+AM134+BC134</f>
        <v>0</v>
      </c>
      <c r="AE134" s="237" t="s">
        <v>386</v>
      </c>
      <c r="AF134" s="41">
        <v>0</v>
      </c>
      <c r="AG134" s="41"/>
      <c r="AH134" s="41"/>
      <c r="AI134" s="509"/>
      <c r="AJ134" s="41"/>
      <c r="AK134" s="41"/>
      <c r="AL134" s="41"/>
      <c r="AM134" s="41">
        <f>SUM(AF134:AL134)+AT134</f>
        <v>0</v>
      </c>
      <c r="AN134" s="41"/>
      <c r="AO134" s="41"/>
      <c r="AP134" s="41"/>
      <c r="AQ134" s="41"/>
      <c r="AR134" s="41">
        <f>SUM(AN134:AQ134)</f>
        <v>0</v>
      </c>
      <c r="AS134" s="41"/>
      <c r="AT134" s="41"/>
      <c r="AU134" s="41"/>
      <c r="AV134" s="41"/>
      <c r="AW134" s="41"/>
      <c r="AX134" s="41"/>
      <c r="AY134" s="41"/>
      <c r="AZ134" s="41"/>
      <c r="BA134" s="41"/>
      <c r="BB134" s="41"/>
      <c r="BC134" s="41">
        <f>+AR134+AS134+AU134+AV134+AX134</f>
        <v>0</v>
      </c>
      <c r="BD134" s="37">
        <v>0</v>
      </c>
      <c r="BE134" s="55"/>
      <c r="BF134" s="55"/>
      <c r="BG134" s="37"/>
      <c r="BH134" s="55"/>
    </row>
    <row r="135" spans="1:60" ht="12.95" customHeight="1">
      <c r="A135" s="44"/>
      <c r="B135" s="45"/>
      <c r="C135" s="451"/>
      <c r="D135" s="45"/>
      <c r="E135" s="46"/>
      <c r="F135" s="46"/>
      <c r="G135" s="506"/>
      <c r="H135" s="48"/>
      <c r="I135" s="49"/>
      <c r="J135" s="89"/>
      <c r="K135" s="89"/>
      <c r="L135" s="39"/>
      <c r="M135" s="39"/>
      <c r="N135" s="50"/>
      <c r="O135" s="51"/>
      <c r="P135" s="52"/>
      <c r="Q135" s="51"/>
      <c r="R135" s="507"/>
      <c r="S135" s="507"/>
      <c r="T135" s="41"/>
      <c r="U135" s="41"/>
      <c r="V135" s="41"/>
      <c r="W135" s="41"/>
      <c r="X135" s="42"/>
      <c r="Y135" s="218"/>
      <c r="Z135" s="41"/>
      <c r="AA135" s="41"/>
      <c r="AB135" s="41"/>
      <c r="AC135" s="41"/>
      <c r="AD135" s="41">
        <f t="shared" ref="AD135:AD139" si="281">+AM135+BC135</f>
        <v>13</v>
      </c>
      <c r="AE135" s="237" t="s">
        <v>438</v>
      </c>
      <c r="AF135" s="41"/>
      <c r="AG135" s="41">
        <v>13</v>
      </c>
      <c r="AH135" s="41"/>
      <c r="AI135" s="509"/>
      <c r="AJ135" s="41"/>
      <c r="AK135" s="41"/>
      <c r="AL135" s="41"/>
      <c r="AM135" s="41">
        <f t="shared" ref="AM135:AM137" si="282">SUM(AF135:AL135)+AT135</f>
        <v>13</v>
      </c>
      <c r="AN135" s="90"/>
      <c r="AO135" s="41"/>
      <c r="AP135" s="41"/>
      <c r="AQ135" s="41"/>
      <c r="AR135" s="41">
        <f t="shared" ref="AR135:AR137" si="283">SUM(AN135:AQ135)</f>
        <v>0</v>
      </c>
      <c r="AS135" s="41"/>
      <c r="AT135" s="41"/>
      <c r="AU135" s="41"/>
      <c r="AV135" s="41"/>
      <c r="AW135" s="41"/>
      <c r="AX135" s="41"/>
      <c r="AY135" s="41"/>
      <c r="AZ135" s="41"/>
      <c r="BA135" s="41"/>
      <c r="BB135" s="41"/>
      <c r="BC135" s="41">
        <f t="shared" ref="BC135:BC137" si="284">+AR135+AS135+AU135+AV135+AX135</f>
        <v>0</v>
      </c>
      <c r="BD135" s="54"/>
      <c r="BE135" s="55">
        <v>8</v>
      </c>
      <c r="BF135" s="55"/>
      <c r="BG135" s="54"/>
      <c r="BH135" s="55"/>
    </row>
    <row r="136" spans="1:60" ht="12.95" customHeight="1">
      <c r="A136" s="44"/>
      <c r="B136" s="45"/>
      <c r="C136" s="451"/>
      <c r="D136" s="45"/>
      <c r="E136" s="46"/>
      <c r="F136" s="46"/>
      <c r="G136" s="506"/>
      <c r="H136" s="48"/>
      <c r="I136" s="49"/>
      <c r="J136" s="89"/>
      <c r="K136" s="89"/>
      <c r="L136" s="39"/>
      <c r="M136" s="39"/>
      <c r="N136" s="50"/>
      <c r="O136" s="51"/>
      <c r="P136" s="52"/>
      <c r="Q136" s="51"/>
      <c r="R136" s="507"/>
      <c r="S136" s="507"/>
      <c r="T136" s="41"/>
      <c r="U136" s="41"/>
      <c r="V136" s="41"/>
      <c r="W136" s="41"/>
      <c r="X136" s="42"/>
      <c r="Y136" s="218"/>
      <c r="Z136" s="41"/>
      <c r="AA136" s="41"/>
      <c r="AB136" s="41"/>
      <c r="AC136" s="41"/>
      <c r="AD136" s="41">
        <f t="shared" si="281"/>
        <v>23</v>
      </c>
      <c r="AE136" s="237" t="s">
        <v>524</v>
      </c>
      <c r="AF136" s="37"/>
      <c r="AG136" s="37"/>
      <c r="AH136" s="37">
        <v>23</v>
      </c>
      <c r="AJ136" s="41"/>
      <c r="AK136" s="41"/>
      <c r="AL136" s="41"/>
      <c r="AM136" s="41">
        <f t="shared" si="282"/>
        <v>23</v>
      </c>
      <c r="AN136" s="41"/>
      <c r="AO136" s="41"/>
      <c r="AP136" s="41"/>
      <c r="AQ136" s="41"/>
      <c r="AR136" s="41">
        <f t="shared" si="283"/>
        <v>0</v>
      </c>
      <c r="AS136" s="41"/>
      <c r="AT136" s="41"/>
      <c r="AU136" s="41"/>
      <c r="AV136" s="41"/>
      <c r="AW136" s="41"/>
      <c r="AX136" s="41"/>
      <c r="AY136" s="41"/>
      <c r="AZ136" s="41"/>
      <c r="BA136" s="41"/>
      <c r="BB136" s="41"/>
      <c r="BC136" s="41">
        <f t="shared" si="284"/>
        <v>0</v>
      </c>
      <c r="BD136" s="37"/>
      <c r="BE136" s="510"/>
      <c r="BF136" s="510"/>
      <c r="BG136" s="37"/>
      <c r="BH136" s="510"/>
    </row>
    <row r="137" spans="1:60" ht="12.95" customHeight="1">
      <c r="A137" s="44"/>
      <c r="B137" s="45"/>
      <c r="C137" s="451"/>
      <c r="D137" s="45"/>
      <c r="E137" s="46"/>
      <c r="F137" s="46"/>
      <c r="G137" s="47"/>
      <c r="H137" s="48"/>
      <c r="I137" s="49"/>
      <c r="J137" s="89"/>
      <c r="K137" s="89"/>
      <c r="L137" s="39"/>
      <c r="M137" s="39"/>
      <c r="N137" s="50"/>
      <c r="O137" s="51"/>
      <c r="P137" s="52"/>
      <c r="Q137" s="38"/>
      <c r="R137" s="507"/>
      <c r="S137" s="507"/>
      <c r="T137" s="41"/>
      <c r="U137" s="41"/>
      <c r="V137" s="41"/>
      <c r="W137" s="41"/>
      <c r="X137" s="42"/>
      <c r="Y137" s="218"/>
      <c r="Z137" s="41"/>
      <c r="AA137" s="41"/>
      <c r="AB137" s="41"/>
      <c r="AC137" s="41"/>
      <c r="AD137" s="41">
        <f t="shared" si="281"/>
        <v>14</v>
      </c>
      <c r="AE137" s="240" t="s">
        <v>225</v>
      </c>
      <c r="AF137" s="41"/>
      <c r="AG137" s="41"/>
      <c r="AH137" s="41"/>
      <c r="AI137" s="509">
        <v>14</v>
      </c>
      <c r="AJ137" s="41"/>
      <c r="AK137" s="41"/>
      <c r="AL137" s="41"/>
      <c r="AM137" s="41">
        <f t="shared" si="282"/>
        <v>14</v>
      </c>
      <c r="AN137" s="41"/>
      <c r="AO137" s="41"/>
      <c r="AP137" s="41"/>
      <c r="AQ137" s="41"/>
      <c r="AR137" s="41">
        <f t="shared" si="283"/>
        <v>0</v>
      </c>
      <c r="AS137" s="41"/>
      <c r="AT137" s="41"/>
      <c r="AU137" s="41"/>
      <c r="AV137" s="41"/>
      <c r="AW137" s="41"/>
      <c r="AX137" s="41"/>
      <c r="AY137" s="41"/>
      <c r="AZ137" s="41"/>
      <c r="BA137" s="41"/>
      <c r="BB137" s="41"/>
      <c r="BC137" s="41">
        <f t="shared" si="284"/>
        <v>0</v>
      </c>
      <c r="BD137" s="54"/>
      <c r="BE137" s="55"/>
      <c r="BF137" s="55"/>
      <c r="BG137" s="54"/>
      <c r="BH137" s="55"/>
    </row>
    <row r="138" spans="1:60" ht="12.95" customHeight="1">
      <c r="A138" s="44"/>
      <c r="B138" s="45"/>
      <c r="C138" s="451"/>
      <c r="D138" s="45"/>
      <c r="E138" s="46"/>
      <c r="F138" s="46"/>
      <c r="G138" s="47"/>
      <c r="H138" s="48"/>
      <c r="I138" s="49"/>
      <c r="J138" s="89"/>
      <c r="K138" s="89"/>
      <c r="L138" s="39"/>
      <c r="M138" s="39"/>
      <c r="N138" s="50"/>
      <c r="O138" s="51"/>
      <c r="P138" s="52"/>
      <c r="Q138" s="38"/>
      <c r="R138" s="507"/>
      <c r="S138" s="507"/>
      <c r="T138" s="41"/>
      <c r="U138" s="41"/>
      <c r="V138" s="41"/>
      <c r="W138" s="41"/>
      <c r="X138" s="42"/>
      <c r="Y138" s="218"/>
      <c r="Z138" s="41"/>
      <c r="AA138" s="41"/>
      <c r="AB138" s="41"/>
      <c r="AC138" s="41"/>
      <c r="AD138" s="41">
        <f t="shared" si="281"/>
        <v>0</v>
      </c>
      <c r="AE138" s="240" t="s">
        <v>750</v>
      </c>
      <c r="AF138" s="41"/>
      <c r="AG138" s="41"/>
      <c r="AH138" s="41"/>
      <c r="AI138" s="509"/>
      <c r="AJ138" s="41"/>
      <c r="AK138" s="41"/>
      <c r="AL138" s="41"/>
      <c r="AM138" s="41">
        <f t="shared" ref="AM138" si="285">SUM(AF138:AL138)+AT138</f>
        <v>0</v>
      </c>
      <c r="AN138" s="41"/>
      <c r="AO138" s="41"/>
      <c r="AP138" s="41"/>
      <c r="AQ138" s="41"/>
      <c r="AR138" s="41">
        <f t="shared" ref="AR138" si="286">SUM(AN138:AQ138)</f>
        <v>0</v>
      </c>
      <c r="AS138" s="41"/>
      <c r="AT138" s="41"/>
      <c r="AU138" s="41"/>
      <c r="AV138" s="41"/>
      <c r="AW138" s="41"/>
      <c r="AX138" s="41"/>
      <c r="AY138" s="41"/>
      <c r="AZ138" s="41"/>
      <c r="BA138" s="41">
        <f>125-125</f>
        <v>0</v>
      </c>
      <c r="BB138" s="41"/>
      <c r="BC138" s="41">
        <f>+AR138+AS138+AU138+AV138+AX138+BA138</f>
        <v>0</v>
      </c>
      <c r="BD138" s="54"/>
      <c r="BE138" s="55"/>
      <c r="BF138" s="55"/>
      <c r="BG138" s="54"/>
      <c r="BH138" s="55"/>
    </row>
    <row r="139" spans="1:60" ht="12.95" customHeight="1">
      <c r="A139" s="44"/>
      <c r="B139" s="45"/>
      <c r="C139" s="451"/>
      <c r="D139" s="45"/>
      <c r="E139" s="46"/>
      <c r="F139" s="46"/>
      <c r="G139" s="47"/>
      <c r="H139" s="48"/>
      <c r="I139" s="49"/>
      <c r="J139" s="89"/>
      <c r="K139" s="89"/>
      <c r="L139" s="39"/>
      <c r="M139" s="39"/>
      <c r="N139" s="50"/>
      <c r="O139" s="51"/>
      <c r="P139" s="52"/>
      <c r="Q139" s="38"/>
      <c r="R139" s="507"/>
      <c r="S139" s="507"/>
      <c r="T139" s="41"/>
      <c r="U139" s="41"/>
      <c r="V139" s="41"/>
      <c r="W139" s="41"/>
      <c r="X139" s="42"/>
      <c r="Y139" s="218"/>
      <c r="Z139" s="41"/>
      <c r="AA139" s="41"/>
      <c r="AB139" s="41"/>
      <c r="AC139" s="41"/>
      <c r="AD139" s="41">
        <f t="shared" si="281"/>
        <v>0</v>
      </c>
      <c r="AE139" s="240" t="s">
        <v>609</v>
      </c>
      <c r="AF139" s="41"/>
      <c r="AG139" s="41"/>
      <c r="AH139" s="41"/>
      <c r="AI139" s="509"/>
      <c r="AJ139" s="41"/>
      <c r="AK139" s="41"/>
      <c r="AL139" s="41"/>
      <c r="AM139" s="41">
        <f>SUM(AF139:AL139)+AT139+AV139+AX139+AZ139</f>
        <v>0</v>
      </c>
      <c r="AN139" s="41"/>
      <c r="AO139" s="41"/>
      <c r="AP139" s="41"/>
      <c r="AQ139" s="41"/>
      <c r="AR139" s="41"/>
      <c r="AS139" s="41"/>
      <c r="AT139" s="41"/>
      <c r="AU139" s="41"/>
      <c r="AV139" s="41"/>
      <c r="AW139" s="41"/>
      <c r="AX139" s="41"/>
      <c r="AY139" s="41"/>
      <c r="AZ139" s="41">
        <f>72-72</f>
        <v>0</v>
      </c>
      <c r="BA139" s="41"/>
      <c r="BB139" s="41"/>
      <c r="BC139" s="41"/>
      <c r="BD139" s="54"/>
      <c r="BE139" s="55"/>
      <c r="BF139" s="55"/>
      <c r="BG139" s="54"/>
      <c r="BH139" s="55"/>
    </row>
    <row r="140" spans="1:60" ht="12.95" customHeight="1">
      <c r="A140" s="44"/>
      <c r="B140" s="45"/>
      <c r="C140" s="451"/>
      <c r="D140" s="45"/>
      <c r="E140" s="46"/>
      <c r="F140" s="46"/>
      <c r="G140" s="506"/>
      <c r="H140" s="48"/>
      <c r="I140" s="49"/>
      <c r="J140" s="89"/>
      <c r="K140" s="89"/>
      <c r="L140" s="39"/>
      <c r="M140" s="39"/>
      <c r="N140" s="50"/>
      <c r="O140" s="51"/>
      <c r="P140" s="52"/>
      <c r="Q140" s="51"/>
      <c r="R140" s="507"/>
      <c r="S140" s="507"/>
      <c r="T140" s="41"/>
      <c r="U140" s="41"/>
      <c r="V140" s="41"/>
      <c r="W140" s="41"/>
      <c r="X140" s="508"/>
      <c r="Y140" s="218"/>
      <c r="Z140" s="41"/>
      <c r="AA140" s="53"/>
      <c r="AB140" s="53"/>
      <c r="AC140" s="41"/>
      <c r="AD140" s="41"/>
      <c r="AE140" s="237"/>
      <c r="AF140" s="41"/>
      <c r="AG140" s="41"/>
      <c r="AH140" s="41"/>
      <c r="AI140" s="509"/>
      <c r="AJ140" s="41"/>
      <c r="AK140" s="41"/>
      <c r="AL140" s="41"/>
      <c r="AM140" s="41"/>
      <c r="AN140" s="41"/>
      <c r="AO140" s="41"/>
      <c r="AP140" s="41"/>
      <c r="AQ140" s="41"/>
      <c r="AR140" s="41"/>
      <c r="AS140" s="41"/>
      <c r="AT140" s="41"/>
      <c r="AU140" s="41"/>
      <c r="AV140" s="41"/>
      <c r="AW140" s="41"/>
      <c r="AX140" s="41"/>
      <c r="AY140" s="41"/>
      <c r="AZ140" s="41"/>
      <c r="BA140" s="41"/>
      <c r="BB140" s="41"/>
      <c r="BC140" s="41"/>
      <c r="BD140" s="37"/>
      <c r="BE140" s="55"/>
      <c r="BF140" s="55"/>
      <c r="BG140" s="55"/>
      <c r="BH140" s="55"/>
    </row>
    <row r="141" spans="1:60" ht="12.95" customHeight="1">
      <c r="A141" s="44">
        <v>46047</v>
      </c>
      <c r="B141" s="45" t="s">
        <v>417</v>
      </c>
      <c r="C141" s="451">
        <f t="shared" ref="C141:C142" si="287">(M141*E141*O141*Q141)/100000000</f>
        <v>29.459112476071972</v>
      </c>
      <c r="D141" s="45" t="s">
        <v>430</v>
      </c>
      <c r="E141" s="46">
        <v>13.5</v>
      </c>
      <c r="F141" s="46">
        <v>1</v>
      </c>
      <c r="G141" s="506">
        <f t="shared" ref="G141:G142" si="288">+L141</f>
        <v>1181.6998468606432</v>
      </c>
      <c r="H141" s="48">
        <f t="shared" ref="H141:H142" si="289">+N141</f>
        <v>0.20999999999999996</v>
      </c>
      <c r="I141" s="49">
        <v>0.88</v>
      </c>
      <c r="J141" s="89">
        <f t="shared" ref="J141:J142" si="290">E141*G141*(1-H141)*1440/1000000*2.75</f>
        <v>49.907202312404294</v>
      </c>
      <c r="K141" s="89">
        <f t="shared" ref="K141:K142" si="291">(IF(G141&lt;L141,L141,G141)*(1-IF(H141&lt;N141,H141,N141))*E141*O141*Q141)/100000000</f>
        <v>29.459112476071979</v>
      </c>
      <c r="L141" s="39">
        <v>1181.6998468606432</v>
      </c>
      <c r="M141" s="39">
        <v>933.54287901990813</v>
      </c>
      <c r="N141" s="50">
        <f t="shared" ref="N141:N142" si="292">1-(M141/L141)</f>
        <v>0.20999999999999996</v>
      </c>
      <c r="O141" s="51">
        <f>+'Trim Rwd'!H83</f>
        <v>275</v>
      </c>
      <c r="P141" s="52">
        <f t="shared" ref="P141:P142" si="293">O141*(Q141-R141-S141)</f>
        <v>172425</v>
      </c>
      <c r="Q141" s="51">
        <f>653+197</f>
        <v>850</v>
      </c>
      <c r="R141" s="507">
        <v>197</v>
      </c>
      <c r="S141" s="507">
        <f>80-54</f>
        <v>26</v>
      </c>
      <c r="T141" s="41">
        <f t="shared" ref="T141:T142" si="294">E141*M141*O141*Q141/100000000</f>
        <v>29.459112476071972</v>
      </c>
      <c r="U141" s="41">
        <f t="shared" ref="U141:U142" si="295">E141*M141*O141*(Q141-R141-S141)/100000000</f>
        <v>21.730427673526034</v>
      </c>
      <c r="V141" s="41">
        <f t="shared" ref="V141:V142" si="296">E141*G141*(1-N141)*O141/100*(R141+S141)/1000000</f>
        <v>7.7286848025459403</v>
      </c>
      <c r="W141" s="41">
        <f>+'25'!K7/1000</f>
        <v>20.866</v>
      </c>
      <c r="X141" s="508">
        <f>SUM(W141:W144)/SUM(K141:K144)</f>
        <v>0.66299017882618139</v>
      </c>
      <c r="Y141" s="218">
        <v>0</v>
      </c>
      <c r="Z141" s="41">
        <v>0</v>
      </c>
      <c r="AA141" s="53">
        <v>0</v>
      </c>
      <c r="AB141" s="53">
        <f>(SUM(K141:K144)-SUM(W141:W144)-SUM(Y141:Y144)-SUM(Z141:Z144)-SUM(AC141:AC144)-SUM(V141:V144))-AA141</f>
        <v>5.1587392189122649</v>
      </c>
      <c r="AC141" s="41">
        <f>K141-T141</f>
        <v>0</v>
      </c>
      <c r="AD141" s="41">
        <f>+AM141+BC141</f>
        <v>0</v>
      </c>
      <c r="AE141" s="237" t="s">
        <v>386</v>
      </c>
      <c r="AF141" s="41">
        <v>0</v>
      </c>
      <c r="AG141" s="41"/>
      <c r="AH141" s="41"/>
      <c r="AI141" s="509"/>
      <c r="AJ141" s="41"/>
      <c r="AK141" s="41"/>
      <c r="AL141" s="41"/>
      <c r="AM141" s="41">
        <f>SUM(AF141:AL141)+AT141</f>
        <v>0</v>
      </c>
      <c r="AN141" s="41"/>
      <c r="AO141" s="41"/>
      <c r="AP141" s="41"/>
      <c r="AQ141" s="41"/>
      <c r="AR141" s="41">
        <f>SUM(AN141:AQ141)</f>
        <v>0</v>
      </c>
      <c r="AS141" s="41"/>
      <c r="AT141" s="41"/>
      <c r="AU141" s="41"/>
      <c r="AV141" s="41"/>
      <c r="AW141" s="41"/>
      <c r="AX141" s="41"/>
      <c r="AY141" s="41"/>
      <c r="AZ141" s="41"/>
      <c r="BA141" s="41"/>
      <c r="BB141" s="41"/>
      <c r="BC141" s="41">
        <f>+AR141+AS141+AU141+AV141+AX141</f>
        <v>0</v>
      </c>
      <c r="BD141" s="37">
        <v>0</v>
      </c>
      <c r="BE141" s="55"/>
      <c r="BF141" s="55"/>
      <c r="BG141" s="37"/>
      <c r="BH141" s="55"/>
    </row>
    <row r="142" spans="1:60" ht="12.95" customHeight="1">
      <c r="A142" s="44"/>
      <c r="B142" s="45" t="s">
        <v>417</v>
      </c>
      <c r="C142" s="451">
        <f t="shared" si="287"/>
        <v>22.147986833569941</v>
      </c>
      <c r="D142" s="45" t="s">
        <v>430</v>
      </c>
      <c r="E142" s="46">
        <v>14</v>
      </c>
      <c r="F142" s="46">
        <v>1</v>
      </c>
      <c r="G142" s="506">
        <f t="shared" si="288"/>
        <v>1252.4425887265136</v>
      </c>
      <c r="H142" s="48">
        <f t="shared" si="289"/>
        <v>0.20999999999999985</v>
      </c>
      <c r="I142" s="49">
        <v>0.88</v>
      </c>
      <c r="J142" s="89">
        <f t="shared" si="290"/>
        <v>54.853979524008359</v>
      </c>
      <c r="K142" s="89">
        <f t="shared" si="291"/>
        <v>22.147986833569941</v>
      </c>
      <c r="L142" s="39">
        <v>1252.4425887265136</v>
      </c>
      <c r="M142" s="39">
        <v>989.42964509394585</v>
      </c>
      <c r="N142" s="50">
        <f t="shared" si="292"/>
        <v>0.20999999999999985</v>
      </c>
      <c r="O142" s="51">
        <f>+'Trim Rwd'!H84</f>
        <v>271</v>
      </c>
      <c r="P142" s="52">
        <f t="shared" si="293"/>
        <v>127370</v>
      </c>
      <c r="Q142" s="51">
        <f>479+111</f>
        <v>590</v>
      </c>
      <c r="R142" s="507">
        <v>111</v>
      </c>
      <c r="S142" s="507">
        <v>9</v>
      </c>
      <c r="T142" s="41">
        <f t="shared" si="294"/>
        <v>22.147986833569941</v>
      </c>
      <c r="U142" s="41">
        <f t="shared" si="295"/>
        <v>17.643311545386222</v>
      </c>
      <c r="V142" s="41">
        <f t="shared" si="296"/>
        <v>4.5046752881837158</v>
      </c>
      <c r="W142" s="41">
        <f>+'25'!K17/1000</f>
        <v>13.349</v>
      </c>
      <c r="X142" s="42"/>
      <c r="Y142" s="218"/>
      <c r="Z142" s="41"/>
      <c r="AA142" s="41"/>
      <c r="AB142" s="41"/>
      <c r="AC142" s="41">
        <f>K142-T142</f>
        <v>0</v>
      </c>
      <c r="AD142" s="41">
        <f t="shared" ref="AD142:AD147" si="297">+AM142+BC142</f>
        <v>9</v>
      </c>
      <c r="AE142" s="237" t="s">
        <v>438</v>
      </c>
      <c r="AF142" s="41"/>
      <c r="AG142" s="41">
        <v>9</v>
      </c>
      <c r="AH142" s="41"/>
      <c r="AI142" s="509"/>
      <c r="AJ142" s="41"/>
      <c r="AK142" s="41"/>
      <c r="AL142" s="41"/>
      <c r="AM142" s="41">
        <f t="shared" ref="AM142:AM145" si="298">SUM(AF142:AL142)+AT142</f>
        <v>9</v>
      </c>
      <c r="AN142" s="90"/>
      <c r="AO142" s="41"/>
      <c r="AP142" s="41"/>
      <c r="AQ142" s="41"/>
      <c r="AR142" s="41">
        <f t="shared" ref="AR142:AR145" si="299">SUM(AN142:AQ142)</f>
        <v>0</v>
      </c>
      <c r="AS142" s="41"/>
      <c r="AT142" s="41"/>
      <c r="AU142" s="41"/>
      <c r="AV142" s="41"/>
      <c r="AW142" s="41"/>
      <c r="AX142" s="41"/>
      <c r="AY142" s="41"/>
      <c r="AZ142" s="41"/>
      <c r="BA142" s="41"/>
      <c r="BB142" s="41"/>
      <c r="BC142" s="41">
        <f t="shared" ref="BC142:BC144" si="300">+AR142+AS142+AU142+AV142+AX142</f>
        <v>0</v>
      </c>
      <c r="BD142" s="54"/>
      <c r="BE142" s="55">
        <v>8</v>
      </c>
      <c r="BF142" s="55"/>
      <c r="BG142" s="54"/>
      <c r="BH142" s="55"/>
    </row>
    <row r="143" spans="1:60" ht="12.95" customHeight="1">
      <c r="A143" s="44"/>
      <c r="B143" s="45"/>
      <c r="C143" s="451"/>
      <c r="D143" s="45"/>
      <c r="E143" s="46"/>
      <c r="F143" s="46"/>
      <c r="G143" s="506"/>
      <c r="H143" s="48"/>
      <c r="I143" s="49"/>
      <c r="J143" s="89"/>
      <c r="K143" s="89"/>
      <c r="L143" s="39"/>
      <c r="M143" s="39"/>
      <c r="N143" s="50"/>
      <c r="O143" s="51"/>
      <c r="P143" s="52"/>
      <c r="Q143" s="51"/>
      <c r="R143" s="507"/>
      <c r="S143" s="507"/>
      <c r="T143" s="41"/>
      <c r="U143" s="41"/>
      <c r="V143" s="41"/>
      <c r="W143" s="41"/>
      <c r="X143" s="42"/>
      <c r="Y143" s="218"/>
      <c r="Z143" s="41"/>
      <c r="AA143" s="41"/>
      <c r="AB143" s="41"/>
      <c r="AC143" s="41"/>
      <c r="AD143" s="41">
        <f t="shared" si="297"/>
        <v>18</v>
      </c>
      <c r="AE143" s="237" t="s">
        <v>674</v>
      </c>
      <c r="AF143" s="37"/>
      <c r="AG143" s="37"/>
      <c r="AH143" s="37">
        <v>18</v>
      </c>
      <c r="AJ143" s="41"/>
      <c r="AK143" s="41"/>
      <c r="AL143" s="41"/>
      <c r="AM143" s="41">
        <f t="shared" si="298"/>
        <v>18</v>
      </c>
      <c r="AN143" s="41"/>
      <c r="AO143" s="41"/>
      <c r="AP143" s="41"/>
      <c r="AQ143" s="41"/>
      <c r="AR143" s="41">
        <f t="shared" si="299"/>
        <v>0</v>
      </c>
      <c r="AS143" s="41"/>
      <c r="AT143" s="41"/>
      <c r="AU143" s="41"/>
      <c r="AV143" s="41"/>
      <c r="AW143" s="41"/>
      <c r="AX143" s="41"/>
      <c r="AY143" s="41"/>
      <c r="AZ143" s="41"/>
      <c r="BA143" s="41"/>
      <c r="BB143" s="41"/>
      <c r="BC143" s="41">
        <f t="shared" si="300"/>
        <v>0</v>
      </c>
      <c r="BD143" s="37"/>
      <c r="BE143" s="510"/>
      <c r="BF143" s="510"/>
      <c r="BG143" s="37"/>
      <c r="BH143" s="510"/>
    </row>
    <row r="144" spans="1:60" ht="12.95" customHeight="1">
      <c r="A144" s="44"/>
      <c r="B144" s="45"/>
      <c r="C144" s="451"/>
      <c r="D144" s="45"/>
      <c r="E144" s="46"/>
      <c r="F144" s="46"/>
      <c r="G144" s="47"/>
      <c r="H144" s="48"/>
      <c r="I144" s="49"/>
      <c r="J144" s="89"/>
      <c r="K144" s="89"/>
      <c r="L144" s="39"/>
      <c r="M144" s="39"/>
      <c r="N144" s="50"/>
      <c r="O144" s="51"/>
      <c r="P144" s="52"/>
      <c r="Q144" s="38"/>
      <c r="R144" s="507"/>
      <c r="S144" s="507"/>
      <c r="T144" s="41"/>
      <c r="U144" s="41"/>
      <c r="V144" s="41"/>
      <c r="W144" s="41"/>
      <c r="X144" s="42"/>
      <c r="Y144" s="218"/>
      <c r="Z144" s="41"/>
      <c r="AA144" s="41"/>
      <c r="AB144" s="41"/>
      <c r="AC144" s="41"/>
      <c r="AD144" s="41">
        <f t="shared" si="297"/>
        <v>8</v>
      </c>
      <c r="AE144" s="240" t="s">
        <v>225</v>
      </c>
      <c r="AF144" s="41"/>
      <c r="AG144" s="41"/>
      <c r="AH144" s="41"/>
      <c r="AI144" s="509">
        <v>8</v>
      </c>
      <c r="AJ144" s="41"/>
      <c r="AK144" s="41"/>
      <c r="AL144" s="41"/>
      <c r="AM144" s="41">
        <f t="shared" si="298"/>
        <v>8</v>
      </c>
      <c r="AN144" s="41"/>
      <c r="AO144" s="41"/>
      <c r="AP144" s="41"/>
      <c r="AQ144" s="41"/>
      <c r="AR144" s="41">
        <f t="shared" si="299"/>
        <v>0</v>
      </c>
      <c r="AS144" s="41"/>
      <c r="AT144" s="41"/>
      <c r="AU144" s="41"/>
      <c r="AV144" s="41"/>
      <c r="AW144" s="41"/>
      <c r="AX144" s="41"/>
      <c r="AY144" s="41"/>
      <c r="AZ144" s="41"/>
      <c r="BA144" s="41"/>
      <c r="BB144" s="41"/>
      <c r="BC144" s="41">
        <f t="shared" si="300"/>
        <v>0</v>
      </c>
      <c r="BD144" s="54"/>
      <c r="BE144" s="55"/>
      <c r="BF144" s="55"/>
      <c r="BG144" s="54"/>
      <c r="BH144" s="55"/>
    </row>
    <row r="145" spans="1:60" ht="12.95" customHeight="1">
      <c r="A145" s="44"/>
      <c r="B145" s="45"/>
      <c r="C145" s="451"/>
      <c r="D145" s="45"/>
      <c r="E145" s="46"/>
      <c r="F145" s="46"/>
      <c r="G145" s="47"/>
      <c r="H145" s="48"/>
      <c r="I145" s="49"/>
      <c r="J145" s="89"/>
      <c r="K145" s="89"/>
      <c r="L145" s="39"/>
      <c r="M145" s="39"/>
      <c r="N145" s="50"/>
      <c r="O145" s="51"/>
      <c r="P145" s="52"/>
      <c r="Q145" s="38"/>
      <c r="R145" s="507"/>
      <c r="S145" s="507"/>
      <c r="T145" s="41"/>
      <c r="U145" s="41"/>
      <c r="V145" s="41"/>
      <c r="W145" s="41"/>
      <c r="X145" s="42"/>
      <c r="Y145" s="218"/>
      <c r="Z145" s="41"/>
      <c r="AA145" s="41"/>
      <c r="AB145" s="41"/>
      <c r="AC145" s="41"/>
      <c r="AD145" s="41">
        <f t="shared" si="297"/>
        <v>197</v>
      </c>
      <c r="AE145" s="240" t="s">
        <v>751</v>
      </c>
      <c r="AF145" s="41"/>
      <c r="AG145" s="41"/>
      <c r="AH145" s="41"/>
      <c r="AI145" s="509"/>
      <c r="AJ145" s="41"/>
      <c r="AK145" s="41"/>
      <c r="AL145" s="41"/>
      <c r="AM145" s="41">
        <f t="shared" si="298"/>
        <v>0</v>
      </c>
      <c r="AN145" s="41"/>
      <c r="AO145" s="41"/>
      <c r="AP145" s="41"/>
      <c r="AQ145" s="41"/>
      <c r="AR145" s="41">
        <f t="shared" si="299"/>
        <v>0</v>
      </c>
      <c r="AS145" s="41"/>
      <c r="AT145" s="41"/>
      <c r="AU145" s="41"/>
      <c r="AV145" s="41"/>
      <c r="AW145" s="41">
        <v>197</v>
      </c>
      <c r="AX145" s="41"/>
      <c r="AY145" s="41"/>
      <c r="AZ145" s="41"/>
      <c r="BA145" s="41"/>
      <c r="BB145" s="41"/>
      <c r="BC145" s="41">
        <f>+AR145+AS145+AU145+AV145+AW145</f>
        <v>197</v>
      </c>
      <c r="BD145" s="54"/>
      <c r="BE145" s="55"/>
      <c r="BF145" s="55"/>
      <c r="BG145" s="54"/>
      <c r="BH145" s="55"/>
    </row>
    <row r="146" spans="1:60" ht="12.95" customHeight="1">
      <c r="A146" s="44"/>
      <c r="B146" s="45"/>
      <c r="C146" s="451"/>
      <c r="D146" s="45"/>
      <c r="E146" s="46"/>
      <c r="F146" s="46"/>
      <c r="G146" s="47"/>
      <c r="H146" s="48"/>
      <c r="I146" s="49"/>
      <c r="J146" s="89"/>
      <c r="K146" s="89"/>
      <c r="L146" s="39"/>
      <c r="M146" s="39"/>
      <c r="N146" s="50"/>
      <c r="O146" s="51"/>
      <c r="P146" s="52"/>
      <c r="Q146" s="38"/>
      <c r="R146" s="507"/>
      <c r="S146" s="507"/>
      <c r="T146" s="41"/>
      <c r="U146" s="41"/>
      <c r="V146" s="41"/>
      <c r="W146" s="41"/>
      <c r="X146" s="42"/>
      <c r="Y146" s="218"/>
      <c r="Z146" s="41"/>
      <c r="AA146" s="41"/>
      <c r="AB146" s="41"/>
      <c r="AC146" s="41"/>
      <c r="AD146" s="41">
        <f t="shared" si="297"/>
        <v>111</v>
      </c>
      <c r="AE146" s="240" t="s">
        <v>752</v>
      </c>
      <c r="AF146" s="41"/>
      <c r="AG146" s="41"/>
      <c r="AH146" s="41"/>
      <c r="AI146" s="509"/>
      <c r="AJ146" s="41"/>
      <c r="AK146" s="41"/>
      <c r="AL146" s="41"/>
      <c r="AM146" s="41">
        <f t="shared" ref="AM146" si="301">SUM(AF146:AL146)+AT146</f>
        <v>0</v>
      </c>
      <c r="AN146" s="41"/>
      <c r="AO146" s="41">
        <v>111</v>
      </c>
      <c r="AP146" s="41"/>
      <c r="AQ146" s="41"/>
      <c r="AR146" s="41">
        <f t="shared" ref="AR146" si="302">SUM(AN146:AQ146)</f>
        <v>111</v>
      </c>
      <c r="AS146" s="41"/>
      <c r="AT146" s="41"/>
      <c r="AU146" s="41"/>
      <c r="AV146" s="41"/>
      <c r="AW146" s="41"/>
      <c r="AX146" s="41"/>
      <c r="AY146" s="41"/>
      <c r="AZ146" s="41"/>
      <c r="BA146" s="41"/>
      <c r="BB146" s="41"/>
      <c r="BC146" s="41">
        <f t="shared" ref="BC146" si="303">+AR146+AS146+AU146+AV146+AX146</f>
        <v>111</v>
      </c>
      <c r="BD146" s="54"/>
      <c r="BE146" s="55"/>
      <c r="BF146" s="55"/>
      <c r="BG146" s="54"/>
      <c r="BH146" s="55"/>
    </row>
    <row r="147" spans="1:60" ht="12.95" customHeight="1">
      <c r="A147" s="44"/>
      <c r="B147" s="45"/>
      <c r="C147" s="451"/>
      <c r="D147" s="45"/>
      <c r="E147" s="46"/>
      <c r="F147" s="46"/>
      <c r="G147" s="47"/>
      <c r="H147" s="48"/>
      <c r="I147" s="49"/>
      <c r="J147" s="89"/>
      <c r="K147" s="89"/>
      <c r="L147" s="39"/>
      <c r="M147" s="39"/>
      <c r="N147" s="50"/>
      <c r="O147" s="51"/>
      <c r="P147" s="52"/>
      <c r="Q147" s="38"/>
      <c r="R147" s="507"/>
      <c r="S147" s="507"/>
      <c r="T147" s="41"/>
      <c r="U147" s="41"/>
      <c r="V147" s="41"/>
      <c r="W147" s="41"/>
      <c r="X147" s="42"/>
      <c r="Y147" s="218"/>
      <c r="Z147" s="41"/>
      <c r="AA147" s="41"/>
      <c r="AB147" s="41"/>
      <c r="AC147" s="41"/>
      <c r="AD147" s="41">
        <f t="shared" si="297"/>
        <v>0</v>
      </c>
      <c r="AE147" s="240" t="s">
        <v>609</v>
      </c>
      <c r="AF147" s="41"/>
      <c r="AG147" s="41"/>
      <c r="AH147" s="41"/>
      <c r="AI147" s="509"/>
      <c r="AJ147" s="41"/>
      <c r="AK147" s="41"/>
      <c r="AL147" s="41"/>
      <c r="AM147" s="41">
        <f>SUM(AF147:AL147)+AT147+AV147+AX147+AZ147</f>
        <v>0</v>
      </c>
      <c r="AN147" s="41"/>
      <c r="AO147" s="41"/>
      <c r="AP147" s="41"/>
      <c r="AQ147" s="41"/>
      <c r="AR147" s="41">
        <f t="shared" ref="AR147" si="304">SUM(AN147:AQ147)</f>
        <v>0</v>
      </c>
      <c r="AS147" s="41"/>
      <c r="AT147" s="41"/>
      <c r="AU147" s="41"/>
      <c r="AV147" s="41"/>
      <c r="AW147" s="41"/>
      <c r="AX147" s="41"/>
      <c r="AY147" s="41"/>
      <c r="AZ147" s="41">
        <f>54-54</f>
        <v>0</v>
      </c>
      <c r="BA147" s="41"/>
      <c r="BB147" s="41"/>
      <c r="BC147" s="41">
        <f>+AR147+AS147+AU147+AV147+AX147+BA147</f>
        <v>0</v>
      </c>
      <c r="BD147" s="54"/>
      <c r="BE147" s="55"/>
      <c r="BF147" s="55"/>
      <c r="BG147" s="54"/>
      <c r="BH147" s="55"/>
    </row>
    <row r="148" spans="1:60" ht="12.95" customHeight="1">
      <c r="A148" s="44"/>
      <c r="B148" s="561"/>
      <c r="C148" s="451"/>
      <c r="D148" s="45"/>
      <c r="E148" s="46"/>
      <c r="F148" s="46"/>
      <c r="G148" s="47"/>
      <c r="H148" s="48"/>
      <c r="I148" s="49"/>
      <c r="J148" s="89"/>
      <c r="K148" s="89"/>
      <c r="L148" s="39"/>
      <c r="M148" s="39"/>
      <c r="N148" s="50"/>
      <c r="O148" s="51"/>
      <c r="P148" s="52"/>
      <c r="Q148" s="38"/>
      <c r="R148" s="507"/>
      <c r="S148" s="507"/>
      <c r="T148" s="41"/>
      <c r="U148" s="41"/>
      <c r="V148" s="41"/>
      <c r="W148" s="41"/>
      <c r="X148" s="42"/>
      <c r="Y148" s="42"/>
      <c r="Z148" s="41"/>
      <c r="AA148" s="53"/>
      <c r="AB148" s="53"/>
      <c r="AC148" s="41"/>
      <c r="AD148" s="41"/>
      <c r="AE148" s="237"/>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37"/>
      <c r="BE148" s="55"/>
      <c r="BF148" s="510"/>
      <c r="BG148" s="37"/>
      <c r="BH148" s="510"/>
    </row>
    <row r="149" spans="1:60" ht="12.95" customHeight="1">
      <c r="A149" s="44">
        <v>46048</v>
      </c>
      <c r="B149" s="45" t="s">
        <v>417</v>
      </c>
      <c r="C149" s="451">
        <f t="shared" ref="C149" si="305">(M149*E149*O149*Q149)/100000000</f>
        <v>36.510470018555559</v>
      </c>
      <c r="D149" s="45" t="s">
        <v>430</v>
      </c>
      <c r="E149" s="46">
        <v>14</v>
      </c>
      <c r="F149" s="46">
        <v>1</v>
      </c>
      <c r="G149" s="506">
        <f t="shared" ref="G149" si="306">+L149</f>
        <v>917.19759579263712</v>
      </c>
      <c r="H149" s="48">
        <f t="shared" ref="H149" si="307">+N149</f>
        <v>0.21648760229032005</v>
      </c>
      <c r="I149" s="49">
        <v>0.88</v>
      </c>
      <c r="J149" s="89">
        <f t="shared" ref="J149" si="308">E149*G149*(1-H149)*1440/1000000*2.75</f>
        <v>39.8411625123967</v>
      </c>
      <c r="K149" s="89">
        <f t="shared" ref="K149" si="309">(IF(G149&lt;L149,L149,G149)*(1-IF(H149&lt;N149,H149,N149))*E149*O149*Q149)/100000000</f>
        <v>36.510470018555559</v>
      </c>
      <c r="L149" s="39">
        <v>917.19759579263712</v>
      </c>
      <c r="M149" s="39">
        <v>718.63568745304292</v>
      </c>
      <c r="N149" s="50">
        <f t="shared" ref="N149" si="310">1-(M149/L149)</f>
        <v>0.21648760229032005</v>
      </c>
      <c r="O149" s="51">
        <f>+'Trim Rwd'!H86</f>
        <v>272.64814814814815</v>
      </c>
      <c r="P149" s="52">
        <f t="shared" ref="P149" si="311">O149*(Q149-R149-S149)</f>
        <v>348171.68518518517</v>
      </c>
      <c r="Q149" s="51">
        <f>1440-109</f>
        <v>1331</v>
      </c>
      <c r="R149" s="507">
        <f>109-109</f>
        <v>0</v>
      </c>
      <c r="S149" s="507">
        <f>443-389</f>
        <v>54</v>
      </c>
      <c r="T149" s="41">
        <f t="shared" ref="T149" si="312">E149*M149*O149*Q149/100000000</f>
        <v>36.510470018555559</v>
      </c>
      <c r="U149" s="41">
        <f t="shared" ref="U149" si="313">E149*M149*O149*(Q149-R149-S149)/100000000</f>
        <v>35.029203766863596</v>
      </c>
      <c r="V149" s="41">
        <f t="shared" ref="V149" si="314">E149*G149*(1-N149)*O149/100*(R149+S149)/1000000</f>
        <v>1.4812662516919612</v>
      </c>
      <c r="W149" s="41">
        <f>+'26'!K17/1000</f>
        <v>38.465000000000003</v>
      </c>
      <c r="X149" s="508">
        <f>SUM(W149:W152)/SUM(K149:K152)</f>
        <v>1.0535334105655474</v>
      </c>
      <c r="Y149" s="218">
        <v>0</v>
      </c>
      <c r="Z149" s="41">
        <v>0</v>
      </c>
      <c r="AA149" s="53">
        <v>0</v>
      </c>
      <c r="AB149" s="53">
        <f>(SUM(K149:K152)-SUM(W149:W152)-SUM(Y149:Y152)-SUM(Z149:Z152)-SUM(AC149:AC152)-SUM(V149:V152))-AA149</f>
        <v>-3.435796233136406</v>
      </c>
      <c r="AC149" s="41">
        <f>K149-T149</f>
        <v>0</v>
      </c>
      <c r="AD149" s="41">
        <f>+AM149+BC149</f>
        <v>0</v>
      </c>
      <c r="AE149" s="237" t="s">
        <v>386</v>
      </c>
      <c r="AF149" s="41">
        <v>0</v>
      </c>
      <c r="AG149" s="41"/>
      <c r="AH149" s="41"/>
      <c r="AI149" s="509"/>
      <c r="AJ149" s="41"/>
      <c r="AK149" s="41"/>
      <c r="AL149" s="41"/>
      <c r="AM149" s="41">
        <f>SUM(AF149:AL149)+AT149</f>
        <v>0</v>
      </c>
      <c r="AN149" s="41"/>
      <c r="AO149" s="41"/>
      <c r="AP149" s="41"/>
      <c r="AQ149" s="41"/>
      <c r="AR149" s="41">
        <f>SUM(AN149:AQ149)</f>
        <v>0</v>
      </c>
      <c r="AS149" s="41"/>
      <c r="AT149" s="41"/>
      <c r="AU149" s="41"/>
      <c r="AV149" s="41"/>
      <c r="AW149" s="41"/>
      <c r="AX149" s="41"/>
      <c r="AY149" s="41"/>
      <c r="AZ149" s="41"/>
      <c r="BA149" s="41"/>
      <c r="BB149" s="41"/>
      <c r="BC149" s="41">
        <f>+AR149+AS149+AU149+AV149+AX149</f>
        <v>0</v>
      </c>
      <c r="BD149" s="37">
        <v>0</v>
      </c>
      <c r="BE149" s="55"/>
      <c r="BF149" s="55"/>
      <c r="BG149" s="37"/>
      <c r="BH149" s="55"/>
    </row>
    <row r="150" spans="1:60" ht="12.95" customHeight="1">
      <c r="A150" s="44"/>
      <c r="B150" s="45"/>
      <c r="C150" s="451"/>
      <c r="D150" s="45"/>
      <c r="E150" s="46"/>
      <c r="F150" s="46"/>
      <c r="G150" s="506"/>
      <c r="H150" s="48"/>
      <c r="I150" s="49"/>
      <c r="J150" s="89"/>
      <c r="K150" s="89"/>
      <c r="L150" s="39"/>
      <c r="M150" s="39"/>
      <c r="N150" s="50"/>
      <c r="O150" s="51"/>
      <c r="P150" s="52"/>
      <c r="Q150" s="51"/>
      <c r="R150" s="507"/>
      <c r="S150" s="507"/>
      <c r="T150" s="41"/>
      <c r="U150" s="41"/>
      <c r="V150" s="41"/>
      <c r="W150" s="41"/>
      <c r="X150" s="42"/>
      <c r="Y150" s="218"/>
      <c r="Z150" s="41"/>
      <c r="AA150" s="41"/>
      <c r="AB150" s="41"/>
      <c r="AC150" s="41"/>
      <c r="AD150" s="41">
        <f t="shared" ref="AD150:AD155" si="315">+AM150+BC150</f>
        <v>11</v>
      </c>
      <c r="AE150" s="237" t="s">
        <v>570</v>
      </c>
      <c r="AF150" s="41"/>
      <c r="AG150" s="41">
        <v>11</v>
      </c>
      <c r="AH150" s="41"/>
      <c r="AI150" s="509"/>
      <c r="AJ150" s="41"/>
      <c r="AK150" s="41"/>
      <c r="AL150" s="41"/>
      <c r="AM150" s="41">
        <f t="shared" ref="AM150:AM152" si="316">SUM(AF150:AL150)+AT150</f>
        <v>11</v>
      </c>
      <c r="AN150" s="90"/>
      <c r="AO150" s="41"/>
      <c r="AP150" s="41"/>
      <c r="AQ150" s="41"/>
      <c r="AR150" s="41">
        <f t="shared" ref="AR150:AR152" si="317">SUM(AN150:AQ150)</f>
        <v>0</v>
      </c>
      <c r="AS150" s="41"/>
      <c r="AT150" s="41"/>
      <c r="AU150" s="41"/>
      <c r="AV150" s="41"/>
      <c r="AW150" s="41"/>
      <c r="AX150" s="41"/>
      <c r="AY150" s="41"/>
      <c r="AZ150" s="41"/>
      <c r="BA150" s="41"/>
      <c r="BB150" s="41"/>
      <c r="BC150" s="41">
        <f t="shared" ref="BC150:BC153" si="318">+AR150+AS150+AU150+AV150+AX150</f>
        <v>0</v>
      </c>
      <c r="BD150" s="54"/>
      <c r="BE150" s="55">
        <v>9</v>
      </c>
      <c r="BF150" s="55"/>
      <c r="BG150" s="54"/>
      <c r="BH150" s="55"/>
    </row>
    <row r="151" spans="1:60" ht="12.95" customHeight="1">
      <c r="A151" s="44"/>
      <c r="B151" s="45"/>
      <c r="C151" s="451"/>
      <c r="D151" s="45"/>
      <c r="E151" s="46"/>
      <c r="F151" s="46"/>
      <c r="G151" s="506"/>
      <c r="H151" s="48"/>
      <c r="I151" s="49"/>
      <c r="J151" s="89"/>
      <c r="K151" s="89"/>
      <c r="L151" s="39"/>
      <c r="M151" s="39"/>
      <c r="N151" s="50"/>
      <c r="O151" s="51"/>
      <c r="P151" s="52"/>
      <c r="Q151" s="51"/>
      <c r="R151" s="507"/>
      <c r="S151" s="507"/>
      <c r="T151" s="41"/>
      <c r="U151" s="41"/>
      <c r="V151" s="41"/>
      <c r="W151" s="41"/>
      <c r="X151" s="42"/>
      <c r="Y151" s="218"/>
      <c r="Z151" s="41"/>
      <c r="AA151" s="41"/>
      <c r="AB151" s="41"/>
      <c r="AC151" s="41"/>
      <c r="AD151" s="41">
        <f t="shared" si="315"/>
        <v>25</v>
      </c>
      <c r="AE151" s="237" t="s">
        <v>571</v>
      </c>
      <c r="AF151" s="37"/>
      <c r="AG151" s="37"/>
      <c r="AH151" s="37">
        <v>25</v>
      </c>
      <c r="AJ151" s="41"/>
      <c r="AK151" s="41"/>
      <c r="AL151" s="41"/>
      <c r="AM151" s="41">
        <f t="shared" si="316"/>
        <v>25</v>
      </c>
      <c r="AN151" s="41"/>
      <c r="AO151" s="41"/>
      <c r="AP151" s="41"/>
      <c r="AQ151" s="41"/>
      <c r="AR151" s="41">
        <f t="shared" si="317"/>
        <v>0</v>
      </c>
      <c r="AS151" s="41"/>
      <c r="AT151" s="41"/>
      <c r="AU151" s="41"/>
      <c r="AV151" s="41"/>
      <c r="AW151" s="41"/>
      <c r="AX151" s="41"/>
      <c r="AY151" s="41"/>
      <c r="AZ151" s="41"/>
      <c r="BA151" s="41"/>
      <c r="BB151" s="41"/>
      <c r="BC151" s="41">
        <f t="shared" si="318"/>
        <v>0</v>
      </c>
      <c r="BD151" s="37"/>
      <c r="BE151" s="510"/>
      <c r="BF151" s="510"/>
      <c r="BG151" s="37"/>
      <c r="BH151" s="510"/>
    </row>
    <row r="152" spans="1:60" ht="12.95" customHeight="1">
      <c r="A152" s="44"/>
      <c r="B152" s="45"/>
      <c r="C152" s="451"/>
      <c r="D152" s="45"/>
      <c r="E152" s="46"/>
      <c r="F152" s="46"/>
      <c r="G152" s="47"/>
      <c r="H152" s="48"/>
      <c r="I152" s="49"/>
      <c r="J152" s="89"/>
      <c r="K152" s="89"/>
      <c r="L152" s="39"/>
      <c r="M152" s="39"/>
      <c r="N152" s="50"/>
      <c r="O152" s="51"/>
      <c r="P152" s="52"/>
      <c r="Q152" s="38"/>
      <c r="R152" s="507"/>
      <c r="S152" s="507"/>
      <c r="T152" s="41"/>
      <c r="U152" s="41"/>
      <c r="V152" s="41"/>
      <c r="W152" s="41"/>
      <c r="X152" s="42"/>
      <c r="Y152" s="218"/>
      <c r="Z152" s="41"/>
      <c r="AA152" s="41"/>
      <c r="AB152" s="41"/>
      <c r="AC152" s="41"/>
      <c r="AD152" s="41">
        <f t="shared" si="315"/>
        <v>8</v>
      </c>
      <c r="AE152" s="240" t="s">
        <v>225</v>
      </c>
      <c r="AF152" s="41"/>
      <c r="AG152" s="41"/>
      <c r="AH152" s="41"/>
      <c r="AI152" s="509">
        <v>8</v>
      </c>
      <c r="AJ152" s="41"/>
      <c r="AK152" s="41"/>
      <c r="AL152" s="41"/>
      <c r="AM152" s="41">
        <f t="shared" si="316"/>
        <v>8</v>
      </c>
      <c r="AN152" s="41"/>
      <c r="AO152" s="41"/>
      <c r="AP152" s="41"/>
      <c r="AQ152" s="41"/>
      <c r="AR152" s="41">
        <f t="shared" si="317"/>
        <v>0</v>
      </c>
      <c r="AS152" s="41"/>
      <c r="AT152" s="41"/>
      <c r="AU152" s="41"/>
      <c r="AV152" s="41"/>
      <c r="AW152" s="41"/>
      <c r="AX152" s="41"/>
      <c r="AY152" s="41"/>
      <c r="AZ152" s="41"/>
      <c r="BA152" s="41"/>
      <c r="BB152" s="41"/>
      <c r="BC152" s="41">
        <f t="shared" si="318"/>
        <v>0</v>
      </c>
      <c r="BD152" s="54"/>
      <c r="BE152" s="55"/>
      <c r="BF152" s="55"/>
      <c r="BG152" s="54"/>
      <c r="BH152" s="55"/>
    </row>
    <row r="153" spans="1:60" ht="12.95" customHeight="1">
      <c r="A153" s="44"/>
      <c r="B153" s="45"/>
      <c r="C153" s="451"/>
      <c r="D153" s="45"/>
      <c r="E153" s="46"/>
      <c r="F153" s="46"/>
      <c r="G153" s="47"/>
      <c r="H153" s="48"/>
      <c r="I153" s="49"/>
      <c r="J153" s="89"/>
      <c r="K153" s="89"/>
      <c r="L153" s="39"/>
      <c r="M153" s="39"/>
      <c r="N153" s="50"/>
      <c r="O153" s="51"/>
      <c r="P153" s="52"/>
      <c r="Q153" s="38"/>
      <c r="R153" s="507"/>
      <c r="S153" s="507"/>
      <c r="T153" s="41"/>
      <c r="U153" s="41"/>
      <c r="V153" s="41"/>
      <c r="W153" s="41"/>
      <c r="X153" s="42"/>
      <c r="Y153" s="218"/>
      <c r="Z153" s="41"/>
      <c r="AA153" s="41"/>
      <c r="AB153" s="41"/>
      <c r="AC153" s="41"/>
      <c r="AD153" s="41">
        <f t="shared" si="315"/>
        <v>10</v>
      </c>
      <c r="AE153" s="237" t="s">
        <v>766</v>
      </c>
      <c r="AF153" s="41"/>
      <c r="AG153" s="41"/>
      <c r="AH153" s="41"/>
      <c r="AI153" s="509"/>
      <c r="AJ153" s="41"/>
      <c r="AK153" s="41">
        <v>10</v>
      </c>
      <c r="AL153" s="41"/>
      <c r="AM153" s="41">
        <f t="shared" ref="AM153" si="319">SUM(AF153:AL153)+AT153</f>
        <v>10</v>
      </c>
      <c r="AN153" s="41"/>
      <c r="AO153" s="41"/>
      <c r="AP153" s="41"/>
      <c r="AQ153" s="41"/>
      <c r="AR153" s="41">
        <f t="shared" ref="AR153" si="320">SUM(AN153:AQ153)</f>
        <v>0</v>
      </c>
      <c r="AS153" s="41"/>
      <c r="AT153" s="41"/>
      <c r="AU153" s="41"/>
      <c r="AV153" s="41"/>
      <c r="AW153" s="41"/>
      <c r="AX153" s="41"/>
      <c r="AY153" s="41"/>
      <c r="AZ153" s="41"/>
      <c r="BA153" s="41"/>
      <c r="BB153" s="41"/>
      <c r="BC153" s="41">
        <f t="shared" si="318"/>
        <v>0</v>
      </c>
      <c r="BD153" s="54"/>
      <c r="BE153" s="55"/>
      <c r="BF153" s="55"/>
      <c r="BG153" s="54"/>
      <c r="BH153" s="55"/>
    </row>
    <row r="154" spans="1:60" ht="12.95" customHeight="1">
      <c r="A154" s="44"/>
      <c r="B154" s="45"/>
      <c r="C154" s="451"/>
      <c r="D154" s="45"/>
      <c r="E154" s="46"/>
      <c r="F154" s="46"/>
      <c r="G154" s="47"/>
      <c r="H154" s="48"/>
      <c r="I154" s="49"/>
      <c r="J154" s="89"/>
      <c r="K154" s="89"/>
      <c r="L154" s="39"/>
      <c r="M154" s="39"/>
      <c r="N154" s="50"/>
      <c r="O154" s="51"/>
      <c r="P154" s="52"/>
      <c r="Q154" s="38"/>
      <c r="R154" s="507"/>
      <c r="S154" s="507"/>
      <c r="T154" s="41"/>
      <c r="U154" s="41"/>
      <c r="V154" s="41"/>
      <c r="W154" s="41"/>
      <c r="X154" s="42"/>
      <c r="Y154" s="218"/>
      <c r="Z154" s="41"/>
      <c r="AA154" s="41"/>
      <c r="AB154" s="41"/>
      <c r="AC154" s="41"/>
      <c r="AD154" s="41">
        <f t="shared" si="315"/>
        <v>0</v>
      </c>
      <c r="AE154" s="240" t="s">
        <v>765</v>
      </c>
      <c r="AF154" s="41"/>
      <c r="AG154" s="41"/>
      <c r="AH154" s="41"/>
      <c r="AI154" s="509"/>
      <c r="AJ154" s="41"/>
      <c r="AK154" s="41"/>
      <c r="AL154" s="41"/>
      <c r="AM154" s="41">
        <f>SUM(AF154:AL154)+AT154+AV154+AX154+AZ154</f>
        <v>0</v>
      </c>
      <c r="AN154" s="41"/>
      <c r="AO154" s="41"/>
      <c r="AP154" s="41"/>
      <c r="AQ154" s="41"/>
      <c r="AR154" s="41">
        <f t="shared" ref="AR154" si="321">SUM(AN154:AQ154)</f>
        <v>0</v>
      </c>
      <c r="AS154" s="41"/>
      <c r="AT154" s="41"/>
      <c r="AU154" s="41"/>
      <c r="AV154" s="41"/>
      <c r="AW154" s="41"/>
      <c r="AX154" s="41"/>
      <c r="AY154" s="41"/>
      <c r="AZ154" s="41"/>
      <c r="BA154" s="41">
        <f>109-109</f>
        <v>0</v>
      </c>
      <c r="BB154" s="41"/>
      <c r="BC154" s="41">
        <f>+AR154+AS154+AU154+AV154+AX154+BA154</f>
        <v>0</v>
      </c>
      <c r="BD154" s="54"/>
      <c r="BE154" s="55"/>
      <c r="BF154" s="55"/>
      <c r="BG154" s="54"/>
      <c r="BH154" s="55"/>
    </row>
    <row r="155" spans="1:60" ht="12.95" customHeight="1">
      <c r="A155" s="44"/>
      <c r="B155" s="45"/>
      <c r="C155" s="451"/>
      <c r="D155" s="45"/>
      <c r="E155" s="46"/>
      <c r="F155" s="46"/>
      <c r="G155" s="47"/>
      <c r="H155" s="48"/>
      <c r="I155" s="49"/>
      <c r="J155" s="89"/>
      <c r="K155" s="89"/>
      <c r="L155" s="39"/>
      <c r="M155" s="39"/>
      <c r="N155" s="50"/>
      <c r="O155" s="51"/>
      <c r="P155" s="52"/>
      <c r="Q155" s="38"/>
      <c r="R155" s="507"/>
      <c r="S155" s="507"/>
      <c r="T155" s="41"/>
      <c r="U155" s="41"/>
      <c r="V155" s="41"/>
      <c r="W155" s="41"/>
      <c r="X155" s="42"/>
      <c r="Y155" s="218"/>
      <c r="Z155" s="41"/>
      <c r="AA155" s="41"/>
      <c r="AB155" s="41"/>
      <c r="AC155" s="41"/>
      <c r="AD155" s="41">
        <f t="shared" si="315"/>
        <v>0</v>
      </c>
      <c r="AE155" s="240" t="s">
        <v>609</v>
      </c>
      <c r="AF155" s="41"/>
      <c r="AG155" s="41"/>
      <c r="AH155" s="41"/>
      <c r="AI155" s="509"/>
      <c r="AJ155" s="41"/>
      <c r="AK155" s="41"/>
      <c r="AL155" s="41"/>
      <c r="AM155" s="41">
        <f>SUM(AF155:AL155)+AT155+AV155+AX155+AZ155</f>
        <v>0</v>
      </c>
      <c r="AN155" s="41"/>
      <c r="AO155" s="41"/>
      <c r="AP155" s="41"/>
      <c r="AQ155" s="41"/>
      <c r="AR155" s="41">
        <f t="shared" ref="AR155" si="322">SUM(AN155:AQ155)</f>
        <v>0</v>
      </c>
      <c r="AS155" s="41"/>
      <c r="AT155" s="41"/>
      <c r="AU155" s="41"/>
      <c r="AV155" s="41"/>
      <c r="AW155" s="41"/>
      <c r="AX155" s="41"/>
      <c r="AY155" s="41"/>
      <c r="AZ155" s="41">
        <f>389-389</f>
        <v>0</v>
      </c>
      <c r="BA155" s="41"/>
      <c r="BB155" s="41"/>
      <c r="BC155" s="41">
        <f>+AR155+AS155+AU155+AV155+AX155+BA155</f>
        <v>0</v>
      </c>
      <c r="BD155" s="54"/>
      <c r="BE155" s="55"/>
      <c r="BF155" s="55"/>
      <c r="BG155" s="54"/>
      <c r="BH155" s="55"/>
    </row>
    <row r="156" spans="1:60" ht="12.95" customHeight="1">
      <c r="A156" s="44"/>
      <c r="B156" s="45"/>
      <c r="C156" s="451"/>
      <c r="D156" s="45"/>
      <c r="E156" s="46"/>
      <c r="F156" s="46"/>
      <c r="G156" s="506"/>
      <c r="H156" s="48"/>
      <c r="I156" s="49"/>
      <c r="J156" s="89"/>
      <c r="K156" s="89"/>
      <c r="L156" s="39"/>
      <c r="M156" s="39"/>
      <c r="N156" s="50"/>
      <c r="O156" s="51"/>
      <c r="P156" s="52"/>
      <c r="Q156" s="51"/>
      <c r="R156" s="507"/>
      <c r="S156" s="507"/>
      <c r="T156" s="41"/>
      <c r="U156" s="41"/>
      <c r="V156" s="41"/>
      <c r="W156" s="41"/>
      <c r="X156" s="42"/>
      <c r="Y156" s="218"/>
      <c r="Z156" s="41"/>
      <c r="AA156" s="41"/>
      <c r="AB156" s="41"/>
      <c r="AC156" s="41"/>
      <c r="AD156" s="41"/>
      <c r="AE156" s="237"/>
      <c r="AF156" s="37"/>
      <c r="AG156" s="37"/>
      <c r="AH156" s="37"/>
      <c r="AJ156" s="41"/>
      <c r="AK156" s="41"/>
      <c r="AL156" s="41"/>
      <c r="AM156" s="41"/>
      <c r="AN156" s="41"/>
      <c r="AO156" s="41"/>
      <c r="AP156" s="41"/>
      <c r="AQ156" s="41"/>
      <c r="AR156" s="41"/>
      <c r="AS156" s="41"/>
      <c r="AT156" s="41"/>
      <c r="AU156" s="41"/>
      <c r="AV156" s="41"/>
      <c r="AW156" s="41"/>
      <c r="AX156" s="41"/>
      <c r="AY156" s="41"/>
      <c r="AZ156" s="41"/>
      <c r="BA156" s="41"/>
      <c r="BB156" s="41"/>
      <c r="BC156" s="41"/>
      <c r="BD156" s="37"/>
      <c r="BE156" s="510"/>
      <c r="BF156" s="510"/>
      <c r="BG156" s="37"/>
      <c r="BH156" s="510"/>
    </row>
    <row r="157" spans="1:60" ht="12.95" customHeight="1">
      <c r="A157" s="44">
        <v>46049</v>
      </c>
      <c r="B157" s="45" t="s">
        <v>417</v>
      </c>
      <c r="C157" s="451">
        <f t="shared" ref="C157" si="323">(M157*E157*O157*Q157)/100000000</f>
        <v>38.628949631999994</v>
      </c>
      <c r="D157" s="45" t="s">
        <v>430</v>
      </c>
      <c r="E157" s="46">
        <v>14</v>
      </c>
      <c r="F157" s="46">
        <v>1</v>
      </c>
      <c r="G157" s="506">
        <f t="shared" ref="G157" si="324">+L157</f>
        <v>896.55555555555554</v>
      </c>
      <c r="H157" s="48">
        <f t="shared" ref="H157" si="325">+N157</f>
        <v>0.22000000000000008</v>
      </c>
      <c r="I157" s="49">
        <v>0.88</v>
      </c>
      <c r="J157" s="89">
        <f t="shared" ref="J157" si="326">E157*G157*(1-H157)*1440/1000000*2.75</f>
        <v>38.769931199999995</v>
      </c>
      <c r="K157" s="89">
        <f t="shared" ref="K157" si="327">(IF(G157&lt;L157,L157,G157)*(1-IF(H157&lt;N157,H157,N157))*E157*O157*Q157)/100000000</f>
        <v>38.628949631999994</v>
      </c>
      <c r="L157" s="39">
        <v>896.55555555555554</v>
      </c>
      <c r="M157" s="39">
        <v>699.31333333333328</v>
      </c>
      <c r="N157" s="50">
        <f t="shared" ref="N157" si="328">1-(M157/L157)</f>
        <v>0.22000000000000008</v>
      </c>
      <c r="O157" s="51">
        <f>+'Trim Rwd'!H90</f>
        <v>274</v>
      </c>
      <c r="P157" s="52">
        <f t="shared" ref="P157" si="329">O157*(Q157-R157-S157)</f>
        <v>382504</v>
      </c>
      <c r="Q157" s="51">
        <v>1440</v>
      </c>
      <c r="R157" s="507">
        <v>0</v>
      </c>
      <c r="S157" s="507">
        <f>471-427</f>
        <v>44</v>
      </c>
      <c r="T157" s="41">
        <f t="shared" ref="T157" si="330">E157*M157*O157*Q157/100000000</f>
        <v>38.628949631999994</v>
      </c>
      <c r="U157" s="41">
        <f t="shared" ref="U157" si="331">E157*M157*O157*(Q157-R157-S157)/100000000</f>
        <v>37.448620615466659</v>
      </c>
      <c r="V157" s="41">
        <f t="shared" ref="V157" si="332">E157*G157*(1-N157)*O157/100*(R157+S157)/1000000</f>
        <v>1.1803290165333333</v>
      </c>
      <c r="W157" s="41">
        <f>+'27'!K17/1000</f>
        <v>34.753</v>
      </c>
      <c r="X157" s="508">
        <f>SUM(W157:W160)/SUM(K157:K160)</f>
        <v>0.89966204960465246</v>
      </c>
      <c r="Y157" s="218">
        <v>0</v>
      </c>
      <c r="Z157" s="41">
        <v>0</v>
      </c>
      <c r="AA157" s="53">
        <v>0</v>
      </c>
      <c r="AB157" s="53">
        <f>(SUM(K157:K160)-SUM(W157:W160)-SUM(Y157:Y160)-SUM(Z157:Z160)-SUM(AC157:AC160)-SUM(V157:V160))-AA157</f>
        <v>2.6956206154666607</v>
      </c>
      <c r="AC157" s="41">
        <f>K157-T157</f>
        <v>0</v>
      </c>
      <c r="AD157" s="41">
        <f>+AM157+BC157</f>
        <v>0</v>
      </c>
      <c r="AE157" s="237" t="s">
        <v>386</v>
      </c>
      <c r="AF157" s="41">
        <v>0</v>
      </c>
      <c r="AG157" s="41"/>
      <c r="AH157" s="41"/>
      <c r="AI157" s="509"/>
      <c r="AJ157" s="41"/>
      <c r="AK157" s="41"/>
      <c r="AL157" s="41"/>
      <c r="AM157" s="41">
        <f>SUM(AF157:AL157)+AT157</f>
        <v>0</v>
      </c>
      <c r="AN157" s="41"/>
      <c r="AO157" s="41"/>
      <c r="AP157" s="41"/>
      <c r="AQ157" s="41"/>
      <c r="AR157" s="41">
        <f>SUM(AN157:AQ157)</f>
        <v>0</v>
      </c>
      <c r="AS157" s="41"/>
      <c r="AT157" s="41"/>
      <c r="AU157" s="41"/>
      <c r="AV157" s="41"/>
      <c r="AW157" s="41"/>
      <c r="AX157" s="41"/>
      <c r="AY157" s="41"/>
      <c r="AZ157" s="41"/>
      <c r="BA157" s="41"/>
      <c r="BB157" s="41"/>
      <c r="BC157" s="41">
        <f>+AR157+AS157+AU157+AV157+AX157</f>
        <v>0</v>
      </c>
      <c r="BD157" s="37">
        <v>0</v>
      </c>
      <c r="BE157" s="55"/>
      <c r="BF157" s="55"/>
      <c r="BG157" s="37"/>
      <c r="BH157" s="55"/>
    </row>
    <row r="158" spans="1:60" ht="12.95" customHeight="1">
      <c r="A158" s="44"/>
      <c r="B158" s="45"/>
      <c r="C158" s="451"/>
      <c r="D158" s="45"/>
      <c r="E158" s="46"/>
      <c r="F158" s="46"/>
      <c r="G158" s="506"/>
      <c r="H158" s="48"/>
      <c r="I158" s="49"/>
      <c r="J158" s="89"/>
      <c r="K158" s="89"/>
      <c r="L158" s="39"/>
      <c r="M158" s="39"/>
      <c r="N158" s="50"/>
      <c r="O158" s="51"/>
      <c r="P158" s="52"/>
      <c r="Q158" s="51"/>
      <c r="R158" s="507"/>
      <c r="S158" s="507"/>
      <c r="T158" s="41"/>
      <c r="U158" s="41"/>
      <c r="V158" s="41"/>
      <c r="W158" s="41"/>
      <c r="X158" s="42"/>
      <c r="Y158" s="218"/>
      <c r="Z158" s="41"/>
      <c r="AA158" s="41"/>
      <c r="AB158" s="41"/>
      <c r="AC158" s="41"/>
      <c r="AD158" s="41">
        <f t="shared" ref="AD158:AD161" si="333">+AM158+BC158</f>
        <v>12</v>
      </c>
      <c r="AE158" s="237" t="s">
        <v>778</v>
      </c>
      <c r="AF158" s="41"/>
      <c r="AG158" s="41">
        <v>12</v>
      </c>
      <c r="AH158" s="41"/>
      <c r="AI158" s="509"/>
      <c r="AJ158" s="41"/>
      <c r="AK158" s="41"/>
      <c r="AL158" s="41"/>
      <c r="AM158" s="41">
        <f t="shared" ref="AM158:AM160" si="334">SUM(AF158:AL158)+AT158</f>
        <v>12</v>
      </c>
      <c r="AN158" s="90"/>
      <c r="AO158" s="41"/>
      <c r="AP158" s="41"/>
      <c r="AQ158" s="41"/>
      <c r="AR158" s="41">
        <f t="shared" ref="AR158:AR160" si="335">SUM(AN158:AQ158)</f>
        <v>0</v>
      </c>
      <c r="AS158" s="41"/>
      <c r="AT158" s="41"/>
      <c r="AU158" s="41"/>
      <c r="AV158" s="41"/>
      <c r="AW158" s="41"/>
      <c r="AX158" s="41"/>
      <c r="AY158" s="41"/>
      <c r="AZ158" s="41"/>
      <c r="BA158" s="41"/>
      <c r="BB158" s="41"/>
      <c r="BC158" s="41">
        <f t="shared" ref="BC158:BC160" si="336">+AR158+AS158+AU158+AV158+AX158</f>
        <v>0</v>
      </c>
      <c r="BD158" s="54"/>
      <c r="BE158" s="55">
        <v>7</v>
      </c>
      <c r="BF158" s="55"/>
      <c r="BG158" s="54"/>
      <c r="BH158" s="55"/>
    </row>
    <row r="159" spans="1:60" ht="12.95" customHeight="1">
      <c r="A159" s="44"/>
      <c r="B159" s="45"/>
      <c r="C159" s="451"/>
      <c r="D159" s="45"/>
      <c r="E159" s="46"/>
      <c r="F159" s="46"/>
      <c r="G159" s="506"/>
      <c r="H159" s="48"/>
      <c r="I159" s="49"/>
      <c r="J159" s="89"/>
      <c r="K159" s="89"/>
      <c r="L159" s="39"/>
      <c r="M159" s="39"/>
      <c r="N159" s="50"/>
      <c r="O159" s="51"/>
      <c r="P159" s="52"/>
      <c r="Q159" s="51"/>
      <c r="R159" s="507"/>
      <c r="S159" s="507"/>
      <c r="T159" s="41"/>
      <c r="U159" s="41"/>
      <c r="V159" s="41"/>
      <c r="W159" s="41"/>
      <c r="X159" s="42"/>
      <c r="Y159" s="218"/>
      <c r="Z159" s="41"/>
      <c r="AA159" s="41"/>
      <c r="AB159" s="41"/>
      <c r="AC159" s="41"/>
      <c r="AD159" s="41">
        <f t="shared" si="333"/>
        <v>16</v>
      </c>
      <c r="AE159" s="237" t="s">
        <v>779</v>
      </c>
      <c r="AF159" s="37"/>
      <c r="AG159" s="37"/>
      <c r="AH159" s="37">
        <v>16</v>
      </c>
      <c r="AJ159" s="41"/>
      <c r="AK159" s="41"/>
      <c r="AL159" s="41"/>
      <c r="AM159" s="41">
        <f t="shared" si="334"/>
        <v>16</v>
      </c>
      <c r="AN159" s="41"/>
      <c r="AO159" s="41"/>
      <c r="AP159" s="41"/>
      <c r="AQ159" s="41"/>
      <c r="AR159" s="41">
        <f t="shared" si="335"/>
        <v>0</v>
      </c>
      <c r="AS159" s="41"/>
      <c r="AT159" s="41"/>
      <c r="AU159" s="41"/>
      <c r="AV159" s="41"/>
      <c r="AW159" s="41"/>
      <c r="AX159" s="41"/>
      <c r="AY159" s="41"/>
      <c r="AZ159" s="41"/>
      <c r="BA159" s="41"/>
      <c r="BB159" s="41"/>
      <c r="BC159" s="41">
        <f t="shared" si="336"/>
        <v>0</v>
      </c>
      <c r="BD159" s="37"/>
      <c r="BE159" s="510"/>
      <c r="BF159" s="510"/>
      <c r="BG159" s="37"/>
      <c r="BH159" s="510"/>
    </row>
    <row r="160" spans="1:60" ht="12.95" customHeight="1">
      <c r="A160" s="44"/>
      <c r="B160" s="45"/>
      <c r="C160" s="451"/>
      <c r="D160" s="45"/>
      <c r="E160" s="46"/>
      <c r="F160" s="46"/>
      <c r="G160" s="47"/>
      <c r="H160" s="48"/>
      <c r="I160" s="49"/>
      <c r="J160" s="89"/>
      <c r="K160" s="89"/>
      <c r="L160" s="39"/>
      <c r="M160" s="39"/>
      <c r="N160" s="50"/>
      <c r="O160" s="51"/>
      <c r="P160" s="52"/>
      <c r="Q160" s="38"/>
      <c r="R160" s="507"/>
      <c r="S160" s="507"/>
      <c r="T160" s="41"/>
      <c r="U160" s="41"/>
      <c r="V160" s="41"/>
      <c r="W160" s="41"/>
      <c r="X160" s="42"/>
      <c r="Y160" s="218"/>
      <c r="Z160" s="41"/>
      <c r="AA160" s="41"/>
      <c r="AB160" s="41"/>
      <c r="AC160" s="41"/>
      <c r="AD160" s="41">
        <f t="shared" si="333"/>
        <v>16</v>
      </c>
      <c r="AE160" s="240" t="s">
        <v>225</v>
      </c>
      <c r="AF160" s="41"/>
      <c r="AG160" s="41"/>
      <c r="AH160" s="41"/>
      <c r="AI160" s="509">
        <v>16</v>
      </c>
      <c r="AJ160" s="41"/>
      <c r="AK160" s="41"/>
      <c r="AL160" s="41"/>
      <c r="AM160" s="41">
        <f t="shared" si="334"/>
        <v>16</v>
      </c>
      <c r="AN160" s="41"/>
      <c r="AO160" s="41"/>
      <c r="AP160" s="41"/>
      <c r="AQ160" s="41"/>
      <c r="AR160" s="41">
        <f t="shared" si="335"/>
        <v>0</v>
      </c>
      <c r="AS160" s="41"/>
      <c r="AT160" s="41"/>
      <c r="AU160" s="41"/>
      <c r="AV160" s="41"/>
      <c r="AW160" s="41"/>
      <c r="AX160" s="41"/>
      <c r="AY160" s="41"/>
      <c r="AZ160" s="41"/>
      <c r="BA160" s="41"/>
      <c r="BB160" s="41"/>
      <c r="BC160" s="41">
        <f t="shared" si="336"/>
        <v>0</v>
      </c>
      <c r="BD160" s="54"/>
      <c r="BE160" s="55"/>
      <c r="BF160" s="55"/>
      <c r="BG160" s="54"/>
      <c r="BH160" s="55"/>
    </row>
    <row r="161" spans="1:60" ht="12.95" customHeight="1">
      <c r="A161" s="44"/>
      <c r="B161" s="45"/>
      <c r="C161" s="451"/>
      <c r="D161" s="45"/>
      <c r="E161" s="46"/>
      <c r="F161" s="46"/>
      <c r="G161" s="47"/>
      <c r="H161" s="48"/>
      <c r="I161" s="49"/>
      <c r="J161" s="89"/>
      <c r="K161" s="89"/>
      <c r="L161" s="39"/>
      <c r="M161" s="39"/>
      <c r="N161" s="50"/>
      <c r="O161" s="51"/>
      <c r="P161" s="52"/>
      <c r="Q161" s="38"/>
      <c r="R161" s="507"/>
      <c r="S161" s="507"/>
      <c r="T161" s="41"/>
      <c r="U161" s="41"/>
      <c r="V161" s="41"/>
      <c r="W161" s="41"/>
      <c r="X161" s="42"/>
      <c r="Y161" s="218"/>
      <c r="Z161" s="41"/>
      <c r="AA161" s="41"/>
      <c r="AB161" s="41"/>
      <c r="AC161" s="41"/>
      <c r="AD161" s="41">
        <f t="shared" si="333"/>
        <v>0</v>
      </c>
      <c r="AE161" s="240" t="s">
        <v>609</v>
      </c>
      <c r="AF161" s="41"/>
      <c r="AG161" s="41"/>
      <c r="AH161" s="41"/>
      <c r="AI161" s="509"/>
      <c r="AJ161" s="41"/>
      <c r="AK161" s="41"/>
      <c r="AL161" s="41"/>
      <c r="AM161" s="41">
        <f>SUM(AF161:AL161)+AT161+AV161+AX161+AZ161</f>
        <v>0</v>
      </c>
      <c r="AN161" s="41"/>
      <c r="AO161" s="41"/>
      <c r="AP161" s="41"/>
      <c r="AQ161" s="41"/>
      <c r="AR161" s="41">
        <f t="shared" ref="AR161" si="337">SUM(AN161:AQ161)</f>
        <v>0</v>
      </c>
      <c r="AS161" s="41"/>
      <c r="AT161" s="41"/>
      <c r="AU161" s="41"/>
      <c r="AV161" s="41"/>
      <c r="AW161" s="41"/>
      <c r="AX161" s="41"/>
      <c r="AY161" s="41"/>
      <c r="AZ161" s="41">
        <f>427-427</f>
        <v>0</v>
      </c>
      <c r="BA161" s="41"/>
      <c r="BB161" s="41"/>
      <c r="BC161" s="41">
        <f>+AR161+AS161+AU161+AV161+AX161+BA161</f>
        <v>0</v>
      </c>
      <c r="BD161" s="54"/>
      <c r="BE161" s="55"/>
      <c r="BF161" s="55"/>
      <c r="BG161" s="54"/>
      <c r="BH161" s="55"/>
    </row>
    <row r="162" spans="1:60" ht="12.95" customHeight="1">
      <c r="A162" s="44"/>
      <c r="B162" s="561"/>
      <c r="C162" s="451"/>
      <c r="D162" s="45"/>
      <c r="E162" s="46"/>
      <c r="F162" s="46"/>
      <c r="G162" s="47"/>
      <c r="H162" s="48"/>
      <c r="I162" s="49"/>
      <c r="J162" s="89"/>
      <c r="K162" s="89"/>
      <c r="L162" s="39"/>
      <c r="M162" s="39"/>
      <c r="N162" s="50"/>
      <c r="O162" s="51"/>
      <c r="P162" s="52"/>
      <c r="Q162" s="38"/>
      <c r="R162" s="507"/>
      <c r="S162" s="507"/>
      <c r="T162" s="41"/>
      <c r="U162" s="41"/>
      <c r="V162" s="41"/>
      <c r="W162" s="41"/>
      <c r="X162" s="42"/>
      <c r="Y162" s="42"/>
      <c r="Z162" s="41"/>
      <c r="AA162" s="53"/>
      <c r="AB162" s="53"/>
      <c r="AC162" s="41"/>
      <c r="AD162" s="41"/>
      <c r="AE162" s="240"/>
      <c r="AF162" s="41"/>
      <c r="AG162" s="41"/>
      <c r="AH162" s="41"/>
      <c r="AI162" s="41"/>
      <c r="AJ162" s="41"/>
      <c r="AK162" s="41"/>
      <c r="AL162" s="41"/>
      <c r="AM162" s="41"/>
      <c r="AN162" s="41"/>
      <c r="AO162" s="41"/>
      <c r="AP162" s="41"/>
      <c r="AQ162" s="41"/>
      <c r="AR162" s="41"/>
      <c r="AS162" s="41"/>
      <c r="AT162" s="41"/>
      <c r="AU162" s="41"/>
      <c r="AV162" s="41"/>
      <c r="AW162" s="41"/>
      <c r="AX162" s="41"/>
      <c r="AY162" s="41"/>
      <c r="AZ162" s="41"/>
      <c r="BA162" s="41"/>
      <c r="BB162" s="41"/>
      <c r="BC162" s="41"/>
      <c r="BD162" s="37"/>
      <c r="BE162" s="55"/>
      <c r="BF162" s="510"/>
      <c r="BG162" s="37"/>
      <c r="BH162" s="510"/>
    </row>
    <row r="163" spans="1:60" ht="12.95" customHeight="1">
      <c r="A163" s="44">
        <v>46050</v>
      </c>
      <c r="B163" s="45" t="s">
        <v>417</v>
      </c>
      <c r="C163" s="451">
        <f t="shared" ref="C163" si="338">(M163*E163*O163*Q163)/100000000</f>
        <v>35.889999599999996</v>
      </c>
      <c r="D163" s="45" t="s">
        <v>430</v>
      </c>
      <c r="E163" s="46">
        <v>14</v>
      </c>
      <c r="F163" s="46">
        <v>1</v>
      </c>
      <c r="G163" s="506">
        <f t="shared" ref="G163" si="339">+L163</f>
        <v>832.98611111111109</v>
      </c>
      <c r="H163" s="48">
        <f t="shared" ref="H163" si="340">+N163</f>
        <v>0.21999999999999997</v>
      </c>
      <c r="I163" s="49">
        <v>0.88</v>
      </c>
      <c r="J163" s="89">
        <f t="shared" ref="J163" si="341">E163*G163*(1-H163)*1440/1000000*2.75</f>
        <v>36.020984999999996</v>
      </c>
      <c r="K163" s="89">
        <f t="shared" ref="K163" si="342">(IF(G163&lt;L163,L163,G163)*(1-IF(H163&lt;N163,H163,N163))*E163*O163*Q163)/100000000</f>
        <v>35.889999599999996</v>
      </c>
      <c r="L163" s="39">
        <v>832.98611111111109</v>
      </c>
      <c r="M163" s="39">
        <v>649.72916666666663</v>
      </c>
      <c r="N163" s="50">
        <f t="shared" ref="N163" si="343">1-(M163/L163)</f>
        <v>0.21999999999999997</v>
      </c>
      <c r="O163" s="51">
        <f>+'Trim Rwd'!H92</f>
        <v>274</v>
      </c>
      <c r="P163" s="52">
        <f t="shared" ref="P163" si="344">O163*(Q163-R163-S163)</f>
        <v>385792</v>
      </c>
      <c r="Q163" s="51">
        <v>1440</v>
      </c>
      <c r="R163" s="507">
        <v>0</v>
      </c>
      <c r="S163" s="507">
        <f>531-499</f>
        <v>32</v>
      </c>
      <c r="T163" s="41">
        <f t="shared" ref="T163" si="345">E163*M163*O163*Q163/100000000</f>
        <v>35.889999599999996</v>
      </c>
      <c r="U163" s="41">
        <f t="shared" ref="U163" si="346">E163*M163*O163*(Q163-R163-S163)/100000000</f>
        <v>35.092444053333331</v>
      </c>
      <c r="V163" s="41">
        <f t="shared" ref="V163" si="347">E163*G163*(1-N163)*O163/100*(R163+S163)/1000000</f>
        <v>0.7975555466666665</v>
      </c>
      <c r="W163" s="41">
        <f>+'28'!K17/1000</f>
        <v>33.441000000000003</v>
      </c>
      <c r="X163" s="508">
        <f>SUM(W163:W166)/SUM(K163:K166)</f>
        <v>0.93176373287003345</v>
      </c>
      <c r="Y163" s="218">
        <v>0</v>
      </c>
      <c r="Z163" s="41">
        <v>0</v>
      </c>
      <c r="AA163" s="53">
        <v>0</v>
      </c>
      <c r="AB163" s="53">
        <f>(SUM(K163:K166)-SUM(W163:W166)-SUM(Y163:Y166)-SUM(Z163:Z166)-SUM(AC163:AC166)-SUM(V163:V166))-AA163</f>
        <v>1.6514440533333268</v>
      </c>
      <c r="AC163" s="41">
        <f>K163-T163</f>
        <v>0</v>
      </c>
      <c r="AD163" s="41">
        <f>+AM163+BC163</f>
        <v>2</v>
      </c>
      <c r="AE163" s="237" t="s">
        <v>619</v>
      </c>
      <c r="AF163" s="41">
        <v>2</v>
      </c>
      <c r="AG163" s="41"/>
      <c r="AH163" s="41"/>
      <c r="AI163" s="509"/>
      <c r="AJ163" s="41"/>
      <c r="AK163" s="41"/>
      <c r="AL163" s="41"/>
      <c r="AM163" s="41">
        <f>SUM(AF163:AL163)+AT163</f>
        <v>2</v>
      </c>
      <c r="AN163" s="41"/>
      <c r="AO163" s="41"/>
      <c r="AP163" s="41"/>
      <c r="AQ163" s="41"/>
      <c r="AR163" s="41">
        <f>SUM(AN163:AQ163)</f>
        <v>0</v>
      </c>
      <c r="AS163" s="41"/>
      <c r="AT163" s="41"/>
      <c r="AU163" s="41"/>
      <c r="AV163" s="41"/>
      <c r="AW163" s="41"/>
      <c r="AX163" s="41"/>
      <c r="AY163" s="41"/>
      <c r="AZ163" s="41"/>
      <c r="BA163" s="41"/>
      <c r="BB163" s="41"/>
      <c r="BC163" s="41">
        <f>+AR163+AS163+AU163+AV163+AX163</f>
        <v>0</v>
      </c>
      <c r="BD163" s="37">
        <v>1</v>
      </c>
      <c r="BE163" s="55"/>
      <c r="BF163" s="55"/>
      <c r="BG163" s="37"/>
      <c r="BH163" s="55"/>
    </row>
    <row r="164" spans="1:60" ht="12.95" customHeight="1">
      <c r="A164" s="44"/>
      <c r="B164" s="45"/>
      <c r="C164" s="451"/>
      <c r="D164" s="45"/>
      <c r="E164" s="46"/>
      <c r="F164" s="46"/>
      <c r="G164" s="506"/>
      <c r="H164" s="48"/>
      <c r="I164" s="49"/>
      <c r="J164" s="89"/>
      <c r="K164" s="89"/>
      <c r="L164" s="39"/>
      <c r="M164" s="39"/>
      <c r="N164" s="50"/>
      <c r="O164" s="51"/>
      <c r="P164" s="52"/>
      <c r="Q164" s="51"/>
      <c r="R164" s="507"/>
      <c r="S164" s="507"/>
      <c r="T164" s="41"/>
      <c r="U164" s="41"/>
      <c r="V164" s="41"/>
      <c r="W164" s="41"/>
      <c r="X164" s="42"/>
      <c r="Y164" s="218"/>
      <c r="Z164" s="41"/>
      <c r="AA164" s="41"/>
      <c r="AB164" s="41"/>
      <c r="AC164" s="41"/>
      <c r="AD164" s="41">
        <f t="shared" ref="AD164:AD167" si="348">+AM164+BC164</f>
        <v>11</v>
      </c>
      <c r="AE164" s="237" t="s">
        <v>437</v>
      </c>
      <c r="AF164" s="41"/>
      <c r="AG164" s="41">
        <v>11</v>
      </c>
      <c r="AH164" s="41"/>
      <c r="AI164" s="509"/>
      <c r="AJ164" s="41"/>
      <c r="AK164" s="41"/>
      <c r="AL164" s="41"/>
      <c r="AM164" s="41">
        <f t="shared" ref="AM164:AM166" si="349">SUM(AF164:AL164)+AT164</f>
        <v>11</v>
      </c>
      <c r="AN164" s="90"/>
      <c r="AO164" s="41"/>
      <c r="AP164" s="41"/>
      <c r="AQ164" s="41"/>
      <c r="AR164" s="41">
        <f t="shared" ref="AR164:AR166" si="350">SUM(AN164:AQ164)</f>
        <v>0</v>
      </c>
      <c r="AS164" s="41"/>
      <c r="AT164" s="41"/>
      <c r="AU164" s="41"/>
      <c r="AV164" s="41"/>
      <c r="AW164" s="41"/>
      <c r="AX164" s="41"/>
      <c r="AY164" s="41"/>
      <c r="AZ164" s="41"/>
      <c r="BA164" s="41"/>
      <c r="BB164" s="41"/>
      <c r="BC164" s="41">
        <f t="shared" ref="BC164:BC166" si="351">+AR164+AS164+AU164+AV164+AX164</f>
        <v>0</v>
      </c>
      <c r="BD164" s="54"/>
      <c r="BE164" s="55">
        <v>5</v>
      </c>
      <c r="BF164" s="55"/>
      <c r="BG164" s="54"/>
      <c r="BH164" s="55"/>
    </row>
    <row r="165" spans="1:60" ht="12.95" customHeight="1">
      <c r="A165" s="44"/>
      <c r="B165" s="45"/>
      <c r="C165" s="451"/>
      <c r="D165" s="45"/>
      <c r="E165" s="46"/>
      <c r="F165" s="46"/>
      <c r="G165" s="506"/>
      <c r="H165" s="48"/>
      <c r="I165" s="49"/>
      <c r="J165" s="89"/>
      <c r="K165" s="89"/>
      <c r="L165" s="39"/>
      <c r="M165" s="39"/>
      <c r="N165" s="50"/>
      <c r="O165" s="51"/>
      <c r="P165" s="52"/>
      <c r="Q165" s="51"/>
      <c r="R165" s="507"/>
      <c r="S165" s="507"/>
      <c r="T165" s="41"/>
      <c r="U165" s="41"/>
      <c r="V165" s="41"/>
      <c r="W165" s="41"/>
      <c r="X165" s="42"/>
      <c r="Y165" s="218"/>
      <c r="Z165" s="41"/>
      <c r="AA165" s="41"/>
      <c r="AB165" s="41"/>
      <c r="AC165" s="41"/>
      <c r="AD165" s="41">
        <f t="shared" si="348"/>
        <v>19</v>
      </c>
      <c r="AE165" s="237" t="s">
        <v>788</v>
      </c>
      <c r="AF165" s="37"/>
      <c r="AG165" s="37"/>
      <c r="AH165" s="37">
        <v>19</v>
      </c>
      <c r="AJ165" s="41"/>
      <c r="AK165" s="41"/>
      <c r="AL165" s="41"/>
      <c r="AM165" s="41">
        <f t="shared" si="349"/>
        <v>19</v>
      </c>
      <c r="AN165" s="41"/>
      <c r="AO165" s="41"/>
      <c r="AP165" s="41"/>
      <c r="AQ165" s="41"/>
      <c r="AR165" s="41">
        <f t="shared" si="350"/>
        <v>0</v>
      </c>
      <c r="AS165" s="41"/>
      <c r="AT165" s="41"/>
      <c r="AU165" s="41"/>
      <c r="AV165" s="41"/>
      <c r="AW165" s="41"/>
      <c r="AX165" s="41"/>
      <c r="AY165" s="41"/>
      <c r="AZ165" s="41"/>
      <c r="BA165" s="41"/>
      <c r="BB165" s="41"/>
      <c r="BC165" s="41">
        <f t="shared" si="351"/>
        <v>0</v>
      </c>
      <c r="BD165" s="37"/>
      <c r="BE165" s="510"/>
      <c r="BF165" s="510"/>
      <c r="BG165" s="37"/>
      <c r="BH165" s="510"/>
    </row>
    <row r="166" spans="1:60" ht="12.95" customHeight="1">
      <c r="A166" s="44"/>
      <c r="B166" s="45"/>
      <c r="C166" s="451"/>
      <c r="D166" s="45"/>
      <c r="E166" s="46"/>
      <c r="F166" s="46"/>
      <c r="G166" s="47"/>
      <c r="H166" s="48"/>
      <c r="I166" s="49"/>
      <c r="J166" s="89"/>
      <c r="K166" s="89"/>
      <c r="L166" s="39"/>
      <c r="M166" s="39"/>
      <c r="N166" s="50"/>
      <c r="O166" s="51"/>
      <c r="P166" s="52"/>
      <c r="Q166" s="38"/>
      <c r="R166" s="507"/>
      <c r="S166" s="507"/>
      <c r="T166" s="41"/>
      <c r="U166" s="41"/>
      <c r="V166" s="41"/>
      <c r="W166" s="41"/>
      <c r="X166" s="42"/>
      <c r="Y166" s="218"/>
      <c r="Z166" s="41"/>
      <c r="AA166" s="41"/>
      <c r="AB166" s="41"/>
      <c r="AC166" s="41"/>
      <c r="AD166" s="41">
        <f t="shared" si="348"/>
        <v>0</v>
      </c>
      <c r="AE166" s="240" t="s">
        <v>225</v>
      </c>
      <c r="AF166" s="41"/>
      <c r="AG166" s="41"/>
      <c r="AH166" s="41"/>
      <c r="AI166" s="509">
        <v>0</v>
      </c>
      <c r="AJ166" s="41"/>
      <c r="AK166" s="41"/>
      <c r="AL166" s="41"/>
      <c r="AM166" s="41">
        <f t="shared" si="349"/>
        <v>0</v>
      </c>
      <c r="AN166" s="41"/>
      <c r="AO166" s="41"/>
      <c r="AP166" s="41"/>
      <c r="AQ166" s="41"/>
      <c r="AR166" s="41">
        <f t="shared" si="350"/>
        <v>0</v>
      </c>
      <c r="AS166" s="41"/>
      <c r="AT166" s="41"/>
      <c r="AU166" s="41"/>
      <c r="AV166" s="41"/>
      <c r="AW166" s="41"/>
      <c r="AX166" s="41"/>
      <c r="AY166" s="41"/>
      <c r="AZ166" s="41"/>
      <c r="BA166" s="41"/>
      <c r="BB166" s="41"/>
      <c r="BC166" s="41">
        <f t="shared" si="351"/>
        <v>0</v>
      </c>
      <c r="BD166" s="54"/>
      <c r="BE166" s="55"/>
      <c r="BF166" s="55"/>
      <c r="BG166" s="54"/>
      <c r="BH166" s="55"/>
    </row>
    <row r="167" spans="1:60" ht="12.95" customHeight="1">
      <c r="A167" s="44"/>
      <c r="B167" s="45"/>
      <c r="C167" s="451"/>
      <c r="D167" s="45"/>
      <c r="E167" s="46"/>
      <c r="F167" s="46"/>
      <c r="G167" s="47"/>
      <c r="H167" s="48"/>
      <c r="I167" s="49"/>
      <c r="J167" s="89"/>
      <c r="K167" s="89"/>
      <c r="L167" s="39"/>
      <c r="M167" s="39"/>
      <c r="N167" s="50"/>
      <c r="O167" s="51"/>
      <c r="P167" s="52"/>
      <c r="Q167" s="38"/>
      <c r="R167" s="507"/>
      <c r="S167" s="507"/>
      <c r="T167" s="41"/>
      <c r="U167" s="41"/>
      <c r="V167" s="41"/>
      <c r="W167" s="41"/>
      <c r="X167" s="42"/>
      <c r="Y167" s="218"/>
      <c r="Z167" s="41"/>
      <c r="AA167" s="41"/>
      <c r="AB167" s="41"/>
      <c r="AC167" s="41"/>
      <c r="AD167" s="41">
        <f t="shared" si="348"/>
        <v>0</v>
      </c>
      <c r="AE167" s="240" t="s">
        <v>609</v>
      </c>
      <c r="AF167" s="41"/>
      <c r="AG167" s="41"/>
      <c r="AH167" s="41"/>
      <c r="AI167" s="509"/>
      <c r="AJ167" s="41"/>
      <c r="AK167" s="41"/>
      <c r="AL167" s="41"/>
      <c r="AM167" s="41">
        <f>SUM(AF167:AL167)+AT167+AV167+AX167+AZ167</f>
        <v>0</v>
      </c>
      <c r="AN167" s="41"/>
      <c r="AO167" s="41"/>
      <c r="AP167" s="41"/>
      <c r="AQ167" s="41"/>
      <c r="AR167" s="41">
        <f t="shared" ref="AR167" si="352">SUM(AN167:AQ167)</f>
        <v>0</v>
      </c>
      <c r="AS167" s="41"/>
      <c r="AT167" s="41"/>
      <c r="AU167" s="41"/>
      <c r="AV167" s="41"/>
      <c r="AW167" s="41"/>
      <c r="AX167" s="41"/>
      <c r="AY167" s="41"/>
      <c r="AZ167" s="41">
        <f>499-499</f>
        <v>0</v>
      </c>
      <c r="BA167" s="41"/>
      <c r="BB167" s="41"/>
      <c r="BC167" s="41">
        <f>+AR167+AS167+AU167+AV167+AX167+BA167</f>
        <v>0</v>
      </c>
      <c r="BD167" s="54"/>
      <c r="BE167" s="55"/>
      <c r="BF167" s="55"/>
      <c r="BG167" s="54"/>
      <c r="BH167" s="55"/>
    </row>
    <row r="168" spans="1:60" ht="12.95" customHeight="1">
      <c r="A168" s="44"/>
      <c r="B168" s="561"/>
      <c r="C168" s="451"/>
      <c r="D168" s="45"/>
      <c r="E168" s="46"/>
      <c r="F168" s="46"/>
      <c r="G168" s="47"/>
      <c r="H168" s="48"/>
      <c r="I168" s="49"/>
      <c r="J168" s="89"/>
      <c r="K168" s="89"/>
      <c r="L168" s="39"/>
      <c r="M168" s="39"/>
      <c r="N168" s="50"/>
      <c r="O168" s="51"/>
      <c r="P168" s="52"/>
      <c r="Q168" s="38"/>
      <c r="R168" s="507"/>
      <c r="S168" s="507"/>
      <c r="T168" s="41"/>
      <c r="U168" s="41"/>
      <c r="V168" s="41"/>
      <c r="W168" s="41"/>
      <c r="X168" s="42"/>
      <c r="Y168" s="42"/>
      <c r="Z168" s="41"/>
      <c r="AA168" s="53"/>
      <c r="AB168" s="53"/>
      <c r="AC168" s="41"/>
      <c r="AD168" s="41"/>
      <c r="AE168" s="237"/>
      <c r="AF168" s="41"/>
      <c r="AG168" s="41"/>
      <c r="AH168" s="41"/>
      <c r="AI168" s="41"/>
      <c r="AJ168" s="41"/>
      <c r="AK168" s="41"/>
      <c r="AL168" s="41"/>
      <c r="AM168" s="41"/>
      <c r="AN168" s="41"/>
      <c r="AO168" s="41"/>
      <c r="AP168" s="41"/>
      <c r="AQ168" s="41"/>
      <c r="AR168" s="41"/>
      <c r="AS168" s="41"/>
      <c r="AT168" s="41"/>
      <c r="AU168" s="41"/>
      <c r="AV168" s="41"/>
      <c r="AW168" s="41"/>
      <c r="AX168" s="41"/>
      <c r="AY168" s="41"/>
      <c r="AZ168" s="41"/>
      <c r="BA168" s="41"/>
      <c r="BB168" s="41"/>
      <c r="BC168" s="41"/>
      <c r="BD168" s="37"/>
      <c r="BE168" s="55"/>
      <c r="BF168" s="510"/>
      <c r="BG168" s="37"/>
      <c r="BH168" s="510"/>
    </row>
    <row r="169" spans="1:60" ht="12.95" customHeight="1">
      <c r="A169" s="44">
        <v>46051</v>
      </c>
      <c r="B169" s="45" t="s">
        <v>417</v>
      </c>
      <c r="C169" s="451">
        <f t="shared" ref="C169" si="353">(M169*E169*O169*Q169)/100000000</f>
        <v>37.058821800000004</v>
      </c>
      <c r="D169" s="45" t="s">
        <v>430</v>
      </c>
      <c r="E169" s="46">
        <v>14</v>
      </c>
      <c r="F169" s="46">
        <v>1</v>
      </c>
      <c r="G169" s="506">
        <f t="shared" ref="G169" si="354">+L169</f>
        <v>856.98611111111109</v>
      </c>
      <c r="H169" s="48">
        <f t="shared" ref="H169" si="355">+N169</f>
        <v>0.21999999999999997</v>
      </c>
      <c r="I169" s="49">
        <v>0.88</v>
      </c>
      <c r="J169" s="89">
        <f t="shared" ref="J169" si="356">E169*G169*(1-H169)*1440/1000000*2.75</f>
        <v>37.058821800000004</v>
      </c>
      <c r="K169" s="89">
        <f t="shared" ref="K169" si="357">(IF(G169&lt;L169,L169,G169)*(1-IF(H169&lt;N169,H169,N169))*E169*O169*Q169)/100000000</f>
        <v>37.058821800000004</v>
      </c>
      <c r="L169" s="39">
        <v>856.98611111111109</v>
      </c>
      <c r="M169" s="39">
        <v>668.44916666666666</v>
      </c>
      <c r="N169" s="50">
        <f t="shared" ref="N169" si="358">1-(M169/L169)</f>
        <v>0.21999999999999997</v>
      </c>
      <c r="O169" s="51">
        <f>+'Trim Rwd'!H95</f>
        <v>275</v>
      </c>
      <c r="P169" s="52">
        <f t="shared" ref="P169" si="359">O169*(Q169-R169-S169)</f>
        <v>385275</v>
      </c>
      <c r="Q169" s="51">
        <v>1440</v>
      </c>
      <c r="R169" s="507">
        <v>0</v>
      </c>
      <c r="S169" s="507">
        <f>511-472</f>
        <v>39</v>
      </c>
      <c r="T169" s="41">
        <f t="shared" ref="T169" si="360">E169*M169*O169*Q169/100000000</f>
        <v>37.058821800000004</v>
      </c>
      <c r="U169" s="41">
        <f t="shared" ref="U169" si="361">E169*M169*O169*(Q169-R169-S169)/100000000</f>
        <v>36.055145376250003</v>
      </c>
      <c r="V169" s="41">
        <f t="shared" ref="V169" si="362">E169*G169*(1-N169)*O169/100*(R169+S169)/1000000</f>
        <v>1.00367642375</v>
      </c>
      <c r="W169" s="41">
        <f>+'29'!K17/1000</f>
        <v>35.091999999999999</v>
      </c>
      <c r="X169" s="508">
        <f>SUM(W169:W172)/SUM(K169:K172)</f>
        <v>0.946927028316912</v>
      </c>
      <c r="Y169" s="218">
        <v>0</v>
      </c>
      <c r="Z169" s="41">
        <v>0</v>
      </c>
      <c r="AA169" s="53">
        <v>0</v>
      </c>
      <c r="AB169" s="53">
        <f>(SUM(K169:K172)-SUM(W169:W172)-SUM(Y169:Y172)-SUM(Z169:Z172)-SUM(AC169:AC172)-SUM(V169:V172))-AA169</f>
        <v>0.96314537625000529</v>
      </c>
      <c r="AC169" s="41">
        <f>K169-T169</f>
        <v>0</v>
      </c>
      <c r="AD169" s="41">
        <f>+AM169+BC169</f>
        <v>0</v>
      </c>
      <c r="AE169" s="237" t="s">
        <v>386</v>
      </c>
      <c r="AF169" s="41">
        <v>0</v>
      </c>
      <c r="AG169" s="41"/>
      <c r="AH169" s="41"/>
      <c r="AI169" s="509"/>
      <c r="AJ169" s="41"/>
      <c r="AK169" s="41"/>
      <c r="AL169" s="41"/>
      <c r="AM169" s="41">
        <f>SUM(AF169:AL169)+AT169</f>
        <v>0</v>
      </c>
      <c r="AN169" s="41"/>
      <c r="AO169" s="41"/>
      <c r="AP169" s="41"/>
      <c r="AQ169" s="41"/>
      <c r="AR169" s="41">
        <f>SUM(AN169:AQ169)</f>
        <v>0</v>
      </c>
      <c r="AS169" s="41"/>
      <c r="AT169" s="41"/>
      <c r="AU169" s="41"/>
      <c r="AV169" s="41"/>
      <c r="AW169" s="41"/>
      <c r="AX169" s="41"/>
      <c r="AY169" s="41"/>
      <c r="AZ169" s="41"/>
      <c r="BA169" s="41"/>
      <c r="BB169" s="41"/>
      <c r="BC169" s="41">
        <f>+AR169+AS169+AU169+AV169+AX169</f>
        <v>0</v>
      </c>
      <c r="BD169" s="37">
        <v>0</v>
      </c>
      <c r="BE169" s="55"/>
      <c r="BF169" s="55"/>
      <c r="BG169" s="37"/>
      <c r="BH169" s="55"/>
    </row>
    <row r="170" spans="1:60" ht="12.95" customHeight="1">
      <c r="A170" s="44"/>
      <c r="B170" s="45"/>
      <c r="C170" s="451"/>
      <c r="D170" s="45"/>
      <c r="E170" s="46"/>
      <c r="F170" s="46"/>
      <c r="G170" s="506"/>
      <c r="H170" s="48"/>
      <c r="I170" s="49"/>
      <c r="J170" s="89"/>
      <c r="K170" s="89"/>
      <c r="L170" s="39"/>
      <c r="M170" s="39"/>
      <c r="N170" s="50"/>
      <c r="O170" s="51"/>
      <c r="P170" s="52"/>
      <c r="Q170" s="51"/>
      <c r="R170" s="507"/>
      <c r="S170" s="507"/>
      <c r="T170" s="41"/>
      <c r="U170" s="41"/>
      <c r="V170" s="41"/>
      <c r="W170" s="41"/>
      <c r="X170" s="42"/>
      <c r="Y170" s="218"/>
      <c r="Z170" s="41"/>
      <c r="AA170" s="41"/>
      <c r="AB170" s="41"/>
      <c r="AC170" s="41"/>
      <c r="AD170" s="41">
        <f t="shared" ref="AD170:AD173" si="363">+AM170+BC170</f>
        <v>13</v>
      </c>
      <c r="AE170" s="237" t="s">
        <v>650</v>
      </c>
      <c r="AF170" s="41"/>
      <c r="AG170" s="41">
        <v>13</v>
      </c>
      <c r="AH170" s="41"/>
      <c r="AI170" s="509"/>
      <c r="AJ170" s="41"/>
      <c r="AK170" s="41"/>
      <c r="AL170" s="41"/>
      <c r="AM170" s="41">
        <f t="shared" ref="AM170:AM172" si="364">SUM(AF170:AL170)+AT170</f>
        <v>13</v>
      </c>
      <c r="AN170" s="90"/>
      <c r="AO170" s="41"/>
      <c r="AP170" s="41"/>
      <c r="AQ170" s="41"/>
      <c r="AR170" s="41">
        <f t="shared" ref="AR170:AR172" si="365">SUM(AN170:AQ170)</f>
        <v>0</v>
      </c>
      <c r="AS170" s="41"/>
      <c r="AT170" s="41"/>
      <c r="AU170" s="41"/>
      <c r="AV170" s="41"/>
      <c r="AW170" s="41"/>
      <c r="AX170" s="41"/>
      <c r="AY170" s="41"/>
      <c r="AZ170" s="41"/>
      <c r="BA170" s="41"/>
      <c r="BB170" s="41"/>
      <c r="BC170" s="41">
        <f t="shared" ref="BC170:BC172" si="366">+AR170+AS170+AU170+AV170+AX170</f>
        <v>0</v>
      </c>
      <c r="BD170" s="54"/>
      <c r="BE170" s="55">
        <v>6</v>
      </c>
      <c r="BF170" s="55"/>
      <c r="BG170" s="54"/>
      <c r="BH170" s="55"/>
    </row>
    <row r="171" spans="1:60" ht="12.95" customHeight="1">
      <c r="A171" s="44"/>
      <c r="B171" s="45"/>
      <c r="C171" s="451"/>
      <c r="D171" s="45"/>
      <c r="E171" s="46"/>
      <c r="F171" s="46"/>
      <c r="G171" s="506"/>
      <c r="H171" s="48"/>
      <c r="I171" s="49"/>
      <c r="J171" s="89"/>
      <c r="K171" s="89"/>
      <c r="L171" s="39"/>
      <c r="M171" s="39"/>
      <c r="N171" s="50"/>
      <c r="O171" s="51"/>
      <c r="P171" s="52"/>
      <c r="Q171" s="51"/>
      <c r="R171" s="507"/>
      <c r="S171" s="507"/>
      <c r="T171" s="41"/>
      <c r="U171" s="41"/>
      <c r="V171" s="41"/>
      <c r="W171" s="41"/>
      <c r="X171" s="42"/>
      <c r="Y171" s="218"/>
      <c r="Z171" s="41"/>
      <c r="AA171" s="41"/>
      <c r="AB171" s="41"/>
      <c r="AC171" s="41"/>
      <c r="AD171" s="41">
        <f t="shared" si="363"/>
        <v>20</v>
      </c>
      <c r="AE171" s="237" t="s">
        <v>543</v>
      </c>
      <c r="AF171" s="37"/>
      <c r="AG171" s="37"/>
      <c r="AH171" s="37">
        <v>20</v>
      </c>
      <c r="AJ171" s="41"/>
      <c r="AK171" s="41"/>
      <c r="AL171" s="41"/>
      <c r="AM171" s="41">
        <f t="shared" si="364"/>
        <v>20</v>
      </c>
      <c r="AN171" s="41"/>
      <c r="AO171" s="41"/>
      <c r="AP171" s="41"/>
      <c r="AQ171" s="41"/>
      <c r="AR171" s="41">
        <f t="shared" si="365"/>
        <v>0</v>
      </c>
      <c r="AS171" s="41"/>
      <c r="AT171" s="41"/>
      <c r="AU171" s="41"/>
      <c r="AV171" s="41"/>
      <c r="AW171" s="41"/>
      <c r="AX171" s="41"/>
      <c r="AY171" s="41"/>
      <c r="AZ171" s="41"/>
      <c r="BA171" s="41"/>
      <c r="BB171" s="41"/>
      <c r="BC171" s="41">
        <f t="shared" si="366"/>
        <v>0</v>
      </c>
      <c r="BD171" s="37"/>
      <c r="BE171" s="510"/>
      <c r="BF171" s="510"/>
      <c r="BG171" s="37"/>
      <c r="BH171" s="510"/>
    </row>
    <row r="172" spans="1:60" ht="12.95" customHeight="1">
      <c r="A172" s="44"/>
      <c r="B172" s="45"/>
      <c r="C172" s="451"/>
      <c r="D172" s="45"/>
      <c r="E172" s="46"/>
      <c r="F172" s="46"/>
      <c r="G172" s="47"/>
      <c r="H172" s="48"/>
      <c r="I172" s="49"/>
      <c r="J172" s="89"/>
      <c r="K172" s="89"/>
      <c r="L172" s="39"/>
      <c r="M172" s="39"/>
      <c r="N172" s="50"/>
      <c r="O172" s="51"/>
      <c r="P172" s="52"/>
      <c r="Q172" s="38"/>
      <c r="R172" s="507"/>
      <c r="S172" s="507"/>
      <c r="T172" s="41"/>
      <c r="U172" s="41"/>
      <c r="V172" s="41"/>
      <c r="W172" s="41"/>
      <c r="X172" s="42"/>
      <c r="Y172" s="218"/>
      <c r="Z172" s="41"/>
      <c r="AA172" s="41"/>
      <c r="AB172" s="41"/>
      <c r="AC172" s="41"/>
      <c r="AD172" s="41">
        <f t="shared" si="363"/>
        <v>6</v>
      </c>
      <c r="AE172" s="240" t="s">
        <v>225</v>
      </c>
      <c r="AF172" s="41"/>
      <c r="AG172" s="41"/>
      <c r="AH172" s="41"/>
      <c r="AI172" s="509">
        <v>6</v>
      </c>
      <c r="AJ172" s="41"/>
      <c r="AK172" s="41"/>
      <c r="AL172" s="41"/>
      <c r="AM172" s="41">
        <f t="shared" si="364"/>
        <v>6</v>
      </c>
      <c r="AN172" s="41"/>
      <c r="AO172" s="41"/>
      <c r="AP172" s="41"/>
      <c r="AQ172" s="41"/>
      <c r="AR172" s="41">
        <f t="shared" si="365"/>
        <v>0</v>
      </c>
      <c r="AS172" s="41"/>
      <c r="AT172" s="41"/>
      <c r="AU172" s="41"/>
      <c r="AV172" s="41"/>
      <c r="AW172" s="41"/>
      <c r="AX172" s="41"/>
      <c r="AY172" s="41"/>
      <c r="AZ172" s="41"/>
      <c r="BA172" s="41"/>
      <c r="BB172" s="41"/>
      <c r="BC172" s="41">
        <f t="shared" si="366"/>
        <v>0</v>
      </c>
      <c r="BD172" s="54"/>
      <c r="BE172" s="55"/>
      <c r="BF172" s="55"/>
      <c r="BG172" s="54"/>
      <c r="BH172" s="55"/>
    </row>
    <row r="173" spans="1:60" ht="12.95" customHeight="1">
      <c r="A173" s="44"/>
      <c r="B173" s="45"/>
      <c r="C173" s="451"/>
      <c r="D173" s="45"/>
      <c r="E173" s="46"/>
      <c r="F173" s="46"/>
      <c r="G173" s="47"/>
      <c r="H173" s="48"/>
      <c r="I173" s="49"/>
      <c r="J173" s="89"/>
      <c r="K173" s="89"/>
      <c r="L173" s="39"/>
      <c r="M173" s="39"/>
      <c r="N173" s="50"/>
      <c r="O173" s="51"/>
      <c r="P173" s="52"/>
      <c r="Q173" s="38"/>
      <c r="R173" s="507"/>
      <c r="S173" s="507"/>
      <c r="T173" s="41"/>
      <c r="U173" s="41"/>
      <c r="V173" s="41"/>
      <c r="W173" s="41"/>
      <c r="X173" s="42"/>
      <c r="Y173" s="218"/>
      <c r="Z173" s="41"/>
      <c r="AA173" s="41"/>
      <c r="AB173" s="41"/>
      <c r="AC173" s="41"/>
      <c r="AD173" s="41">
        <f t="shared" si="363"/>
        <v>0</v>
      </c>
      <c r="AE173" s="240" t="s">
        <v>609</v>
      </c>
      <c r="AF173" s="41"/>
      <c r="AG173" s="41"/>
      <c r="AH173" s="41"/>
      <c r="AI173" s="509"/>
      <c r="AJ173" s="41"/>
      <c r="AK173" s="41"/>
      <c r="AL173" s="41"/>
      <c r="AM173" s="41">
        <f>SUM(AF173:AL173)+AT173+AV173+AX173+AZ173</f>
        <v>0</v>
      </c>
      <c r="AN173" s="41"/>
      <c r="AO173" s="41"/>
      <c r="AP173" s="41"/>
      <c r="AQ173" s="41"/>
      <c r="AR173" s="41">
        <f t="shared" ref="AR173" si="367">SUM(AN173:AQ173)</f>
        <v>0</v>
      </c>
      <c r="AS173" s="41"/>
      <c r="AT173" s="41"/>
      <c r="AU173" s="41"/>
      <c r="AV173" s="41"/>
      <c r="AW173" s="41"/>
      <c r="AX173" s="41"/>
      <c r="AY173" s="41"/>
      <c r="AZ173" s="41">
        <f>472-472</f>
        <v>0</v>
      </c>
      <c r="BA173" s="41"/>
      <c r="BB173" s="41"/>
      <c r="BC173" s="41">
        <f>+AR173+AS173+AU173+AV173+AX173+BA173</f>
        <v>0</v>
      </c>
      <c r="BD173" s="54"/>
      <c r="BE173" s="55"/>
      <c r="BF173" s="55"/>
      <c r="BG173" s="54"/>
      <c r="BH173" s="55"/>
    </row>
    <row r="174" spans="1:60" ht="12.95" customHeight="1">
      <c r="A174" s="44"/>
      <c r="B174" s="561"/>
      <c r="C174" s="451"/>
      <c r="D174" s="45"/>
      <c r="E174" s="46"/>
      <c r="F174" s="46"/>
      <c r="G174" s="47"/>
      <c r="H174" s="48"/>
      <c r="I174" s="49"/>
      <c r="J174" s="89"/>
      <c r="K174" s="89"/>
      <c r="L174" s="39"/>
      <c r="M174" s="39"/>
      <c r="N174" s="50"/>
      <c r="O174" s="51"/>
      <c r="P174" s="52"/>
      <c r="Q174" s="38"/>
      <c r="R174" s="507"/>
      <c r="S174" s="507"/>
      <c r="T174" s="41"/>
      <c r="U174" s="41"/>
      <c r="V174" s="41"/>
      <c r="W174" s="41"/>
      <c r="X174" s="42"/>
      <c r="Y174" s="42"/>
      <c r="Z174" s="41"/>
      <c r="AA174" s="53"/>
      <c r="AB174" s="53"/>
      <c r="AC174" s="41"/>
      <c r="AD174" s="41"/>
      <c r="AE174" s="237"/>
      <c r="AF174" s="41"/>
      <c r="AG174" s="41"/>
      <c r="AH174" s="41"/>
      <c r="AI174" s="41"/>
      <c r="AJ174" s="41"/>
      <c r="AK174" s="41"/>
      <c r="AL174" s="41"/>
      <c r="AM174" s="41"/>
      <c r="AN174" s="41"/>
      <c r="AO174" s="41"/>
      <c r="AP174" s="41"/>
      <c r="AQ174" s="41"/>
      <c r="AR174" s="41"/>
      <c r="AS174" s="41"/>
      <c r="AT174" s="41"/>
      <c r="AU174" s="41"/>
      <c r="AV174" s="41"/>
      <c r="AW174" s="41"/>
      <c r="AX174" s="41"/>
      <c r="AY174" s="41"/>
      <c r="BA174" s="41"/>
      <c r="BB174" s="41"/>
      <c r="BC174" s="41"/>
      <c r="BD174" s="37"/>
      <c r="BE174" s="55"/>
      <c r="BF174" s="510"/>
      <c r="BG174" s="37"/>
      <c r="BH174" s="510"/>
    </row>
    <row r="175" spans="1:60" ht="12.95" customHeight="1">
      <c r="A175" s="44">
        <v>46052</v>
      </c>
      <c r="B175" s="45" t="s">
        <v>417</v>
      </c>
      <c r="C175" s="451">
        <f t="shared" ref="C175:C176" si="368">(M175*E175*O175*Q175)/100000000</f>
        <v>4.4180135999999992</v>
      </c>
      <c r="D175" s="45" t="s">
        <v>430</v>
      </c>
      <c r="E175" s="46">
        <v>14</v>
      </c>
      <c r="F175" s="46">
        <v>1</v>
      </c>
      <c r="G175" s="506">
        <f t="shared" ref="G175:G176" si="369">+L175</f>
        <v>967.89473684210532</v>
      </c>
      <c r="H175" s="48">
        <f t="shared" ref="H175:H176" si="370">+N175</f>
        <v>0.22000000000000008</v>
      </c>
      <c r="I175" s="49">
        <v>0.88</v>
      </c>
      <c r="J175" s="89">
        <f t="shared" ref="J175:J176" si="371">E175*G175*(1-H175)*1440/1000000*2.75</f>
        <v>41.854865684210523</v>
      </c>
      <c r="K175" s="89">
        <f t="shared" ref="K175:K176" si="372">(IF(G175&lt;L175,L175,G175)*(1-IF(H175&lt;N175,H175,N175))*E175*O175*Q175)/100000000</f>
        <v>4.4180135999999992</v>
      </c>
      <c r="L175" s="39">
        <v>967.89473684210532</v>
      </c>
      <c r="M175" s="39">
        <v>754.95789473684204</v>
      </c>
      <c r="N175" s="50">
        <f t="shared" ref="N175:N176" si="373">1-(M175/L175)</f>
        <v>0.22000000000000008</v>
      </c>
      <c r="O175" s="51">
        <f>+'Trim Rwd'!H97</f>
        <v>275</v>
      </c>
      <c r="P175" s="52">
        <f t="shared" ref="P175:P176" si="374">O175*(Q175-R175-S175)</f>
        <v>41800</v>
      </c>
      <c r="Q175" s="51">
        <v>152</v>
      </c>
      <c r="R175" s="507">
        <v>0</v>
      </c>
      <c r="S175" s="507">
        <f>37-37</f>
        <v>0</v>
      </c>
      <c r="T175" s="41">
        <f t="shared" ref="T175:T176" si="375">E175*M175*O175*Q175/100000000</f>
        <v>4.4180135999999992</v>
      </c>
      <c r="U175" s="41">
        <f t="shared" ref="U175:U176" si="376">E175*M175*O175*(Q175-R175-S175)/100000000</f>
        <v>4.4180135999999992</v>
      </c>
      <c r="V175" s="41">
        <f t="shared" ref="V175:V176" si="377">E175*G175*(1-N175)*O175/100*(R175+S175)/1000000</f>
        <v>0</v>
      </c>
      <c r="W175" s="41">
        <f>+'30'!K17/1000</f>
        <v>7.8040000000000003</v>
      </c>
      <c r="X175" s="508">
        <f>SUM(W175:W178)/SUM(K175:K178)</f>
        <v>0.97502891264897817</v>
      </c>
      <c r="Y175" s="218">
        <v>0</v>
      </c>
      <c r="Z175" s="41">
        <v>0</v>
      </c>
      <c r="AA175" s="53">
        <v>0</v>
      </c>
      <c r="AB175" s="53">
        <f>(SUM(K175:K178)-SUM(W175:W178)-SUM(Y175:Y178)-SUM(Z175:Z178)-SUM(AC175:AC178)-SUM(V175:V178))-AA175</f>
        <v>-1.6857995737678819</v>
      </c>
      <c r="AC175" s="41">
        <f>K175-T175</f>
        <v>0</v>
      </c>
      <c r="AD175" s="41">
        <f>+AM175+BC175</f>
        <v>6</v>
      </c>
      <c r="AE175" s="237" t="s">
        <v>819</v>
      </c>
      <c r="AF175" s="41">
        <v>6</v>
      </c>
      <c r="AG175" s="41"/>
      <c r="AH175" s="41"/>
      <c r="AI175" s="509"/>
      <c r="AJ175" s="41"/>
      <c r="AK175" s="41"/>
      <c r="AL175" s="41"/>
      <c r="AM175" s="41">
        <f>SUM(AF175:AL175)+AT175</f>
        <v>6</v>
      </c>
      <c r="AN175" s="41"/>
      <c r="AO175" s="41"/>
      <c r="AP175" s="41"/>
      <c r="AQ175" s="41"/>
      <c r="AR175" s="41">
        <f>SUM(AN175:AQ175)</f>
        <v>0</v>
      </c>
      <c r="AS175" s="41"/>
      <c r="AT175" s="41"/>
      <c r="AU175" s="41"/>
      <c r="AV175" s="41"/>
      <c r="AW175" s="41"/>
      <c r="AX175" s="41"/>
      <c r="AY175" s="41"/>
      <c r="AZ175" s="41"/>
      <c r="BA175" s="41"/>
      <c r="BB175" s="41"/>
      <c r="BC175" s="41">
        <f>+AR175+AS175+AU175+AV175+AX175</f>
        <v>0</v>
      </c>
      <c r="BD175" s="37">
        <v>3</v>
      </c>
      <c r="BE175" s="55"/>
      <c r="BF175" s="55"/>
      <c r="BG175" s="37"/>
      <c r="BH175" s="55"/>
    </row>
    <row r="176" spans="1:60" ht="12.95" customHeight="1">
      <c r="A176" s="44"/>
      <c r="B176" s="45" t="s">
        <v>417</v>
      </c>
      <c r="C176" s="451">
        <f t="shared" si="368"/>
        <v>42.186758228298892</v>
      </c>
      <c r="D176" s="45" t="s">
        <v>430</v>
      </c>
      <c r="E176" s="46">
        <v>15</v>
      </c>
      <c r="F176" s="46">
        <v>1</v>
      </c>
      <c r="G176" s="506">
        <f t="shared" si="369"/>
        <v>1021.7011128775835</v>
      </c>
      <c r="H176" s="48">
        <f t="shared" si="370"/>
        <v>0.21999999999999997</v>
      </c>
      <c r="I176" s="49">
        <v>0.88</v>
      </c>
      <c r="J176" s="89">
        <f t="shared" si="371"/>
        <v>47.337455961844199</v>
      </c>
      <c r="K176" s="89">
        <f t="shared" si="372"/>
        <v>42.186758228298892</v>
      </c>
      <c r="L176" s="39">
        <v>1021.7011128775835</v>
      </c>
      <c r="M176" s="39">
        <v>796.92686804451512</v>
      </c>
      <c r="N176" s="50">
        <f t="shared" si="373"/>
        <v>0.21999999999999997</v>
      </c>
      <c r="O176" s="51">
        <f>+'Trim Rwd'!H98</f>
        <v>274</v>
      </c>
      <c r="P176" s="52">
        <f t="shared" si="374"/>
        <v>329074</v>
      </c>
      <c r="Q176" s="51">
        <f>1258+30</f>
        <v>1288</v>
      </c>
      <c r="R176" s="507">
        <v>30</v>
      </c>
      <c r="S176" s="507">
        <v>57</v>
      </c>
      <c r="T176" s="41">
        <f t="shared" si="375"/>
        <v>42.186758228298892</v>
      </c>
      <c r="U176" s="41">
        <f t="shared" si="376"/>
        <v>39.33718682623212</v>
      </c>
      <c r="V176" s="41">
        <f t="shared" si="377"/>
        <v>2.8495714020667733</v>
      </c>
      <c r="W176" s="41">
        <f>+'30'!K16/1000</f>
        <v>37.637</v>
      </c>
      <c r="X176" s="42"/>
      <c r="Y176" s="218"/>
      <c r="Z176" s="41"/>
      <c r="AA176" s="41"/>
      <c r="AB176" s="41"/>
      <c r="AC176" s="41">
        <f>K176-T176</f>
        <v>0</v>
      </c>
      <c r="AD176" s="41">
        <f t="shared" ref="AD176:AD180" si="378">+AM176+BC176</f>
        <v>12</v>
      </c>
      <c r="AE176" s="237" t="s">
        <v>438</v>
      </c>
      <c r="AF176" s="41"/>
      <c r="AG176" s="41">
        <v>12</v>
      </c>
      <c r="AH176" s="41"/>
      <c r="AI176" s="509"/>
      <c r="AJ176" s="41"/>
      <c r="AK176" s="41"/>
      <c r="AL176" s="41"/>
      <c r="AM176" s="41">
        <f t="shared" ref="AM176:AM178" si="379">SUM(AF176:AL176)+AT176</f>
        <v>12</v>
      </c>
      <c r="AN176" s="90"/>
      <c r="AO176" s="41"/>
      <c r="AP176" s="41"/>
      <c r="AQ176" s="41"/>
      <c r="AR176" s="41">
        <f t="shared" ref="AR176:AR179" si="380">SUM(AN176:AQ176)</f>
        <v>0</v>
      </c>
      <c r="AS176" s="41"/>
      <c r="AT176" s="41"/>
      <c r="AU176" s="41"/>
      <c r="AV176" s="41"/>
      <c r="AW176" s="41"/>
      <c r="AX176" s="41"/>
      <c r="AY176" s="41"/>
      <c r="AZ176" s="41"/>
      <c r="BA176" s="41"/>
      <c r="BB176" s="41"/>
      <c r="BC176" s="41">
        <f t="shared" ref="BC176:BC179" si="381">+AR176+AS176+AU176+AV176+AX176</f>
        <v>0</v>
      </c>
      <c r="BD176" s="54"/>
      <c r="BE176" s="55">
        <v>8</v>
      </c>
      <c r="BF176" s="55"/>
      <c r="BG176" s="54"/>
      <c r="BH176" s="55"/>
    </row>
    <row r="177" spans="1:99" ht="12.95" customHeight="1">
      <c r="A177" s="44"/>
      <c r="B177" s="45"/>
      <c r="C177" s="451"/>
      <c r="D177" s="45"/>
      <c r="E177" s="46"/>
      <c r="F177" s="46"/>
      <c r="G177" s="506"/>
      <c r="H177" s="48"/>
      <c r="I177" s="49"/>
      <c r="J177" s="89"/>
      <c r="K177" s="89"/>
      <c r="L177" s="39"/>
      <c r="M177" s="39"/>
      <c r="N177" s="50"/>
      <c r="O177" s="51"/>
      <c r="P177" s="52"/>
      <c r="Q177" s="51"/>
      <c r="R177" s="507"/>
      <c r="S177" s="507"/>
      <c r="T177" s="41"/>
      <c r="U177" s="41"/>
      <c r="V177" s="41"/>
      <c r="W177" s="41"/>
      <c r="X177" s="42"/>
      <c r="Y177" s="218"/>
      <c r="Z177" s="41"/>
      <c r="AA177" s="41"/>
      <c r="AB177" s="41"/>
      <c r="AC177" s="41"/>
      <c r="AD177" s="41">
        <f t="shared" si="378"/>
        <v>25</v>
      </c>
      <c r="AE177" s="237" t="s">
        <v>524</v>
      </c>
      <c r="AF177" s="37"/>
      <c r="AG177" s="37"/>
      <c r="AH177" s="37">
        <v>25</v>
      </c>
      <c r="AJ177" s="41"/>
      <c r="AK177" s="41"/>
      <c r="AL177" s="41"/>
      <c r="AM177" s="41">
        <f t="shared" si="379"/>
        <v>25</v>
      </c>
      <c r="AN177" s="41"/>
      <c r="AO177" s="41"/>
      <c r="AP177" s="41"/>
      <c r="AQ177" s="41"/>
      <c r="AR177" s="41">
        <f t="shared" si="380"/>
        <v>0</v>
      </c>
      <c r="AS177" s="41"/>
      <c r="AT177" s="41"/>
      <c r="AU177" s="41"/>
      <c r="AV177" s="41"/>
      <c r="AW177" s="41"/>
      <c r="AX177" s="41"/>
      <c r="AY177" s="41"/>
      <c r="AZ177" s="41"/>
      <c r="BA177" s="41"/>
      <c r="BB177" s="41"/>
      <c r="BC177" s="41">
        <f t="shared" si="381"/>
        <v>0</v>
      </c>
      <c r="BD177" s="37"/>
      <c r="BE177" s="510"/>
      <c r="BF177" s="510"/>
      <c r="BG177" s="37"/>
      <c r="BH177" s="510"/>
    </row>
    <row r="178" spans="1:99" ht="12.95" customHeight="1">
      <c r="A178" s="44"/>
      <c r="B178" s="45"/>
      <c r="C178" s="451"/>
      <c r="D178" s="45"/>
      <c r="E178" s="46"/>
      <c r="F178" s="46"/>
      <c r="G178" s="47"/>
      <c r="H178" s="48"/>
      <c r="I178" s="49"/>
      <c r="J178" s="89"/>
      <c r="K178" s="89"/>
      <c r="L178" s="39"/>
      <c r="M178" s="39"/>
      <c r="N178" s="50"/>
      <c r="O178" s="51"/>
      <c r="P178" s="52"/>
      <c r="Q178" s="38"/>
      <c r="R178" s="507"/>
      <c r="S178" s="507"/>
      <c r="T178" s="41"/>
      <c r="U178" s="41"/>
      <c r="V178" s="41"/>
      <c r="W178" s="41"/>
      <c r="X178" s="42"/>
      <c r="Y178" s="218"/>
      <c r="Z178" s="41"/>
      <c r="AA178" s="41"/>
      <c r="AB178" s="41"/>
      <c r="AC178" s="41"/>
      <c r="AD178" s="41">
        <f t="shared" si="378"/>
        <v>14</v>
      </c>
      <c r="AE178" s="240" t="s">
        <v>225</v>
      </c>
      <c r="AF178" s="41"/>
      <c r="AG178" s="41"/>
      <c r="AH178" s="41"/>
      <c r="AI178" s="509">
        <v>14</v>
      </c>
      <c r="AJ178" s="41"/>
      <c r="AK178" s="41"/>
      <c r="AL178" s="41"/>
      <c r="AM178" s="41">
        <f t="shared" si="379"/>
        <v>14</v>
      </c>
      <c r="AN178" s="41"/>
      <c r="AO178" s="41"/>
      <c r="AP178" s="41"/>
      <c r="AQ178" s="41"/>
      <c r="AR178" s="41">
        <f t="shared" si="380"/>
        <v>0</v>
      </c>
      <c r="AS178" s="41"/>
      <c r="AT178" s="41"/>
      <c r="AU178" s="41"/>
      <c r="AV178" s="41"/>
      <c r="AW178" s="41"/>
      <c r="AX178" s="41"/>
      <c r="AY178" s="41"/>
      <c r="AZ178" s="41"/>
      <c r="BA178" s="41"/>
      <c r="BB178" s="41"/>
      <c r="BC178" s="41">
        <f t="shared" si="381"/>
        <v>0</v>
      </c>
      <c r="BD178" s="54"/>
      <c r="BE178" s="55"/>
      <c r="BF178" s="55"/>
      <c r="BG178" s="54"/>
      <c r="BH178" s="55"/>
    </row>
    <row r="179" spans="1:99" ht="12.95" customHeight="1">
      <c r="A179" s="44"/>
      <c r="B179" s="45"/>
      <c r="C179" s="451"/>
      <c r="D179" s="45"/>
      <c r="E179" s="46"/>
      <c r="F179" s="46"/>
      <c r="G179" s="47"/>
      <c r="H179" s="48"/>
      <c r="I179" s="49"/>
      <c r="J179" s="89"/>
      <c r="K179" s="89"/>
      <c r="L179" s="39"/>
      <c r="M179" s="39"/>
      <c r="N179" s="50"/>
      <c r="O179" s="51"/>
      <c r="P179" s="52"/>
      <c r="Q179" s="38"/>
      <c r="R179" s="507"/>
      <c r="S179" s="507"/>
      <c r="T179" s="41"/>
      <c r="U179" s="41"/>
      <c r="V179" s="41"/>
      <c r="W179" s="41"/>
      <c r="X179" s="42"/>
      <c r="Y179" s="218"/>
      <c r="Z179" s="41"/>
      <c r="AA179" s="41"/>
      <c r="AB179" s="41"/>
      <c r="AC179" s="41"/>
      <c r="AD179" s="41">
        <f t="shared" si="378"/>
        <v>30</v>
      </c>
      <c r="AE179" s="240" t="s">
        <v>820</v>
      </c>
      <c r="AF179" s="41"/>
      <c r="AG179" s="41"/>
      <c r="AH179" s="41"/>
      <c r="AI179" s="509"/>
      <c r="AJ179" s="41"/>
      <c r="AK179" s="41"/>
      <c r="AL179" s="41"/>
      <c r="AM179" s="41">
        <f t="shared" ref="AM179" si="382">SUM(AF179:AL179)+AT179</f>
        <v>0</v>
      </c>
      <c r="AN179" s="41"/>
      <c r="AO179" s="41"/>
      <c r="AP179" s="41">
        <v>30</v>
      </c>
      <c r="AQ179" s="41"/>
      <c r="AR179" s="41">
        <f t="shared" si="380"/>
        <v>30</v>
      </c>
      <c r="AS179" s="41"/>
      <c r="AT179" s="41"/>
      <c r="AU179" s="41"/>
      <c r="AV179" s="41"/>
      <c r="AW179" s="41"/>
      <c r="AX179" s="41"/>
      <c r="AY179" s="41"/>
      <c r="AZ179" s="41"/>
      <c r="BA179" s="41"/>
      <c r="BB179" s="41"/>
      <c r="BC179" s="41">
        <f t="shared" si="381"/>
        <v>30</v>
      </c>
      <c r="BD179" s="54"/>
      <c r="BE179" s="55"/>
      <c r="BF179" s="55"/>
      <c r="BG179" s="54"/>
      <c r="BH179" s="55"/>
    </row>
    <row r="180" spans="1:99" ht="12.95" customHeight="1">
      <c r="A180" s="44"/>
      <c r="B180" s="45"/>
      <c r="C180" s="451"/>
      <c r="D180" s="45"/>
      <c r="E180" s="46"/>
      <c r="F180" s="46"/>
      <c r="G180" s="47"/>
      <c r="H180" s="48"/>
      <c r="I180" s="49"/>
      <c r="J180" s="89"/>
      <c r="K180" s="89"/>
      <c r="L180" s="39"/>
      <c r="M180" s="39"/>
      <c r="N180" s="50"/>
      <c r="O180" s="51"/>
      <c r="P180" s="52"/>
      <c r="Q180" s="38"/>
      <c r="R180" s="507"/>
      <c r="S180" s="507"/>
      <c r="T180" s="41"/>
      <c r="U180" s="41"/>
      <c r="V180" s="41"/>
      <c r="W180" s="41"/>
      <c r="X180" s="42"/>
      <c r="Y180" s="218"/>
      <c r="Z180" s="41"/>
      <c r="AA180" s="41"/>
      <c r="AB180" s="41"/>
      <c r="AC180" s="41"/>
      <c r="AD180" s="41">
        <f t="shared" si="378"/>
        <v>0</v>
      </c>
      <c r="AE180" s="240" t="s">
        <v>609</v>
      </c>
      <c r="AF180" s="41"/>
      <c r="AG180" s="41"/>
      <c r="AH180" s="41"/>
      <c r="AI180" s="509"/>
      <c r="AJ180" s="41"/>
      <c r="AK180" s="41"/>
      <c r="AL180" s="41"/>
      <c r="AM180" s="41">
        <f>SUM(AF180:AL180)+AT180+AV180+AX180+AZ180</f>
        <v>0</v>
      </c>
      <c r="AN180" s="41"/>
      <c r="AO180" s="41"/>
      <c r="AP180" s="41"/>
      <c r="AQ180" s="41"/>
      <c r="AR180" s="41">
        <f t="shared" ref="AR180" si="383">SUM(AN180:AQ180)</f>
        <v>0</v>
      </c>
      <c r="AS180" s="41"/>
      <c r="AT180" s="41"/>
      <c r="AU180" s="41"/>
      <c r="AV180" s="41"/>
      <c r="AW180" s="41"/>
      <c r="AX180" s="41"/>
      <c r="AY180" s="41"/>
      <c r="AZ180" s="41">
        <f>37-37</f>
        <v>0</v>
      </c>
      <c r="BA180" s="41"/>
      <c r="BB180" s="41"/>
      <c r="BC180" s="41">
        <f>+AR180+AS180+AU180+AV180+AX180+BA180</f>
        <v>0</v>
      </c>
      <c r="BD180" s="54"/>
      <c r="BE180" s="55"/>
      <c r="BF180" s="55"/>
      <c r="BG180" s="54"/>
      <c r="BH180" s="55"/>
    </row>
    <row r="181" spans="1:99" ht="12.95" customHeight="1">
      <c r="A181" s="44"/>
      <c r="B181" s="45"/>
      <c r="C181" s="451"/>
      <c r="D181" s="45"/>
      <c r="E181" s="46"/>
      <c r="F181" s="46"/>
      <c r="G181" s="47"/>
      <c r="H181" s="48"/>
      <c r="I181" s="49"/>
      <c r="J181" s="89"/>
      <c r="K181" s="89"/>
      <c r="L181" s="39"/>
      <c r="M181" s="39"/>
      <c r="N181" s="50"/>
      <c r="O181" s="51"/>
      <c r="P181" s="52"/>
      <c r="Q181" s="38"/>
      <c r="R181" s="507"/>
      <c r="S181" s="507"/>
      <c r="T181" s="41"/>
      <c r="U181" s="41"/>
      <c r="V181" s="41"/>
      <c r="W181" s="41"/>
      <c r="X181" s="42"/>
      <c r="Y181" s="218"/>
      <c r="Z181" s="41"/>
      <c r="AA181" s="41"/>
      <c r="AB181" s="41"/>
      <c r="AC181" s="41"/>
      <c r="AD181" s="41"/>
      <c r="AE181" s="240"/>
      <c r="AF181" s="41"/>
      <c r="AG181" s="41"/>
      <c r="AH181" s="41"/>
      <c r="AI181" s="509"/>
      <c r="AJ181" s="41"/>
      <c r="AK181" s="41"/>
      <c r="AL181" s="41"/>
      <c r="AM181" s="41"/>
      <c r="AN181" s="41"/>
      <c r="AO181" s="41"/>
      <c r="AP181" s="41"/>
      <c r="AQ181" s="41"/>
      <c r="AR181" s="41"/>
      <c r="AS181" s="41"/>
      <c r="AT181" s="41"/>
      <c r="AU181" s="41"/>
      <c r="AV181" s="41"/>
      <c r="AW181" s="41"/>
      <c r="AX181" s="41"/>
      <c r="AY181" s="41"/>
      <c r="AZ181" s="41"/>
      <c r="BA181" s="41"/>
      <c r="BB181" s="41"/>
      <c r="BC181" s="41"/>
      <c r="BD181" s="54"/>
      <c r="BE181" s="55"/>
      <c r="BF181" s="55"/>
      <c r="BG181" s="54"/>
      <c r="BH181" s="55"/>
    </row>
    <row r="182" spans="1:99" ht="12.95" customHeight="1">
      <c r="A182" s="44">
        <v>46053</v>
      </c>
      <c r="B182" s="45" t="s">
        <v>417</v>
      </c>
      <c r="C182" s="451">
        <f t="shared" ref="C182" si="384">(M182*E182*O182*Q182)/100000000</f>
        <v>47.165319758346584</v>
      </c>
      <c r="D182" s="45" t="s">
        <v>430</v>
      </c>
      <c r="E182" s="46">
        <v>15</v>
      </c>
      <c r="F182" s="46">
        <v>1</v>
      </c>
      <c r="G182" s="506">
        <v>1190</v>
      </c>
      <c r="H182" s="48">
        <f>+N182</f>
        <v>0.21999999999999997</v>
      </c>
      <c r="I182" s="49">
        <v>0.88</v>
      </c>
      <c r="J182" s="89">
        <f t="shared" ref="J182" si="385">E182*G182*(1-H182)*1440/1000000*2.75</f>
        <v>55.135079999999995</v>
      </c>
      <c r="K182" s="89">
        <f t="shared" ref="K182" si="386">(IF(G182&lt;L182,L182,G182)*(1-IF(H182&lt;N182,H182,N182))*E182*O182*Q182)/100000000</f>
        <v>54.9345888</v>
      </c>
      <c r="L182" s="39">
        <v>1021.7011128775835</v>
      </c>
      <c r="M182" s="39">
        <v>796.92686804451512</v>
      </c>
      <c r="N182" s="50">
        <f t="shared" ref="N182" si="387">1-(M182/L182)</f>
        <v>0.21999999999999997</v>
      </c>
      <c r="O182" s="51">
        <f>+'Trim Rwd'!H100</f>
        <v>274</v>
      </c>
      <c r="P182" s="52">
        <f t="shared" ref="P182" si="388">O182*(Q182-R182-S182)</f>
        <v>0</v>
      </c>
      <c r="Q182" s="51">
        <v>1440</v>
      </c>
      <c r="R182" s="507">
        <v>1440</v>
      </c>
      <c r="S182" s="507">
        <v>0</v>
      </c>
      <c r="T182" s="41">
        <f t="shared" ref="T182" si="389">E182*M182*O182*Q182/100000000</f>
        <v>47.165319758346584</v>
      </c>
      <c r="U182" s="41">
        <f t="shared" ref="U182" si="390">E182*M182*O182*(Q182-R182-S182)/100000000</f>
        <v>0</v>
      </c>
      <c r="V182" s="41">
        <f t="shared" ref="V182" si="391">E182*G182*(1-N182)*O182/100*(R182+S182)/1000000</f>
        <v>54.9345888</v>
      </c>
      <c r="W182" s="41">
        <f>+'31'!K16/1000</f>
        <v>2.919</v>
      </c>
      <c r="X182" s="508">
        <f>SUM(W182:W185)/SUM(K182:K185)</f>
        <v>5.313592153437581E-2</v>
      </c>
      <c r="Y182" s="218">
        <v>0</v>
      </c>
      <c r="Z182" s="41">
        <v>0</v>
      </c>
      <c r="AA182" s="53">
        <v>0</v>
      </c>
      <c r="AB182" s="53">
        <f>(SUM(K182:K185)-SUM(W182:W185)-SUM(Y182:Y185)-SUM(Z182:Z185)-SUM(AC182:AC185)-SUM(V182:V185))-AA182</f>
        <v>-10.688269041653413</v>
      </c>
      <c r="AC182" s="41">
        <f>K182-T182</f>
        <v>7.7692690416534163</v>
      </c>
      <c r="AD182" s="41">
        <f>+AM182+BC182</f>
        <v>0</v>
      </c>
      <c r="AE182" s="237" t="s">
        <v>386</v>
      </c>
      <c r="AF182" s="41">
        <v>0</v>
      </c>
      <c r="AG182" s="41"/>
      <c r="AH182" s="41"/>
      <c r="AI182" s="509"/>
      <c r="AJ182" s="41"/>
      <c r="AK182" s="41"/>
      <c r="AL182" s="41"/>
      <c r="AM182" s="41">
        <f>SUM(AF182:AL182)+AT182</f>
        <v>0</v>
      </c>
      <c r="AN182" s="41"/>
      <c r="AO182" s="41"/>
      <c r="AP182" s="41"/>
      <c r="AQ182" s="41"/>
      <c r="AR182" s="41">
        <f>SUM(AN182:AQ182)</f>
        <v>0</v>
      </c>
      <c r="AS182" s="41"/>
      <c r="AT182" s="41"/>
      <c r="AU182" s="41"/>
      <c r="AV182" s="41"/>
      <c r="AW182" s="41"/>
      <c r="AX182" s="41"/>
      <c r="AY182" s="41"/>
      <c r="AZ182" s="41"/>
      <c r="BA182" s="41"/>
      <c r="BB182" s="41"/>
      <c r="BC182" s="41">
        <f>+AR182+AS182+AU182+AV182+AX182</f>
        <v>0</v>
      </c>
      <c r="BD182" s="37">
        <v>0</v>
      </c>
      <c r="BE182" s="55"/>
      <c r="BF182" s="55"/>
      <c r="BG182" s="37"/>
      <c r="BH182" s="55"/>
    </row>
    <row r="183" spans="1:99" ht="12.95" customHeight="1">
      <c r="A183" s="44"/>
      <c r="B183" s="45"/>
      <c r="C183" s="451"/>
      <c r="D183" s="45"/>
      <c r="E183" s="46"/>
      <c r="F183" s="46"/>
      <c r="G183" s="506"/>
      <c r="H183" s="48"/>
      <c r="I183" s="49"/>
      <c r="J183" s="89"/>
      <c r="K183" s="89"/>
      <c r="L183" s="39"/>
      <c r="M183" s="39"/>
      <c r="N183" s="50"/>
      <c r="O183" s="51"/>
      <c r="P183" s="52"/>
      <c r="Q183" s="51"/>
      <c r="R183" s="507"/>
      <c r="S183" s="507"/>
      <c r="T183" s="41"/>
      <c r="U183" s="41"/>
      <c r="V183" s="41"/>
      <c r="W183" s="41"/>
      <c r="X183" s="42"/>
      <c r="Y183" s="218"/>
      <c r="Z183" s="41"/>
      <c r="AA183" s="41"/>
      <c r="AB183" s="41"/>
      <c r="AC183" s="41"/>
      <c r="AD183" s="41">
        <f t="shared" ref="AD183:AD186" si="392">+AM183+BC183</f>
        <v>0</v>
      </c>
      <c r="AE183" s="237" t="s">
        <v>387</v>
      </c>
      <c r="AF183" s="41"/>
      <c r="AG183" s="41">
        <v>0</v>
      </c>
      <c r="AH183" s="41"/>
      <c r="AI183" s="509"/>
      <c r="AJ183" s="41"/>
      <c r="AK183" s="41"/>
      <c r="AL183" s="41"/>
      <c r="AM183" s="41">
        <f t="shared" ref="AM183:AM185" si="393">SUM(AF183:AL183)+AT183</f>
        <v>0</v>
      </c>
      <c r="AN183" s="90"/>
      <c r="AO183" s="41"/>
      <c r="AP183" s="41"/>
      <c r="AQ183" s="41"/>
      <c r="AR183" s="41">
        <f t="shared" ref="AR183:AR185" si="394">SUM(AN183:AQ183)</f>
        <v>0</v>
      </c>
      <c r="AS183" s="41"/>
      <c r="AT183" s="41"/>
      <c r="AU183" s="41"/>
      <c r="AV183" s="41"/>
      <c r="AW183" s="41"/>
      <c r="AX183" s="41"/>
      <c r="AY183" s="41"/>
      <c r="AZ183" s="41"/>
      <c r="BA183" s="41"/>
      <c r="BB183" s="41"/>
      <c r="BC183" s="41">
        <f t="shared" ref="BC183:BC186" si="395">+AR183+AS183+AU183+AV183+AX183</f>
        <v>0</v>
      </c>
      <c r="BD183" s="54"/>
      <c r="BE183" s="55">
        <v>0</v>
      </c>
      <c r="BF183" s="55"/>
      <c r="BG183" s="54"/>
      <c r="BH183" s="55"/>
    </row>
    <row r="184" spans="1:99" ht="12.95" customHeight="1">
      <c r="A184" s="44"/>
      <c r="B184" s="45"/>
      <c r="C184" s="451"/>
      <c r="D184" s="45"/>
      <c r="E184" s="46"/>
      <c r="F184" s="46"/>
      <c r="G184" s="506"/>
      <c r="H184" s="48"/>
      <c r="I184" s="49"/>
      <c r="J184" s="89"/>
      <c r="K184" s="89"/>
      <c r="L184" s="39"/>
      <c r="M184" s="39"/>
      <c r="N184" s="50"/>
      <c r="O184" s="51"/>
      <c r="P184" s="52"/>
      <c r="Q184" s="51"/>
      <c r="R184" s="507"/>
      <c r="S184" s="507"/>
      <c r="T184" s="41"/>
      <c r="U184" s="41"/>
      <c r="V184" s="41"/>
      <c r="W184" s="41"/>
      <c r="X184" s="42"/>
      <c r="Y184" s="218"/>
      <c r="Z184" s="41"/>
      <c r="AA184" s="41"/>
      <c r="AB184" s="41"/>
      <c r="AC184" s="41"/>
      <c r="AD184" s="41">
        <f t="shared" si="392"/>
        <v>0</v>
      </c>
      <c r="AE184" s="237" t="s">
        <v>827</v>
      </c>
      <c r="AF184" s="37"/>
      <c r="AG184" s="37"/>
      <c r="AH184" s="37">
        <v>0</v>
      </c>
      <c r="AJ184" s="41"/>
      <c r="AK184" s="41"/>
      <c r="AL184" s="41"/>
      <c r="AM184" s="41">
        <f t="shared" si="393"/>
        <v>0</v>
      </c>
      <c r="AN184" s="41"/>
      <c r="AO184" s="41"/>
      <c r="AP184" s="41"/>
      <c r="AQ184" s="41"/>
      <c r="AR184" s="41">
        <f t="shared" si="394"/>
        <v>0</v>
      </c>
      <c r="AS184" s="41"/>
      <c r="AT184" s="41"/>
      <c r="AU184" s="41"/>
      <c r="AV184" s="41"/>
      <c r="AW184" s="41"/>
      <c r="AX184" s="41"/>
      <c r="AY184" s="41"/>
      <c r="AZ184" s="41"/>
      <c r="BA184" s="41"/>
      <c r="BB184" s="41"/>
      <c r="BC184" s="41">
        <f t="shared" si="395"/>
        <v>0</v>
      </c>
      <c r="BD184" s="37"/>
      <c r="BE184" s="510"/>
      <c r="BF184" s="510"/>
      <c r="BG184" s="37"/>
      <c r="BH184" s="510"/>
    </row>
    <row r="185" spans="1:99" ht="12.95" customHeight="1">
      <c r="A185" s="44"/>
      <c r="B185" s="45"/>
      <c r="C185" s="451"/>
      <c r="D185" s="45"/>
      <c r="E185" s="46"/>
      <c r="F185" s="46"/>
      <c r="G185" s="47"/>
      <c r="H185" s="48"/>
      <c r="I185" s="49"/>
      <c r="J185" s="89"/>
      <c r="K185" s="89"/>
      <c r="L185" s="39"/>
      <c r="M185" s="39"/>
      <c r="N185" s="50"/>
      <c r="O185" s="51"/>
      <c r="P185" s="52"/>
      <c r="Q185" s="38"/>
      <c r="R185" s="507"/>
      <c r="S185" s="507"/>
      <c r="T185" s="41"/>
      <c r="U185" s="41"/>
      <c r="V185" s="41"/>
      <c r="W185" s="41"/>
      <c r="X185" s="42"/>
      <c r="Y185" s="218"/>
      <c r="Z185" s="41"/>
      <c r="AA185" s="41"/>
      <c r="AB185" s="41"/>
      <c r="AC185" s="41"/>
      <c r="AD185" s="41">
        <f t="shared" si="392"/>
        <v>750</v>
      </c>
      <c r="AE185" s="240" t="s">
        <v>829</v>
      </c>
      <c r="AF185" s="41"/>
      <c r="AG185" s="41"/>
      <c r="AH185" s="41"/>
      <c r="AI185" s="509">
        <v>0</v>
      </c>
      <c r="AJ185" s="41"/>
      <c r="AK185" s="41"/>
      <c r="AL185" s="41"/>
      <c r="AM185" s="41">
        <f t="shared" si="393"/>
        <v>0</v>
      </c>
      <c r="AN185" s="41"/>
      <c r="AO185" s="41"/>
      <c r="AP185" s="41">
        <v>750</v>
      </c>
      <c r="AQ185" s="41"/>
      <c r="AR185" s="41">
        <f t="shared" si="394"/>
        <v>750</v>
      </c>
      <c r="AS185" s="41"/>
      <c r="AT185" s="41"/>
      <c r="AU185" s="41"/>
      <c r="AV185" s="41"/>
      <c r="AW185" s="41"/>
      <c r="AX185" s="41"/>
      <c r="AY185" s="41"/>
      <c r="AZ185" s="41"/>
      <c r="BA185" s="41"/>
      <c r="BB185" s="41"/>
      <c r="BC185" s="41">
        <f t="shared" si="395"/>
        <v>750</v>
      </c>
      <c r="BD185" s="54"/>
      <c r="BE185" s="55"/>
      <c r="BF185" s="55"/>
      <c r="BG185" s="54"/>
      <c r="BH185" s="55"/>
    </row>
    <row r="186" spans="1:99" ht="12.95" customHeight="1">
      <c r="A186" s="44"/>
      <c r="B186" s="45"/>
      <c r="C186" s="451"/>
      <c r="D186" s="45"/>
      <c r="E186" s="46"/>
      <c r="F186" s="46"/>
      <c r="G186" s="47"/>
      <c r="H186" s="48"/>
      <c r="I186" s="49"/>
      <c r="J186" s="89"/>
      <c r="K186" s="89"/>
      <c r="L186" s="39"/>
      <c r="M186" s="39"/>
      <c r="N186" s="50"/>
      <c r="O186" s="51"/>
      <c r="P186" s="52"/>
      <c r="Q186" s="38"/>
      <c r="R186" s="507"/>
      <c r="S186" s="507"/>
      <c r="T186" s="41"/>
      <c r="U186" s="41"/>
      <c r="V186" s="41"/>
      <c r="W186" s="41"/>
      <c r="X186" s="42"/>
      <c r="Y186" s="218"/>
      <c r="Z186" s="41"/>
      <c r="AA186" s="41"/>
      <c r="AB186" s="41"/>
      <c r="AC186" s="41"/>
      <c r="AD186" s="41">
        <f t="shared" si="392"/>
        <v>690</v>
      </c>
      <c r="AE186" s="240" t="s">
        <v>829</v>
      </c>
      <c r="AF186" s="41"/>
      <c r="AG186" s="41"/>
      <c r="AH186" s="41"/>
      <c r="AI186" s="509">
        <v>0</v>
      </c>
      <c r="AJ186" s="41"/>
      <c r="AK186" s="41"/>
      <c r="AL186" s="41"/>
      <c r="AM186" s="41">
        <f t="shared" ref="AM186" si="396">SUM(AF186:AL186)+AT186</f>
        <v>0</v>
      </c>
      <c r="AN186" s="41"/>
      <c r="AO186" s="41">
        <f>1440-750</f>
        <v>690</v>
      </c>
      <c r="AP186" s="41"/>
      <c r="AQ186" s="41"/>
      <c r="AR186" s="41">
        <f t="shared" ref="AR186" si="397">SUM(AN186:AQ186)</f>
        <v>690</v>
      </c>
      <c r="AS186" s="41"/>
      <c r="AT186" s="41"/>
      <c r="AU186" s="41"/>
      <c r="AV186" s="41"/>
      <c r="AW186" s="41"/>
      <c r="AX186" s="41"/>
      <c r="AY186" s="41"/>
      <c r="AZ186" s="41"/>
      <c r="BA186" s="41"/>
      <c r="BB186" s="41"/>
      <c r="BC186" s="41">
        <f t="shared" si="395"/>
        <v>690</v>
      </c>
      <c r="BD186" s="54"/>
      <c r="BE186" s="55"/>
      <c r="BF186" s="55"/>
      <c r="BG186" s="54"/>
      <c r="BH186" s="55"/>
    </row>
    <row r="187" spans="1:99" ht="12.95" customHeight="1">
      <c r="A187" s="44"/>
      <c r="B187" s="559"/>
      <c r="C187" s="451"/>
      <c r="D187" s="45"/>
      <c r="E187" s="46"/>
      <c r="F187" s="46"/>
      <c r="G187" s="47"/>
      <c r="H187" s="48"/>
      <c r="I187" s="49"/>
      <c r="J187" s="89"/>
      <c r="K187" s="89"/>
      <c r="L187" s="39"/>
      <c r="M187" s="39"/>
      <c r="N187" s="50"/>
      <c r="O187" s="51"/>
      <c r="P187" s="52"/>
      <c r="Q187" s="38"/>
      <c r="R187" s="507"/>
      <c r="S187" s="507"/>
      <c r="T187" s="41"/>
      <c r="U187" s="41"/>
      <c r="V187" s="41"/>
      <c r="W187" s="41"/>
      <c r="X187" s="42"/>
      <c r="Y187" s="218"/>
      <c r="Z187" s="41"/>
      <c r="AA187" s="41"/>
      <c r="AB187" s="41"/>
      <c r="AC187" s="41"/>
      <c r="AD187" s="41"/>
      <c r="AE187" s="237"/>
      <c r="AF187" s="41"/>
      <c r="AG187" s="41"/>
      <c r="AH187" s="41"/>
      <c r="AI187" s="41"/>
      <c r="AJ187" s="41"/>
      <c r="AK187" s="41"/>
      <c r="AL187" s="41"/>
      <c r="AM187" s="41"/>
      <c r="AN187" s="41"/>
      <c r="AO187" s="41"/>
      <c r="AP187" s="41"/>
      <c r="AQ187" s="41"/>
      <c r="AR187" s="41"/>
      <c r="AS187" s="41"/>
      <c r="AT187" s="41"/>
      <c r="AU187" s="41"/>
      <c r="AV187" s="41"/>
      <c r="AW187" s="41"/>
      <c r="AX187" s="41"/>
      <c r="AY187" s="41"/>
      <c r="AZ187" s="41"/>
      <c r="BA187" s="41"/>
      <c r="BB187" s="41"/>
      <c r="BC187" s="41"/>
      <c r="BD187" s="37"/>
      <c r="BE187" s="55"/>
      <c r="BF187" s="510"/>
      <c r="BG187" s="37"/>
      <c r="BH187" s="510"/>
    </row>
    <row r="188" spans="1:99" ht="12.75">
      <c r="A188" s="44"/>
      <c r="B188" s="45"/>
      <c r="C188" s="451"/>
      <c r="D188" s="45"/>
      <c r="E188" s="46"/>
      <c r="F188" s="46"/>
      <c r="G188" s="57"/>
      <c r="H188" s="58"/>
      <c r="I188" s="49"/>
      <c r="J188" s="89"/>
      <c r="K188" s="89"/>
      <c r="L188" s="39"/>
      <c r="M188" s="39"/>
      <c r="N188" s="50"/>
      <c r="O188" s="51"/>
      <c r="P188" s="52"/>
      <c r="Q188" s="379"/>
      <c r="R188" s="54"/>
      <c r="S188" s="54"/>
      <c r="T188" s="41"/>
      <c r="U188" s="41"/>
      <c r="V188" s="41"/>
      <c r="W188" s="37"/>
      <c r="X188" s="42"/>
      <c r="Y188" s="42"/>
      <c r="Z188" s="37"/>
      <c r="AA188" s="53">
        <f>U188-W188-Z188</f>
        <v>0</v>
      </c>
      <c r="AB188" s="53"/>
      <c r="AC188" s="41">
        <f>K188-T188</f>
        <v>0</v>
      </c>
      <c r="AD188" s="41"/>
      <c r="AE188" s="59"/>
      <c r="AF188" s="41"/>
      <c r="AG188" s="41"/>
      <c r="AH188" s="41"/>
      <c r="AI188" s="41"/>
      <c r="AJ188" s="41"/>
      <c r="AK188" s="41"/>
      <c r="AL188" s="41"/>
      <c r="AM188" s="41">
        <f t="shared" ref="AM188:AM189" si="398">SUM(AF188:AL188)</f>
        <v>0</v>
      </c>
      <c r="AN188" s="41"/>
      <c r="AO188" s="41"/>
      <c r="AP188" s="41"/>
      <c r="AQ188" s="41"/>
      <c r="AR188" s="41">
        <f t="shared" ref="AR188:AR189" si="399">SUM(AN188:AQ188)</f>
        <v>0</v>
      </c>
      <c r="AS188" s="41"/>
      <c r="AT188" s="41"/>
      <c r="AU188" s="41"/>
      <c r="AV188" s="41"/>
      <c r="AW188" s="41"/>
      <c r="AX188" s="41"/>
      <c r="AY188" s="41"/>
      <c r="AZ188" s="41"/>
      <c r="BA188" s="41"/>
      <c r="BB188" s="41"/>
      <c r="BC188" s="41"/>
      <c r="BD188" s="37"/>
      <c r="BE188" s="55"/>
      <c r="BF188" s="510"/>
      <c r="BG188" s="37"/>
      <c r="BH188" s="510"/>
    </row>
    <row r="189" spans="1:99" ht="12.75" customHeight="1">
      <c r="R189" s="511"/>
      <c r="S189" s="511"/>
      <c r="AA189" s="254">
        <f>U189-W189-Z189</f>
        <v>0</v>
      </c>
      <c r="AB189" s="254"/>
      <c r="AC189" s="255">
        <f>K189-T189</f>
        <v>0</v>
      </c>
      <c r="AD189" s="41"/>
      <c r="AF189" s="56"/>
      <c r="AG189" s="56"/>
      <c r="AH189" s="56"/>
      <c r="AI189" s="56"/>
      <c r="AJ189" s="56"/>
      <c r="AK189" s="56"/>
      <c r="AL189" s="56"/>
      <c r="AM189" s="41">
        <f t="shared" si="398"/>
        <v>0</v>
      </c>
      <c r="AN189" s="56"/>
      <c r="AO189" s="56"/>
      <c r="AP189" s="56"/>
      <c r="AQ189" s="56"/>
      <c r="AR189" s="41">
        <f t="shared" si="399"/>
        <v>0</v>
      </c>
      <c r="AS189" s="56"/>
      <c r="AT189" s="56"/>
      <c r="AU189" s="56"/>
      <c r="AV189" s="56"/>
      <c r="AW189" s="56"/>
      <c r="AX189" s="56"/>
      <c r="AY189" s="56"/>
      <c r="AZ189" s="56"/>
      <c r="BA189" s="56"/>
      <c r="BB189" s="56"/>
      <c r="BC189" s="41"/>
      <c r="BD189" s="70"/>
      <c r="BE189" s="70"/>
      <c r="BF189" s="510"/>
      <c r="BG189" s="37"/>
      <c r="BH189" s="510"/>
    </row>
    <row r="190" spans="1:99" ht="12.75" customHeight="1">
      <c r="A190" s="63"/>
      <c r="B190" s="64"/>
      <c r="C190" s="453">
        <f>SUM(C6:C188)</f>
        <v>1509.415677004095</v>
      </c>
      <c r="D190" s="64"/>
      <c r="E190" s="65"/>
      <c r="F190" s="65"/>
      <c r="G190" s="66"/>
      <c r="H190" s="66"/>
      <c r="I190" s="67">
        <v>0.85</v>
      </c>
      <c r="J190" s="89"/>
      <c r="K190" s="91">
        <f>SUM(K6:K188)</f>
        <v>1546.7942819606881</v>
      </c>
      <c r="L190" s="69"/>
      <c r="M190" s="69"/>
      <c r="N190" s="70"/>
      <c r="O190" s="71">
        <f>P190/(Q190-R190-S190)</f>
        <v>270.4164312511391</v>
      </c>
      <c r="P190" s="68">
        <f>SUM(P6:P188)</f>
        <v>10659545.303488651</v>
      </c>
      <c r="Q190" s="381">
        <f>SUM(Q6:Q189)</f>
        <v>43839</v>
      </c>
      <c r="R190" s="68">
        <f t="shared" ref="R190:W190" si="400">SUM(R6:R188)</f>
        <v>2956</v>
      </c>
      <c r="S190" s="68">
        <f t="shared" si="400"/>
        <v>1464</v>
      </c>
      <c r="T190" s="68">
        <f t="shared" si="400"/>
        <v>1509.415677004095</v>
      </c>
      <c r="U190" s="68">
        <f t="shared" si="400"/>
        <v>1359.0633295280352</v>
      </c>
      <c r="V190" s="405">
        <f t="shared" si="400"/>
        <v>161.6262394248032</v>
      </c>
      <c r="W190" s="456">
        <f t="shared" si="400"/>
        <v>1332.2299999999998</v>
      </c>
      <c r="X190" s="512">
        <f>W190/K190</f>
        <v>0.86128453895710644</v>
      </c>
      <c r="Y190" s="406">
        <f>SUM(Y6:Y188)</f>
        <v>0</v>
      </c>
      <c r="Z190" s="456">
        <f>SUM(Z6:Z188)</f>
        <v>5.3169999999999993</v>
      </c>
      <c r="AA190" s="68">
        <f>SUM(AA6:AA188)</f>
        <v>16.335971986247319</v>
      </c>
      <c r="AB190" s="68">
        <f>SUM(AB6:AB188)</f>
        <v>-3.34146880668896</v>
      </c>
      <c r="AC190" s="68">
        <f>SUM(AC6:AC188)</f>
        <v>34.626539356326241</v>
      </c>
      <c r="AD190" s="41">
        <f>SUM(AD6:AD189)</f>
        <v>4420</v>
      </c>
      <c r="AE190" s="72"/>
      <c r="AF190" s="68">
        <f t="shared" ref="AF190:BH190" si="401">SUM(AF6:AF189)</f>
        <v>39</v>
      </c>
      <c r="AG190" s="68">
        <f t="shared" si="401"/>
        <v>378</v>
      </c>
      <c r="AH190" s="68">
        <f t="shared" si="401"/>
        <v>741</v>
      </c>
      <c r="AI190" s="68">
        <f t="shared" si="401"/>
        <v>274</v>
      </c>
      <c r="AJ190" s="68">
        <f t="shared" si="401"/>
        <v>22</v>
      </c>
      <c r="AK190" s="68">
        <f t="shared" si="401"/>
        <v>10</v>
      </c>
      <c r="AL190" s="68">
        <f t="shared" si="401"/>
        <v>0</v>
      </c>
      <c r="AM190" s="68">
        <f t="shared" si="401"/>
        <v>1464</v>
      </c>
      <c r="AN190" s="56">
        <f t="shared" si="401"/>
        <v>245</v>
      </c>
      <c r="AO190" s="56">
        <f t="shared" si="401"/>
        <v>801</v>
      </c>
      <c r="AP190" s="56">
        <f t="shared" si="401"/>
        <v>1319</v>
      </c>
      <c r="AQ190" s="56">
        <f t="shared" si="401"/>
        <v>0</v>
      </c>
      <c r="AR190" s="68">
        <f t="shared" si="401"/>
        <v>2365</v>
      </c>
      <c r="AS190" s="68">
        <f t="shared" si="401"/>
        <v>394</v>
      </c>
      <c r="AT190" s="68">
        <f t="shared" si="401"/>
        <v>0</v>
      </c>
      <c r="AU190" s="68">
        <f t="shared" si="401"/>
        <v>0</v>
      </c>
      <c r="AV190" s="68">
        <f t="shared" si="401"/>
        <v>0</v>
      </c>
      <c r="AW190" s="68">
        <f t="shared" si="401"/>
        <v>197</v>
      </c>
      <c r="AX190" s="68">
        <f t="shared" si="401"/>
        <v>0</v>
      </c>
      <c r="AY190" s="68">
        <f t="shared" si="401"/>
        <v>0</v>
      </c>
      <c r="AZ190" s="68">
        <f t="shared" si="401"/>
        <v>0</v>
      </c>
      <c r="BA190" s="68">
        <f t="shared" si="401"/>
        <v>0</v>
      </c>
      <c r="BB190" s="68">
        <f t="shared" si="401"/>
        <v>0</v>
      </c>
      <c r="BC190" s="68">
        <f t="shared" si="401"/>
        <v>2956</v>
      </c>
      <c r="BD190" s="56">
        <f t="shared" si="401"/>
        <v>18</v>
      </c>
      <c r="BE190" s="56">
        <f t="shared" si="401"/>
        <v>281</v>
      </c>
      <c r="BF190" s="56">
        <f t="shared" si="401"/>
        <v>0</v>
      </c>
      <c r="BG190" s="56">
        <f t="shared" si="401"/>
        <v>0</v>
      </c>
      <c r="BH190" s="56">
        <f t="shared" si="401"/>
        <v>1</v>
      </c>
      <c r="BI190" s="31"/>
      <c r="BJ190" s="31"/>
      <c r="BK190" s="31"/>
      <c r="BL190" s="31"/>
      <c r="BM190" s="31"/>
      <c r="BN190" s="31"/>
      <c r="BO190" s="31"/>
      <c r="BP190" s="31"/>
      <c r="BQ190" s="31"/>
      <c r="BR190" s="31"/>
      <c r="BS190" s="31"/>
      <c r="BT190" s="31"/>
      <c r="BU190" s="31"/>
      <c r="BV190" s="31"/>
      <c r="BW190" s="31"/>
      <c r="BX190" s="31"/>
      <c r="BY190" s="31"/>
      <c r="BZ190" s="31"/>
      <c r="CA190" s="31"/>
      <c r="CB190" s="31"/>
      <c r="CC190" s="31"/>
      <c r="CD190" s="31"/>
      <c r="CE190" s="31"/>
      <c r="CF190" s="31"/>
      <c r="CG190" s="31"/>
      <c r="CH190" s="31"/>
      <c r="CI190" s="31"/>
      <c r="CJ190" s="31"/>
      <c r="CK190" s="31"/>
      <c r="CL190" s="31"/>
      <c r="CM190" s="31"/>
      <c r="CN190" s="31"/>
      <c r="CO190" s="31"/>
      <c r="CP190" s="31"/>
      <c r="CQ190" s="31"/>
      <c r="CR190" s="31"/>
      <c r="CS190" s="31"/>
      <c r="CT190" s="31"/>
      <c r="CU190" s="31"/>
    </row>
    <row r="191" spans="1:99" ht="12.75" customHeight="1">
      <c r="A191" s="63"/>
      <c r="B191" s="64"/>
      <c r="C191" s="64"/>
      <c r="D191" s="64"/>
      <c r="E191" s="65"/>
      <c r="F191" s="65"/>
      <c r="G191" s="66"/>
      <c r="H191" s="66"/>
      <c r="I191" s="66"/>
      <c r="J191" s="92"/>
      <c r="K191" s="92"/>
      <c r="L191" s="69"/>
      <c r="M191" s="69"/>
      <c r="N191" s="70"/>
      <c r="O191" s="724"/>
      <c r="P191" s="725"/>
      <c r="Q191" s="66">
        <f>31*1440-Q190</f>
        <v>801</v>
      </c>
      <c r="R191" s="73">
        <f>R190/Q190</f>
        <v>6.7428545359155087E-2</v>
      </c>
      <c r="S191" s="73">
        <f>S190/Q190</f>
        <v>3.3394922329432697E-2</v>
      </c>
      <c r="T191" s="392"/>
      <c r="U191" s="392"/>
      <c r="V191" s="394">
        <f>V190/K190</f>
        <v>0.10449110221685637</v>
      </c>
      <c r="W191" s="410" t="s">
        <v>181</v>
      </c>
      <c r="X191" s="513">
        <v>0.85</v>
      </c>
      <c r="Y191" s="407">
        <f>Y190/K190</f>
        <v>0</v>
      </c>
      <c r="Z191" s="74">
        <f>Z190/K190</f>
        <v>3.437431895119413E-3</v>
      </c>
      <c r="AA191" s="74">
        <f>AA190/K190</f>
        <v>1.056117945143949E-2</v>
      </c>
      <c r="AB191" s="74">
        <f>AB190/K190</f>
        <v>-2.1602541757869543E-3</v>
      </c>
      <c r="AC191" s="514">
        <f>AC190/K190</f>
        <v>2.2386001655264897E-2</v>
      </c>
      <c r="AD191" s="395"/>
      <c r="AE191" s="43"/>
      <c r="AF191" s="74">
        <f>AF190/$AD$190*$V$191</f>
        <v>9.2198031367814442E-4</v>
      </c>
      <c r="AG191" s="74">
        <f>AG190/$AD$190*$V$191</f>
        <v>8.9361168864189391E-3</v>
      </c>
      <c r="AH191" s="74">
        <f>AH190/$AD$190*$V$191</f>
        <v>1.7517625959884743E-2</v>
      </c>
      <c r="AI191" s="74">
        <f>AI190/$AD$190*$V$191</f>
        <v>6.4775027166105534E-3</v>
      </c>
      <c r="AJ191" s="74">
        <f t="shared" ref="AJ191:BC191" si="402">AJ190/$AD$190*$V$191</f>
        <v>5.2009145899792764E-4</v>
      </c>
      <c r="AK191" s="74">
        <f t="shared" si="402"/>
        <v>2.3640520863542168E-4</v>
      </c>
      <c r="AL191" s="74">
        <f t="shared" si="402"/>
        <v>0</v>
      </c>
      <c r="AM191" s="74">
        <f t="shared" si="402"/>
        <v>3.4609722544225729E-2</v>
      </c>
      <c r="AN191" s="74">
        <f t="shared" si="402"/>
        <v>5.7919276115678299E-3</v>
      </c>
      <c r="AO191" s="74">
        <f t="shared" si="402"/>
        <v>1.8936057211697273E-2</v>
      </c>
      <c r="AP191" s="74">
        <f t="shared" si="402"/>
        <v>3.1181847019012113E-2</v>
      </c>
      <c r="AQ191" s="74">
        <f t="shared" si="402"/>
        <v>0</v>
      </c>
      <c r="AR191" s="74">
        <f t="shared" si="402"/>
        <v>5.590983184227722E-2</v>
      </c>
      <c r="AS191" s="74">
        <f t="shared" si="402"/>
        <v>9.3143652202356125E-3</v>
      </c>
      <c r="AT191" s="74">
        <f t="shared" si="402"/>
        <v>0</v>
      </c>
      <c r="AU191" s="74">
        <f t="shared" si="402"/>
        <v>0</v>
      </c>
      <c r="AV191" s="74">
        <f>AV190/$AD$190*$V$191</f>
        <v>0</v>
      </c>
      <c r="AW191" s="74">
        <f t="shared" ref="AW191:BB191" si="403">AW190/$AD$190*$V$191</f>
        <v>4.6571826101178063E-3</v>
      </c>
      <c r="AX191" s="74">
        <f t="shared" si="403"/>
        <v>0</v>
      </c>
      <c r="AY191" s="74">
        <f t="shared" si="403"/>
        <v>0</v>
      </c>
      <c r="AZ191" s="74">
        <f t="shared" ref="AZ191:BA191" si="404">AZ190/$AD$190*$V$191</f>
        <v>0</v>
      </c>
      <c r="BA191" s="74">
        <f t="shared" si="404"/>
        <v>0</v>
      </c>
      <c r="BB191" s="74">
        <f t="shared" si="403"/>
        <v>0</v>
      </c>
      <c r="BC191" s="74">
        <f t="shared" si="402"/>
        <v>6.9881379672630639E-2</v>
      </c>
      <c r="BD191" s="38" t="s">
        <v>180</v>
      </c>
      <c r="BE191" s="38" t="s">
        <v>180</v>
      </c>
      <c r="BF191" s="38" t="s">
        <v>370</v>
      </c>
      <c r="BG191" s="38" t="s">
        <v>370</v>
      </c>
      <c r="BH191" s="38" t="s">
        <v>370</v>
      </c>
      <c r="BI191" s="31"/>
      <c r="BJ191" s="31"/>
      <c r="BK191" s="31"/>
      <c r="BL191" s="31"/>
      <c r="BM191" s="31"/>
      <c r="BN191" s="31"/>
      <c r="BO191" s="31"/>
      <c r="BP191" s="31"/>
      <c r="BQ191" s="31"/>
      <c r="BR191" s="31"/>
      <c r="BS191" s="31"/>
      <c r="BT191" s="31"/>
      <c r="BU191" s="31"/>
      <c r="BV191" s="31"/>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row>
    <row r="192" spans="1:99" ht="12.75" customHeight="1">
      <c r="A192" s="63"/>
      <c r="B192" s="64"/>
      <c r="C192" s="64"/>
      <c r="D192" s="64"/>
      <c r="E192" s="65"/>
      <c r="F192" s="65"/>
      <c r="G192" s="38"/>
      <c r="H192" s="38"/>
      <c r="I192" s="38"/>
      <c r="J192" s="89"/>
      <c r="K192" s="89"/>
      <c r="L192" s="39"/>
      <c r="M192" s="39"/>
      <c r="N192" s="37"/>
      <c r="O192" s="40"/>
      <c r="P192" s="32"/>
      <c r="Q192" s="38"/>
      <c r="R192" s="41">
        <f>R190-(BC190)</f>
        <v>0</v>
      </c>
      <c r="S192" s="41">
        <f>+S190-AM190</f>
        <v>0</v>
      </c>
      <c r="T192" s="37"/>
      <c r="U192" s="37"/>
      <c r="V192" s="37"/>
      <c r="W192" s="408"/>
      <c r="X192" s="409"/>
      <c r="Y192" s="75">
        <f>+Y190-(SUM(RBP!AG3:AG4))</f>
        <v>0</v>
      </c>
      <c r="Z192" s="41">
        <f>+Z190-'31'!J56/1000</f>
        <v>0</v>
      </c>
      <c r="AA192" s="37"/>
      <c r="AB192" s="37"/>
      <c r="AC192" s="37"/>
      <c r="AD192" s="37"/>
      <c r="AE192" s="43"/>
      <c r="AF192" s="382"/>
      <c r="AG192" s="382"/>
      <c r="AH192" s="382"/>
      <c r="AI192" s="382"/>
      <c r="AJ192" s="84"/>
      <c r="AK192" s="84"/>
      <c r="AL192" s="84"/>
      <c r="AM192" s="84"/>
      <c r="AN192" s="84"/>
      <c r="AO192" s="84"/>
      <c r="AP192" s="84"/>
      <c r="AQ192" s="84"/>
      <c r="AR192" s="84"/>
      <c r="AS192" s="84"/>
      <c r="AT192" s="84"/>
      <c r="AU192" s="84"/>
      <c r="AV192" s="84"/>
      <c r="AW192" s="84"/>
      <c r="AX192" s="556"/>
      <c r="AY192" s="84"/>
      <c r="AZ192" s="556"/>
      <c r="BA192" s="84"/>
      <c r="BB192" s="84"/>
      <c r="BC192" s="84"/>
      <c r="BD192" s="515">
        <f>BD190/($Q$190/1440)/2</f>
        <v>0.29562718127694515</v>
      </c>
      <c r="BE192" s="515">
        <f>BE190/($Q$190/1440)/2</f>
        <v>4.6150687743789778</v>
      </c>
      <c r="BF192" s="515">
        <f>BF190/($Q$190/1440)</f>
        <v>0</v>
      </c>
      <c r="BG192" s="515">
        <f t="shared" ref="BG192:BH192" si="405">BG190/($Q$190/1440)</f>
        <v>0</v>
      </c>
      <c r="BH192" s="515">
        <f t="shared" si="405"/>
        <v>3.2847464586327244E-2</v>
      </c>
    </row>
    <row r="193" spans="1:60" ht="12.75" customHeight="1">
      <c r="A193" s="76"/>
      <c r="B193" s="77"/>
      <c r="C193" s="77"/>
      <c r="D193" s="77"/>
      <c r="E193" s="78"/>
      <c r="F193" s="78"/>
      <c r="G193" s="79"/>
      <c r="H193" s="79"/>
      <c r="I193" s="79"/>
      <c r="J193" s="93"/>
      <c r="K193" s="93"/>
      <c r="O193" s="80"/>
      <c r="P193" s="81"/>
      <c r="Q193" s="79"/>
      <c r="R193" s="60"/>
      <c r="S193" s="60"/>
      <c r="U193" s="82"/>
      <c r="V193" s="82"/>
      <c r="W193" s="83" t="s">
        <v>133</v>
      </c>
      <c r="X193" s="516">
        <f>W190/U190</f>
        <v>0.98025601239836713</v>
      </c>
      <c r="Y193" s="516"/>
      <c r="Z193" s="60"/>
      <c r="AD193" s="90"/>
      <c r="AE193" s="85"/>
      <c r="AF193" s="86"/>
      <c r="AG193" s="86"/>
      <c r="AH193" s="86"/>
      <c r="AI193" s="86"/>
      <c r="AJ193" s="86"/>
      <c r="AK193" s="86"/>
      <c r="AL193" s="86"/>
      <c r="AM193" s="86"/>
      <c r="AN193" s="84"/>
      <c r="AO193" s="84"/>
      <c r="AP193" s="84"/>
      <c r="AQ193" s="84"/>
      <c r="AR193" s="84"/>
      <c r="AS193" s="86"/>
      <c r="AT193" s="86"/>
      <c r="AU193" s="86"/>
      <c r="AV193" s="86"/>
      <c r="AW193" s="86"/>
      <c r="AX193" s="86"/>
      <c r="AY193" s="86"/>
      <c r="AZ193" s="86"/>
      <c r="BA193" s="86"/>
      <c r="BB193" s="86"/>
      <c r="BC193" s="84"/>
      <c r="BD193" s="31"/>
      <c r="BE193" s="84"/>
      <c r="BF193" s="84"/>
      <c r="BG193" s="31"/>
      <c r="BH193" s="84"/>
    </row>
    <row r="194" spans="1:60" ht="12.75" customHeight="1">
      <c r="A194" s="76"/>
      <c r="B194" s="77"/>
      <c r="C194" s="77"/>
      <c r="D194" s="77"/>
      <c r="E194" s="78"/>
      <c r="F194" s="78"/>
      <c r="G194" s="79"/>
      <c r="H194" s="79"/>
      <c r="I194" s="79"/>
      <c r="J194" s="93"/>
      <c r="K194" s="93"/>
      <c r="O194" s="80"/>
      <c r="P194" s="81"/>
      <c r="Q194" s="79"/>
      <c r="R194" s="60"/>
      <c r="S194" s="60"/>
      <c r="U194" s="82"/>
      <c r="V194" s="82"/>
      <c r="W194" s="83"/>
      <c r="X194" s="84"/>
      <c r="Y194" s="84"/>
      <c r="Z194" s="60"/>
      <c r="AA194" s="96"/>
      <c r="AB194" s="96"/>
      <c r="AD194" s="90"/>
      <c r="AE194" s="85"/>
      <c r="AF194" s="86"/>
      <c r="AG194" s="86"/>
      <c r="AH194" s="86"/>
      <c r="AI194" s="86"/>
      <c r="AJ194" s="86"/>
      <c r="AK194" s="86"/>
      <c r="AL194" s="86"/>
      <c r="AM194" s="86"/>
      <c r="AN194" s="86"/>
      <c r="AO194" s="84"/>
      <c r="AP194" s="84"/>
      <c r="AQ194" s="84"/>
      <c r="AR194" s="86"/>
      <c r="AS194" s="84"/>
      <c r="AT194" s="84"/>
      <c r="AU194" s="84"/>
      <c r="AV194" s="84"/>
      <c r="AW194" s="84"/>
      <c r="AX194" s="84"/>
      <c r="AY194" s="84"/>
      <c r="AZ194" s="84"/>
      <c r="BA194" s="84"/>
      <c r="BB194" s="84"/>
      <c r="BC194" s="84"/>
      <c r="BD194" s="31"/>
      <c r="BE194" s="84"/>
      <c r="BF194" s="84"/>
      <c r="BG194" s="31"/>
      <c r="BH194" s="84"/>
    </row>
    <row r="195" spans="1:60" ht="12.75" customHeight="1">
      <c r="A195" s="76"/>
      <c r="B195" s="77"/>
      <c r="C195" s="77"/>
      <c r="D195" s="77"/>
      <c r="E195" s="78"/>
      <c r="F195" s="78"/>
      <c r="G195" s="79"/>
      <c r="H195" s="79"/>
      <c r="I195" s="79"/>
      <c r="J195" s="93"/>
      <c r="K195" s="93"/>
      <c r="O195" s="80"/>
      <c r="P195" s="81"/>
      <c r="Q195" s="79">
        <f>+Efficiency1!AU197+Efficiency1!BA197</f>
        <v>801</v>
      </c>
      <c r="R195" s="393"/>
      <c r="S195" s="60"/>
      <c r="U195" s="82"/>
      <c r="V195" s="82"/>
      <c r="W195" s="83" t="s">
        <v>156</v>
      </c>
      <c r="X195" s="382">
        <f>+W190+Y190</f>
        <v>1332.2299999999998</v>
      </c>
      <c r="Y195" s="84"/>
      <c r="Z195" s="60"/>
      <c r="AA195" s="33">
        <f>+W190-'31'!M31/1000</f>
        <v>1332.2299999999998</v>
      </c>
      <c r="AD195" s="90"/>
      <c r="AE195" s="85"/>
      <c r="AF195" s="90"/>
      <c r="AG195" s="90"/>
      <c r="AH195" s="90"/>
      <c r="AI195" s="90"/>
      <c r="AJ195" s="84"/>
      <c r="AK195" s="84"/>
      <c r="AL195" s="84"/>
      <c r="AM195" s="86"/>
      <c r="AN195" s="84"/>
      <c r="AO195" s="84"/>
      <c r="AP195" s="84"/>
      <c r="AQ195" s="84"/>
      <c r="AR195" s="86"/>
      <c r="AS195" s="84"/>
      <c r="AT195" s="84"/>
      <c r="AU195" s="84"/>
      <c r="AV195" s="84"/>
      <c r="AW195" s="84"/>
      <c r="AX195" s="84"/>
      <c r="AY195" s="84"/>
      <c r="AZ195" s="84"/>
      <c r="BA195" s="84"/>
      <c r="BB195" s="84"/>
      <c r="BC195" s="84"/>
      <c r="BD195" s="31"/>
      <c r="BE195" s="84"/>
      <c r="BF195" s="84"/>
      <c r="BG195" s="31"/>
      <c r="BH195" s="84"/>
    </row>
    <row r="196" spans="1:60" ht="12.75" customHeight="1">
      <c r="A196" s="76"/>
      <c r="C196" s="77" t="s">
        <v>293</v>
      </c>
      <c r="D196" s="77"/>
      <c r="E196" s="78"/>
      <c r="F196" s="78"/>
      <c r="G196" s="79"/>
      <c r="H196" s="79"/>
      <c r="I196" s="79"/>
      <c r="J196" s="93"/>
      <c r="K196" s="93"/>
      <c r="O196" s="80"/>
      <c r="P196" s="81"/>
      <c r="Q196" s="79"/>
      <c r="R196" s="393"/>
      <c r="S196" s="60"/>
      <c r="U196" s="82"/>
      <c r="V196" s="403"/>
      <c r="W196" s="404"/>
      <c r="X196" s="398"/>
      <c r="Y196" s="404"/>
      <c r="Z196" s="398"/>
      <c r="AD196" s="391"/>
      <c r="AE196" s="85"/>
      <c r="AF196" s="391"/>
      <c r="AG196" s="391"/>
      <c r="AH196" s="391"/>
      <c r="AI196" s="391"/>
      <c r="AJ196" s="84"/>
      <c r="AK196" s="84"/>
      <c r="AL196" s="84"/>
      <c r="AM196" s="84"/>
      <c r="AN196" s="84"/>
      <c r="AO196" s="84"/>
      <c r="AP196" s="84"/>
      <c r="AQ196" s="84"/>
      <c r="AR196" s="84"/>
      <c r="AS196" s="84"/>
      <c r="AT196" s="84"/>
      <c r="AU196" s="84"/>
      <c r="AV196" s="84"/>
      <c r="AW196" s="84"/>
      <c r="AX196" s="84"/>
      <c r="AY196" s="84"/>
      <c r="AZ196" s="84"/>
      <c r="BA196" s="84"/>
      <c r="BB196" s="84"/>
      <c r="BC196" s="84"/>
      <c r="BD196" s="31"/>
      <c r="BE196" s="84"/>
      <c r="BF196" s="84"/>
      <c r="BG196" s="31"/>
      <c r="BH196" s="84"/>
    </row>
    <row r="197" spans="1:60" ht="12.75" customHeight="1">
      <c r="A197" s="76"/>
      <c r="B197" s="77"/>
      <c r="C197" s="77" t="s">
        <v>294</v>
      </c>
      <c r="D197" s="77"/>
      <c r="E197" s="78"/>
      <c r="F197" s="78"/>
      <c r="G197" s="79"/>
      <c r="H197" s="79"/>
      <c r="I197" s="79"/>
      <c r="J197" s="93"/>
      <c r="K197" s="93"/>
      <c r="O197" s="80"/>
      <c r="P197" s="81"/>
      <c r="Q197" s="79"/>
      <c r="R197" s="393"/>
      <c r="S197" s="60"/>
      <c r="V197" s="396"/>
      <c r="W197" s="397" t="s">
        <v>381</v>
      </c>
      <c r="X197" s="396"/>
      <c r="Y197" s="396"/>
      <c r="Z197" s="398"/>
      <c r="AC197" s="33" t="s">
        <v>832</v>
      </c>
      <c r="AD197" s="619">
        <f>+AC134+AC141+AC142+AC149+AC157+AC163+AC169+AC175+AC176</f>
        <v>0</v>
      </c>
      <c r="AE197" s="85"/>
      <c r="AF197" s="60"/>
      <c r="AG197" s="60"/>
      <c r="AH197" s="60"/>
      <c r="AI197" s="60"/>
      <c r="AJ197" s="60"/>
      <c r="AK197" s="60"/>
      <c r="AL197" s="60"/>
      <c r="AM197" s="60"/>
      <c r="AN197" s="60"/>
      <c r="AO197" s="60"/>
      <c r="AP197" s="60"/>
      <c r="AQ197" s="60"/>
      <c r="AS197" s="60"/>
      <c r="AT197" s="60"/>
      <c r="AU197" s="60"/>
      <c r="AV197" s="60"/>
      <c r="AW197" s="60"/>
      <c r="AX197" s="60"/>
      <c r="AY197" s="60"/>
      <c r="AZ197" s="60"/>
      <c r="BA197" s="60"/>
      <c r="BB197" s="60"/>
      <c r="BC197" s="60"/>
      <c r="BD197" s="31"/>
      <c r="BG197" s="31"/>
    </row>
    <row r="198" spans="1:60" ht="12.75" customHeight="1">
      <c r="A198" s="76"/>
      <c r="B198" s="77"/>
      <c r="C198" s="77"/>
      <c r="D198" s="77"/>
      <c r="E198" s="78"/>
      <c r="F198" s="78"/>
      <c r="G198" s="79"/>
      <c r="H198" s="79"/>
      <c r="I198" s="79"/>
      <c r="J198" s="93"/>
      <c r="K198" s="93"/>
      <c r="O198" s="80"/>
      <c r="P198" s="81"/>
      <c r="Q198" s="79"/>
      <c r="R198" s="393"/>
      <c r="S198" s="60"/>
      <c r="V198" s="396"/>
      <c r="W198" s="399" t="s">
        <v>289</v>
      </c>
      <c r="X198" s="517">
        <f>Y191</f>
        <v>0</v>
      </c>
      <c r="Y198" s="400"/>
      <c r="Z198" s="398"/>
      <c r="AC198" s="33" t="s">
        <v>833</v>
      </c>
      <c r="AD198" s="620">
        <f>+AD197/K190</f>
        <v>0</v>
      </c>
      <c r="AE198" s="85"/>
      <c r="AF198" s="60"/>
      <c r="AG198" s="60"/>
      <c r="AH198" s="60"/>
      <c r="AI198" s="60"/>
      <c r="AJ198" s="60"/>
      <c r="AK198" s="60"/>
      <c r="AL198" s="60"/>
      <c r="AM198" s="60"/>
      <c r="AN198" s="60"/>
      <c r="AO198" s="60"/>
      <c r="AP198" s="60"/>
      <c r="AQ198" s="60"/>
      <c r="AS198" s="60"/>
      <c r="AT198" s="60"/>
      <c r="AU198" s="60"/>
      <c r="AV198" s="60"/>
      <c r="AW198" s="60"/>
      <c r="AX198" s="60"/>
      <c r="AY198" s="60"/>
      <c r="AZ198" s="60"/>
      <c r="BA198" s="60"/>
      <c r="BB198" s="60"/>
      <c r="BC198" s="60"/>
      <c r="BD198" s="31"/>
      <c r="BG198" s="31"/>
    </row>
    <row r="199" spans="1:60" ht="12.75" customHeight="1">
      <c r="R199" s="96"/>
      <c r="V199" s="396"/>
      <c r="W199" s="399" t="s">
        <v>160</v>
      </c>
      <c r="X199" s="402">
        <f>Z191</f>
        <v>3.437431895119413E-3</v>
      </c>
      <c r="Y199" s="401"/>
      <c r="Z199" s="396"/>
      <c r="AT199" s="60"/>
      <c r="AU199" s="614"/>
    </row>
    <row r="200" spans="1:60" ht="12.75" customHeight="1">
      <c r="R200" s="96"/>
      <c r="V200" s="396"/>
      <c r="W200" s="399" t="s">
        <v>161</v>
      </c>
      <c r="X200" s="402">
        <f>AC191-AD198</f>
        <v>2.2386001655264897E-2</v>
      </c>
      <c r="Y200" s="517"/>
      <c r="Z200" s="402"/>
      <c r="AD200" s="621"/>
      <c r="AT200" s="614"/>
    </row>
    <row r="201" spans="1:60" ht="12.75" customHeight="1">
      <c r="R201" s="96"/>
      <c r="V201" s="396"/>
      <c r="W201" s="399" t="s">
        <v>162</v>
      </c>
      <c r="X201" s="402">
        <f>AA191</f>
        <v>1.056117945143949E-2</v>
      </c>
      <c r="Y201" s="401"/>
      <c r="Z201" s="396"/>
    </row>
    <row r="202" spans="1:60" ht="12.75" customHeight="1">
      <c r="V202" s="396"/>
      <c r="W202" s="399" t="s">
        <v>178</v>
      </c>
      <c r="X202" s="402">
        <f>AB191</f>
        <v>-2.1602541757869543E-3</v>
      </c>
      <c r="Y202" s="401" t="s">
        <v>176</v>
      </c>
      <c r="Z202" s="396"/>
    </row>
    <row r="203" spans="1:60" ht="12.75" customHeight="1">
      <c r="V203" s="396"/>
      <c r="W203" s="399" t="s">
        <v>200</v>
      </c>
      <c r="X203" s="402">
        <f>AF191</f>
        <v>9.2198031367814442E-4</v>
      </c>
      <c r="Y203" s="401"/>
      <c r="Z203" s="396"/>
    </row>
    <row r="204" spans="1:60" ht="12.75" customHeight="1">
      <c r="V204" s="396"/>
      <c r="W204" s="399" t="s">
        <v>201</v>
      </c>
      <c r="X204" s="402">
        <f>+AG191</f>
        <v>8.9361168864189391E-3</v>
      </c>
      <c r="Y204" s="401"/>
      <c r="Z204" s="396"/>
    </row>
    <row r="205" spans="1:60" ht="12.75" customHeight="1">
      <c r="V205" s="396"/>
      <c r="W205" s="399" t="s">
        <v>295</v>
      </c>
      <c r="X205" s="402">
        <f>+AH191</f>
        <v>1.7517625959884743E-2</v>
      </c>
      <c r="Y205" s="401"/>
      <c r="Z205" s="396"/>
    </row>
    <row r="206" spans="1:60" ht="12.75" customHeight="1">
      <c r="V206" s="396"/>
      <c r="W206" s="399" t="s">
        <v>226</v>
      </c>
      <c r="X206" s="402">
        <f>+AI191</f>
        <v>6.4775027166105534E-3</v>
      </c>
      <c r="Y206" s="401"/>
      <c r="Z206" s="396"/>
    </row>
    <row r="207" spans="1:60" ht="12.75" customHeight="1">
      <c r="V207" s="396"/>
      <c r="W207" s="399" t="s">
        <v>169</v>
      </c>
      <c r="X207" s="402">
        <f>+AJ191</f>
        <v>5.2009145899792764E-4</v>
      </c>
      <c r="Y207" s="401"/>
      <c r="Z207" s="396"/>
    </row>
    <row r="208" spans="1:60" ht="12.75" customHeight="1">
      <c r="V208" s="396"/>
      <c r="W208" s="399" t="s">
        <v>171</v>
      </c>
      <c r="X208" s="402">
        <f>+AK191</f>
        <v>2.3640520863542168E-4</v>
      </c>
      <c r="Y208" s="401"/>
      <c r="Z208" s="396"/>
    </row>
    <row r="209" spans="22:26" ht="12.75" customHeight="1">
      <c r="V209" s="396"/>
      <c r="W209" s="399" t="s">
        <v>170</v>
      </c>
      <c r="X209" s="402">
        <f>+AL191</f>
        <v>0</v>
      </c>
      <c r="Y209" s="401"/>
      <c r="Z209" s="396"/>
    </row>
    <row r="210" spans="22:26" ht="12.75" customHeight="1">
      <c r="V210" s="396"/>
      <c r="W210" s="399" t="s">
        <v>163</v>
      </c>
      <c r="X210" s="402">
        <f>+AN191</f>
        <v>5.7919276115678299E-3</v>
      </c>
      <c r="Y210" s="401"/>
      <c r="Z210" s="396"/>
    </row>
    <row r="211" spans="22:26" ht="12.75" customHeight="1">
      <c r="V211" s="396"/>
      <c r="W211" s="399" t="s">
        <v>173</v>
      </c>
      <c r="X211" s="402">
        <f>+AO191</f>
        <v>1.8936057211697273E-2</v>
      </c>
      <c r="Y211" s="401"/>
      <c r="Z211" s="396"/>
    </row>
    <row r="212" spans="22:26" ht="12.75" customHeight="1">
      <c r="V212" s="396"/>
      <c r="W212" s="399" t="s">
        <v>164</v>
      </c>
      <c r="X212" s="402">
        <f>+AP191</f>
        <v>3.1181847019012113E-2</v>
      </c>
      <c r="Y212" s="401"/>
      <c r="Z212" s="396"/>
    </row>
    <row r="213" spans="22:26" ht="12.75" customHeight="1">
      <c r="V213" s="396"/>
      <c r="W213" s="399" t="s">
        <v>172</v>
      </c>
      <c r="X213" s="402">
        <f>+AQ191</f>
        <v>0</v>
      </c>
      <c r="Y213" s="401"/>
      <c r="Z213" s="396"/>
    </row>
    <row r="214" spans="22:26" ht="12.75" customHeight="1">
      <c r="V214" s="396"/>
      <c r="W214" s="399" t="s">
        <v>175</v>
      </c>
      <c r="X214" s="402">
        <f>+AS191</f>
        <v>9.3143652202356125E-3</v>
      </c>
      <c r="Y214" s="401"/>
      <c r="Z214" s="396"/>
    </row>
    <row r="215" spans="22:26" ht="12.75" customHeight="1">
      <c r="V215" s="396"/>
      <c r="W215" s="399" t="s">
        <v>296</v>
      </c>
      <c r="X215" s="402">
        <f>+AT191</f>
        <v>0</v>
      </c>
      <c r="Y215" s="401"/>
      <c r="Z215" s="396"/>
    </row>
    <row r="216" spans="22:26" ht="12.75" customHeight="1">
      <c r="V216" s="396"/>
      <c r="W216" s="399" t="s">
        <v>239</v>
      </c>
      <c r="X216" s="402">
        <f>+AU191</f>
        <v>0</v>
      </c>
      <c r="Y216" s="401"/>
      <c r="Z216" s="396"/>
    </row>
    <row r="217" spans="22:26" ht="12.75" customHeight="1">
      <c r="V217" s="396"/>
      <c r="W217" s="399" t="s">
        <v>299</v>
      </c>
      <c r="X217" s="402">
        <f>+AW191</f>
        <v>4.6571826101178063E-3</v>
      </c>
      <c r="Y217" s="401"/>
      <c r="Z217" s="396"/>
    </row>
    <row r="218" spans="22:26" ht="12.75" customHeight="1">
      <c r="V218" s="396"/>
      <c r="W218" s="399" t="s">
        <v>300</v>
      </c>
      <c r="X218" s="402">
        <f>+AV191</f>
        <v>0</v>
      </c>
      <c r="Y218" s="401"/>
      <c r="Z218" s="396"/>
    </row>
    <row r="219" spans="22:26" ht="12.75" customHeight="1">
      <c r="V219" s="396"/>
      <c r="W219" s="396" t="s">
        <v>174</v>
      </c>
      <c r="X219" s="402">
        <f>+AX191+AY191</f>
        <v>0</v>
      </c>
      <c r="Y219" s="402"/>
      <c r="Z219" s="396"/>
    </row>
    <row r="220" spans="22:26" ht="12.75" customHeight="1">
      <c r="V220" s="396"/>
      <c r="W220" s="396" t="s">
        <v>596</v>
      </c>
      <c r="X220" s="402">
        <f>+AZ191+BA191</f>
        <v>0</v>
      </c>
      <c r="Y220" s="402"/>
      <c r="Z220" s="396"/>
    </row>
    <row r="221" spans="22:26" ht="12.75" customHeight="1">
      <c r="V221" s="396"/>
      <c r="W221" s="396" t="s">
        <v>834</v>
      </c>
      <c r="X221" s="402">
        <f>+AD198</f>
        <v>0</v>
      </c>
      <c r="Y221" s="402"/>
      <c r="Z221" s="396"/>
    </row>
    <row r="222" spans="22:26" ht="12.75" customHeight="1">
      <c r="V222" s="396"/>
      <c r="W222" s="396" t="s">
        <v>298</v>
      </c>
      <c r="X222" s="402">
        <f>+BB192</f>
        <v>0</v>
      </c>
      <c r="Y222" s="396"/>
      <c r="Z222" s="396"/>
    </row>
    <row r="223" spans="22:26" ht="12.75" customHeight="1">
      <c r="V223" s="396"/>
      <c r="W223" s="396"/>
      <c r="X223" s="525">
        <f>SUM(X198:X222)</f>
        <v>0.1387154610428932</v>
      </c>
      <c r="Y223" s="396"/>
      <c r="Z223" s="396"/>
    </row>
    <row r="224" spans="22:26" ht="12.75" customHeight="1"/>
    <row r="225" spans="24:24" ht="12.75" customHeight="1">
      <c r="X225" s="96">
        <f>+X223+X190</f>
        <v>0.99999999999999967</v>
      </c>
    </row>
    <row r="226" spans="24:24" ht="12.75" customHeight="1">
      <c r="X226" s="96"/>
    </row>
    <row r="227" spans="24:24" ht="12.75" customHeight="1"/>
    <row r="228" spans="24:24" ht="12.75" customHeight="1"/>
    <row r="229" spans="24:24" ht="12.75" customHeight="1"/>
    <row r="230" spans="24:24" ht="12.75" customHeight="1"/>
    <row r="231" spans="24:24" ht="12.75" customHeight="1"/>
    <row r="232" spans="24:24" ht="12.75" customHeight="1"/>
    <row r="233" spans="24:24" ht="12.75" customHeight="1"/>
    <row r="234" spans="24:24" ht="12.75" customHeight="1"/>
    <row r="235" spans="24:24" ht="12.75" customHeight="1"/>
    <row r="236" spans="24:24" ht="12.75" customHeight="1"/>
    <row r="237" spans="24:24" ht="12.75" customHeight="1"/>
    <row r="238" spans="24:24" ht="12.75" customHeight="1"/>
    <row r="239" spans="24:24" ht="12.75" customHeight="1"/>
    <row r="240" spans="24:24"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sheetData>
  <mergeCells count="51">
    <mergeCell ref="BG3:BG5"/>
    <mergeCell ref="BH3:BH5"/>
    <mergeCell ref="AX3:AY3"/>
    <mergeCell ref="BB3:BB5"/>
    <mergeCell ref="BC3:BC5"/>
    <mergeCell ref="BD3:BD5"/>
    <mergeCell ref="BE3:BE5"/>
    <mergeCell ref="AZ3:BA3"/>
    <mergeCell ref="T3:T5"/>
    <mergeCell ref="U3:U5"/>
    <mergeCell ref="AE3:AE5"/>
    <mergeCell ref="AF3:AL3"/>
    <mergeCell ref="BF3:BF5"/>
    <mergeCell ref="AJ4:AJ5"/>
    <mergeCell ref="AK4:AK5"/>
    <mergeCell ref="AQ4:AQ5"/>
    <mergeCell ref="AR4:AR5"/>
    <mergeCell ref="AV3:AW3"/>
    <mergeCell ref="AM3:AM5"/>
    <mergeCell ref="AN3:AR3"/>
    <mergeCell ref="AS3:AS5"/>
    <mergeCell ref="AT3:AU4"/>
    <mergeCell ref="AF4:AH4"/>
    <mergeCell ref="AI4:AI5"/>
    <mergeCell ref="O191:P191"/>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G3:K4"/>
    <mergeCell ref="L3:N4"/>
    <mergeCell ref="O3:O5"/>
    <mergeCell ref="P3:P5"/>
    <mergeCell ref="Q3:Q5"/>
    <mergeCell ref="F3:F5"/>
    <mergeCell ref="A3:A5"/>
    <mergeCell ref="B3:B5"/>
    <mergeCell ref="C3:C5"/>
    <mergeCell ref="D3:D5"/>
    <mergeCell ref="E3:E5"/>
  </mergeCells>
  <conditionalFormatting sqref="C191 B188:B191 C188:C189">
    <cfRule type="cellIs" dxfId="1667" priority="13135" stopIfTrue="1" operator="equal">
      <formula>"Towel"</formula>
    </cfRule>
    <cfRule type="cellIs" dxfId="1666" priority="13136" stopIfTrue="1" operator="equal">
      <formula>"Napkin Hs"</formula>
    </cfRule>
  </conditionalFormatting>
  <conditionalFormatting sqref="C188">
    <cfRule type="cellIs" dxfId="1665" priority="13134" stopIfTrue="1" operator="equal">
      <formula>"Napkin Hs"</formula>
    </cfRule>
  </conditionalFormatting>
  <conditionalFormatting sqref="C188">
    <cfRule type="cellIs" dxfId="1664" priority="13133" stopIfTrue="1" operator="equal">
      <formula>"Towel"</formula>
    </cfRule>
  </conditionalFormatting>
  <conditionalFormatting sqref="B187:C187">
    <cfRule type="cellIs" dxfId="1663" priority="10859" stopIfTrue="1" operator="equal">
      <formula>"Towel"</formula>
    </cfRule>
    <cfRule type="cellIs" dxfId="1662" priority="10860" stopIfTrue="1" operator="equal">
      <formula>"Napkin Hs"</formula>
    </cfRule>
  </conditionalFormatting>
  <conditionalFormatting sqref="C187">
    <cfRule type="cellIs" dxfId="1661" priority="10858" stopIfTrue="1" operator="equal">
      <formula>"Napkin Hs"</formula>
    </cfRule>
  </conditionalFormatting>
  <conditionalFormatting sqref="C187">
    <cfRule type="cellIs" dxfId="1660" priority="10857" stopIfTrue="1" operator="equal">
      <formula>"Towel"</formula>
    </cfRule>
  </conditionalFormatting>
  <conditionalFormatting sqref="C187">
    <cfRule type="cellIs" dxfId="1659" priority="10855" stopIfTrue="1" operator="equal">
      <formula>"Towel"</formula>
    </cfRule>
    <cfRule type="cellIs" dxfId="1658" priority="10856" stopIfTrue="1" operator="equal">
      <formula>"Napkin Hs"</formula>
    </cfRule>
  </conditionalFormatting>
  <conditionalFormatting sqref="B185:C186">
    <cfRule type="cellIs" dxfId="1657" priority="1737" stopIfTrue="1" operator="equal">
      <formula>"Towel"</formula>
    </cfRule>
    <cfRule type="cellIs" dxfId="1656" priority="1738" stopIfTrue="1" operator="equal">
      <formula>"Napkin Hs"</formula>
    </cfRule>
  </conditionalFormatting>
  <conditionalFormatting sqref="C185:C186">
    <cfRule type="cellIs" dxfId="1655" priority="1739" stopIfTrue="1" operator="equal">
      <formula>"Towel"</formula>
    </cfRule>
    <cfRule type="cellIs" dxfId="1654" priority="1740" stopIfTrue="1" operator="equal">
      <formula>"Napkin Hs"</formula>
    </cfRule>
  </conditionalFormatting>
  <conditionalFormatting sqref="C185:C186">
    <cfRule type="cellIs" dxfId="1653" priority="1735" stopIfTrue="1" operator="equal">
      <formula>"Towel"</formula>
    </cfRule>
    <cfRule type="cellIs" dxfId="1652" priority="1736" stopIfTrue="1" operator="equal">
      <formula>"Napkin Hs"</formula>
    </cfRule>
  </conditionalFormatting>
  <conditionalFormatting sqref="B185:C186">
    <cfRule type="cellIs" dxfId="1651" priority="1727" stopIfTrue="1" operator="equal">
      <formula>"Towel"</formula>
    </cfRule>
    <cfRule type="cellIs" dxfId="1650" priority="1728" stopIfTrue="1" operator="equal">
      <formula>"Napkin Hs"</formula>
    </cfRule>
  </conditionalFormatting>
  <conditionalFormatting sqref="C185:C186">
    <cfRule type="cellIs" dxfId="1649" priority="1725" stopIfTrue="1" operator="equal">
      <formula>"Towel"</formula>
    </cfRule>
    <cfRule type="cellIs" dxfId="1648" priority="1726" stopIfTrue="1" operator="equal">
      <formula>"Napkin Hs"</formula>
    </cfRule>
  </conditionalFormatting>
  <conditionalFormatting sqref="C185:C186">
    <cfRule type="cellIs" dxfId="1647" priority="1723" stopIfTrue="1" operator="equal">
      <formula>"Towel"</formula>
    </cfRule>
    <cfRule type="cellIs" dxfId="1646" priority="1724" stopIfTrue="1" operator="equal">
      <formula>"Napkin Hs"</formula>
    </cfRule>
  </conditionalFormatting>
  <conditionalFormatting sqref="B185:C186">
    <cfRule type="cellIs" dxfId="1645" priority="1703" stopIfTrue="1" operator="equal">
      <formula>"Towel"</formula>
    </cfRule>
    <cfRule type="cellIs" dxfId="1644" priority="1704" stopIfTrue="1" operator="equal">
      <formula>"Napkin Hs"</formula>
    </cfRule>
  </conditionalFormatting>
  <conditionalFormatting sqref="C185:C186">
    <cfRule type="cellIs" dxfId="1643" priority="1702" stopIfTrue="1" operator="equal">
      <formula>"Napkin Hs"</formula>
    </cfRule>
  </conditionalFormatting>
  <conditionalFormatting sqref="C185:C186">
    <cfRule type="cellIs" dxfId="1642" priority="1699" stopIfTrue="1" operator="equal">
      <formula>"Towel"</formula>
    </cfRule>
    <cfRule type="cellIs" dxfId="1641" priority="1700" stopIfTrue="1" operator="equal">
      <formula>"Napkin Hs"</formula>
    </cfRule>
  </conditionalFormatting>
  <conditionalFormatting sqref="C185:C186">
    <cfRule type="cellIs" dxfId="1640" priority="1701" stopIfTrue="1" operator="equal">
      <formula>"Towel"</formula>
    </cfRule>
  </conditionalFormatting>
  <conditionalFormatting sqref="B65:C65 B122:C122 B133:C133 B127:C127">
    <cfRule type="cellIs" dxfId="1639" priority="1631" stopIfTrue="1" operator="equal">
      <formula>"Towel"</formula>
    </cfRule>
    <cfRule type="cellIs" dxfId="1638" priority="1632" stopIfTrue="1" operator="equal">
      <formula>"Napkin Hs"</formula>
    </cfRule>
  </conditionalFormatting>
  <conditionalFormatting sqref="C11">
    <cfRule type="cellIs" dxfId="1637" priority="1603" stopIfTrue="1" operator="equal">
      <formula>"Towel"</formula>
    </cfRule>
    <cfRule type="cellIs" dxfId="1636" priority="1604" stopIfTrue="1" operator="equal">
      <formula>"Napkin Hs"</formula>
    </cfRule>
  </conditionalFormatting>
  <conditionalFormatting sqref="B41:C41">
    <cfRule type="cellIs" dxfId="1635" priority="1627" stopIfTrue="1" operator="equal">
      <formula>"Towel"</formula>
    </cfRule>
    <cfRule type="cellIs" dxfId="1634" priority="1628" stopIfTrue="1" operator="equal">
      <formula>"Napkin Hs"</formula>
    </cfRule>
  </conditionalFormatting>
  <conditionalFormatting sqref="B57:C57">
    <cfRule type="cellIs" dxfId="1633" priority="1621" stopIfTrue="1" operator="equal">
      <formula>"Towel"</formula>
    </cfRule>
    <cfRule type="cellIs" dxfId="1632" priority="1622" stopIfTrue="1" operator="equal">
      <formula>"Napkin Hs"</formula>
    </cfRule>
  </conditionalFormatting>
  <conditionalFormatting sqref="C11">
    <cfRule type="cellIs" dxfId="1631" priority="1607" stopIfTrue="1" operator="equal">
      <formula>"Towel"</formula>
    </cfRule>
    <cfRule type="cellIs" dxfId="1630" priority="1608" stopIfTrue="1" operator="equal">
      <formula>"Napkin Hs"</formula>
    </cfRule>
  </conditionalFormatting>
  <conditionalFormatting sqref="B11">
    <cfRule type="cellIs" dxfId="1629" priority="1581" stopIfTrue="1" operator="equal">
      <formula>"Towel"</formula>
    </cfRule>
    <cfRule type="cellIs" dxfId="1628" priority="1582" stopIfTrue="1" operator="equal">
      <formula>"Napkin Hs"</formula>
    </cfRule>
  </conditionalFormatting>
  <conditionalFormatting sqref="C65 C122 C133 C127">
    <cfRule type="cellIs" dxfId="1627" priority="1630" stopIfTrue="1" operator="equal">
      <formula>"Napkin Hs"</formula>
    </cfRule>
  </conditionalFormatting>
  <conditionalFormatting sqref="C11">
    <cfRule type="cellIs" dxfId="1626" priority="1605" stopIfTrue="1" operator="equal">
      <formula>"Towel"</formula>
    </cfRule>
    <cfRule type="cellIs" dxfId="1625" priority="1606" stopIfTrue="1" operator="equal">
      <formula>"Napkin Hs"</formula>
    </cfRule>
  </conditionalFormatting>
  <conditionalFormatting sqref="C65 C122 C133 C127">
    <cfRule type="cellIs" dxfId="1624" priority="1629" stopIfTrue="1" operator="equal">
      <formula>"Towel"</formula>
    </cfRule>
  </conditionalFormatting>
  <conditionalFormatting sqref="C41">
    <cfRule type="cellIs" dxfId="1623" priority="1625" stopIfTrue="1" operator="equal">
      <formula>"Towel"</formula>
    </cfRule>
    <cfRule type="cellIs" dxfId="1622" priority="1626" stopIfTrue="1" operator="equal">
      <formula>"Napkin Hs"</formula>
    </cfRule>
  </conditionalFormatting>
  <conditionalFormatting sqref="C41">
    <cfRule type="cellIs" dxfId="1621" priority="1623" stopIfTrue="1" operator="equal">
      <formula>"Towel"</formula>
    </cfRule>
    <cfRule type="cellIs" dxfId="1620" priority="1624" stopIfTrue="1" operator="equal">
      <formula>"Napkin Hs"</formula>
    </cfRule>
  </conditionalFormatting>
  <conditionalFormatting sqref="C57">
    <cfRule type="cellIs" dxfId="1619" priority="1619" stopIfTrue="1" operator="equal">
      <formula>"Towel"</formula>
    </cfRule>
    <cfRule type="cellIs" dxfId="1618" priority="1620" stopIfTrue="1" operator="equal">
      <formula>"Napkin Hs"</formula>
    </cfRule>
  </conditionalFormatting>
  <conditionalFormatting sqref="C57">
    <cfRule type="cellIs" dxfId="1617" priority="1617" stopIfTrue="1" operator="equal">
      <formula>"Towel"</formula>
    </cfRule>
    <cfRule type="cellIs" dxfId="1616" priority="1618" stopIfTrue="1" operator="equal">
      <formula>"Napkin Hs"</formula>
    </cfRule>
  </conditionalFormatting>
  <conditionalFormatting sqref="C65">
    <cfRule type="cellIs" dxfId="1615" priority="1615" stopIfTrue="1" operator="equal">
      <formula>"Towel"</formula>
    </cfRule>
    <cfRule type="cellIs" dxfId="1614" priority="1616" stopIfTrue="1" operator="equal">
      <formula>"Napkin Hs"</formula>
    </cfRule>
  </conditionalFormatting>
  <conditionalFormatting sqref="C122">
    <cfRule type="cellIs" dxfId="1613" priority="1613" stopIfTrue="1" operator="equal">
      <formula>"Towel"</formula>
    </cfRule>
    <cfRule type="cellIs" dxfId="1612" priority="1614" stopIfTrue="1" operator="equal">
      <formula>"Napkin Hs"</formula>
    </cfRule>
  </conditionalFormatting>
  <conditionalFormatting sqref="C127">
    <cfRule type="cellIs" dxfId="1611" priority="1611" stopIfTrue="1" operator="equal">
      <formula>"Towel"</formula>
    </cfRule>
    <cfRule type="cellIs" dxfId="1610" priority="1612" stopIfTrue="1" operator="equal">
      <formula>"Napkin Hs"</formula>
    </cfRule>
  </conditionalFormatting>
  <conditionalFormatting sqref="C133">
    <cfRule type="cellIs" dxfId="1609" priority="1609" stopIfTrue="1" operator="equal">
      <formula>"Towel"</formula>
    </cfRule>
    <cfRule type="cellIs" dxfId="1608" priority="1610" stopIfTrue="1" operator="equal">
      <formula>"Napkin Hs"</formula>
    </cfRule>
  </conditionalFormatting>
  <conditionalFormatting sqref="C10">
    <cfRule type="cellIs" dxfId="1607" priority="1593" stopIfTrue="1" operator="equal">
      <formula>"Towel"</formula>
    </cfRule>
    <cfRule type="cellIs" dxfId="1606" priority="1594" stopIfTrue="1" operator="equal">
      <formula>"Napkin Hs"</formula>
    </cfRule>
  </conditionalFormatting>
  <conditionalFormatting sqref="C10">
    <cfRule type="cellIs" dxfId="1605" priority="1595" stopIfTrue="1" operator="equal">
      <formula>"Towel"</formula>
    </cfRule>
    <cfRule type="cellIs" dxfId="1604" priority="1596" stopIfTrue="1" operator="equal">
      <formula>"Napkin Hs"</formula>
    </cfRule>
  </conditionalFormatting>
  <conditionalFormatting sqref="C11">
    <cfRule type="cellIs" dxfId="1603" priority="1597" stopIfTrue="1" operator="equal">
      <formula>"Towel"</formula>
    </cfRule>
    <cfRule type="cellIs" dxfId="1602" priority="1598" stopIfTrue="1" operator="equal">
      <formula>"Napkin Hs"</formula>
    </cfRule>
  </conditionalFormatting>
  <conditionalFormatting sqref="C11">
    <cfRule type="cellIs" dxfId="1601" priority="1599" stopIfTrue="1" operator="equal">
      <formula>"Towel"</formula>
    </cfRule>
    <cfRule type="cellIs" dxfId="1600" priority="1600" stopIfTrue="1" operator="equal">
      <formula>"Napkin Hs"</formula>
    </cfRule>
  </conditionalFormatting>
  <conditionalFormatting sqref="C11">
    <cfRule type="cellIs" dxfId="1599" priority="1601" stopIfTrue="1" operator="equal">
      <formula>"Towel"</formula>
    </cfRule>
    <cfRule type="cellIs" dxfId="1598" priority="1602" stopIfTrue="1" operator="equal">
      <formula>"Napkin Hs"</formula>
    </cfRule>
  </conditionalFormatting>
  <conditionalFormatting sqref="B10:C10">
    <cfRule type="cellIs" dxfId="1597" priority="1591" stopIfTrue="1" operator="equal">
      <formula>"Towel"</formula>
    </cfRule>
    <cfRule type="cellIs" dxfId="1596" priority="1592" stopIfTrue="1" operator="equal">
      <formula>"Napkin Hs"</formula>
    </cfRule>
  </conditionalFormatting>
  <conditionalFormatting sqref="B10:C10">
    <cfRule type="cellIs" dxfId="1595" priority="1585" stopIfTrue="1" operator="equal">
      <formula>"Towel"</formula>
    </cfRule>
    <cfRule type="cellIs" dxfId="1594" priority="1586" stopIfTrue="1" operator="equal">
      <formula>"Napkin Hs"</formula>
    </cfRule>
  </conditionalFormatting>
  <conditionalFormatting sqref="C10">
    <cfRule type="cellIs" dxfId="1593" priority="1587" stopIfTrue="1" operator="equal">
      <formula>"Towel"</formula>
    </cfRule>
    <cfRule type="cellIs" dxfId="1592" priority="1588" stopIfTrue="1" operator="equal">
      <formula>"Napkin Hs"</formula>
    </cfRule>
  </conditionalFormatting>
  <conditionalFormatting sqref="C10">
    <cfRule type="cellIs" dxfId="1591" priority="1589" stopIfTrue="1" operator="equal">
      <formula>"Towel"</formula>
    </cfRule>
    <cfRule type="cellIs" dxfId="1590" priority="1590" stopIfTrue="1" operator="equal">
      <formula>"Napkin Hs"</formula>
    </cfRule>
  </conditionalFormatting>
  <conditionalFormatting sqref="B11">
    <cfRule type="cellIs" dxfId="1589" priority="1583" stopIfTrue="1" operator="equal">
      <formula>"Towel"</formula>
    </cfRule>
    <cfRule type="cellIs" dxfId="1588" priority="1584" stopIfTrue="1" operator="equal">
      <formula>"Napkin Hs"</formula>
    </cfRule>
  </conditionalFormatting>
  <conditionalFormatting sqref="C46">
    <cfRule type="cellIs" dxfId="1587" priority="1573" stopIfTrue="1" operator="equal">
      <formula>"Towel"</formula>
    </cfRule>
    <cfRule type="cellIs" dxfId="1586" priority="1574" stopIfTrue="1" operator="equal">
      <formula>"Napkin Hs"</formula>
    </cfRule>
  </conditionalFormatting>
  <conditionalFormatting sqref="B46:C46">
    <cfRule type="cellIs" dxfId="1585" priority="1575" stopIfTrue="1" operator="equal">
      <formula>"Towel"</formula>
    </cfRule>
    <cfRule type="cellIs" dxfId="1584" priority="1576" stopIfTrue="1" operator="equal">
      <formula>"Napkin Hs"</formula>
    </cfRule>
  </conditionalFormatting>
  <conditionalFormatting sqref="C46">
    <cfRule type="cellIs" dxfId="1583" priority="1571" stopIfTrue="1" operator="equal">
      <formula>"Towel"</formula>
    </cfRule>
    <cfRule type="cellIs" dxfId="1582" priority="1572" stopIfTrue="1" operator="equal">
      <formula>"Napkin Hs"</formula>
    </cfRule>
  </conditionalFormatting>
  <conditionalFormatting sqref="B46:C46">
    <cfRule type="cellIs" dxfId="1581" priority="1569" stopIfTrue="1" operator="equal">
      <formula>"Towel"</formula>
    </cfRule>
    <cfRule type="cellIs" dxfId="1580" priority="1570" stopIfTrue="1" operator="equal">
      <formula>"Napkin Hs"</formula>
    </cfRule>
  </conditionalFormatting>
  <conditionalFormatting sqref="C46">
    <cfRule type="cellIs" dxfId="1579" priority="1577" stopIfTrue="1" operator="equal">
      <formula>"Towel"</formula>
    </cfRule>
    <cfRule type="cellIs" dxfId="1578" priority="1578" stopIfTrue="1" operator="equal">
      <formula>"Napkin Hs"</formula>
    </cfRule>
  </conditionalFormatting>
  <conditionalFormatting sqref="C46">
    <cfRule type="cellIs" dxfId="1577" priority="1579" stopIfTrue="1" operator="equal">
      <formula>"Towel"</formula>
    </cfRule>
    <cfRule type="cellIs" dxfId="1576" priority="1580" stopIfTrue="1" operator="equal">
      <formula>"Napkin Hs"</formula>
    </cfRule>
  </conditionalFormatting>
  <conditionalFormatting sqref="C51">
    <cfRule type="cellIs" dxfId="1575" priority="1561" stopIfTrue="1" operator="equal">
      <formula>"Towel"</formula>
    </cfRule>
    <cfRule type="cellIs" dxfId="1574" priority="1562" stopIfTrue="1" operator="equal">
      <formula>"Napkin Hs"</formula>
    </cfRule>
  </conditionalFormatting>
  <conditionalFormatting sqref="B51:C51">
    <cfRule type="cellIs" dxfId="1573" priority="1563" stopIfTrue="1" operator="equal">
      <formula>"Towel"</formula>
    </cfRule>
    <cfRule type="cellIs" dxfId="1572" priority="1564" stopIfTrue="1" operator="equal">
      <formula>"Napkin Hs"</formula>
    </cfRule>
  </conditionalFormatting>
  <conditionalFormatting sqref="C51">
    <cfRule type="cellIs" dxfId="1571" priority="1559" stopIfTrue="1" operator="equal">
      <formula>"Towel"</formula>
    </cfRule>
    <cfRule type="cellIs" dxfId="1570" priority="1560" stopIfTrue="1" operator="equal">
      <formula>"Napkin Hs"</formula>
    </cfRule>
  </conditionalFormatting>
  <conditionalFormatting sqref="B51:C51">
    <cfRule type="cellIs" dxfId="1569" priority="1557" stopIfTrue="1" operator="equal">
      <formula>"Towel"</formula>
    </cfRule>
    <cfRule type="cellIs" dxfId="1568" priority="1558" stopIfTrue="1" operator="equal">
      <formula>"Napkin Hs"</formula>
    </cfRule>
  </conditionalFormatting>
  <conditionalFormatting sqref="C51">
    <cfRule type="cellIs" dxfId="1567" priority="1565" stopIfTrue="1" operator="equal">
      <formula>"Towel"</formula>
    </cfRule>
    <cfRule type="cellIs" dxfId="1566" priority="1566" stopIfTrue="1" operator="equal">
      <formula>"Napkin Hs"</formula>
    </cfRule>
  </conditionalFormatting>
  <conditionalFormatting sqref="C51">
    <cfRule type="cellIs" dxfId="1565" priority="1567" stopIfTrue="1" operator="equal">
      <formula>"Towel"</formula>
    </cfRule>
    <cfRule type="cellIs" dxfId="1564" priority="1568" stopIfTrue="1" operator="equal">
      <formula>"Napkin Hs"</formula>
    </cfRule>
  </conditionalFormatting>
  <conditionalFormatting sqref="C51">
    <cfRule type="cellIs" dxfId="1563" priority="1549" stopIfTrue="1" operator="equal">
      <formula>"Towel"</formula>
    </cfRule>
    <cfRule type="cellIs" dxfId="1562" priority="1550" stopIfTrue="1" operator="equal">
      <formula>"Napkin Hs"</formula>
    </cfRule>
  </conditionalFormatting>
  <conditionalFormatting sqref="B51:C51">
    <cfRule type="cellIs" dxfId="1561" priority="1551" stopIfTrue="1" operator="equal">
      <formula>"Towel"</formula>
    </cfRule>
    <cfRule type="cellIs" dxfId="1560" priority="1552" stopIfTrue="1" operator="equal">
      <formula>"Napkin Hs"</formula>
    </cfRule>
  </conditionalFormatting>
  <conditionalFormatting sqref="C51">
    <cfRule type="cellIs" dxfId="1559" priority="1547" stopIfTrue="1" operator="equal">
      <formula>"Towel"</formula>
    </cfRule>
    <cfRule type="cellIs" dxfId="1558" priority="1548" stopIfTrue="1" operator="equal">
      <formula>"Napkin Hs"</formula>
    </cfRule>
  </conditionalFormatting>
  <conditionalFormatting sqref="B51:C51">
    <cfRule type="cellIs" dxfId="1557" priority="1545" stopIfTrue="1" operator="equal">
      <formula>"Towel"</formula>
    </cfRule>
    <cfRule type="cellIs" dxfId="1556" priority="1546" stopIfTrue="1" operator="equal">
      <formula>"Napkin Hs"</formula>
    </cfRule>
  </conditionalFormatting>
  <conditionalFormatting sqref="C51">
    <cfRule type="cellIs" dxfId="1555" priority="1553" stopIfTrue="1" operator="equal">
      <formula>"Towel"</formula>
    </cfRule>
    <cfRule type="cellIs" dxfId="1554" priority="1554" stopIfTrue="1" operator="equal">
      <formula>"Napkin Hs"</formula>
    </cfRule>
  </conditionalFormatting>
  <conditionalFormatting sqref="C51">
    <cfRule type="cellIs" dxfId="1553" priority="1555" stopIfTrue="1" operator="equal">
      <formula>"Towel"</formula>
    </cfRule>
    <cfRule type="cellIs" dxfId="1552" priority="1556" stopIfTrue="1" operator="equal">
      <formula>"Napkin Hs"</formula>
    </cfRule>
  </conditionalFormatting>
  <conditionalFormatting sqref="B70:C70">
    <cfRule type="cellIs" dxfId="1551" priority="1543" stopIfTrue="1" operator="equal">
      <formula>"Towel"</formula>
    </cfRule>
    <cfRule type="cellIs" dxfId="1550" priority="1544" stopIfTrue="1" operator="equal">
      <formula>"Napkin Hs"</formula>
    </cfRule>
  </conditionalFormatting>
  <conditionalFormatting sqref="C70">
    <cfRule type="cellIs" dxfId="1549" priority="1539" stopIfTrue="1" operator="equal">
      <formula>"Towel"</formula>
    </cfRule>
    <cfRule type="cellIs" dxfId="1548" priority="1540" stopIfTrue="1" operator="equal">
      <formula>"Napkin Hs"</formula>
    </cfRule>
  </conditionalFormatting>
  <conditionalFormatting sqref="C70">
    <cfRule type="cellIs" dxfId="1547" priority="1541" stopIfTrue="1" operator="equal">
      <formula>"Towel"</formula>
    </cfRule>
    <cfRule type="cellIs" dxfId="1546" priority="1542" stopIfTrue="1" operator="equal">
      <formula>"Napkin Hs"</formula>
    </cfRule>
  </conditionalFormatting>
  <conditionalFormatting sqref="C75">
    <cfRule type="cellIs" dxfId="1545" priority="1531" stopIfTrue="1" operator="equal">
      <formula>"Towel"</formula>
    </cfRule>
    <cfRule type="cellIs" dxfId="1544" priority="1532" stopIfTrue="1" operator="equal">
      <formula>"Napkin Hs"</formula>
    </cfRule>
  </conditionalFormatting>
  <conditionalFormatting sqref="B75:C75">
    <cfRule type="cellIs" dxfId="1543" priority="1533" stopIfTrue="1" operator="equal">
      <formula>"Towel"</formula>
    </cfRule>
    <cfRule type="cellIs" dxfId="1542" priority="1534" stopIfTrue="1" operator="equal">
      <formula>"Napkin Hs"</formula>
    </cfRule>
  </conditionalFormatting>
  <conditionalFormatting sqref="C75">
    <cfRule type="cellIs" dxfId="1541" priority="1529" stopIfTrue="1" operator="equal">
      <formula>"Towel"</formula>
    </cfRule>
    <cfRule type="cellIs" dxfId="1540" priority="1530" stopIfTrue="1" operator="equal">
      <formula>"Napkin Hs"</formula>
    </cfRule>
  </conditionalFormatting>
  <conditionalFormatting sqref="B75:C75">
    <cfRule type="cellIs" dxfId="1539" priority="1527" stopIfTrue="1" operator="equal">
      <formula>"Towel"</formula>
    </cfRule>
    <cfRule type="cellIs" dxfId="1538" priority="1528" stopIfTrue="1" operator="equal">
      <formula>"Napkin Hs"</formula>
    </cfRule>
  </conditionalFormatting>
  <conditionalFormatting sqref="C75">
    <cfRule type="cellIs" dxfId="1537" priority="1535" stopIfTrue="1" operator="equal">
      <formula>"Towel"</formula>
    </cfRule>
    <cfRule type="cellIs" dxfId="1536" priority="1536" stopIfTrue="1" operator="equal">
      <formula>"Napkin Hs"</formula>
    </cfRule>
  </conditionalFormatting>
  <conditionalFormatting sqref="C75">
    <cfRule type="cellIs" dxfId="1535" priority="1537" stopIfTrue="1" operator="equal">
      <formula>"Towel"</formula>
    </cfRule>
    <cfRule type="cellIs" dxfId="1534" priority="1538" stopIfTrue="1" operator="equal">
      <formula>"Napkin Hs"</formula>
    </cfRule>
  </conditionalFormatting>
  <conditionalFormatting sqref="C81">
    <cfRule type="cellIs" dxfId="1533" priority="1519" stopIfTrue="1" operator="equal">
      <formula>"Towel"</formula>
    </cfRule>
    <cfRule type="cellIs" dxfId="1532" priority="1520" stopIfTrue="1" operator="equal">
      <formula>"Napkin Hs"</formula>
    </cfRule>
  </conditionalFormatting>
  <conditionalFormatting sqref="B81:C81">
    <cfRule type="cellIs" dxfId="1531" priority="1521" stopIfTrue="1" operator="equal">
      <formula>"Towel"</formula>
    </cfRule>
    <cfRule type="cellIs" dxfId="1530" priority="1522" stopIfTrue="1" operator="equal">
      <formula>"Napkin Hs"</formula>
    </cfRule>
  </conditionalFormatting>
  <conditionalFormatting sqref="C81">
    <cfRule type="cellIs" dxfId="1529" priority="1517" stopIfTrue="1" operator="equal">
      <formula>"Towel"</formula>
    </cfRule>
    <cfRule type="cellIs" dxfId="1528" priority="1518" stopIfTrue="1" operator="equal">
      <formula>"Napkin Hs"</formula>
    </cfRule>
  </conditionalFormatting>
  <conditionalFormatting sqref="B81:C81">
    <cfRule type="cellIs" dxfId="1527" priority="1515" stopIfTrue="1" operator="equal">
      <formula>"Towel"</formula>
    </cfRule>
    <cfRule type="cellIs" dxfId="1526" priority="1516" stopIfTrue="1" operator="equal">
      <formula>"Napkin Hs"</formula>
    </cfRule>
  </conditionalFormatting>
  <conditionalFormatting sqref="C81">
    <cfRule type="cellIs" dxfId="1525" priority="1523" stopIfTrue="1" operator="equal">
      <formula>"Towel"</formula>
    </cfRule>
    <cfRule type="cellIs" dxfId="1524" priority="1524" stopIfTrue="1" operator="equal">
      <formula>"Napkin Hs"</formula>
    </cfRule>
  </conditionalFormatting>
  <conditionalFormatting sqref="C81">
    <cfRule type="cellIs" dxfId="1523" priority="1525" stopIfTrue="1" operator="equal">
      <formula>"Towel"</formula>
    </cfRule>
    <cfRule type="cellIs" dxfId="1522" priority="1526" stopIfTrue="1" operator="equal">
      <formula>"Napkin Hs"</formula>
    </cfRule>
  </conditionalFormatting>
  <conditionalFormatting sqref="C86">
    <cfRule type="cellIs" dxfId="1521" priority="1507" stopIfTrue="1" operator="equal">
      <formula>"Towel"</formula>
    </cfRule>
    <cfRule type="cellIs" dxfId="1520" priority="1508" stopIfTrue="1" operator="equal">
      <formula>"Napkin Hs"</formula>
    </cfRule>
  </conditionalFormatting>
  <conditionalFormatting sqref="B86:C86">
    <cfRule type="cellIs" dxfId="1519" priority="1509" stopIfTrue="1" operator="equal">
      <formula>"Towel"</formula>
    </cfRule>
    <cfRule type="cellIs" dxfId="1518" priority="1510" stopIfTrue="1" operator="equal">
      <formula>"Napkin Hs"</formula>
    </cfRule>
  </conditionalFormatting>
  <conditionalFormatting sqref="C86">
    <cfRule type="cellIs" dxfId="1517" priority="1505" stopIfTrue="1" operator="equal">
      <formula>"Towel"</formula>
    </cfRule>
    <cfRule type="cellIs" dxfId="1516" priority="1506" stopIfTrue="1" operator="equal">
      <formula>"Napkin Hs"</formula>
    </cfRule>
  </conditionalFormatting>
  <conditionalFormatting sqref="B86:C86">
    <cfRule type="cellIs" dxfId="1515" priority="1503" stopIfTrue="1" operator="equal">
      <formula>"Towel"</formula>
    </cfRule>
    <cfRule type="cellIs" dxfId="1514" priority="1504" stopIfTrue="1" operator="equal">
      <formula>"Napkin Hs"</formula>
    </cfRule>
  </conditionalFormatting>
  <conditionalFormatting sqref="C86">
    <cfRule type="cellIs" dxfId="1513" priority="1511" stopIfTrue="1" operator="equal">
      <formula>"Towel"</formula>
    </cfRule>
    <cfRule type="cellIs" dxfId="1512" priority="1512" stopIfTrue="1" operator="equal">
      <formula>"Napkin Hs"</formula>
    </cfRule>
  </conditionalFormatting>
  <conditionalFormatting sqref="C86">
    <cfRule type="cellIs" dxfId="1511" priority="1513" stopIfTrue="1" operator="equal">
      <formula>"Towel"</formula>
    </cfRule>
    <cfRule type="cellIs" dxfId="1510" priority="1514" stopIfTrue="1" operator="equal">
      <formula>"Napkin Hs"</formula>
    </cfRule>
  </conditionalFormatting>
  <conditionalFormatting sqref="B91:C91">
    <cfRule type="cellIs" dxfId="1509" priority="1501" stopIfTrue="1" operator="equal">
      <formula>"Towel"</formula>
    </cfRule>
    <cfRule type="cellIs" dxfId="1508" priority="1502" stopIfTrue="1" operator="equal">
      <formula>"Napkin Hs"</formula>
    </cfRule>
  </conditionalFormatting>
  <conditionalFormatting sqref="C91">
    <cfRule type="cellIs" dxfId="1507" priority="1499" stopIfTrue="1" operator="equal">
      <formula>"Towel"</formula>
    </cfRule>
    <cfRule type="cellIs" dxfId="1506" priority="1500" stopIfTrue="1" operator="equal">
      <formula>"Napkin Hs"</formula>
    </cfRule>
  </conditionalFormatting>
  <conditionalFormatting sqref="C91">
    <cfRule type="cellIs" dxfId="1505" priority="1497" stopIfTrue="1" operator="equal">
      <formula>"Towel"</formula>
    </cfRule>
    <cfRule type="cellIs" dxfId="1504" priority="1498" stopIfTrue="1" operator="equal">
      <formula>"Napkin Hs"</formula>
    </cfRule>
  </conditionalFormatting>
  <conditionalFormatting sqref="C91">
    <cfRule type="cellIs" dxfId="1503" priority="1489" stopIfTrue="1" operator="equal">
      <formula>"Towel"</formula>
    </cfRule>
    <cfRule type="cellIs" dxfId="1502" priority="1490" stopIfTrue="1" operator="equal">
      <formula>"Napkin Hs"</formula>
    </cfRule>
  </conditionalFormatting>
  <conditionalFormatting sqref="B91:C91">
    <cfRule type="cellIs" dxfId="1501" priority="1491" stopIfTrue="1" operator="equal">
      <formula>"Towel"</formula>
    </cfRule>
    <cfRule type="cellIs" dxfId="1500" priority="1492" stopIfTrue="1" operator="equal">
      <formula>"Napkin Hs"</formula>
    </cfRule>
  </conditionalFormatting>
  <conditionalFormatting sqref="C91">
    <cfRule type="cellIs" dxfId="1499" priority="1487" stopIfTrue="1" operator="equal">
      <formula>"Towel"</formula>
    </cfRule>
    <cfRule type="cellIs" dxfId="1498" priority="1488" stopIfTrue="1" operator="equal">
      <formula>"Napkin Hs"</formula>
    </cfRule>
  </conditionalFormatting>
  <conditionalFormatting sqref="B91:C91">
    <cfRule type="cellIs" dxfId="1497" priority="1485" stopIfTrue="1" operator="equal">
      <formula>"Towel"</formula>
    </cfRule>
    <cfRule type="cellIs" dxfId="1496" priority="1486" stopIfTrue="1" operator="equal">
      <formula>"Napkin Hs"</formula>
    </cfRule>
  </conditionalFormatting>
  <conditionalFormatting sqref="C91">
    <cfRule type="cellIs" dxfId="1495" priority="1493" stopIfTrue="1" operator="equal">
      <formula>"Towel"</formula>
    </cfRule>
    <cfRule type="cellIs" dxfId="1494" priority="1494" stopIfTrue="1" operator="equal">
      <formula>"Napkin Hs"</formula>
    </cfRule>
  </conditionalFormatting>
  <conditionalFormatting sqref="C91">
    <cfRule type="cellIs" dxfId="1493" priority="1495" stopIfTrue="1" operator="equal">
      <formula>"Towel"</formula>
    </cfRule>
    <cfRule type="cellIs" dxfId="1492" priority="1496" stopIfTrue="1" operator="equal">
      <formula>"Napkin Hs"</formula>
    </cfRule>
  </conditionalFormatting>
  <conditionalFormatting sqref="C96">
    <cfRule type="cellIs" dxfId="1491" priority="1477" stopIfTrue="1" operator="equal">
      <formula>"Towel"</formula>
    </cfRule>
    <cfRule type="cellIs" dxfId="1490" priority="1478" stopIfTrue="1" operator="equal">
      <formula>"Napkin Hs"</formula>
    </cfRule>
  </conditionalFormatting>
  <conditionalFormatting sqref="C96">
    <cfRule type="cellIs" dxfId="1489" priority="1475" stopIfTrue="1" operator="equal">
      <formula>"Towel"</formula>
    </cfRule>
    <cfRule type="cellIs" dxfId="1488" priority="1476" stopIfTrue="1" operator="equal">
      <formula>"Napkin Hs"</formula>
    </cfRule>
  </conditionalFormatting>
  <conditionalFormatting sqref="B96:C96">
    <cfRule type="cellIs" dxfId="1487" priority="1473" stopIfTrue="1" operator="equal">
      <formula>"Towel"</formula>
    </cfRule>
    <cfRule type="cellIs" dxfId="1486" priority="1474" stopIfTrue="1" operator="equal">
      <formula>"Napkin Hs"</formula>
    </cfRule>
  </conditionalFormatting>
  <conditionalFormatting sqref="B96:C96">
    <cfRule type="cellIs" dxfId="1485" priority="1483" stopIfTrue="1" operator="equal">
      <formula>"Towel"</formula>
    </cfRule>
    <cfRule type="cellIs" dxfId="1484" priority="1484" stopIfTrue="1" operator="equal">
      <formula>"Napkin Hs"</formula>
    </cfRule>
  </conditionalFormatting>
  <conditionalFormatting sqref="C96">
    <cfRule type="cellIs" dxfId="1483" priority="1481" stopIfTrue="1" operator="equal">
      <formula>"Towel"</formula>
    </cfRule>
    <cfRule type="cellIs" dxfId="1482" priority="1482" stopIfTrue="1" operator="equal">
      <formula>"Napkin Hs"</formula>
    </cfRule>
  </conditionalFormatting>
  <conditionalFormatting sqref="C96">
    <cfRule type="cellIs" dxfId="1481" priority="1479" stopIfTrue="1" operator="equal">
      <formula>"Towel"</formula>
    </cfRule>
    <cfRule type="cellIs" dxfId="1480" priority="1480" stopIfTrue="1" operator="equal">
      <formula>"Napkin Hs"</formula>
    </cfRule>
  </conditionalFormatting>
  <conditionalFormatting sqref="C96">
    <cfRule type="cellIs" dxfId="1479" priority="1471" stopIfTrue="1" operator="equal">
      <formula>"Towel"</formula>
    </cfRule>
    <cfRule type="cellIs" dxfId="1478" priority="1472" stopIfTrue="1" operator="equal">
      <formula>"Napkin Hs"</formula>
    </cfRule>
  </conditionalFormatting>
  <conditionalFormatting sqref="C96">
    <cfRule type="cellIs" dxfId="1477" priority="1469" stopIfTrue="1" operator="equal">
      <formula>"Towel"</formula>
    </cfRule>
    <cfRule type="cellIs" dxfId="1476" priority="1470" stopIfTrue="1" operator="equal">
      <formula>"Napkin Hs"</formula>
    </cfRule>
  </conditionalFormatting>
  <conditionalFormatting sqref="B96:C96">
    <cfRule type="cellIs" dxfId="1475" priority="1467" stopIfTrue="1" operator="equal">
      <formula>"Towel"</formula>
    </cfRule>
    <cfRule type="cellIs" dxfId="1474" priority="1468" stopIfTrue="1" operator="equal">
      <formula>"Napkin Hs"</formula>
    </cfRule>
  </conditionalFormatting>
  <conditionalFormatting sqref="C102">
    <cfRule type="cellIs" dxfId="1473" priority="1459" stopIfTrue="1" operator="equal">
      <formula>"Towel"</formula>
    </cfRule>
    <cfRule type="cellIs" dxfId="1472" priority="1460" stopIfTrue="1" operator="equal">
      <formula>"Napkin Hs"</formula>
    </cfRule>
  </conditionalFormatting>
  <conditionalFormatting sqref="C102">
    <cfRule type="cellIs" dxfId="1471" priority="1457" stopIfTrue="1" operator="equal">
      <formula>"Towel"</formula>
    </cfRule>
    <cfRule type="cellIs" dxfId="1470" priority="1458" stopIfTrue="1" operator="equal">
      <formula>"Napkin Hs"</formula>
    </cfRule>
  </conditionalFormatting>
  <conditionalFormatting sqref="B102:C102">
    <cfRule type="cellIs" dxfId="1469" priority="1455" stopIfTrue="1" operator="equal">
      <formula>"Towel"</formula>
    </cfRule>
    <cfRule type="cellIs" dxfId="1468" priority="1456" stopIfTrue="1" operator="equal">
      <formula>"Napkin Hs"</formula>
    </cfRule>
  </conditionalFormatting>
  <conditionalFormatting sqref="B102:C102">
    <cfRule type="cellIs" dxfId="1467" priority="1465" stopIfTrue="1" operator="equal">
      <formula>"Towel"</formula>
    </cfRule>
    <cfRule type="cellIs" dxfId="1466" priority="1466" stopIfTrue="1" operator="equal">
      <formula>"Napkin Hs"</formula>
    </cfRule>
  </conditionalFormatting>
  <conditionalFormatting sqref="C102">
    <cfRule type="cellIs" dxfId="1465" priority="1463" stopIfTrue="1" operator="equal">
      <formula>"Towel"</formula>
    </cfRule>
    <cfRule type="cellIs" dxfId="1464" priority="1464" stopIfTrue="1" operator="equal">
      <formula>"Napkin Hs"</formula>
    </cfRule>
  </conditionalFormatting>
  <conditionalFormatting sqref="C102">
    <cfRule type="cellIs" dxfId="1463" priority="1461" stopIfTrue="1" operator="equal">
      <formula>"Towel"</formula>
    </cfRule>
    <cfRule type="cellIs" dxfId="1462" priority="1462" stopIfTrue="1" operator="equal">
      <formula>"Napkin Hs"</formula>
    </cfRule>
  </conditionalFormatting>
  <conditionalFormatting sqref="C102">
    <cfRule type="cellIs" dxfId="1461" priority="1453" stopIfTrue="1" operator="equal">
      <formula>"Towel"</formula>
    </cfRule>
    <cfRule type="cellIs" dxfId="1460" priority="1454" stopIfTrue="1" operator="equal">
      <formula>"Napkin Hs"</formula>
    </cfRule>
  </conditionalFormatting>
  <conditionalFormatting sqref="C102">
    <cfRule type="cellIs" dxfId="1459" priority="1451" stopIfTrue="1" operator="equal">
      <formula>"Towel"</formula>
    </cfRule>
    <cfRule type="cellIs" dxfId="1458" priority="1452" stopIfTrue="1" operator="equal">
      <formula>"Napkin Hs"</formula>
    </cfRule>
  </conditionalFormatting>
  <conditionalFormatting sqref="B102:C102">
    <cfRule type="cellIs" dxfId="1457" priority="1449" stopIfTrue="1" operator="equal">
      <formula>"Towel"</formula>
    </cfRule>
    <cfRule type="cellIs" dxfId="1456" priority="1450" stopIfTrue="1" operator="equal">
      <formula>"Napkin Hs"</formula>
    </cfRule>
  </conditionalFormatting>
  <conditionalFormatting sqref="B107:C107">
    <cfRule type="cellIs" dxfId="1455" priority="1447" stopIfTrue="1" operator="equal">
      <formula>"Towel"</formula>
    </cfRule>
    <cfRule type="cellIs" dxfId="1454" priority="1448" stopIfTrue="1" operator="equal">
      <formula>"Napkin Hs"</formula>
    </cfRule>
  </conditionalFormatting>
  <conditionalFormatting sqref="C107">
    <cfRule type="cellIs" dxfId="1453" priority="1445" stopIfTrue="1" operator="equal">
      <formula>"Towel"</formula>
    </cfRule>
    <cfRule type="cellIs" dxfId="1452" priority="1446" stopIfTrue="1" operator="equal">
      <formula>"Napkin Hs"</formula>
    </cfRule>
  </conditionalFormatting>
  <conditionalFormatting sqref="C107">
    <cfRule type="cellIs" dxfId="1451" priority="1443" stopIfTrue="1" operator="equal">
      <formula>"Towel"</formula>
    </cfRule>
    <cfRule type="cellIs" dxfId="1450" priority="1444" stopIfTrue="1" operator="equal">
      <formula>"Napkin Hs"</formula>
    </cfRule>
  </conditionalFormatting>
  <conditionalFormatting sqref="C107">
    <cfRule type="cellIs" dxfId="1449" priority="1435" stopIfTrue="1" operator="equal">
      <formula>"Towel"</formula>
    </cfRule>
    <cfRule type="cellIs" dxfId="1448" priority="1436" stopIfTrue="1" operator="equal">
      <formula>"Napkin Hs"</formula>
    </cfRule>
  </conditionalFormatting>
  <conditionalFormatting sqref="B107:C107">
    <cfRule type="cellIs" dxfId="1447" priority="1437" stopIfTrue="1" operator="equal">
      <formula>"Towel"</formula>
    </cfRule>
    <cfRule type="cellIs" dxfId="1446" priority="1438" stopIfTrue="1" operator="equal">
      <formula>"Napkin Hs"</formula>
    </cfRule>
  </conditionalFormatting>
  <conditionalFormatting sqref="C107">
    <cfRule type="cellIs" dxfId="1445" priority="1433" stopIfTrue="1" operator="equal">
      <formula>"Towel"</formula>
    </cfRule>
    <cfRule type="cellIs" dxfId="1444" priority="1434" stopIfTrue="1" operator="equal">
      <formula>"Napkin Hs"</formula>
    </cfRule>
  </conditionalFormatting>
  <conditionalFormatting sqref="B107:C107">
    <cfRule type="cellIs" dxfId="1443" priority="1431" stopIfTrue="1" operator="equal">
      <formula>"Towel"</formula>
    </cfRule>
    <cfRule type="cellIs" dxfId="1442" priority="1432" stopIfTrue="1" operator="equal">
      <formula>"Napkin Hs"</formula>
    </cfRule>
  </conditionalFormatting>
  <conditionalFormatting sqref="C107">
    <cfRule type="cellIs" dxfId="1441" priority="1439" stopIfTrue="1" operator="equal">
      <formula>"Towel"</formula>
    </cfRule>
    <cfRule type="cellIs" dxfId="1440" priority="1440" stopIfTrue="1" operator="equal">
      <formula>"Napkin Hs"</formula>
    </cfRule>
  </conditionalFormatting>
  <conditionalFormatting sqref="C107">
    <cfRule type="cellIs" dxfId="1439" priority="1441" stopIfTrue="1" operator="equal">
      <formula>"Towel"</formula>
    </cfRule>
    <cfRule type="cellIs" dxfId="1438" priority="1442" stopIfTrue="1" operator="equal">
      <formula>"Napkin Hs"</formula>
    </cfRule>
  </conditionalFormatting>
  <conditionalFormatting sqref="B107:C107">
    <cfRule type="cellIs" dxfId="1437" priority="1427" stopIfTrue="1" operator="equal">
      <formula>"Towel"</formula>
    </cfRule>
    <cfRule type="cellIs" dxfId="1436" priority="1428" stopIfTrue="1" operator="equal">
      <formula>"Napkin Hs"</formula>
    </cfRule>
  </conditionalFormatting>
  <conditionalFormatting sqref="C107">
    <cfRule type="cellIs" dxfId="1435" priority="1429" stopIfTrue="1" operator="equal">
      <formula>"Towel"</formula>
    </cfRule>
    <cfRule type="cellIs" dxfId="1434" priority="1430" stopIfTrue="1" operator="equal">
      <formula>"Napkin Hs"</formula>
    </cfRule>
  </conditionalFormatting>
  <conditionalFormatting sqref="C107">
    <cfRule type="cellIs" dxfId="1433" priority="1425" stopIfTrue="1" operator="equal">
      <formula>"Towel"</formula>
    </cfRule>
    <cfRule type="cellIs" dxfId="1432" priority="1426" stopIfTrue="1" operator="equal">
      <formula>"Napkin Hs"</formula>
    </cfRule>
  </conditionalFormatting>
  <conditionalFormatting sqref="B112:C112">
    <cfRule type="cellIs" dxfId="1431" priority="1423" stopIfTrue="1" operator="equal">
      <formula>"Towel"</formula>
    </cfRule>
    <cfRule type="cellIs" dxfId="1430" priority="1424" stopIfTrue="1" operator="equal">
      <formula>"Napkin Hs"</formula>
    </cfRule>
  </conditionalFormatting>
  <conditionalFormatting sqref="C112">
    <cfRule type="cellIs" dxfId="1429" priority="1419" stopIfTrue="1" operator="equal">
      <formula>"Towel"</formula>
    </cfRule>
    <cfRule type="cellIs" dxfId="1428" priority="1420" stopIfTrue="1" operator="equal">
      <formula>"Napkin Hs"</formula>
    </cfRule>
  </conditionalFormatting>
  <conditionalFormatting sqref="C112">
    <cfRule type="cellIs" dxfId="1427" priority="1421" stopIfTrue="1" operator="equal">
      <formula>"Towel"</formula>
    </cfRule>
    <cfRule type="cellIs" dxfId="1426" priority="1422" stopIfTrue="1" operator="equal">
      <formula>"Napkin Hs"</formula>
    </cfRule>
  </conditionalFormatting>
  <conditionalFormatting sqref="B112:C112">
    <cfRule type="cellIs" dxfId="1425" priority="1417" stopIfTrue="1" operator="equal">
      <formula>"Towel"</formula>
    </cfRule>
    <cfRule type="cellIs" dxfId="1424" priority="1418" stopIfTrue="1" operator="equal">
      <formula>"Napkin Hs"</formula>
    </cfRule>
  </conditionalFormatting>
  <conditionalFormatting sqref="C112">
    <cfRule type="cellIs" dxfId="1423" priority="1415" stopIfTrue="1" operator="equal">
      <formula>"Towel"</formula>
    </cfRule>
    <cfRule type="cellIs" dxfId="1422" priority="1416" stopIfTrue="1" operator="equal">
      <formula>"Napkin Hs"</formula>
    </cfRule>
  </conditionalFormatting>
  <conditionalFormatting sqref="C112">
    <cfRule type="cellIs" dxfId="1421" priority="1413" stopIfTrue="1" operator="equal">
      <formula>"Towel"</formula>
    </cfRule>
    <cfRule type="cellIs" dxfId="1420" priority="1414" stopIfTrue="1" operator="equal">
      <formula>"Napkin Hs"</formula>
    </cfRule>
  </conditionalFormatting>
  <conditionalFormatting sqref="C112">
    <cfRule type="cellIs" dxfId="1419" priority="1405" stopIfTrue="1" operator="equal">
      <formula>"Towel"</formula>
    </cfRule>
    <cfRule type="cellIs" dxfId="1418" priority="1406" stopIfTrue="1" operator="equal">
      <formula>"Napkin Hs"</formula>
    </cfRule>
  </conditionalFormatting>
  <conditionalFormatting sqref="B112:C112">
    <cfRule type="cellIs" dxfId="1417" priority="1407" stopIfTrue="1" operator="equal">
      <formula>"Towel"</formula>
    </cfRule>
    <cfRule type="cellIs" dxfId="1416" priority="1408" stopIfTrue="1" operator="equal">
      <formula>"Napkin Hs"</formula>
    </cfRule>
  </conditionalFormatting>
  <conditionalFormatting sqref="C112">
    <cfRule type="cellIs" dxfId="1415" priority="1403" stopIfTrue="1" operator="equal">
      <formula>"Towel"</formula>
    </cfRule>
    <cfRule type="cellIs" dxfId="1414" priority="1404" stopIfTrue="1" operator="equal">
      <formula>"Napkin Hs"</formula>
    </cfRule>
  </conditionalFormatting>
  <conditionalFormatting sqref="B112:C112">
    <cfRule type="cellIs" dxfId="1413" priority="1401" stopIfTrue="1" operator="equal">
      <formula>"Towel"</formula>
    </cfRule>
    <cfRule type="cellIs" dxfId="1412" priority="1402" stopIfTrue="1" operator="equal">
      <formula>"Napkin Hs"</formula>
    </cfRule>
  </conditionalFormatting>
  <conditionalFormatting sqref="C112">
    <cfRule type="cellIs" dxfId="1411" priority="1409" stopIfTrue="1" operator="equal">
      <formula>"Towel"</formula>
    </cfRule>
    <cfRule type="cellIs" dxfId="1410" priority="1410" stopIfTrue="1" operator="equal">
      <formula>"Napkin Hs"</formula>
    </cfRule>
  </conditionalFormatting>
  <conditionalFormatting sqref="C112">
    <cfRule type="cellIs" dxfId="1409" priority="1411" stopIfTrue="1" operator="equal">
      <formula>"Towel"</formula>
    </cfRule>
    <cfRule type="cellIs" dxfId="1408" priority="1412" stopIfTrue="1" operator="equal">
      <formula>"Napkin Hs"</formula>
    </cfRule>
  </conditionalFormatting>
  <conditionalFormatting sqref="B126:C126">
    <cfRule type="cellIs" dxfId="1407" priority="1397" stopIfTrue="1" operator="equal">
      <formula>"Towel"</formula>
    </cfRule>
    <cfRule type="cellIs" dxfId="1406" priority="1398" stopIfTrue="1" operator="equal">
      <formula>"Napkin Hs"</formula>
    </cfRule>
  </conditionalFormatting>
  <conditionalFormatting sqref="C126">
    <cfRule type="cellIs" dxfId="1405" priority="1399" stopIfTrue="1" operator="equal">
      <formula>"Towel"</formula>
    </cfRule>
    <cfRule type="cellIs" dxfId="1404" priority="1400" stopIfTrue="1" operator="equal">
      <formula>"Napkin Hs"</formula>
    </cfRule>
  </conditionalFormatting>
  <conditionalFormatting sqref="C126">
    <cfRule type="cellIs" dxfId="1403" priority="1395" stopIfTrue="1" operator="equal">
      <formula>"Towel"</formula>
    </cfRule>
    <cfRule type="cellIs" dxfId="1402" priority="1396" stopIfTrue="1" operator="equal">
      <formula>"Napkin Hs"</formula>
    </cfRule>
  </conditionalFormatting>
  <conditionalFormatting sqref="B125:C125">
    <cfRule type="cellIs" dxfId="1401" priority="1393" stopIfTrue="1" operator="equal">
      <formula>"Towel"</formula>
    </cfRule>
    <cfRule type="cellIs" dxfId="1400" priority="1394" stopIfTrue="1" operator="equal">
      <formula>"Napkin Hs"</formula>
    </cfRule>
  </conditionalFormatting>
  <conditionalFormatting sqref="C125">
    <cfRule type="cellIs" dxfId="1399" priority="1389" stopIfTrue="1" operator="equal">
      <formula>"Towel"</formula>
    </cfRule>
    <cfRule type="cellIs" dxfId="1398" priority="1390" stopIfTrue="1" operator="equal">
      <formula>"Napkin Hs"</formula>
    </cfRule>
  </conditionalFormatting>
  <conditionalFormatting sqref="C125">
    <cfRule type="cellIs" dxfId="1397" priority="1391" stopIfTrue="1" operator="equal">
      <formula>"Towel"</formula>
    </cfRule>
    <cfRule type="cellIs" dxfId="1396" priority="1392" stopIfTrue="1" operator="equal">
      <formula>"Napkin Hs"</formula>
    </cfRule>
  </conditionalFormatting>
  <conditionalFormatting sqref="B126:C126">
    <cfRule type="cellIs" dxfId="1395" priority="1387" stopIfTrue="1" operator="equal">
      <formula>"Towel"</formula>
    </cfRule>
    <cfRule type="cellIs" dxfId="1394" priority="1388" stopIfTrue="1" operator="equal">
      <formula>"Napkin Hs"</formula>
    </cfRule>
  </conditionalFormatting>
  <conditionalFormatting sqref="C124">
    <cfRule type="cellIs" dxfId="1393" priority="1363" stopIfTrue="1" operator="equal">
      <formula>"Towel"</formula>
    </cfRule>
    <cfRule type="cellIs" dxfId="1392" priority="1364" stopIfTrue="1" operator="equal">
      <formula>"Napkin Hs"</formula>
    </cfRule>
  </conditionalFormatting>
  <conditionalFormatting sqref="C126">
    <cfRule type="cellIs" dxfId="1391" priority="1385" stopIfTrue="1" operator="equal">
      <formula>"Towel"</formula>
    </cfRule>
    <cfRule type="cellIs" dxfId="1390" priority="1386" stopIfTrue="1" operator="equal">
      <formula>"Napkin Hs"</formula>
    </cfRule>
  </conditionalFormatting>
  <conditionalFormatting sqref="C126">
    <cfRule type="cellIs" dxfId="1389" priority="1383" stopIfTrue="1" operator="equal">
      <formula>"Towel"</formula>
    </cfRule>
    <cfRule type="cellIs" dxfId="1388" priority="1384" stopIfTrue="1" operator="equal">
      <formula>"Napkin Hs"</formula>
    </cfRule>
  </conditionalFormatting>
  <conditionalFormatting sqref="C124">
    <cfRule type="cellIs" dxfId="1387" priority="1343" stopIfTrue="1" operator="equal">
      <formula>"Towel"</formula>
    </cfRule>
    <cfRule type="cellIs" dxfId="1386" priority="1344" stopIfTrue="1" operator="equal">
      <formula>"Napkin Hs"</formula>
    </cfRule>
  </conditionalFormatting>
  <conditionalFormatting sqref="C124">
    <cfRule type="cellIs" dxfId="1385" priority="1341" stopIfTrue="1" operator="equal">
      <formula>"Towel"</formula>
    </cfRule>
    <cfRule type="cellIs" dxfId="1384" priority="1342" stopIfTrue="1" operator="equal">
      <formula>"Napkin Hs"</formula>
    </cfRule>
  </conditionalFormatting>
  <conditionalFormatting sqref="C124">
    <cfRule type="cellIs" dxfId="1383" priority="1349" stopIfTrue="1" operator="equal">
      <formula>"Towel"</formula>
    </cfRule>
    <cfRule type="cellIs" dxfId="1382" priority="1350" stopIfTrue="1" operator="equal">
      <formula>"Napkin Hs"</formula>
    </cfRule>
  </conditionalFormatting>
  <conditionalFormatting sqref="C124">
    <cfRule type="cellIs" dxfId="1381" priority="1347" stopIfTrue="1" operator="equal">
      <formula>"Towel"</formula>
    </cfRule>
    <cfRule type="cellIs" dxfId="1380" priority="1348" stopIfTrue="1" operator="equal">
      <formula>"Napkin Hs"</formula>
    </cfRule>
  </conditionalFormatting>
  <conditionalFormatting sqref="C124">
    <cfRule type="cellIs" dxfId="1379" priority="1345" stopIfTrue="1" operator="equal">
      <formula>"Towel"</formula>
    </cfRule>
    <cfRule type="cellIs" dxfId="1378" priority="1346" stopIfTrue="1" operator="equal">
      <formula>"Napkin Hs"</formula>
    </cfRule>
  </conditionalFormatting>
  <conditionalFormatting sqref="B125:C125">
    <cfRule type="cellIs" dxfId="1377" priority="1381" stopIfTrue="1" operator="equal">
      <formula>"Towel"</formula>
    </cfRule>
    <cfRule type="cellIs" dxfId="1376" priority="1382" stopIfTrue="1" operator="equal">
      <formula>"Napkin Hs"</formula>
    </cfRule>
  </conditionalFormatting>
  <conditionalFormatting sqref="C125">
    <cfRule type="cellIs" dxfId="1375" priority="1379" stopIfTrue="1" operator="equal">
      <formula>"Towel"</formula>
    </cfRule>
    <cfRule type="cellIs" dxfId="1374" priority="1380" stopIfTrue="1" operator="equal">
      <formula>"Napkin Hs"</formula>
    </cfRule>
  </conditionalFormatting>
  <conditionalFormatting sqref="C125">
    <cfRule type="cellIs" dxfId="1373" priority="1377" stopIfTrue="1" operator="equal">
      <formula>"Towel"</formula>
    </cfRule>
    <cfRule type="cellIs" dxfId="1372" priority="1378" stopIfTrue="1" operator="equal">
      <formula>"Napkin Hs"</formula>
    </cfRule>
  </conditionalFormatting>
  <conditionalFormatting sqref="C124">
    <cfRule type="cellIs" dxfId="1371" priority="1355" stopIfTrue="1" operator="equal">
      <formula>"Towel"</formula>
    </cfRule>
    <cfRule type="cellIs" dxfId="1370" priority="1356" stopIfTrue="1" operator="equal">
      <formula>"Napkin Hs"</formula>
    </cfRule>
  </conditionalFormatting>
  <conditionalFormatting sqref="C124">
    <cfRule type="cellIs" dxfId="1369" priority="1353" stopIfTrue="1" operator="equal">
      <formula>"Towel"</formula>
    </cfRule>
    <cfRule type="cellIs" dxfId="1368" priority="1354" stopIfTrue="1" operator="equal">
      <formula>"Napkin Hs"</formula>
    </cfRule>
  </conditionalFormatting>
  <conditionalFormatting sqref="C124">
    <cfRule type="cellIs" dxfId="1367" priority="1351" stopIfTrue="1" operator="equal">
      <formula>"Towel"</formula>
    </cfRule>
    <cfRule type="cellIs" dxfId="1366" priority="1352" stopIfTrue="1" operator="equal">
      <formula>"Napkin Hs"</formula>
    </cfRule>
  </conditionalFormatting>
  <conditionalFormatting sqref="C125">
    <cfRule type="cellIs" dxfId="1365" priority="1369" stopIfTrue="1" operator="equal">
      <formula>"Towel"</formula>
    </cfRule>
    <cfRule type="cellIs" dxfId="1364" priority="1370" stopIfTrue="1" operator="equal">
      <formula>"Napkin Hs"</formula>
    </cfRule>
  </conditionalFormatting>
  <conditionalFormatting sqref="B125:C125">
    <cfRule type="cellIs" dxfId="1363" priority="1371" stopIfTrue="1" operator="equal">
      <formula>"Towel"</formula>
    </cfRule>
    <cfRule type="cellIs" dxfId="1362" priority="1372" stopIfTrue="1" operator="equal">
      <formula>"Napkin Hs"</formula>
    </cfRule>
  </conditionalFormatting>
  <conditionalFormatting sqref="C125">
    <cfRule type="cellIs" dxfId="1361" priority="1367" stopIfTrue="1" operator="equal">
      <formula>"Towel"</formula>
    </cfRule>
    <cfRule type="cellIs" dxfId="1360" priority="1368" stopIfTrue="1" operator="equal">
      <formula>"Napkin Hs"</formula>
    </cfRule>
  </conditionalFormatting>
  <conditionalFormatting sqref="B125:C125">
    <cfRule type="cellIs" dxfId="1359" priority="1365" stopIfTrue="1" operator="equal">
      <formula>"Towel"</formula>
    </cfRule>
    <cfRule type="cellIs" dxfId="1358" priority="1366" stopIfTrue="1" operator="equal">
      <formula>"Napkin Hs"</formula>
    </cfRule>
  </conditionalFormatting>
  <conditionalFormatting sqref="C125">
    <cfRule type="cellIs" dxfId="1357" priority="1373" stopIfTrue="1" operator="equal">
      <formula>"Towel"</formula>
    </cfRule>
    <cfRule type="cellIs" dxfId="1356" priority="1374" stopIfTrue="1" operator="equal">
      <formula>"Napkin Hs"</formula>
    </cfRule>
  </conditionalFormatting>
  <conditionalFormatting sqref="C125">
    <cfRule type="cellIs" dxfId="1355" priority="1375" stopIfTrue="1" operator="equal">
      <formula>"Towel"</formula>
    </cfRule>
    <cfRule type="cellIs" dxfId="1354" priority="1376" stopIfTrue="1" operator="equal">
      <formula>"Napkin Hs"</formula>
    </cfRule>
  </conditionalFormatting>
  <conditionalFormatting sqref="C124">
    <cfRule type="cellIs" dxfId="1353" priority="1359" stopIfTrue="1" operator="equal">
      <formula>"Towel"</formula>
    </cfRule>
    <cfRule type="cellIs" dxfId="1352" priority="1360" stopIfTrue="1" operator="equal">
      <formula>"Napkin Hs"</formula>
    </cfRule>
  </conditionalFormatting>
  <conditionalFormatting sqref="C124">
    <cfRule type="cellIs" dxfId="1351" priority="1361" stopIfTrue="1" operator="equal">
      <formula>"Towel"</formula>
    </cfRule>
    <cfRule type="cellIs" dxfId="1350" priority="1362" stopIfTrue="1" operator="equal">
      <formula>"Napkin Hs"</formula>
    </cfRule>
  </conditionalFormatting>
  <conditionalFormatting sqref="C124">
    <cfRule type="cellIs" dxfId="1349" priority="1357" stopIfTrue="1" operator="equal">
      <formula>"Towel"</formula>
    </cfRule>
    <cfRule type="cellIs" dxfId="1348" priority="1358" stopIfTrue="1" operator="equal">
      <formula>"Napkin Hs"</formula>
    </cfRule>
  </conditionalFormatting>
  <conditionalFormatting sqref="B148:C148">
    <cfRule type="cellIs" dxfId="1347" priority="1339" stopIfTrue="1" operator="equal">
      <formula>"Towel"</formula>
    </cfRule>
    <cfRule type="cellIs" dxfId="1346" priority="1340" stopIfTrue="1" operator="equal">
      <formula>"Napkin Hs"</formula>
    </cfRule>
  </conditionalFormatting>
  <conditionalFormatting sqref="C148">
    <cfRule type="cellIs" dxfId="1345" priority="1338" stopIfTrue="1" operator="equal">
      <formula>"Napkin Hs"</formula>
    </cfRule>
  </conditionalFormatting>
  <conditionalFormatting sqref="C148">
    <cfRule type="cellIs" dxfId="1344" priority="1337" stopIfTrue="1" operator="equal">
      <formula>"Towel"</formula>
    </cfRule>
  </conditionalFormatting>
  <conditionalFormatting sqref="C148">
    <cfRule type="cellIs" dxfId="1343" priority="1335" stopIfTrue="1" operator="equal">
      <formula>"Towel"</formula>
    </cfRule>
    <cfRule type="cellIs" dxfId="1342" priority="1336" stopIfTrue="1" operator="equal">
      <formula>"Napkin Hs"</formula>
    </cfRule>
  </conditionalFormatting>
  <conditionalFormatting sqref="B140:C140">
    <cfRule type="cellIs" dxfId="1341" priority="1333" stopIfTrue="1" operator="equal">
      <formula>"Towel"</formula>
    </cfRule>
    <cfRule type="cellIs" dxfId="1340" priority="1334" stopIfTrue="1" operator="equal">
      <formula>"Napkin Hs"</formula>
    </cfRule>
  </conditionalFormatting>
  <conditionalFormatting sqref="C140">
    <cfRule type="cellIs" dxfId="1339" priority="1331" stopIfTrue="1" operator="equal">
      <formula>"Towel"</formula>
    </cfRule>
    <cfRule type="cellIs" dxfId="1338" priority="1332" stopIfTrue="1" operator="equal">
      <formula>"Napkin Hs"</formula>
    </cfRule>
  </conditionalFormatting>
  <conditionalFormatting sqref="C140">
    <cfRule type="cellIs" dxfId="1337" priority="1329" stopIfTrue="1" operator="equal">
      <formula>"Towel"</formula>
    </cfRule>
    <cfRule type="cellIs" dxfId="1336" priority="1330" stopIfTrue="1" operator="equal">
      <formula>"Napkin Hs"</formula>
    </cfRule>
  </conditionalFormatting>
  <conditionalFormatting sqref="B140:C140">
    <cfRule type="cellIs" dxfId="1335" priority="1327" stopIfTrue="1" operator="equal">
      <formula>"Towel"</formula>
    </cfRule>
    <cfRule type="cellIs" dxfId="1334" priority="1328" stopIfTrue="1" operator="equal">
      <formula>"Napkin Hs"</formula>
    </cfRule>
  </conditionalFormatting>
  <conditionalFormatting sqref="C140">
    <cfRule type="cellIs" dxfId="1333" priority="1325" stopIfTrue="1" operator="equal">
      <formula>"Towel"</formula>
    </cfRule>
    <cfRule type="cellIs" dxfId="1332" priority="1326" stopIfTrue="1" operator="equal">
      <formula>"Napkin Hs"</formula>
    </cfRule>
  </conditionalFormatting>
  <conditionalFormatting sqref="C140">
    <cfRule type="cellIs" dxfId="1331" priority="1323" stopIfTrue="1" operator="equal">
      <formula>"Towel"</formula>
    </cfRule>
    <cfRule type="cellIs" dxfId="1330" priority="1324" stopIfTrue="1" operator="equal">
      <formula>"Napkin Hs"</formula>
    </cfRule>
  </conditionalFormatting>
  <conditionalFormatting sqref="C140">
    <cfRule type="cellIs" dxfId="1329" priority="1315" stopIfTrue="1" operator="equal">
      <formula>"Towel"</formula>
    </cfRule>
    <cfRule type="cellIs" dxfId="1328" priority="1316" stopIfTrue="1" operator="equal">
      <formula>"Napkin Hs"</formula>
    </cfRule>
  </conditionalFormatting>
  <conditionalFormatting sqref="B140:C140">
    <cfRule type="cellIs" dxfId="1327" priority="1317" stopIfTrue="1" operator="equal">
      <formula>"Towel"</formula>
    </cfRule>
    <cfRule type="cellIs" dxfId="1326" priority="1318" stopIfTrue="1" operator="equal">
      <formula>"Napkin Hs"</formula>
    </cfRule>
  </conditionalFormatting>
  <conditionalFormatting sqref="C140">
    <cfRule type="cellIs" dxfId="1325" priority="1313" stopIfTrue="1" operator="equal">
      <formula>"Towel"</formula>
    </cfRule>
    <cfRule type="cellIs" dxfId="1324" priority="1314" stopIfTrue="1" operator="equal">
      <formula>"Napkin Hs"</formula>
    </cfRule>
  </conditionalFormatting>
  <conditionalFormatting sqref="B140:C140">
    <cfRule type="cellIs" dxfId="1323" priority="1311" stopIfTrue="1" operator="equal">
      <formula>"Towel"</formula>
    </cfRule>
    <cfRule type="cellIs" dxfId="1322" priority="1312" stopIfTrue="1" operator="equal">
      <formula>"Napkin Hs"</formula>
    </cfRule>
  </conditionalFormatting>
  <conditionalFormatting sqref="C140">
    <cfRule type="cellIs" dxfId="1321" priority="1319" stopIfTrue="1" operator="equal">
      <formula>"Towel"</formula>
    </cfRule>
    <cfRule type="cellIs" dxfId="1320" priority="1320" stopIfTrue="1" operator="equal">
      <formula>"Napkin Hs"</formula>
    </cfRule>
  </conditionalFormatting>
  <conditionalFormatting sqref="C140">
    <cfRule type="cellIs" dxfId="1319" priority="1321" stopIfTrue="1" operator="equal">
      <formula>"Towel"</formula>
    </cfRule>
    <cfRule type="cellIs" dxfId="1318" priority="1322" stopIfTrue="1" operator="equal">
      <formula>"Napkin Hs"</formula>
    </cfRule>
  </conditionalFormatting>
  <conditionalFormatting sqref="B168:C168 B174:C174">
    <cfRule type="cellIs" dxfId="1317" priority="1309" stopIfTrue="1" operator="equal">
      <formula>"Towel"</formula>
    </cfRule>
    <cfRule type="cellIs" dxfId="1316" priority="1310" stopIfTrue="1" operator="equal">
      <formula>"Napkin Hs"</formula>
    </cfRule>
  </conditionalFormatting>
  <conditionalFormatting sqref="C168 C174">
    <cfRule type="cellIs" dxfId="1315" priority="1305" stopIfTrue="1" operator="equal">
      <formula>"Towel"</formula>
    </cfRule>
    <cfRule type="cellIs" dxfId="1314" priority="1306" stopIfTrue="1" operator="equal">
      <formula>"Napkin Hs"</formula>
    </cfRule>
  </conditionalFormatting>
  <conditionalFormatting sqref="C168 C174">
    <cfRule type="cellIs" dxfId="1313" priority="1308" stopIfTrue="1" operator="equal">
      <formula>"Napkin Hs"</formula>
    </cfRule>
  </conditionalFormatting>
  <conditionalFormatting sqref="C168 C174">
    <cfRule type="cellIs" dxfId="1312" priority="1307" stopIfTrue="1" operator="equal">
      <formula>"Towel"</formula>
    </cfRule>
  </conditionalFormatting>
  <conditionalFormatting sqref="B156:C156">
    <cfRule type="cellIs" dxfId="1311" priority="1303" stopIfTrue="1" operator="equal">
      <formula>"Towel"</formula>
    </cfRule>
    <cfRule type="cellIs" dxfId="1310" priority="1304" stopIfTrue="1" operator="equal">
      <formula>"Napkin Hs"</formula>
    </cfRule>
  </conditionalFormatting>
  <conditionalFormatting sqref="C156">
    <cfRule type="cellIs" dxfId="1309" priority="1299" stopIfTrue="1" operator="equal">
      <formula>"Towel"</formula>
    </cfRule>
    <cfRule type="cellIs" dxfId="1308" priority="1300" stopIfTrue="1" operator="equal">
      <formula>"Napkin Hs"</formula>
    </cfRule>
  </conditionalFormatting>
  <conditionalFormatting sqref="C156">
    <cfRule type="cellIs" dxfId="1307" priority="1301" stopIfTrue="1" operator="equal">
      <formula>"Towel"</formula>
    </cfRule>
    <cfRule type="cellIs" dxfId="1306" priority="1302" stopIfTrue="1" operator="equal">
      <formula>"Napkin Hs"</formula>
    </cfRule>
  </conditionalFormatting>
  <conditionalFormatting sqref="B156:C156">
    <cfRule type="cellIs" dxfId="1305" priority="1297" stopIfTrue="1" operator="equal">
      <formula>"Towel"</formula>
    </cfRule>
    <cfRule type="cellIs" dxfId="1304" priority="1298" stopIfTrue="1" operator="equal">
      <formula>"Napkin Hs"</formula>
    </cfRule>
  </conditionalFormatting>
  <conditionalFormatting sqref="C156">
    <cfRule type="cellIs" dxfId="1303" priority="1295" stopIfTrue="1" operator="equal">
      <formula>"Towel"</formula>
    </cfRule>
    <cfRule type="cellIs" dxfId="1302" priority="1296" stopIfTrue="1" operator="equal">
      <formula>"Napkin Hs"</formula>
    </cfRule>
  </conditionalFormatting>
  <conditionalFormatting sqref="C156">
    <cfRule type="cellIs" dxfId="1301" priority="1293" stopIfTrue="1" operator="equal">
      <formula>"Towel"</formula>
    </cfRule>
    <cfRule type="cellIs" dxfId="1300" priority="1294" stopIfTrue="1" operator="equal">
      <formula>"Napkin Hs"</formula>
    </cfRule>
  </conditionalFormatting>
  <conditionalFormatting sqref="C156">
    <cfRule type="cellIs" dxfId="1299" priority="1285" stopIfTrue="1" operator="equal">
      <formula>"Towel"</formula>
    </cfRule>
    <cfRule type="cellIs" dxfId="1298" priority="1286" stopIfTrue="1" operator="equal">
      <formula>"Napkin Hs"</formula>
    </cfRule>
  </conditionalFormatting>
  <conditionalFormatting sqref="B156:C156">
    <cfRule type="cellIs" dxfId="1297" priority="1287" stopIfTrue="1" operator="equal">
      <formula>"Towel"</formula>
    </cfRule>
    <cfRule type="cellIs" dxfId="1296" priority="1288" stopIfTrue="1" operator="equal">
      <formula>"Napkin Hs"</formula>
    </cfRule>
  </conditionalFormatting>
  <conditionalFormatting sqref="C156">
    <cfRule type="cellIs" dxfId="1295" priority="1283" stopIfTrue="1" operator="equal">
      <formula>"Towel"</formula>
    </cfRule>
    <cfRule type="cellIs" dxfId="1294" priority="1284" stopIfTrue="1" operator="equal">
      <formula>"Napkin Hs"</formula>
    </cfRule>
  </conditionalFormatting>
  <conditionalFormatting sqref="B156:C156">
    <cfRule type="cellIs" dxfId="1293" priority="1281" stopIfTrue="1" operator="equal">
      <formula>"Towel"</formula>
    </cfRule>
    <cfRule type="cellIs" dxfId="1292" priority="1282" stopIfTrue="1" operator="equal">
      <formula>"Napkin Hs"</formula>
    </cfRule>
  </conditionalFormatting>
  <conditionalFormatting sqref="C156">
    <cfRule type="cellIs" dxfId="1291" priority="1289" stopIfTrue="1" operator="equal">
      <formula>"Towel"</formula>
    </cfRule>
    <cfRule type="cellIs" dxfId="1290" priority="1290" stopIfTrue="1" operator="equal">
      <formula>"Napkin Hs"</formula>
    </cfRule>
  </conditionalFormatting>
  <conditionalFormatting sqref="C156">
    <cfRule type="cellIs" dxfId="1289" priority="1291" stopIfTrue="1" operator="equal">
      <formula>"Towel"</formula>
    </cfRule>
    <cfRule type="cellIs" dxfId="1288" priority="1292" stopIfTrue="1" operator="equal">
      <formula>"Napkin Hs"</formula>
    </cfRule>
  </conditionalFormatting>
  <conditionalFormatting sqref="B162:C162">
    <cfRule type="cellIs" dxfId="1287" priority="1279" stopIfTrue="1" operator="equal">
      <formula>"Towel"</formula>
    </cfRule>
    <cfRule type="cellIs" dxfId="1286" priority="1280" stopIfTrue="1" operator="equal">
      <formula>"Napkin Hs"</formula>
    </cfRule>
  </conditionalFormatting>
  <conditionalFormatting sqref="C162">
    <cfRule type="cellIs" dxfId="1285" priority="1278" stopIfTrue="1" operator="equal">
      <formula>"Napkin Hs"</formula>
    </cfRule>
  </conditionalFormatting>
  <conditionalFormatting sqref="C162">
    <cfRule type="cellIs" dxfId="1284" priority="1277" stopIfTrue="1" operator="equal">
      <formula>"Towel"</formula>
    </cfRule>
  </conditionalFormatting>
  <conditionalFormatting sqref="C162">
    <cfRule type="cellIs" dxfId="1283" priority="1275" stopIfTrue="1" operator="equal">
      <formula>"Towel"</formula>
    </cfRule>
    <cfRule type="cellIs" dxfId="1282" priority="1276" stopIfTrue="1" operator="equal">
      <formula>"Napkin Hs"</formula>
    </cfRule>
  </conditionalFormatting>
  <conditionalFormatting sqref="B6:C9">
    <cfRule type="cellIs" dxfId="1281" priority="1273" stopIfTrue="1" operator="equal">
      <formula>"Towel"</formula>
    </cfRule>
    <cfRule type="cellIs" dxfId="1280" priority="1274" stopIfTrue="1" operator="equal">
      <formula>"Napkin Hs"</formula>
    </cfRule>
  </conditionalFormatting>
  <conditionalFormatting sqref="C6:C9">
    <cfRule type="cellIs" dxfId="1279" priority="1272" stopIfTrue="1" operator="equal">
      <formula>"Napkin Hs"</formula>
    </cfRule>
  </conditionalFormatting>
  <conditionalFormatting sqref="C6:C9">
    <cfRule type="cellIs" dxfId="1278" priority="1269" stopIfTrue="1" operator="equal">
      <formula>"Towel"</formula>
    </cfRule>
    <cfRule type="cellIs" dxfId="1277" priority="1270" stopIfTrue="1" operator="equal">
      <formula>"Napkin Hs"</formula>
    </cfRule>
  </conditionalFormatting>
  <conditionalFormatting sqref="C6:C9">
    <cfRule type="cellIs" dxfId="1276" priority="1271" stopIfTrue="1" operator="equal">
      <formula>"Towel"</formula>
    </cfRule>
  </conditionalFormatting>
  <conditionalFormatting sqref="C16">
    <cfRule type="cellIs" dxfId="1275" priority="1265" stopIfTrue="1" operator="equal">
      <formula>"Towel"</formula>
    </cfRule>
    <cfRule type="cellIs" dxfId="1274" priority="1266" stopIfTrue="1" operator="equal">
      <formula>"Napkin Hs"</formula>
    </cfRule>
  </conditionalFormatting>
  <conditionalFormatting sqref="C16">
    <cfRule type="cellIs" dxfId="1273" priority="1267" stopIfTrue="1" operator="equal">
      <formula>"Towel"</formula>
    </cfRule>
    <cfRule type="cellIs" dxfId="1272" priority="1268" stopIfTrue="1" operator="equal">
      <formula>"Napkin Hs"</formula>
    </cfRule>
  </conditionalFormatting>
  <conditionalFormatting sqref="B16:C16">
    <cfRule type="cellIs" dxfId="1271" priority="1263" stopIfTrue="1" operator="equal">
      <formula>"Towel"</formula>
    </cfRule>
    <cfRule type="cellIs" dxfId="1270" priority="1264" stopIfTrue="1" operator="equal">
      <formula>"Napkin Hs"</formula>
    </cfRule>
  </conditionalFormatting>
  <conditionalFormatting sqref="B16:C16">
    <cfRule type="cellIs" dxfId="1269" priority="1257" stopIfTrue="1" operator="equal">
      <formula>"Towel"</formula>
    </cfRule>
    <cfRule type="cellIs" dxfId="1268" priority="1258" stopIfTrue="1" operator="equal">
      <formula>"Napkin Hs"</formula>
    </cfRule>
  </conditionalFormatting>
  <conditionalFormatting sqref="C16">
    <cfRule type="cellIs" dxfId="1267" priority="1259" stopIfTrue="1" operator="equal">
      <formula>"Towel"</formula>
    </cfRule>
    <cfRule type="cellIs" dxfId="1266" priority="1260" stopIfTrue="1" operator="equal">
      <formula>"Napkin Hs"</formula>
    </cfRule>
  </conditionalFormatting>
  <conditionalFormatting sqref="C16">
    <cfRule type="cellIs" dxfId="1265" priority="1261" stopIfTrue="1" operator="equal">
      <formula>"Towel"</formula>
    </cfRule>
    <cfRule type="cellIs" dxfId="1264" priority="1262" stopIfTrue="1" operator="equal">
      <formula>"Napkin Hs"</formula>
    </cfRule>
  </conditionalFormatting>
  <conditionalFormatting sqref="B22:C22">
    <cfRule type="cellIs" dxfId="1263" priority="1255" stopIfTrue="1" operator="equal">
      <formula>"Towel"</formula>
    </cfRule>
    <cfRule type="cellIs" dxfId="1262" priority="1256" stopIfTrue="1" operator="equal">
      <formula>"Napkin Hs"</formula>
    </cfRule>
  </conditionalFormatting>
  <conditionalFormatting sqref="C22">
    <cfRule type="cellIs" dxfId="1261" priority="1254" stopIfTrue="1" operator="equal">
      <formula>"Napkin Hs"</formula>
    </cfRule>
  </conditionalFormatting>
  <conditionalFormatting sqref="C22">
    <cfRule type="cellIs" dxfId="1260" priority="1251" stopIfTrue="1" operator="equal">
      <formula>"Towel"</formula>
    </cfRule>
    <cfRule type="cellIs" dxfId="1259" priority="1252" stopIfTrue="1" operator="equal">
      <formula>"Napkin Hs"</formula>
    </cfRule>
  </conditionalFormatting>
  <conditionalFormatting sqref="C22">
    <cfRule type="cellIs" dxfId="1258" priority="1253" stopIfTrue="1" operator="equal">
      <formula>"Towel"</formula>
    </cfRule>
  </conditionalFormatting>
  <conditionalFormatting sqref="B28:C28">
    <cfRule type="cellIs" dxfId="1257" priority="1249" stopIfTrue="1" operator="equal">
      <formula>"Towel"</formula>
    </cfRule>
    <cfRule type="cellIs" dxfId="1256" priority="1250" stopIfTrue="1" operator="equal">
      <formula>"Napkin Hs"</formula>
    </cfRule>
  </conditionalFormatting>
  <conditionalFormatting sqref="C28">
    <cfRule type="cellIs" dxfId="1255" priority="1248" stopIfTrue="1" operator="equal">
      <formula>"Napkin Hs"</formula>
    </cfRule>
  </conditionalFormatting>
  <conditionalFormatting sqref="C28">
    <cfRule type="cellIs" dxfId="1254" priority="1245" stopIfTrue="1" operator="equal">
      <formula>"Towel"</formula>
    </cfRule>
    <cfRule type="cellIs" dxfId="1253" priority="1246" stopIfTrue="1" operator="equal">
      <formula>"Napkin Hs"</formula>
    </cfRule>
  </conditionalFormatting>
  <conditionalFormatting sqref="C28">
    <cfRule type="cellIs" dxfId="1252" priority="1247" stopIfTrue="1" operator="equal">
      <formula>"Towel"</formula>
    </cfRule>
  </conditionalFormatting>
  <conditionalFormatting sqref="B33:C34">
    <cfRule type="cellIs" dxfId="1251" priority="1243" stopIfTrue="1" operator="equal">
      <formula>"Towel"</formula>
    </cfRule>
    <cfRule type="cellIs" dxfId="1250" priority="1244" stopIfTrue="1" operator="equal">
      <formula>"Napkin Hs"</formula>
    </cfRule>
  </conditionalFormatting>
  <conditionalFormatting sqref="C33:C34">
    <cfRule type="cellIs" dxfId="1249" priority="1242" stopIfTrue="1" operator="equal">
      <formula>"Napkin Hs"</formula>
    </cfRule>
  </conditionalFormatting>
  <conditionalFormatting sqref="C33:C34">
    <cfRule type="cellIs" dxfId="1248" priority="1239" stopIfTrue="1" operator="equal">
      <formula>"Towel"</formula>
    </cfRule>
    <cfRule type="cellIs" dxfId="1247" priority="1240" stopIfTrue="1" operator="equal">
      <formula>"Napkin Hs"</formula>
    </cfRule>
  </conditionalFormatting>
  <conditionalFormatting sqref="C33:C34">
    <cfRule type="cellIs" dxfId="1246" priority="1241" stopIfTrue="1" operator="equal">
      <formula>"Towel"</formula>
    </cfRule>
  </conditionalFormatting>
  <conditionalFormatting sqref="B12:C15">
    <cfRule type="cellIs" dxfId="1245" priority="1237" stopIfTrue="1" operator="equal">
      <formula>"Towel"</formula>
    </cfRule>
    <cfRule type="cellIs" dxfId="1244" priority="1238" stopIfTrue="1" operator="equal">
      <formula>"Napkin Hs"</formula>
    </cfRule>
  </conditionalFormatting>
  <conditionalFormatting sqref="C12:C15">
    <cfRule type="cellIs" dxfId="1243" priority="1236" stopIfTrue="1" operator="equal">
      <formula>"Napkin Hs"</formula>
    </cfRule>
  </conditionalFormatting>
  <conditionalFormatting sqref="C12:C15">
    <cfRule type="cellIs" dxfId="1242" priority="1233" stopIfTrue="1" operator="equal">
      <formula>"Towel"</formula>
    </cfRule>
    <cfRule type="cellIs" dxfId="1241" priority="1234" stopIfTrue="1" operator="equal">
      <formula>"Napkin Hs"</formula>
    </cfRule>
  </conditionalFormatting>
  <conditionalFormatting sqref="C12:C15">
    <cfRule type="cellIs" dxfId="1240" priority="1235" stopIfTrue="1" operator="equal">
      <formula>"Towel"</formula>
    </cfRule>
  </conditionalFormatting>
  <conditionalFormatting sqref="B17:C21">
    <cfRule type="cellIs" dxfId="1239" priority="1231" stopIfTrue="1" operator="equal">
      <formula>"Towel"</formula>
    </cfRule>
    <cfRule type="cellIs" dxfId="1238" priority="1232" stopIfTrue="1" operator="equal">
      <formula>"Napkin Hs"</formula>
    </cfRule>
  </conditionalFormatting>
  <conditionalFormatting sqref="C17:C21">
    <cfRule type="cellIs" dxfId="1237" priority="1230" stopIfTrue="1" operator="equal">
      <formula>"Napkin Hs"</formula>
    </cfRule>
  </conditionalFormatting>
  <conditionalFormatting sqref="C17:C21">
    <cfRule type="cellIs" dxfId="1236" priority="1227" stopIfTrue="1" operator="equal">
      <formula>"Towel"</formula>
    </cfRule>
    <cfRule type="cellIs" dxfId="1235" priority="1228" stopIfTrue="1" operator="equal">
      <formula>"Napkin Hs"</formula>
    </cfRule>
  </conditionalFormatting>
  <conditionalFormatting sqref="C17:C21">
    <cfRule type="cellIs" dxfId="1234" priority="1229" stopIfTrue="1" operator="equal">
      <formula>"Towel"</formula>
    </cfRule>
  </conditionalFormatting>
  <conditionalFormatting sqref="B23:C26">
    <cfRule type="cellIs" dxfId="1233" priority="1225" stopIfTrue="1" operator="equal">
      <formula>"Towel"</formula>
    </cfRule>
    <cfRule type="cellIs" dxfId="1232" priority="1226" stopIfTrue="1" operator="equal">
      <formula>"Napkin Hs"</formula>
    </cfRule>
  </conditionalFormatting>
  <conditionalFormatting sqref="C23:C26">
    <cfRule type="cellIs" dxfId="1231" priority="1224" stopIfTrue="1" operator="equal">
      <formula>"Napkin Hs"</formula>
    </cfRule>
  </conditionalFormatting>
  <conditionalFormatting sqref="C23:C26">
    <cfRule type="cellIs" dxfId="1230" priority="1221" stopIfTrue="1" operator="equal">
      <formula>"Towel"</formula>
    </cfRule>
    <cfRule type="cellIs" dxfId="1229" priority="1222" stopIfTrue="1" operator="equal">
      <formula>"Napkin Hs"</formula>
    </cfRule>
  </conditionalFormatting>
  <conditionalFormatting sqref="C23:C26">
    <cfRule type="cellIs" dxfId="1228" priority="1223" stopIfTrue="1" operator="equal">
      <formula>"Towel"</formula>
    </cfRule>
  </conditionalFormatting>
  <conditionalFormatting sqref="B27:C27">
    <cfRule type="cellIs" dxfId="1227" priority="1219" stopIfTrue="1" operator="equal">
      <formula>"Towel"</formula>
    </cfRule>
    <cfRule type="cellIs" dxfId="1226" priority="1220" stopIfTrue="1" operator="equal">
      <formula>"Napkin Hs"</formula>
    </cfRule>
  </conditionalFormatting>
  <conditionalFormatting sqref="C27">
    <cfRule type="cellIs" dxfId="1225" priority="1218" stopIfTrue="1" operator="equal">
      <formula>"Napkin Hs"</formula>
    </cfRule>
  </conditionalFormatting>
  <conditionalFormatting sqref="C27">
    <cfRule type="cellIs" dxfId="1224" priority="1215" stopIfTrue="1" operator="equal">
      <formula>"Towel"</formula>
    </cfRule>
    <cfRule type="cellIs" dxfId="1223" priority="1216" stopIfTrue="1" operator="equal">
      <formula>"Napkin Hs"</formula>
    </cfRule>
  </conditionalFormatting>
  <conditionalFormatting sqref="C27">
    <cfRule type="cellIs" dxfId="1222" priority="1217" stopIfTrue="1" operator="equal">
      <formula>"Towel"</formula>
    </cfRule>
  </conditionalFormatting>
  <conditionalFormatting sqref="B30:C32">
    <cfRule type="cellIs" dxfId="1221" priority="1213" stopIfTrue="1" operator="equal">
      <formula>"Towel"</formula>
    </cfRule>
    <cfRule type="cellIs" dxfId="1220" priority="1214" stopIfTrue="1" operator="equal">
      <formula>"Napkin Hs"</formula>
    </cfRule>
  </conditionalFormatting>
  <conditionalFormatting sqref="C30:C32">
    <cfRule type="cellIs" dxfId="1219" priority="1212" stopIfTrue="1" operator="equal">
      <formula>"Napkin Hs"</formula>
    </cfRule>
  </conditionalFormatting>
  <conditionalFormatting sqref="C30:C32">
    <cfRule type="cellIs" dxfId="1218" priority="1209" stopIfTrue="1" operator="equal">
      <formula>"Towel"</formula>
    </cfRule>
    <cfRule type="cellIs" dxfId="1217" priority="1210" stopIfTrue="1" operator="equal">
      <formula>"Napkin Hs"</formula>
    </cfRule>
  </conditionalFormatting>
  <conditionalFormatting sqref="C30:C32">
    <cfRule type="cellIs" dxfId="1216" priority="1211" stopIfTrue="1" operator="equal">
      <formula>"Towel"</formula>
    </cfRule>
  </conditionalFormatting>
  <conditionalFormatting sqref="B29:C29">
    <cfRule type="cellIs" dxfId="1215" priority="1207" stopIfTrue="1" operator="equal">
      <formula>"Towel"</formula>
    </cfRule>
    <cfRule type="cellIs" dxfId="1214" priority="1208" stopIfTrue="1" operator="equal">
      <formula>"Napkin Hs"</formula>
    </cfRule>
  </conditionalFormatting>
  <conditionalFormatting sqref="C29">
    <cfRule type="cellIs" dxfId="1213" priority="1206" stopIfTrue="1" operator="equal">
      <formula>"Napkin Hs"</formula>
    </cfRule>
  </conditionalFormatting>
  <conditionalFormatting sqref="C29">
    <cfRule type="cellIs" dxfId="1212" priority="1203" stopIfTrue="1" operator="equal">
      <formula>"Towel"</formula>
    </cfRule>
    <cfRule type="cellIs" dxfId="1211" priority="1204" stopIfTrue="1" operator="equal">
      <formula>"Napkin Hs"</formula>
    </cfRule>
  </conditionalFormatting>
  <conditionalFormatting sqref="C29">
    <cfRule type="cellIs" dxfId="1210" priority="1205" stopIfTrue="1" operator="equal">
      <formula>"Towel"</formula>
    </cfRule>
  </conditionalFormatting>
  <conditionalFormatting sqref="B38:C40">
    <cfRule type="cellIs" dxfId="1209" priority="1201" stopIfTrue="1" operator="equal">
      <formula>"Towel"</formula>
    </cfRule>
    <cfRule type="cellIs" dxfId="1208" priority="1202" stopIfTrue="1" operator="equal">
      <formula>"Napkin Hs"</formula>
    </cfRule>
  </conditionalFormatting>
  <conditionalFormatting sqref="C38:C40">
    <cfRule type="cellIs" dxfId="1207" priority="1200" stopIfTrue="1" operator="equal">
      <formula>"Napkin Hs"</formula>
    </cfRule>
  </conditionalFormatting>
  <conditionalFormatting sqref="C38:C40">
    <cfRule type="cellIs" dxfId="1206" priority="1197" stopIfTrue="1" operator="equal">
      <formula>"Towel"</formula>
    </cfRule>
    <cfRule type="cellIs" dxfId="1205" priority="1198" stopIfTrue="1" operator="equal">
      <formula>"Napkin Hs"</formula>
    </cfRule>
  </conditionalFormatting>
  <conditionalFormatting sqref="C38:C40">
    <cfRule type="cellIs" dxfId="1204" priority="1199" stopIfTrue="1" operator="equal">
      <formula>"Towel"</formula>
    </cfRule>
  </conditionalFormatting>
  <conditionalFormatting sqref="B35:C37">
    <cfRule type="cellIs" dxfId="1203" priority="1195" stopIfTrue="1" operator="equal">
      <formula>"Towel"</formula>
    </cfRule>
    <cfRule type="cellIs" dxfId="1202" priority="1196" stopIfTrue="1" operator="equal">
      <formula>"Napkin Hs"</formula>
    </cfRule>
  </conditionalFormatting>
  <conditionalFormatting sqref="C35:C37">
    <cfRule type="cellIs" dxfId="1201" priority="1194" stopIfTrue="1" operator="equal">
      <formula>"Napkin Hs"</formula>
    </cfRule>
  </conditionalFormatting>
  <conditionalFormatting sqref="C35:C37">
    <cfRule type="cellIs" dxfId="1200" priority="1191" stopIfTrue="1" operator="equal">
      <formula>"Towel"</formula>
    </cfRule>
    <cfRule type="cellIs" dxfId="1199" priority="1192" stopIfTrue="1" operator="equal">
      <formula>"Napkin Hs"</formula>
    </cfRule>
  </conditionalFormatting>
  <conditionalFormatting sqref="C35:C37">
    <cfRule type="cellIs" dxfId="1198" priority="1193" stopIfTrue="1" operator="equal">
      <formula>"Towel"</formula>
    </cfRule>
  </conditionalFormatting>
  <conditionalFormatting sqref="B43:C45">
    <cfRule type="cellIs" dxfId="1197" priority="1189" stopIfTrue="1" operator="equal">
      <formula>"Towel"</formula>
    </cfRule>
    <cfRule type="cellIs" dxfId="1196" priority="1190" stopIfTrue="1" operator="equal">
      <formula>"Napkin Hs"</formula>
    </cfRule>
  </conditionalFormatting>
  <conditionalFormatting sqref="C43:C45">
    <cfRule type="cellIs" dxfId="1195" priority="1188" stopIfTrue="1" operator="equal">
      <formula>"Napkin Hs"</formula>
    </cfRule>
  </conditionalFormatting>
  <conditionalFormatting sqref="C43:C45">
    <cfRule type="cellIs" dxfId="1194" priority="1185" stopIfTrue="1" operator="equal">
      <formula>"Towel"</formula>
    </cfRule>
    <cfRule type="cellIs" dxfId="1193" priority="1186" stopIfTrue="1" operator="equal">
      <formula>"Napkin Hs"</formula>
    </cfRule>
  </conditionalFormatting>
  <conditionalFormatting sqref="C43:C45">
    <cfRule type="cellIs" dxfId="1192" priority="1187" stopIfTrue="1" operator="equal">
      <formula>"Towel"</formula>
    </cfRule>
  </conditionalFormatting>
  <conditionalFormatting sqref="B42:C42">
    <cfRule type="cellIs" dxfId="1191" priority="1183" stopIfTrue="1" operator="equal">
      <formula>"Towel"</formula>
    </cfRule>
    <cfRule type="cellIs" dxfId="1190" priority="1184" stopIfTrue="1" operator="equal">
      <formula>"Napkin Hs"</formula>
    </cfRule>
  </conditionalFormatting>
  <conditionalFormatting sqref="C42">
    <cfRule type="cellIs" dxfId="1189" priority="1182" stopIfTrue="1" operator="equal">
      <formula>"Napkin Hs"</formula>
    </cfRule>
  </conditionalFormatting>
  <conditionalFormatting sqref="C42">
    <cfRule type="cellIs" dxfId="1188" priority="1179" stopIfTrue="1" operator="equal">
      <formula>"Towel"</formula>
    </cfRule>
    <cfRule type="cellIs" dxfId="1187" priority="1180" stopIfTrue="1" operator="equal">
      <formula>"Napkin Hs"</formula>
    </cfRule>
  </conditionalFormatting>
  <conditionalFormatting sqref="C42">
    <cfRule type="cellIs" dxfId="1186" priority="1181" stopIfTrue="1" operator="equal">
      <formula>"Towel"</formula>
    </cfRule>
  </conditionalFormatting>
  <conditionalFormatting sqref="B48:C50">
    <cfRule type="cellIs" dxfId="1185" priority="1177" stopIfTrue="1" operator="equal">
      <formula>"Towel"</formula>
    </cfRule>
    <cfRule type="cellIs" dxfId="1184" priority="1178" stopIfTrue="1" operator="equal">
      <formula>"Napkin Hs"</formula>
    </cfRule>
  </conditionalFormatting>
  <conditionalFormatting sqref="C48:C50">
    <cfRule type="cellIs" dxfId="1183" priority="1176" stopIfTrue="1" operator="equal">
      <formula>"Napkin Hs"</formula>
    </cfRule>
  </conditionalFormatting>
  <conditionalFormatting sqref="C48:C50">
    <cfRule type="cellIs" dxfId="1182" priority="1173" stopIfTrue="1" operator="equal">
      <formula>"Towel"</formula>
    </cfRule>
    <cfRule type="cellIs" dxfId="1181" priority="1174" stopIfTrue="1" operator="equal">
      <formula>"Napkin Hs"</formula>
    </cfRule>
  </conditionalFormatting>
  <conditionalFormatting sqref="C48:C50">
    <cfRule type="cellIs" dxfId="1180" priority="1175" stopIfTrue="1" operator="equal">
      <formula>"Towel"</formula>
    </cfRule>
  </conditionalFormatting>
  <conditionalFormatting sqref="B47:C47">
    <cfRule type="cellIs" dxfId="1179" priority="1171" stopIfTrue="1" operator="equal">
      <formula>"Towel"</formula>
    </cfRule>
    <cfRule type="cellIs" dxfId="1178" priority="1172" stopIfTrue="1" operator="equal">
      <formula>"Napkin Hs"</formula>
    </cfRule>
  </conditionalFormatting>
  <conditionalFormatting sqref="C47">
    <cfRule type="cellIs" dxfId="1177" priority="1170" stopIfTrue="1" operator="equal">
      <formula>"Napkin Hs"</formula>
    </cfRule>
  </conditionalFormatting>
  <conditionalFormatting sqref="C47">
    <cfRule type="cellIs" dxfId="1176" priority="1167" stopIfTrue="1" operator="equal">
      <formula>"Towel"</formula>
    </cfRule>
    <cfRule type="cellIs" dxfId="1175" priority="1168" stopIfTrue="1" operator="equal">
      <formula>"Napkin Hs"</formula>
    </cfRule>
  </conditionalFormatting>
  <conditionalFormatting sqref="C47">
    <cfRule type="cellIs" dxfId="1174" priority="1169" stopIfTrue="1" operator="equal">
      <formula>"Towel"</formula>
    </cfRule>
  </conditionalFormatting>
  <conditionalFormatting sqref="B53:C56">
    <cfRule type="cellIs" dxfId="1173" priority="1165" stopIfTrue="1" operator="equal">
      <formula>"Towel"</formula>
    </cfRule>
    <cfRule type="cellIs" dxfId="1172" priority="1166" stopIfTrue="1" operator="equal">
      <formula>"Napkin Hs"</formula>
    </cfRule>
  </conditionalFormatting>
  <conditionalFormatting sqref="C53:C56">
    <cfRule type="cellIs" dxfId="1171" priority="1164" stopIfTrue="1" operator="equal">
      <formula>"Napkin Hs"</formula>
    </cfRule>
  </conditionalFormatting>
  <conditionalFormatting sqref="C53:C56">
    <cfRule type="cellIs" dxfId="1170" priority="1161" stopIfTrue="1" operator="equal">
      <formula>"Towel"</formula>
    </cfRule>
    <cfRule type="cellIs" dxfId="1169" priority="1162" stopIfTrue="1" operator="equal">
      <formula>"Napkin Hs"</formula>
    </cfRule>
  </conditionalFormatting>
  <conditionalFormatting sqref="C53:C56">
    <cfRule type="cellIs" dxfId="1168" priority="1163" stopIfTrue="1" operator="equal">
      <formula>"Towel"</formula>
    </cfRule>
  </conditionalFormatting>
  <conditionalFormatting sqref="B52:C52">
    <cfRule type="cellIs" dxfId="1167" priority="1159" stopIfTrue="1" operator="equal">
      <formula>"Towel"</formula>
    </cfRule>
    <cfRule type="cellIs" dxfId="1166" priority="1160" stopIfTrue="1" operator="equal">
      <formula>"Napkin Hs"</formula>
    </cfRule>
  </conditionalFormatting>
  <conditionalFormatting sqref="C52">
    <cfRule type="cellIs" dxfId="1165" priority="1158" stopIfTrue="1" operator="equal">
      <formula>"Napkin Hs"</formula>
    </cfRule>
  </conditionalFormatting>
  <conditionalFormatting sqref="C52">
    <cfRule type="cellIs" dxfId="1164" priority="1155" stopIfTrue="1" operator="equal">
      <formula>"Towel"</formula>
    </cfRule>
    <cfRule type="cellIs" dxfId="1163" priority="1156" stopIfTrue="1" operator="equal">
      <formula>"Napkin Hs"</formula>
    </cfRule>
  </conditionalFormatting>
  <conditionalFormatting sqref="C52">
    <cfRule type="cellIs" dxfId="1162" priority="1157" stopIfTrue="1" operator="equal">
      <formula>"Towel"</formula>
    </cfRule>
  </conditionalFormatting>
  <conditionalFormatting sqref="B60:C64">
    <cfRule type="cellIs" dxfId="1161" priority="1153" stopIfTrue="1" operator="equal">
      <formula>"Towel"</formula>
    </cfRule>
    <cfRule type="cellIs" dxfId="1160" priority="1154" stopIfTrue="1" operator="equal">
      <formula>"Napkin Hs"</formula>
    </cfRule>
  </conditionalFormatting>
  <conditionalFormatting sqref="C60:C64">
    <cfRule type="cellIs" dxfId="1159" priority="1152" stopIfTrue="1" operator="equal">
      <formula>"Napkin Hs"</formula>
    </cfRule>
  </conditionalFormatting>
  <conditionalFormatting sqref="C60:C64">
    <cfRule type="cellIs" dxfId="1158" priority="1149" stopIfTrue="1" operator="equal">
      <formula>"Towel"</formula>
    </cfRule>
    <cfRule type="cellIs" dxfId="1157" priority="1150" stopIfTrue="1" operator="equal">
      <formula>"Napkin Hs"</formula>
    </cfRule>
  </conditionalFormatting>
  <conditionalFormatting sqref="C60:C64">
    <cfRule type="cellIs" dxfId="1156" priority="1151" stopIfTrue="1" operator="equal">
      <formula>"Towel"</formula>
    </cfRule>
  </conditionalFormatting>
  <conditionalFormatting sqref="B58:C59">
    <cfRule type="cellIs" dxfId="1155" priority="1147" stopIfTrue="1" operator="equal">
      <formula>"Towel"</formula>
    </cfRule>
    <cfRule type="cellIs" dxfId="1154" priority="1148" stopIfTrue="1" operator="equal">
      <formula>"Napkin Hs"</formula>
    </cfRule>
  </conditionalFormatting>
  <conditionalFormatting sqref="C58:C59">
    <cfRule type="cellIs" dxfId="1153" priority="1146" stopIfTrue="1" operator="equal">
      <formula>"Napkin Hs"</formula>
    </cfRule>
  </conditionalFormatting>
  <conditionalFormatting sqref="C58:C59">
    <cfRule type="cellIs" dxfId="1152" priority="1143" stopIfTrue="1" operator="equal">
      <formula>"Towel"</formula>
    </cfRule>
    <cfRule type="cellIs" dxfId="1151" priority="1144" stopIfTrue="1" operator="equal">
      <formula>"Napkin Hs"</formula>
    </cfRule>
  </conditionalFormatting>
  <conditionalFormatting sqref="C58:C59">
    <cfRule type="cellIs" dxfId="1150" priority="1145" stopIfTrue="1" operator="equal">
      <formula>"Towel"</formula>
    </cfRule>
  </conditionalFormatting>
  <conditionalFormatting sqref="B68:C69">
    <cfRule type="cellIs" dxfId="1149" priority="1141" stopIfTrue="1" operator="equal">
      <formula>"Towel"</formula>
    </cfRule>
    <cfRule type="cellIs" dxfId="1148" priority="1142" stopIfTrue="1" operator="equal">
      <formula>"Napkin Hs"</formula>
    </cfRule>
  </conditionalFormatting>
  <conditionalFormatting sqref="C68:C69">
    <cfRule type="cellIs" dxfId="1147" priority="1140" stopIfTrue="1" operator="equal">
      <formula>"Napkin Hs"</formula>
    </cfRule>
  </conditionalFormatting>
  <conditionalFormatting sqref="C68:C69">
    <cfRule type="cellIs" dxfId="1146" priority="1137" stopIfTrue="1" operator="equal">
      <formula>"Towel"</formula>
    </cfRule>
    <cfRule type="cellIs" dxfId="1145" priority="1138" stopIfTrue="1" operator="equal">
      <formula>"Napkin Hs"</formula>
    </cfRule>
  </conditionalFormatting>
  <conditionalFormatting sqref="C68:C69">
    <cfRule type="cellIs" dxfId="1144" priority="1139" stopIfTrue="1" operator="equal">
      <formula>"Towel"</formula>
    </cfRule>
  </conditionalFormatting>
  <conditionalFormatting sqref="B67:C67">
    <cfRule type="cellIs" dxfId="1143" priority="1135" stopIfTrue="1" operator="equal">
      <formula>"Towel"</formula>
    </cfRule>
    <cfRule type="cellIs" dxfId="1142" priority="1136" stopIfTrue="1" operator="equal">
      <formula>"Napkin Hs"</formula>
    </cfRule>
  </conditionalFormatting>
  <conditionalFormatting sqref="C67">
    <cfRule type="cellIs" dxfId="1141" priority="1134" stopIfTrue="1" operator="equal">
      <formula>"Napkin Hs"</formula>
    </cfRule>
  </conditionalFormatting>
  <conditionalFormatting sqref="C67">
    <cfRule type="cellIs" dxfId="1140" priority="1131" stopIfTrue="1" operator="equal">
      <formula>"Towel"</formula>
    </cfRule>
    <cfRule type="cellIs" dxfId="1139" priority="1132" stopIfTrue="1" operator="equal">
      <formula>"Napkin Hs"</formula>
    </cfRule>
  </conditionalFormatting>
  <conditionalFormatting sqref="C67">
    <cfRule type="cellIs" dxfId="1138" priority="1133" stopIfTrue="1" operator="equal">
      <formula>"Towel"</formula>
    </cfRule>
  </conditionalFormatting>
  <conditionalFormatting sqref="B66:C66">
    <cfRule type="cellIs" dxfId="1137" priority="1129" stopIfTrue="1" operator="equal">
      <formula>"Towel"</formula>
    </cfRule>
    <cfRule type="cellIs" dxfId="1136" priority="1130" stopIfTrue="1" operator="equal">
      <formula>"Napkin Hs"</formula>
    </cfRule>
  </conditionalFormatting>
  <conditionalFormatting sqref="C66">
    <cfRule type="cellIs" dxfId="1135" priority="1128" stopIfTrue="1" operator="equal">
      <formula>"Napkin Hs"</formula>
    </cfRule>
  </conditionalFormatting>
  <conditionalFormatting sqref="C66">
    <cfRule type="cellIs" dxfId="1134" priority="1125" stopIfTrue="1" operator="equal">
      <formula>"Towel"</formula>
    </cfRule>
    <cfRule type="cellIs" dxfId="1133" priority="1126" stopIfTrue="1" operator="equal">
      <formula>"Napkin Hs"</formula>
    </cfRule>
  </conditionalFormatting>
  <conditionalFormatting sqref="C66">
    <cfRule type="cellIs" dxfId="1132" priority="1127" stopIfTrue="1" operator="equal">
      <formula>"Towel"</formula>
    </cfRule>
  </conditionalFormatting>
  <conditionalFormatting sqref="B73:C74">
    <cfRule type="cellIs" dxfId="1131" priority="1123" stopIfTrue="1" operator="equal">
      <formula>"Towel"</formula>
    </cfRule>
    <cfRule type="cellIs" dxfId="1130" priority="1124" stopIfTrue="1" operator="equal">
      <formula>"Napkin Hs"</formula>
    </cfRule>
  </conditionalFormatting>
  <conditionalFormatting sqref="C73:C74">
    <cfRule type="cellIs" dxfId="1129" priority="1122" stopIfTrue="1" operator="equal">
      <formula>"Napkin Hs"</formula>
    </cfRule>
  </conditionalFormatting>
  <conditionalFormatting sqref="C73:C74">
    <cfRule type="cellIs" dxfId="1128" priority="1119" stopIfTrue="1" operator="equal">
      <formula>"Towel"</formula>
    </cfRule>
    <cfRule type="cellIs" dxfId="1127" priority="1120" stopIfTrue="1" operator="equal">
      <formula>"Napkin Hs"</formula>
    </cfRule>
  </conditionalFormatting>
  <conditionalFormatting sqref="C73:C74">
    <cfRule type="cellIs" dxfId="1126" priority="1121" stopIfTrue="1" operator="equal">
      <formula>"Towel"</formula>
    </cfRule>
  </conditionalFormatting>
  <conditionalFormatting sqref="B71:C72">
    <cfRule type="cellIs" dxfId="1125" priority="1117" stopIfTrue="1" operator="equal">
      <formula>"Towel"</formula>
    </cfRule>
    <cfRule type="cellIs" dxfId="1124" priority="1118" stopIfTrue="1" operator="equal">
      <formula>"Napkin Hs"</formula>
    </cfRule>
  </conditionalFormatting>
  <conditionalFormatting sqref="C71:C72">
    <cfRule type="cellIs" dxfId="1123" priority="1116" stopIfTrue="1" operator="equal">
      <formula>"Napkin Hs"</formula>
    </cfRule>
  </conditionalFormatting>
  <conditionalFormatting sqref="C71:C72">
    <cfRule type="cellIs" dxfId="1122" priority="1113" stopIfTrue="1" operator="equal">
      <formula>"Towel"</formula>
    </cfRule>
    <cfRule type="cellIs" dxfId="1121" priority="1114" stopIfTrue="1" operator="equal">
      <formula>"Napkin Hs"</formula>
    </cfRule>
  </conditionalFormatting>
  <conditionalFormatting sqref="C71:C72">
    <cfRule type="cellIs" dxfId="1120" priority="1115" stopIfTrue="1" operator="equal">
      <formula>"Towel"</formula>
    </cfRule>
  </conditionalFormatting>
  <conditionalFormatting sqref="B78:C80">
    <cfRule type="cellIs" dxfId="1119" priority="1111" stopIfTrue="1" operator="equal">
      <formula>"Towel"</formula>
    </cfRule>
    <cfRule type="cellIs" dxfId="1118" priority="1112" stopIfTrue="1" operator="equal">
      <formula>"Napkin Hs"</formula>
    </cfRule>
  </conditionalFormatting>
  <conditionalFormatting sqref="C78:C80">
    <cfRule type="cellIs" dxfId="1117" priority="1110" stopIfTrue="1" operator="equal">
      <formula>"Napkin Hs"</formula>
    </cfRule>
  </conditionalFormatting>
  <conditionalFormatting sqref="C78:C80">
    <cfRule type="cellIs" dxfId="1116" priority="1107" stopIfTrue="1" operator="equal">
      <formula>"Towel"</formula>
    </cfRule>
    <cfRule type="cellIs" dxfId="1115" priority="1108" stopIfTrue="1" operator="equal">
      <formula>"Napkin Hs"</formula>
    </cfRule>
  </conditionalFormatting>
  <conditionalFormatting sqref="C78:C80">
    <cfRule type="cellIs" dxfId="1114" priority="1109" stopIfTrue="1" operator="equal">
      <formula>"Towel"</formula>
    </cfRule>
  </conditionalFormatting>
  <conditionalFormatting sqref="B76:C76">
    <cfRule type="cellIs" dxfId="1113" priority="1105" stopIfTrue="1" operator="equal">
      <formula>"Towel"</formula>
    </cfRule>
    <cfRule type="cellIs" dxfId="1112" priority="1106" stopIfTrue="1" operator="equal">
      <formula>"Napkin Hs"</formula>
    </cfRule>
  </conditionalFormatting>
  <conditionalFormatting sqref="C76">
    <cfRule type="cellIs" dxfId="1111" priority="1104" stopIfTrue="1" operator="equal">
      <formula>"Napkin Hs"</formula>
    </cfRule>
  </conditionalFormatting>
  <conditionalFormatting sqref="C76">
    <cfRule type="cellIs" dxfId="1110" priority="1101" stopIfTrue="1" operator="equal">
      <formula>"Towel"</formula>
    </cfRule>
    <cfRule type="cellIs" dxfId="1109" priority="1102" stopIfTrue="1" operator="equal">
      <formula>"Napkin Hs"</formula>
    </cfRule>
  </conditionalFormatting>
  <conditionalFormatting sqref="C76">
    <cfRule type="cellIs" dxfId="1108" priority="1103" stopIfTrue="1" operator="equal">
      <formula>"Towel"</formula>
    </cfRule>
  </conditionalFormatting>
  <conditionalFormatting sqref="B77:C77">
    <cfRule type="cellIs" dxfId="1107" priority="1099" stopIfTrue="1" operator="equal">
      <formula>"Towel"</formula>
    </cfRule>
    <cfRule type="cellIs" dxfId="1106" priority="1100" stopIfTrue="1" operator="equal">
      <formula>"Napkin Hs"</formula>
    </cfRule>
  </conditionalFormatting>
  <conditionalFormatting sqref="C77">
    <cfRule type="cellIs" dxfId="1105" priority="1098" stopIfTrue="1" operator="equal">
      <formula>"Napkin Hs"</formula>
    </cfRule>
  </conditionalFormatting>
  <conditionalFormatting sqref="C77">
    <cfRule type="cellIs" dxfId="1104" priority="1095" stopIfTrue="1" operator="equal">
      <formula>"Towel"</formula>
    </cfRule>
    <cfRule type="cellIs" dxfId="1103" priority="1096" stopIfTrue="1" operator="equal">
      <formula>"Napkin Hs"</formula>
    </cfRule>
  </conditionalFormatting>
  <conditionalFormatting sqref="C77">
    <cfRule type="cellIs" dxfId="1102" priority="1097" stopIfTrue="1" operator="equal">
      <formula>"Towel"</formula>
    </cfRule>
  </conditionalFormatting>
  <conditionalFormatting sqref="B84:C85">
    <cfRule type="cellIs" dxfId="1101" priority="1093" stopIfTrue="1" operator="equal">
      <formula>"Towel"</formula>
    </cfRule>
    <cfRule type="cellIs" dxfId="1100" priority="1094" stopIfTrue="1" operator="equal">
      <formula>"Napkin Hs"</formula>
    </cfRule>
  </conditionalFormatting>
  <conditionalFormatting sqref="C84:C85">
    <cfRule type="cellIs" dxfId="1099" priority="1092" stopIfTrue="1" operator="equal">
      <formula>"Napkin Hs"</formula>
    </cfRule>
  </conditionalFormatting>
  <conditionalFormatting sqref="C84:C85">
    <cfRule type="cellIs" dxfId="1098" priority="1089" stopIfTrue="1" operator="equal">
      <formula>"Towel"</formula>
    </cfRule>
    <cfRule type="cellIs" dxfId="1097" priority="1090" stopIfTrue="1" operator="equal">
      <formula>"Napkin Hs"</formula>
    </cfRule>
  </conditionalFormatting>
  <conditionalFormatting sqref="C84:C85">
    <cfRule type="cellIs" dxfId="1096" priority="1091" stopIfTrue="1" operator="equal">
      <formula>"Towel"</formula>
    </cfRule>
  </conditionalFormatting>
  <conditionalFormatting sqref="B83:C83">
    <cfRule type="cellIs" dxfId="1095" priority="1087" stopIfTrue="1" operator="equal">
      <formula>"Towel"</formula>
    </cfRule>
    <cfRule type="cellIs" dxfId="1094" priority="1088" stopIfTrue="1" operator="equal">
      <formula>"Napkin Hs"</formula>
    </cfRule>
  </conditionalFormatting>
  <conditionalFormatting sqref="C83">
    <cfRule type="cellIs" dxfId="1093" priority="1086" stopIfTrue="1" operator="equal">
      <formula>"Napkin Hs"</formula>
    </cfRule>
  </conditionalFormatting>
  <conditionalFormatting sqref="C83">
    <cfRule type="cellIs" dxfId="1092" priority="1083" stopIfTrue="1" operator="equal">
      <formula>"Towel"</formula>
    </cfRule>
    <cfRule type="cellIs" dxfId="1091" priority="1084" stopIfTrue="1" operator="equal">
      <formula>"Napkin Hs"</formula>
    </cfRule>
  </conditionalFormatting>
  <conditionalFormatting sqref="C83">
    <cfRule type="cellIs" dxfId="1090" priority="1085" stopIfTrue="1" operator="equal">
      <formula>"Towel"</formula>
    </cfRule>
  </conditionalFormatting>
  <conditionalFormatting sqref="B82:C82">
    <cfRule type="cellIs" dxfId="1089" priority="1081" stopIfTrue="1" operator="equal">
      <formula>"Towel"</formula>
    </cfRule>
    <cfRule type="cellIs" dxfId="1088" priority="1082" stopIfTrue="1" operator="equal">
      <formula>"Napkin Hs"</formula>
    </cfRule>
  </conditionalFormatting>
  <conditionalFormatting sqref="C82">
    <cfRule type="cellIs" dxfId="1087" priority="1080" stopIfTrue="1" operator="equal">
      <formula>"Napkin Hs"</formula>
    </cfRule>
  </conditionalFormatting>
  <conditionalFormatting sqref="C82">
    <cfRule type="cellIs" dxfId="1086" priority="1077" stopIfTrue="1" operator="equal">
      <formula>"Towel"</formula>
    </cfRule>
    <cfRule type="cellIs" dxfId="1085" priority="1078" stopIfTrue="1" operator="equal">
      <formula>"Napkin Hs"</formula>
    </cfRule>
  </conditionalFormatting>
  <conditionalFormatting sqref="C82">
    <cfRule type="cellIs" dxfId="1084" priority="1079" stopIfTrue="1" operator="equal">
      <formula>"Towel"</formula>
    </cfRule>
  </conditionalFormatting>
  <conditionalFormatting sqref="B89:C90">
    <cfRule type="cellIs" dxfId="1083" priority="1075" stopIfTrue="1" operator="equal">
      <formula>"Towel"</formula>
    </cfRule>
    <cfRule type="cellIs" dxfId="1082" priority="1076" stopIfTrue="1" operator="equal">
      <formula>"Napkin Hs"</formula>
    </cfRule>
  </conditionalFormatting>
  <conditionalFormatting sqref="C89:C90">
    <cfRule type="cellIs" dxfId="1081" priority="1074" stopIfTrue="1" operator="equal">
      <formula>"Napkin Hs"</formula>
    </cfRule>
  </conditionalFormatting>
  <conditionalFormatting sqref="C89:C90">
    <cfRule type="cellIs" dxfId="1080" priority="1071" stopIfTrue="1" operator="equal">
      <formula>"Towel"</formula>
    </cfRule>
    <cfRule type="cellIs" dxfId="1079" priority="1072" stopIfTrue="1" operator="equal">
      <formula>"Napkin Hs"</formula>
    </cfRule>
  </conditionalFormatting>
  <conditionalFormatting sqref="C89:C90">
    <cfRule type="cellIs" dxfId="1078" priority="1073" stopIfTrue="1" operator="equal">
      <formula>"Towel"</formula>
    </cfRule>
  </conditionalFormatting>
  <conditionalFormatting sqref="B88:C88">
    <cfRule type="cellIs" dxfId="1077" priority="1069" stopIfTrue="1" operator="equal">
      <formula>"Towel"</formula>
    </cfRule>
    <cfRule type="cellIs" dxfId="1076" priority="1070" stopIfTrue="1" operator="equal">
      <formula>"Napkin Hs"</formula>
    </cfRule>
  </conditionalFormatting>
  <conditionalFormatting sqref="C88">
    <cfRule type="cellIs" dxfId="1075" priority="1068" stopIfTrue="1" operator="equal">
      <formula>"Napkin Hs"</formula>
    </cfRule>
  </conditionalFormatting>
  <conditionalFormatting sqref="C88">
    <cfRule type="cellIs" dxfId="1074" priority="1065" stopIfTrue="1" operator="equal">
      <formula>"Towel"</formula>
    </cfRule>
    <cfRule type="cellIs" dxfId="1073" priority="1066" stopIfTrue="1" operator="equal">
      <formula>"Napkin Hs"</formula>
    </cfRule>
  </conditionalFormatting>
  <conditionalFormatting sqref="C88">
    <cfRule type="cellIs" dxfId="1072" priority="1067" stopIfTrue="1" operator="equal">
      <formula>"Towel"</formula>
    </cfRule>
  </conditionalFormatting>
  <conditionalFormatting sqref="B87:C87">
    <cfRule type="cellIs" dxfId="1071" priority="1063" stopIfTrue="1" operator="equal">
      <formula>"Towel"</formula>
    </cfRule>
    <cfRule type="cellIs" dxfId="1070" priority="1064" stopIfTrue="1" operator="equal">
      <formula>"Napkin Hs"</formula>
    </cfRule>
  </conditionalFormatting>
  <conditionalFormatting sqref="C87">
    <cfRule type="cellIs" dxfId="1069" priority="1062" stopIfTrue="1" operator="equal">
      <formula>"Napkin Hs"</formula>
    </cfRule>
  </conditionalFormatting>
  <conditionalFormatting sqref="C87">
    <cfRule type="cellIs" dxfId="1068" priority="1059" stopIfTrue="1" operator="equal">
      <formula>"Towel"</formula>
    </cfRule>
    <cfRule type="cellIs" dxfId="1067" priority="1060" stopIfTrue="1" operator="equal">
      <formula>"Napkin Hs"</formula>
    </cfRule>
  </conditionalFormatting>
  <conditionalFormatting sqref="C87">
    <cfRule type="cellIs" dxfId="1066" priority="1061" stopIfTrue="1" operator="equal">
      <formula>"Towel"</formula>
    </cfRule>
  </conditionalFormatting>
  <conditionalFormatting sqref="B94:C95">
    <cfRule type="cellIs" dxfId="1065" priority="1057" stopIfTrue="1" operator="equal">
      <formula>"Towel"</formula>
    </cfRule>
    <cfRule type="cellIs" dxfId="1064" priority="1058" stopIfTrue="1" operator="equal">
      <formula>"Napkin Hs"</formula>
    </cfRule>
  </conditionalFormatting>
  <conditionalFormatting sqref="C94:C95">
    <cfRule type="cellIs" dxfId="1063" priority="1056" stopIfTrue="1" operator="equal">
      <formula>"Napkin Hs"</formula>
    </cfRule>
  </conditionalFormatting>
  <conditionalFormatting sqref="C94:C95">
    <cfRule type="cellIs" dxfId="1062" priority="1053" stopIfTrue="1" operator="equal">
      <formula>"Towel"</formula>
    </cfRule>
    <cfRule type="cellIs" dxfId="1061" priority="1054" stopIfTrue="1" operator="equal">
      <formula>"Napkin Hs"</formula>
    </cfRule>
  </conditionalFormatting>
  <conditionalFormatting sqref="C94:C95">
    <cfRule type="cellIs" dxfId="1060" priority="1055" stopIfTrue="1" operator="equal">
      <formula>"Towel"</formula>
    </cfRule>
  </conditionalFormatting>
  <conditionalFormatting sqref="B93:C93">
    <cfRule type="cellIs" dxfId="1059" priority="1051" stopIfTrue="1" operator="equal">
      <formula>"Towel"</formula>
    </cfRule>
    <cfRule type="cellIs" dxfId="1058" priority="1052" stopIfTrue="1" operator="equal">
      <formula>"Napkin Hs"</formula>
    </cfRule>
  </conditionalFormatting>
  <conditionalFormatting sqref="C93">
    <cfRule type="cellIs" dxfId="1057" priority="1050" stopIfTrue="1" operator="equal">
      <formula>"Napkin Hs"</formula>
    </cfRule>
  </conditionalFormatting>
  <conditionalFormatting sqref="C93">
    <cfRule type="cellIs" dxfId="1056" priority="1047" stopIfTrue="1" operator="equal">
      <formula>"Towel"</formula>
    </cfRule>
    <cfRule type="cellIs" dxfId="1055" priority="1048" stopIfTrue="1" operator="equal">
      <formula>"Napkin Hs"</formula>
    </cfRule>
  </conditionalFormatting>
  <conditionalFormatting sqref="C93">
    <cfRule type="cellIs" dxfId="1054" priority="1049" stopIfTrue="1" operator="equal">
      <formula>"Towel"</formula>
    </cfRule>
  </conditionalFormatting>
  <conditionalFormatting sqref="B92:C92">
    <cfRule type="cellIs" dxfId="1053" priority="1045" stopIfTrue="1" operator="equal">
      <formula>"Towel"</formula>
    </cfRule>
    <cfRule type="cellIs" dxfId="1052" priority="1046" stopIfTrue="1" operator="equal">
      <formula>"Napkin Hs"</formula>
    </cfRule>
  </conditionalFormatting>
  <conditionalFormatting sqref="C92">
    <cfRule type="cellIs" dxfId="1051" priority="1044" stopIfTrue="1" operator="equal">
      <formula>"Napkin Hs"</formula>
    </cfRule>
  </conditionalFormatting>
  <conditionalFormatting sqref="C92">
    <cfRule type="cellIs" dxfId="1050" priority="1041" stopIfTrue="1" operator="equal">
      <formula>"Towel"</formula>
    </cfRule>
    <cfRule type="cellIs" dxfId="1049" priority="1042" stopIfTrue="1" operator="equal">
      <formula>"Napkin Hs"</formula>
    </cfRule>
  </conditionalFormatting>
  <conditionalFormatting sqref="C92">
    <cfRule type="cellIs" dxfId="1048" priority="1043" stopIfTrue="1" operator="equal">
      <formula>"Towel"</formula>
    </cfRule>
  </conditionalFormatting>
  <conditionalFormatting sqref="B100:C101">
    <cfRule type="cellIs" dxfId="1047" priority="1039" stopIfTrue="1" operator="equal">
      <formula>"Towel"</formula>
    </cfRule>
    <cfRule type="cellIs" dxfId="1046" priority="1040" stopIfTrue="1" operator="equal">
      <formula>"Napkin Hs"</formula>
    </cfRule>
  </conditionalFormatting>
  <conditionalFormatting sqref="C100:C101">
    <cfRule type="cellIs" dxfId="1045" priority="1038" stopIfTrue="1" operator="equal">
      <formula>"Napkin Hs"</formula>
    </cfRule>
  </conditionalFormatting>
  <conditionalFormatting sqref="C100:C101">
    <cfRule type="cellIs" dxfId="1044" priority="1035" stopIfTrue="1" operator="equal">
      <formula>"Towel"</formula>
    </cfRule>
    <cfRule type="cellIs" dxfId="1043" priority="1036" stopIfTrue="1" operator="equal">
      <formula>"Napkin Hs"</formula>
    </cfRule>
  </conditionalFormatting>
  <conditionalFormatting sqref="C100:C101">
    <cfRule type="cellIs" dxfId="1042" priority="1037" stopIfTrue="1" operator="equal">
      <formula>"Towel"</formula>
    </cfRule>
  </conditionalFormatting>
  <conditionalFormatting sqref="B97:C99">
    <cfRule type="cellIs" dxfId="1041" priority="1033" stopIfTrue="1" operator="equal">
      <formula>"Towel"</formula>
    </cfRule>
    <cfRule type="cellIs" dxfId="1040" priority="1034" stopIfTrue="1" operator="equal">
      <formula>"Napkin Hs"</formula>
    </cfRule>
  </conditionalFormatting>
  <conditionalFormatting sqref="C97:C99">
    <cfRule type="cellIs" dxfId="1039" priority="1032" stopIfTrue="1" operator="equal">
      <formula>"Napkin Hs"</formula>
    </cfRule>
  </conditionalFormatting>
  <conditionalFormatting sqref="C97:C99">
    <cfRule type="cellIs" dxfId="1038" priority="1029" stopIfTrue="1" operator="equal">
      <formula>"Towel"</formula>
    </cfRule>
    <cfRule type="cellIs" dxfId="1037" priority="1030" stopIfTrue="1" operator="equal">
      <formula>"Napkin Hs"</formula>
    </cfRule>
  </conditionalFormatting>
  <conditionalFormatting sqref="C97:C99">
    <cfRule type="cellIs" dxfId="1036" priority="1031" stopIfTrue="1" operator="equal">
      <formula>"Towel"</formula>
    </cfRule>
  </conditionalFormatting>
  <conditionalFormatting sqref="B106:C106">
    <cfRule type="cellIs" dxfId="1035" priority="1027" stopIfTrue="1" operator="equal">
      <formula>"Towel"</formula>
    </cfRule>
    <cfRule type="cellIs" dxfId="1034" priority="1028" stopIfTrue="1" operator="equal">
      <formula>"Napkin Hs"</formula>
    </cfRule>
  </conditionalFormatting>
  <conditionalFormatting sqref="C106">
    <cfRule type="cellIs" dxfId="1033" priority="1026" stopIfTrue="1" operator="equal">
      <formula>"Napkin Hs"</formula>
    </cfRule>
  </conditionalFormatting>
  <conditionalFormatting sqref="C106">
    <cfRule type="cellIs" dxfId="1032" priority="1023" stopIfTrue="1" operator="equal">
      <formula>"Towel"</formula>
    </cfRule>
    <cfRule type="cellIs" dxfId="1031" priority="1024" stopIfTrue="1" operator="equal">
      <formula>"Napkin Hs"</formula>
    </cfRule>
  </conditionalFormatting>
  <conditionalFormatting sqref="C106">
    <cfRule type="cellIs" dxfId="1030" priority="1025" stopIfTrue="1" operator="equal">
      <formula>"Towel"</formula>
    </cfRule>
  </conditionalFormatting>
  <conditionalFormatting sqref="B103:C105">
    <cfRule type="cellIs" dxfId="1029" priority="1021" stopIfTrue="1" operator="equal">
      <formula>"Towel"</formula>
    </cfRule>
    <cfRule type="cellIs" dxfId="1028" priority="1022" stopIfTrue="1" operator="equal">
      <formula>"Napkin Hs"</formula>
    </cfRule>
  </conditionalFormatting>
  <conditionalFormatting sqref="C103:C105">
    <cfRule type="cellIs" dxfId="1027" priority="1020" stopIfTrue="1" operator="equal">
      <formula>"Napkin Hs"</formula>
    </cfRule>
  </conditionalFormatting>
  <conditionalFormatting sqref="C103:C105">
    <cfRule type="cellIs" dxfId="1026" priority="1017" stopIfTrue="1" operator="equal">
      <formula>"Towel"</formula>
    </cfRule>
    <cfRule type="cellIs" dxfId="1025" priority="1018" stopIfTrue="1" operator="equal">
      <formula>"Napkin Hs"</formula>
    </cfRule>
  </conditionalFormatting>
  <conditionalFormatting sqref="C103:C105">
    <cfRule type="cellIs" dxfId="1024" priority="1019" stopIfTrue="1" operator="equal">
      <formula>"Towel"</formula>
    </cfRule>
  </conditionalFormatting>
  <conditionalFormatting sqref="B110:C111">
    <cfRule type="cellIs" dxfId="1023" priority="1015" stopIfTrue="1" operator="equal">
      <formula>"Towel"</formula>
    </cfRule>
    <cfRule type="cellIs" dxfId="1022" priority="1016" stopIfTrue="1" operator="equal">
      <formula>"Napkin Hs"</formula>
    </cfRule>
  </conditionalFormatting>
  <conditionalFormatting sqref="C110:C111">
    <cfRule type="cellIs" dxfId="1021" priority="1014" stopIfTrue="1" operator="equal">
      <formula>"Napkin Hs"</formula>
    </cfRule>
  </conditionalFormatting>
  <conditionalFormatting sqref="C110:C111">
    <cfRule type="cellIs" dxfId="1020" priority="1011" stopIfTrue="1" operator="equal">
      <formula>"Towel"</formula>
    </cfRule>
    <cfRule type="cellIs" dxfId="1019" priority="1012" stopIfTrue="1" operator="equal">
      <formula>"Napkin Hs"</formula>
    </cfRule>
  </conditionalFormatting>
  <conditionalFormatting sqref="C110:C111">
    <cfRule type="cellIs" dxfId="1018" priority="1013" stopIfTrue="1" operator="equal">
      <formula>"Towel"</formula>
    </cfRule>
  </conditionalFormatting>
  <conditionalFormatting sqref="B108:C109">
    <cfRule type="cellIs" dxfId="1017" priority="1009" stopIfTrue="1" operator="equal">
      <formula>"Towel"</formula>
    </cfRule>
    <cfRule type="cellIs" dxfId="1016" priority="1010" stopIfTrue="1" operator="equal">
      <formula>"Napkin Hs"</formula>
    </cfRule>
  </conditionalFormatting>
  <conditionalFormatting sqref="C108:C109">
    <cfRule type="cellIs" dxfId="1015" priority="1008" stopIfTrue="1" operator="equal">
      <formula>"Napkin Hs"</formula>
    </cfRule>
  </conditionalFormatting>
  <conditionalFormatting sqref="C108:C109">
    <cfRule type="cellIs" dxfId="1014" priority="1005" stopIfTrue="1" operator="equal">
      <formula>"Towel"</formula>
    </cfRule>
    <cfRule type="cellIs" dxfId="1013" priority="1006" stopIfTrue="1" operator="equal">
      <formula>"Napkin Hs"</formula>
    </cfRule>
  </conditionalFormatting>
  <conditionalFormatting sqref="C108:C109">
    <cfRule type="cellIs" dxfId="1012" priority="1007" stopIfTrue="1" operator="equal">
      <formula>"Towel"</formula>
    </cfRule>
  </conditionalFormatting>
  <conditionalFormatting sqref="B117:C117">
    <cfRule type="cellIs" dxfId="1011" priority="1003" stopIfTrue="1" operator="equal">
      <formula>"Towel"</formula>
    </cfRule>
    <cfRule type="cellIs" dxfId="1010" priority="1004" stopIfTrue="1" operator="equal">
      <formula>"Napkin Hs"</formula>
    </cfRule>
  </conditionalFormatting>
  <conditionalFormatting sqref="C117">
    <cfRule type="cellIs" dxfId="1009" priority="999" stopIfTrue="1" operator="equal">
      <formula>"Towel"</formula>
    </cfRule>
    <cfRule type="cellIs" dxfId="1008" priority="1000" stopIfTrue="1" operator="equal">
      <formula>"Napkin Hs"</formula>
    </cfRule>
  </conditionalFormatting>
  <conditionalFormatting sqref="C117">
    <cfRule type="cellIs" dxfId="1007" priority="1001" stopIfTrue="1" operator="equal">
      <formula>"Towel"</formula>
    </cfRule>
    <cfRule type="cellIs" dxfId="1006" priority="1002" stopIfTrue="1" operator="equal">
      <formula>"Napkin Hs"</formula>
    </cfRule>
  </conditionalFormatting>
  <conditionalFormatting sqref="B117:C117">
    <cfRule type="cellIs" dxfId="1005" priority="997" stopIfTrue="1" operator="equal">
      <formula>"Towel"</formula>
    </cfRule>
    <cfRule type="cellIs" dxfId="1004" priority="998" stopIfTrue="1" operator="equal">
      <formula>"Napkin Hs"</formula>
    </cfRule>
  </conditionalFormatting>
  <conditionalFormatting sqref="C117">
    <cfRule type="cellIs" dxfId="1003" priority="995" stopIfTrue="1" operator="equal">
      <formula>"Towel"</formula>
    </cfRule>
    <cfRule type="cellIs" dxfId="1002" priority="996" stopIfTrue="1" operator="equal">
      <formula>"Napkin Hs"</formula>
    </cfRule>
  </conditionalFormatting>
  <conditionalFormatting sqref="C117">
    <cfRule type="cellIs" dxfId="1001" priority="993" stopIfTrue="1" operator="equal">
      <formula>"Towel"</formula>
    </cfRule>
    <cfRule type="cellIs" dxfId="1000" priority="994" stopIfTrue="1" operator="equal">
      <formula>"Napkin Hs"</formula>
    </cfRule>
  </conditionalFormatting>
  <conditionalFormatting sqref="C117">
    <cfRule type="cellIs" dxfId="999" priority="985" stopIfTrue="1" operator="equal">
      <formula>"Towel"</formula>
    </cfRule>
    <cfRule type="cellIs" dxfId="998" priority="986" stopIfTrue="1" operator="equal">
      <formula>"Napkin Hs"</formula>
    </cfRule>
  </conditionalFormatting>
  <conditionalFormatting sqref="B117:C117">
    <cfRule type="cellIs" dxfId="997" priority="987" stopIfTrue="1" operator="equal">
      <formula>"Towel"</formula>
    </cfRule>
    <cfRule type="cellIs" dxfId="996" priority="988" stopIfTrue="1" operator="equal">
      <formula>"Napkin Hs"</formula>
    </cfRule>
  </conditionalFormatting>
  <conditionalFormatting sqref="C117">
    <cfRule type="cellIs" dxfId="995" priority="983" stopIfTrue="1" operator="equal">
      <formula>"Towel"</formula>
    </cfRule>
    <cfRule type="cellIs" dxfId="994" priority="984" stopIfTrue="1" operator="equal">
      <formula>"Napkin Hs"</formula>
    </cfRule>
  </conditionalFormatting>
  <conditionalFormatting sqref="B117:C117">
    <cfRule type="cellIs" dxfId="993" priority="981" stopIfTrue="1" operator="equal">
      <formula>"Towel"</formula>
    </cfRule>
    <cfRule type="cellIs" dxfId="992" priority="982" stopIfTrue="1" operator="equal">
      <formula>"Napkin Hs"</formula>
    </cfRule>
  </conditionalFormatting>
  <conditionalFormatting sqref="C117">
    <cfRule type="cellIs" dxfId="991" priority="989" stopIfTrue="1" operator="equal">
      <formula>"Towel"</formula>
    </cfRule>
    <cfRule type="cellIs" dxfId="990" priority="990" stopIfTrue="1" operator="equal">
      <formula>"Napkin Hs"</formula>
    </cfRule>
  </conditionalFormatting>
  <conditionalFormatting sqref="C117">
    <cfRule type="cellIs" dxfId="989" priority="991" stopIfTrue="1" operator="equal">
      <formula>"Towel"</formula>
    </cfRule>
    <cfRule type="cellIs" dxfId="988" priority="992" stopIfTrue="1" operator="equal">
      <formula>"Napkin Hs"</formula>
    </cfRule>
  </conditionalFormatting>
  <conditionalFormatting sqref="B115:C116">
    <cfRule type="cellIs" dxfId="987" priority="979" stopIfTrue="1" operator="equal">
      <formula>"Towel"</formula>
    </cfRule>
    <cfRule type="cellIs" dxfId="986" priority="980" stopIfTrue="1" operator="equal">
      <formula>"Napkin Hs"</formula>
    </cfRule>
  </conditionalFormatting>
  <conditionalFormatting sqref="C115:C116">
    <cfRule type="cellIs" dxfId="985" priority="978" stopIfTrue="1" operator="equal">
      <formula>"Napkin Hs"</formula>
    </cfRule>
  </conditionalFormatting>
  <conditionalFormatting sqref="C115:C116">
    <cfRule type="cellIs" dxfId="984" priority="975" stopIfTrue="1" operator="equal">
      <formula>"Towel"</formula>
    </cfRule>
    <cfRule type="cellIs" dxfId="983" priority="976" stopIfTrue="1" operator="equal">
      <formula>"Napkin Hs"</formula>
    </cfRule>
  </conditionalFormatting>
  <conditionalFormatting sqref="C115:C116">
    <cfRule type="cellIs" dxfId="982" priority="977" stopIfTrue="1" operator="equal">
      <formula>"Towel"</formula>
    </cfRule>
  </conditionalFormatting>
  <conditionalFormatting sqref="B114:C114">
    <cfRule type="cellIs" dxfId="981" priority="973" stopIfTrue="1" operator="equal">
      <formula>"Towel"</formula>
    </cfRule>
    <cfRule type="cellIs" dxfId="980" priority="974" stopIfTrue="1" operator="equal">
      <formula>"Napkin Hs"</formula>
    </cfRule>
  </conditionalFormatting>
  <conditionalFormatting sqref="C114">
    <cfRule type="cellIs" dxfId="979" priority="972" stopIfTrue="1" operator="equal">
      <formula>"Napkin Hs"</formula>
    </cfRule>
  </conditionalFormatting>
  <conditionalFormatting sqref="C114">
    <cfRule type="cellIs" dxfId="978" priority="969" stopIfTrue="1" operator="equal">
      <formula>"Towel"</formula>
    </cfRule>
    <cfRule type="cellIs" dxfId="977" priority="970" stopIfTrue="1" operator="equal">
      <formula>"Napkin Hs"</formula>
    </cfRule>
  </conditionalFormatting>
  <conditionalFormatting sqref="C114">
    <cfRule type="cellIs" dxfId="976" priority="971" stopIfTrue="1" operator="equal">
      <formula>"Towel"</formula>
    </cfRule>
  </conditionalFormatting>
  <conditionalFormatting sqref="B113:C113">
    <cfRule type="cellIs" dxfId="975" priority="967" stopIfTrue="1" operator="equal">
      <formula>"Towel"</formula>
    </cfRule>
    <cfRule type="cellIs" dxfId="974" priority="968" stopIfTrue="1" operator="equal">
      <formula>"Napkin Hs"</formula>
    </cfRule>
  </conditionalFormatting>
  <conditionalFormatting sqref="C113">
    <cfRule type="cellIs" dxfId="973" priority="966" stopIfTrue="1" operator="equal">
      <formula>"Napkin Hs"</formula>
    </cfRule>
  </conditionalFormatting>
  <conditionalFormatting sqref="C113">
    <cfRule type="cellIs" dxfId="972" priority="963" stopIfTrue="1" operator="equal">
      <formula>"Towel"</formula>
    </cfRule>
    <cfRule type="cellIs" dxfId="971" priority="964" stopIfTrue="1" operator="equal">
      <formula>"Napkin Hs"</formula>
    </cfRule>
  </conditionalFormatting>
  <conditionalFormatting sqref="C113">
    <cfRule type="cellIs" dxfId="970" priority="965" stopIfTrue="1" operator="equal">
      <formula>"Towel"</formula>
    </cfRule>
  </conditionalFormatting>
  <conditionalFormatting sqref="B121:C121">
    <cfRule type="cellIs" dxfId="969" priority="961" stopIfTrue="1" operator="equal">
      <formula>"Towel"</formula>
    </cfRule>
    <cfRule type="cellIs" dxfId="968" priority="962" stopIfTrue="1" operator="equal">
      <formula>"Napkin Hs"</formula>
    </cfRule>
  </conditionalFormatting>
  <conditionalFormatting sqref="C121">
    <cfRule type="cellIs" dxfId="967" priority="960" stopIfTrue="1" operator="equal">
      <formula>"Napkin Hs"</formula>
    </cfRule>
  </conditionalFormatting>
  <conditionalFormatting sqref="C121">
    <cfRule type="cellIs" dxfId="966" priority="957" stopIfTrue="1" operator="equal">
      <formula>"Towel"</formula>
    </cfRule>
    <cfRule type="cellIs" dxfId="965" priority="958" stopIfTrue="1" operator="equal">
      <formula>"Napkin Hs"</formula>
    </cfRule>
  </conditionalFormatting>
  <conditionalFormatting sqref="C121">
    <cfRule type="cellIs" dxfId="964" priority="959" stopIfTrue="1" operator="equal">
      <formula>"Towel"</formula>
    </cfRule>
  </conditionalFormatting>
  <conditionalFormatting sqref="B118:C120">
    <cfRule type="cellIs" dxfId="963" priority="955" stopIfTrue="1" operator="equal">
      <formula>"Towel"</formula>
    </cfRule>
    <cfRule type="cellIs" dxfId="962" priority="956" stopIfTrue="1" operator="equal">
      <formula>"Napkin Hs"</formula>
    </cfRule>
  </conditionalFormatting>
  <conditionalFormatting sqref="C118:C120">
    <cfRule type="cellIs" dxfId="961" priority="954" stopIfTrue="1" operator="equal">
      <formula>"Napkin Hs"</formula>
    </cfRule>
  </conditionalFormatting>
  <conditionalFormatting sqref="C118:C120">
    <cfRule type="cellIs" dxfId="960" priority="951" stopIfTrue="1" operator="equal">
      <formula>"Towel"</formula>
    </cfRule>
    <cfRule type="cellIs" dxfId="959" priority="952" stopIfTrue="1" operator="equal">
      <formula>"Napkin Hs"</formula>
    </cfRule>
  </conditionalFormatting>
  <conditionalFormatting sqref="C118:C120">
    <cfRule type="cellIs" dxfId="958" priority="953" stopIfTrue="1" operator="equal">
      <formula>"Towel"</formula>
    </cfRule>
  </conditionalFormatting>
  <conditionalFormatting sqref="C127">
    <cfRule type="cellIs" dxfId="957" priority="949" stopIfTrue="1" operator="equal">
      <formula>"Towel"</formula>
    </cfRule>
    <cfRule type="cellIs" dxfId="956" priority="950" stopIfTrue="1" operator="equal">
      <formula>"Napkin Hs"</formula>
    </cfRule>
  </conditionalFormatting>
  <conditionalFormatting sqref="B126:C126">
    <cfRule type="cellIs" dxfId="955" priority="947" stopIfTrue="1" operator="equal">
      <formula>"Towel"</formula>
    </cfRule>
    <cfRule type="cellIs" dxfId="954" priority="948" stopIfTrue="1" operator="equal">
      <formula>"Napkin Hs"</formula>
    </cfRule>
  </conditionalFormatting>
  <conditionalFormatting sqref="C126">
    <cfRule type="cellIs" dxfId="953" priority="946" stopIfTrue="1" operator="equal">
      <formula>"Napkin Hs"</formula>
    </cfRule>
  </conditionalFormatting>
  <conditionalFormatting sqref="C126">
    <cfRule type="cellIs" dxfId="952" priority="943" stopIfTrue="1" operator="equal">
      <formula>"Towel"</formula>
    </cfRule>
    <cfRule type="cellIs" dxfId="951" priority="944" stopIfTrue="1" operator="equal">
      <formula>"Napkin Hs"</formula>
    </cfRule>
  </conditionalFormatting>
  <conditionalFormatting sqref="C126">
    <cfRule type="cellIs" dxfId="950" priority="945" stopIfTrue="1" operator="equal">
      <formula>"Towel"</formula>
    </cfRule>
  </conditionalFormatting>
  <conditionalFormatting sqref="B125:C125 C124">
    <cfRule type="cellIs" dxfId="949" priority="941" stopIfTrue="1" operator="equal">
      <formula>"Towel"</formula>
    </cfRule>
    <cfRule type="cellIs" dxfId="948" priority="942" stopIfTrue="1" operator="equal">
      <formula>"Napkin Hs"</formula>
    </cfRule>
  </conditionalFormatting>
  <conditionalFormatting sqref="C124:C125">
    <cfRule type="cellIs" dxfId="947" priority="940" stopIfTrue="1" operator="equal">
      <formula>"Napkin Hs"</formula>
    </cfRule>
  </conditionalFormatting>
  <conditionalFormatting sqref="C124:C125">
    <cfRule type="cellIs" dxfId="946" priority="937" stopIfTrue="1" operator="equal">
      <formula>"Towel"</formula>
    </cfRule>
    <cfRule type="cellIs" dxfId="945" priority="938" stopIfTrue="1" operator="equal">
      <formula>"Napkin Hs"</formula>
    </cfRule>
  </conditionalFormatting>
  <conditionalFormatting sqref="C124:C125">
    <cfRule type="cellIs" dxfId="944" priority="939" stopIfTrue="1" operator="equal">
      <formula>"Towel"</formula>
    </cfRule>
  </conditionalFormatting>
  <conditionalFormatting sqref="B123:C123 B124">
    <cfRule type="cellIs" dxfId="943" priority="935" stopIfTrue="1" operator="equal">
      <formula>"Towel"</formula>
    </cfRule>
    <cfRule type="cellIs" dxfId="942" priority="936" stopIfTrue="1" operator="equal">
      <formula>"Napkin Hs"</formula>
    </cfRule>
  </conditionalFormatting>
  <conditionalFormatting sqref="C123">
    <cfRule type="cellIs" dxfId="941" priority="931" stopIfTrue="1" operator="equal">
      <formula>"Towel"</formula>
    </cfRule>
    <cfRule type="cellIs" dxfId="940" priority="932" stopIfTrue="1" operator="equal">
      <formula>"Napkin Hs"</formula>
    </cfRule>
  </conditionalFormatting>
  <conditionalFormatting sqref="C123">
    <cfRule type="cellIs" dxfId="939" priority="933" stopIfTrue="1" operator="equal">
      <formula>"Towel"</formula>
    </cfRule>
    <cfRule type="cellIs" dxfId="938" priority="934" stopIfTrue="1" operator="equal">
      <formula>"Napkin Hs"</formula>
    </cfRule>
  </conditionalFormatting>
  <conditionalFormatting sqref="B123:C123 B124">
    <cfRule type="cellIs" dxfId="937" priority="929" stopIfTrue="1" operator="equal">
      <formula>"Towel"</formula>
    </cfRule>
    <cfRule type="cellIs" dxfId="936" priority="930" stopIfTrue="1" operator="equal">
      <formula>"Napkin Hs"</formula>
    </cfRule>
  </conditionalFormatting>
  <conditionalFormatting sqref="C123">
    <cfRule type="cellIs" dxfId="935" priority="927" stopIfTrue="1" operator="equal">
      <formula>"Towel"</formula>
    </cfRule>
    <cfRule type="cellIs" dxfId="934" priority="928" stopIfTrue="1" operator="equal">
      <formula>"Napkin Hs"</formula>
    </cfRule>
  </conditionalFormatting>
  <conditionalFormatting sqref="C123">
    <cfRule type="cellIs" dxfId="933" priority="925" stopIfTrue="1" operator="equal">
      <formula>"Towel"</formula>
    </cfRule>
    <cfRule type="cellIs" dxfId="932" priority="926" stopIfTrue="1" operator="equal">
      <formula>"Napkin Hs"</formula>
    </cfRule>
  </conditionalFormatting>
  <conditionalFormatting sqref="C123">
    <cfRule type="cellIs" dxfId="931" priority="917" stopIfTrue="1" operator="equal">
      <formula>"Towel"</formula>
    </cfRule>
    <cfRule type="cellIs" dxfId="930" priority="918" stopIfTrue="1" operator="equal">
      <formula>"Napkin Hs"</formula>
    </cfRule>
  </conditionalFormatting>
  <conditionalFormatting sqref="B123:C123 B124">
    <cfRule type="cellIs" dxfId="929" priority="919" stopIfTrue="1" operator="equal">
      <formula>"Towel"</formula>
    </cfRule>
    <cfRule type="cellIs" dxfId="928" priority="920" stopIfTrue="1" operator="equal">
      <formula>"Napkin Hs"</formula>
    </cfRule>
  </conditionalFormatting>
  <conditionalFormatting sqref="C123">
    <cfRule type="cellIs" dxfId="927" priority="915" stopIfTrue="1" operator="equal">
      <formula>"Towel"</formula>
    </cfRule>
    <cfRule type="cellIs" dxfId="926" priority="916" stopIfTrue="1" operator="equal">
      <formula>"Napkin Hs"</formula>
    </cfRule>
  </conditionalFormatting>
  <conditionalFormatting sqref="B123:C123 B124">
    <cfRule type="cellIs" dxfId="925" priority="913" stopIfTrue="1" operator="equal">
      <formula>"Towel"</formula>
    </cfRule>
    <cfRule type="cellIs" dxfId="924" priority="914" stopIfTrue="1" operator="equal">
      <formula>"Napkin Hs"</formula>
    </cfRule>
  </conditionalFormatting>
  <conditionalFormatting sqref="C123">
    <cfRule type="cellIs" dxfId="923" priority="921" stopIfTrue="1" operator="equal">
      <formula>"Towel"</formula>
    </cfRule>
    <cfRule type="cellIs" dxfId="922" priority="922" stopIfTrue="1" operator="equal">
      <formula>"Napkin Hs"</formula>
    </cfRule>
  </conditionalFormatting>
  <conditionalFormatting sqref="C123">
    <cfRule type="cellIs" dxfId="921" priority="923" stopIfTrue="1" operator="equal">
      <formula>"Towel"</formula>
    </cfRule>
    <cfRule type="cellIs" dxfId="920" priority="924" stopIfTrue="1" operator="equal">
      <formula>"Napkin Hs"</formula>
    </cfRule>
  </conditionalFormatting>
  <conditionalFormatting sqref="B123:C123 B124">
    <cfRule type="cellIs" dxfId="919" priority="911" stopIfTrue="1" operator="equal">
      <formula>"Towel"</formula>
    </cfRule>
    <cfRule type="cellIs" dxfId="918" priority="912" stopIfTrue="1" operator="equal">
      <formula>"Napkin Hs"</formula>
    </cfRule>
  </conditionalFormatting>
  <conditionalFormatting sqref="C123">
    <cfRule type="cellIs" dxfId="917" priority="910" stopIfTrue="1" operator="equal">
      <formula>"Napkin Hs"</formula>
    </cfRule>
  </conditionalFormatting>
  <conditionalFormatting sqref="C123">
    <cfRule type="cellIs" dxfId="916" priority="907" stopIfTrue="1" operator="equal">
      <formula>"Towel"</formula>
    </cfRule>
    <cfRule type="cellIs" dxfId="915" priority="908" stopIfTrue="1" operator="equal">
      <formula>"Napkin Hs"</formula>
    </cfRule>
  </conditionalFormatting>
  <conditionalFormatting sqref="C123">
    <cfRule type="cellIs" dxfId="914" priority="909" stopIfTrue="1" operator="equal">
      <formula>"Towel"</formula>
    </cfRule>
  </conditionalFormatting>
  <conditionalFormatting sqref="B131:C131">
    <cfRule type="cellIs" dxfId="913" priority="903" stopIfTrue="1" operator="equal">
      <formula>"Towel"</formula>
    </cfRule>
    <cfRule type="cellIs" dxfId="912" priority="904" stopIfTrue="1" operator="equal">
      <formula>"Napkin Hs"</formula>
    </cfRule>
  </conditionalFormatting>
  <conditionalFormatting sqref="C131">
    <cfRule type="cellIs" dxfId="911" priority="905" stopIfTrue="1" operator="equal">
      <formula>"Towel"</formula>
    </cfRule>
    <cfRule type="cellIs" dxfId="910" priority="906" stopIfTrue="1" operator="equal">
      <formula>"Napkin Hs"</formula>
    </cfRule>
  </conditionalFormatting>
  <conditionalFormatting sqref="C131">
    <cfRule type="cellIs" dxfId="909" priority="901" stopIfTrue="1" operator="equal">
      <formula>"Towel"</formula>
    </cfRule>
    <cfRule type="cellIs" dxfId="908" priority="902" stopIfTrue="1" operator="equal">
      <formula>"Napkin Hs"</formula>
    </cfRule>
  </conditionalFormatting>
  <conditionalFormatting sqref="B130:C130">
    <cfRule type="cellIs" dxfId="907" priority="899" stopIfTrue="1" operator="equal">
      <formula>"Towel"</formula>
    </cfRule>
    <cfRule type="cellIs" dxfId="906" priority="900" stopIfTrue="1" operator="equal">
      <formula>"Napkin Hs"</formula>
    </cfRule>
  </conditionalFormatting>
  <conditionalFormatting sqref="C130">
    <cfRule type="cellIs" dxfId="905" priority="895" stopIfTrue="1" operator="equal">
      <formula>"Towel"</formula>
    </cfRule>
    <cfRule type="cellIs" dxfId="904" priority="896" stopIfTrue="1" operator="equal">
      <formula>"Napkin Hs"</formula>
    </cfRule>
  </conditionalFormatting>
  <conditionalFormatting sqref="C130">
    <cfRule type="cellIs" dxfId="903" priority="897" stopIfTrue="1" operator="equal">
      <formula>"Towel"</formula>
    </cfRule>
    <cfRule type="cellIs" dxfId="902" priority="898" stopIfTrue="1" operator="equal">
      <formula>"Napkin Hs"</formula>
    </cfRule>
  </conditionalFormatting>
  <conditionalFormatting sqref="B131:C131">
    <cfRule type="cellIs" dxfId="901" priority="893" stopIfTrue="1" operator="equal">
      <formula>"Towel"</formula>
    </cfRule>
    <cfRule type="cellIs" dxfId="900" priority="894" stopIfTrue="1" operator="equal">
      <formula>"Napkin Hs"</formula>
    </cfRule>
  </conditionalFormatting>
  <conditionalFormatting sqref="C131">
    <cfRule type="cellIs" dxfId="899" priority="891" stopIfTrue="1" operator="equal">
      <formula>"Towel"</formula>
    </cfRule>
    <cfRule type="cellIs" dxfId="898" priority="892" stopIfTrue="1" operator="equal">
      <formula>"Napkin Hs"</formula>
    </cfRule>
  </conditionalFormatting>
  <conditionalFormatting sqref="C131">
    <cfRule type="cellIs" dxfId="897" priority="889" stopIfTrue="1" operator="equal">
      <formula>"Towel"</formula>
    </cfRule>
    <cfRule type="cellIs" dxfId="896" priority="890" stopIfTrue="1" operator="equal">
      <formula>"Napkin Hs"</formula>
    </cfRule>
  </conditionalFormatting>
  <conditionalFormatting sqref="B130:C130">
    <cfRule type="cellIs" dxfId="895" priority="887" stopIfTrue="1" operator="equal">
      <formula>"Towel"</formula>
    </cfRule>
    <cfRule type="cellIs" dxfId="894" priority="888" stopIfTrue="1" operator="equal">
      <formula>"Napkin Hs"</formula>
    </cfRule>
  </conditionalFormatting>
  <conditionalFormatting sqref="C130">
    <cfRule type="cellIs" dxfId="893" priority="885" stopIfTrue="1" operator="equal">
      <formula>"Towel"</formula>
    </cfRule>
    <cfRule type="cellIs" dxfId="892" priority="886" stopIfTrue="1" operator="equal">
      <formula>"Napkin Hs"</formula>
    </cfRule>
  </conditionalFormatting>
  <conditionalFormatting sqref="C130">
    <cfRule type="cellIs" dxfId="891" priority="883" stopIfTrue="1" operator="equal">
      <formula>"Towel"</formula>
    </cfRule>
    <cfRule type="cellIs" dxfId="890" priority="884" stopIfTrue="1" operator="equal">
      <formula>"Napkin Hs"</formula>
    </cfRule>
  </conditionalFormatting>
  <conditionalFormatting sqref="C130">
    <cfRule type="cellIs" dxfId="889" priority="875" stopIfTrue="1" operator="equal">
      <formula>"Towel"</formula>
    </cfRule>
    <cfRule type="cellIs" dxfId="888" priority="876" stopIfTrue="1" operator="equal">
      <formula>"Napkin Hs"</formula>
    </cfRule>
  </conditionalFormatting>
  <conditionalFormatting sqref="B130:C130">
    <cfRule type="cellIs" dxfId="887" priority="877" stopIfTrue="1" operator="equal">
      <formula>"Towel"</formula>
    </cfRule>
    <cfRule type="cellIs" dxfId="886" priority="878" stopIfTrue="1" operator="equal">
      <formula>"Napkin Hs"</formula>
    </cfRule>
  </conditionalFormatting>
  <conditionalFormatting sqref="C130">
    <cfRule type="cellIs" dxfId="885" priority="873" stopIfTrue="1" operator="equal">
      <formula>"Towel"</formula>
    </cfRule>
    <cfRule type="cellIs" dxfId="884" priority="874" stopIfTrue="1" operator="equal">
      <formula>"Napkin Hs"</formula>
    </cfRule>
  </conditionalFormatting>
  <conditionalFormatting sqref="B130:C130">
    <cfRule type="cellIs" dxfId="883" priority="871" stopIfTrue="1" operator="equal">
      <formula>"Towel"</formula>
    </cfRule>
    <cfRule type="cellIs" dxfId="882" priority="872" stopIfTrue="1" operator="equal">
      <formula>"Napkin Hs"</formula>
    </cfRule>
  </conditionalFormatting>
  <conditionalFormatting sqref="C130">
    <cfRule type="cellIs" dxfId="881" priority="879" stopIfTrue="1" operator="equal">
      <formula>"Towel"</formula>
    </cfRule>
    <cfRule type="cellIs" dxfId="880" priority="880" stopIfTrue="1" operator="equal">
      <formula>"Napkin Hs"</formula>
    </cfRule>
  </conditionalFormatting>
  <conditionalFormatting sqref="C130">
    <cfRule type="cellIs" dxfId="879" priority="881" stopIfTrue="1" operator="equal">
      <formula>"Towel"</formula>
    </cfRule>
    <cfRule type="cellIs" dxfId="878" priority="882" stopIfTrue="1" operator="equal">
      <formula>"Napkin Hs"</formula>
    </cfRule>
  </conditionalFormatting>
  <conditionalFormatting sqref="B131:C131">
    <cfRule type="cellIs" dxfId="877" priority="869" stopIfTrue="1" operator="equal">
      <formula>"Towel"</formula>
    </cfRule>
    <cfRule type="cellIs" dxfId="876" priority="870" stopIfTrue="1" operator="equal">
      <formula>"Napkin Hs"</formula>
    </cfRule>
  </conditionalFormatting>
  <conditionalFormatting sqref="C131">
    <cfRule type="cellIs" dxfId="875" priority="868" stopIfTrue="1" operator="equal">
      <formula>"Napkin Hs"</formula>
    </cfRule>
  </conditionalFormatting>
  <conditionalFormatting sqref="C131">
    <cfRule type="cellIs" dxfId="874" priority="865" stopIfTrue="1" operator="equal">
      <formula>"Towel"</formula>
    </cfRule>
    <cfRule type="cellIs" dxfId="873" priority="866" stopIfTrue="1" operator="equal">
      <formula>"Napkin Hs"</formula>
    </cfRule>
  </conditionalFormatting>
  <conditionalFormatting sqref="C131">
    <cfRule type="cellIs" dxfId="872" priority="867" stopIfTrue="1" operator="equal">
      <formula>"Towel"</formula>
    </cfRule>
  </conditionalFormatting>
  <conditionalFormatting sqref="B130:C130">
    <cfRule type="cellIs" dxfId="871" priority="863" stopIfTrue="1" operator="equal">
      <formula>"Towel"</formula>
    </cfRule>
    <cfRule type="cellIs" dxfId="870" priority="864" stopIfTrue="1" operator="equal">
      <formula>"Napkin Hs"</formula>
    </cfRule>
  </conditionalFormatting>
  <conditionalFormatting sqref="C130">
    <cfRule type="cellIs" dxfId="869" priority="862" stopIfTrue="1" operator="equal">
      <formula>"Napkin Hs"</formula>
    </cfRule>
  </conditionalFormatting>
  <conditionalFormatting sqref="C130">
    <cfRule type="cellIs" dxfId="868" priority="859" stopIfTrue="1" operator="equal">
      <formula>"Towel"</formula>
    </cfRule>
    <cfRule type="cellIs" dxfId="867" priority="860" stopIfTrue="1" operator="equal">
      <formula>"Napkin Hs"</formula>
    </cfRule>
  </conditionalFormatting>
  <conditionalFormatting sqref="C130">
    <cfRule type="cellIs" dxfId="866" priority="861" stopIfTrue="1" operator="equal">
      <formula>"Towel"</formula>
    </cfRule>
  </conditionalFormatting>
  <conditionalFormatting sqref="B128:C129">
    <cfRule type="cellIs" dxfId="865" priority="857" stopIfTrue="1" operator="equal">
      <formula>"Towel"</formula>
    </cfRule>
    <cfRule type="cellIs" dxfId="864" priority="858" stopIfTrue="1" operator="equal">
      <formula>"Napkin Hs"</formula>
    </cfRule>
  </conditionalFormatting>
  <conditionalFormatting sqref="C128:C129">
    <cfRule type="cellIs" dxfId="863" priority="853" stopIfTrue="1" operator="equal">
      <formula>"Towel"</formula>
    </cfRule>
    <cfRule type="cellIs" dxfId="862" priority="854" stopIfTrue="1" operator="equal">
      <formula>"Napkin Hs"</formula>
    </cfRule>
  </conditionalFormatting>
  <conditionalFormatting sqref="C128:C129">
    <cfRule type="cellIs" dxfId="861" priority="855" stopIfTrue="1" operator="equal">
      <formula>"Towel"</formula>
    </cfRule>
    <cfRule type="cellIs" dxfId="860" priority="856" stopIfTrue="1" operator="equal">
      <formula>"Napkin Hs"</formula>
    </cfRule>
  </conditionalFormatting>
  <conditionalFormatting sqref="B128:C129">
    <cfRule type="cellIs" dxfId="859" priority="851" stopIfTrue="1" operator="equal">
      <formula>"Towel"</formula>
    </cfRule>
    <cfRule type="cellIs" dxfId="858" priority="852" stopIfTrue="1" operator="equal">
      <formula>"Napkin Hs"</formula>
    </cfRule>
  </conditionalFormatting>
  <conditionalFormatting sqref="C128:C129">
    <cfRule type="cellIs" dxfId="857" priority="849" stopIfTrue="1" operator="equal">
      <formula>"Towel"</formula>
    </cfRule>
    <cfRule type="cellIs" dxfId="856" priority="850" stopIfTrue="1" operator="equal">
      <formula>"Napkin Hs"</formula>
    </cfRule>
  </conditionalFormatting>
  <conditionalFormatting sqref="C128:C129">
    <cfRule type="cellIs" dxfId="855" priority="847" stopIfTrue="1" operator="equal">
      <formula>"Towel"</formula>
    </cfRule>
    <cfRule type="cellIs" dxfId="854" priority="848" stopIfTrue="1" operator="equal">
      <formula>"Napkin Hs"</formula>
    </cfRule>
  </conditionalFormatting>
  <conditionalFormatting sqref="C128:C129">
    <cfRule type="cellIs" dxfId="853" priority="839" stopIfTrue="1" operator="equal">
      <formula>"Towel"</formula>
    </cfRule>
    <cfRule type="cellIs" dxfId="852" priority="840" stopIfTrue="1" operator="equal">
      <formula>"Napkin Hs"</formula>
    </cfRule>
  </conditionalFormatting>
  <conditionalFormatting sqref="B128:C129">
    <cfRule type="cellIs" dxfId="851" priority="841" stopIfTrue="1" operator="equal">
      <formula>"Towel"</formula>
    </cfRule>
    <cfRule type="cellIs" dxfId="850" priority="842" stopIfTrue="1" operator="equal">
      <formula>"Napkin Hs"</formula>
    </cfRule>
  </conditionalFormatting>
  <conditionalFormatting sqref="C128:C129">
    <cfRule type="cellIs" dxfId="849" priority="837" stopIfTrue="1" operator="equal">
      <formula>"Towel"</formula>
    </cfRule>
    <cfRule type="cellIs" dxfId="848" priority="838" stopIfTrue="1" operator="equal">
      <formula>"Napkin Hs"</formula>
    </cfRule>
  </conditionalFormatting>
  <conditionalFormatting sqref="B128:C129">
    <cfRule type="cellIs" dxfId="847" priority="835" stopIfTrue="1" operator="equal">
      <formula>"Towel"</formula>
    </cfRule>
    <cfRule type="cellIs" dxfId="846" priority="836" stopIfTrue="1" operator="equal">
      <formula>"Napkin Hs"</formula>
    </cfRule>
  </conditionalFormatting>
  <conditionalFormatting sqref="C128:C129">
    <cfRule type="cellIs" dxfId="845" priority="843" stopIfTrue="1" operator="equal">
      <formula>"Towel"</formula>
    </cfRule>
    <cfRule type="cellIs" dxfId="844" priority="844" stopIfTrue="1" operator="equal">
      <formula>"Napkin Hs"</formula>
    </cfRule>
  </conditionalFormatting>
  <conditionalFormatting sqref="C128:C129">
    <cfRule type="cellIs" dxfId="843" priority="845" stopIfTrue="1" operator="equal">
      <formula>"Towel"</formula>
    </cfRule>
    <cfRule type="cellIs" dxfId="842" priority="846" stopIfTrue="1" operator="equal">
      <formula>"Napkin Hs"</formula>
    </cfRule>
  </conditionalFormatting>
  <conditionalFormatting sqref="B128:C129">
    <cfRule type="cellIs" dxfId="841" priority="833" stopIfTrue="1" operator="equal">
      <formula>"Towel"</formula>
    </cfRule>
    <cfRule type="cellIs" dxfId="840" priority="834" stopIfTrue="1" operator="equal">
      <formula>"Napkin Hs"</formula>
    </cfRule>
  </conditionalFormatting>
  <conditionalFormatting sqref="C128:C129">
    <cfRule type="cellIs" dxfId="839" priority="832" stopIfTrue="1" operator="equal">
      <formula>"Napkin Hs"</formula>
    </cfRule>
  </conditionalFormatting>
  <conditionalFormatting sqref="C128:C129">
    <cfRule type="cellIs" dxfId="838" priority="829" stopIfTrue="1" operator="equal">
      <formula>"Towel"</formula>
    </cfRule>
    <cfRule type="cellIs" dxfId="837" priority="830" stopIfTrue="1" operator="equal">
      <formula>"Napkin Hs"</formula>
    </cfRule>
  </conditionalFormatting>
  <conditionalFormatting sqref="C128:C129">
    <cfRule type="cellIs" dxfId="836" priority="831" stopIfTrue="1" operator="equal">
      <formula>"Towel"</formula>
    </cfRule>
  </conditionalFormatting>
  <conditionalFormatting sqref="B132:C132">
    <cfRule type="cellIs" dxfId="835" priority="827" stopIfTrue="1" operator="equal">
      <formula>"Towel"</formula>
    </cfRule>
    <cfRule type="cellIs" dxfId="834" priority="828" stopIfTrue="1" operator="equal">
      <formula>"Napkin Hs"</formula>
    </cfRule>
  </conditionalFormatting>
  <conditionalFormatting sqref="C132">
    <cfRule type="cellIs" dxfId="833" priority="826" stopIfTrue="1" operator="equal">
      <formula>"Napkin Hs"</formula>
    </cfRule>
  </conditionalFormatting>
  <conditionalFormatting sqref="C132">
    <cfRule type="cellIs" dxfId="832" priority="823" stopIfTrue="1" operator="equal">
      <formula>"Towel"</formula>
    </cfRule>
    <cfRule type="cellIs" dxfId="831" priority="824" stopIfTrue="1" operator="equal">
      <formula>"Napkin Hs"</formula>
    </cfRule>
  </conditionalFormatting>
  <conditionalFormatting sqref="C132">
    <cfRule type="cellIs" dxfId="830" priority="825" stopIfTrue="1" operator="equal">
      <formula>"Towel"</formula>
    </cfRule>
  </conditionalFormatting>
  <conditionalFormatting sqref="B137:C139">
    <cfRule type="cellIs" dxfId="829" priority="819" stopIfTrue="1" operator="equal">
      <formula>"Towel"</formula>
    </cfRule>
    <cfRule type="cellIs" dxfId="828" priority="820" stopIfTrue="1" operator="equal">
      <formula>"Napkin Hs"</formula>
    </cfRule>
  </conditionalFormatting>
  <conditionalFormatting sqref="C137:C139">
    <cfRule type="cellIs" dxfId="827" priority="821" stopIfTrue="1" operator="equal">
      <formula>"Towel"</formula>
    </cfRule>
    <cfRule type="cellIs" dxfId="826" priority="822" stopIfTrue="1" operator="equal">
      <formula>"Napkin Hs"</formula>
    </cfRule>
  </conditionalFormatting>
  <conditionalFormatting sqref="C137:C139">
    <cfRule type="cellIs" dxfId="825" priority="817" stopIfTrue="1" operator="equal">
      <formula>"Towel"</formula>
    </cfRule>
    <cfRule type="cellIs" dxfId="824" priority="818" stopIfTrue="1" operator="equal">
      <formula>"Napkin Hs"</formula>
    </cfRule>
  </conditionalFormatting>
  <conditionalFormatting sqref="B136:C136">
    <cfRule type="cellIs" dxfId="823" priority="815" stopIfTrue="1" operator="equal">
      <formula>"Towel"</formula>
    </cfRule>
    <cfRule type="cellIs" dxfId="822" priority="816" stopIfTrue="1" operator="equal">
      <formula>"Napkin Hs"</formula>
    </cfRule>
  </conditionalFormatting>
  <conditionalFormatting sqref="C136">
    <cfRule type="cellIs" dxfId="821" priority="811" stopIfTrue="1" operator="equal">
      <formula>"Towel"</formula>
    </cfRule>
    <cfRule type="cellIs" dxfId="820" priority="812" stopIfTrue="1" operator="equal">
      <formula>"Napkin Hs"</formula>
    </cfRule>
  </conditionalFormatting>
  <conditionalFormatting sqref="C136">
    <cfRule type="cellIs" dxfId="819" priority="813" stopIfTrue="1" operator="equal">
      <formula>"Towel"</formula>
    </cfRule>
    <cfRule type="cellIs" dxfId="818" priority="814" stopIfTrue="1" operator="equal">
      <formula>"Napkin Hs"</formula>
    </cfRule>
  </conditionalFormatting>
  <conditionalFormatting sqref="B137:C139">
    <cfRule type="cellIs" dxfId="817" priority="809" stopIfTrue="1" operator="equal">
      <formula>"Towel"</formula>
    </cfRule>
    <cfRule type="cellIs" dxfId="816" priority="810" stopIfTrue="1" operator="equal">
      <formula>"Napkin Hs"</formula>
    </cfRule>
  </conditionalFormatting>
  <conditionalFormatting sqref="C137:C139">
    <cfRule type="cellIs" dxfId="815" priority="807" stopIfTrue="1" operator="equal">
      <formula>"Towel"</formula>
    </cfRule>
    <cfRule type="cellIs" dxfId="814" priority="808" stopIfTrue="1" operator="equal">
      <formula>"Napkin Hs"</formula>
    </cfRule>
  </conditionalFormatting>
  <conditionalFormatting sqref="C137:C139">
    <cfRule type="cellIs" dxfId="813" priority="805" stopIfTrue="1" operator="equal">
      <formula>"Towel"</formula>
    </cfRule>
    <cfRule type="cellIs" dxfId="812" priority="806" stopIfTrue="1" operator="equal">
      <formula>"Napkin Hs"</formula>
    </cfRule>
  </conditionalFormatting>
  <conditionalFormatting sqref="B136:C136">
    <cfRule type="cellIs" dxfId="811" priority="803" stopIfTrue="1" operator="equal">
      <formula>"Towel"</formula>
    </cfRule>
    <cfRule type="cellIs" dxfId="810" priority="804" stopIfTrue="1" operator="equal">
      <formula>"Napkin Hs"</formula>
    </cfRule>
  </conditionalFormatting>
  <conditionalFormatting sqref="C136">
    <cfRule type="cellIs" dxfId="809" priority="801" stopIfTrue="1" operator="equal">
      <formula>"Towel"</formula>
    </cfRule>
    <cfRule type="cellIs" dxfId="808" priority="802" stopIfTrue="1" operator="equal">
      <formula>"Napkin Hs"</formula>
    </cfRule>
  </conditionalFormatting>
  <conditionalFormatting sqref="C136">
    <cfRule type="cellIs" dxfId="807" priority="799" stopIfTrue="1" operator="equal">
      <formula>"Towel"</formula>
    </cfRule>
    <cfRule type="cellIs" dxfId="806" priority="800" stopIfTrue="1" operator="equal">
      <formula>"Napkin Hs"</formula>
    </cfRule>
  </conditionalFormatting>
  <conditionalFormatting sqref="C136">
    <cfRule type="cellIs" dxfId="805" priority="791" stopIfTrue="1" operator="equal">
      <formula>"Towel"</formula>
    </cfRule>
    <cfRule type="cellIs" dxfId="804" priority="792" stopIfTrue="1" operator="equal">
      <formula>"Napkin Hs"</formula>
    </cfRule>
  </conditionalFormatting>
  <conditionalFormatting sqref="B136:C136">
    <cfRule type="cellIs" dxfId="803" priority="793" stopIfTrue="1" operator="equal">
      <formula>"Towel"</formula>
    </cfRule>
    <cfRule type="cellIs" dxfId="802" priority="794" stopIfTrue="1" operator="equal">
      <formula>"Napkin Hs"</formula>
    </cfRule>
  </conditionalFormatting>
  <conditionalFormatting sqref="C136">
    <cfRule type="cellIs" dxfId="801" priority="789" stopIfTrue="1" operator="equal">
      <formula>"Towel"</formula>
    </cfRule>
    <cfRule type="cellIs" dxfId="800" priority="790" stopIfTrue="1" operator="equal">
      <formula>"Napkin Hs"</formula>
    </cfRule>
  </conditionalFormatting>
  <conditionalFormatting sqref="B136:C136">
    <cfRule type="cellIs" dxfId="799" priority="787" stopIfTrue="1" operator="equal">
      <formula>"Towel"</formula>
    </cfRule>
    <cfRule type="cellIs" dxfId="798" priority="788" stopIfTrue="1" operator="equal">
      <formula>"Napkin Hs"</formula>
    </cfRule>
  </conditionalFormatting>
  <conditionalFormatting sqref="C136">
    <cfRule type="cellIs" dxfId="797" priority="795" stopIfTrue="1" operator="equal">
      <formula>"Towel"</formula>
    </cfRule>
    <cfRule type="cellIs" dxfId="796" priority="796" stopIfTrue="1" operator="equal">
      <formula>"Napkin Hs"</formula>
    </cfRule>
  </conditionalFormatting>
  <conditionalFormatting sqref="C136">
    <cfRule type="cellIs" dxfId="795" priority="797" stopIfTrue="1" operator="equal">
      <formula>"Towel"</formula>
    </cfRule>
    <cfRule type="cellIs" dxfId="794" priority="798" stopIfTrue="1" operator="equal">
      <formula>"Napkin Hs"</formula>
    </cfRule>
  </conditionalFormatting>
  <conditionalFormatting sqref="B137:C139">
    <cfRule type="cellIs" dxfId="793" priority="785" stopIfTrue="1" operator="equal">
      <formula>"Towel"</formula>
    </cfRule>
    <cfRule type="cellIs" dxfId="792" priority="786" stopIfTrue="1" operator="equal">
      <formula>"Napkin Hs"</formula>
    </cfRule>
  </conditionalFormatting>
  <conditionalFormatting sqref="C137:C139">
    <cfRule type="cellIs" dxfId="791" priority="784" stopIfTrue="1" operator="equal">
      <formula>"Napkin Hs"</formula>
    </cfRule>
  </conditionalFormatting>
  <conditionalFormatting sqref="C137:C139">
    <cfRule type="cellIs" dxfId="790" priority="781" stopIfTrue="1" operator="equal">
      <formula>"Towel"</formula>
    </cfRule>
    <cfRule type="cellIs" dxfId="789" priority="782" stopIfTrue="1" operator="equal">
      <formula>"Napkin Hs"</formula>
    </cfRule>
  </conditionalFormatting>
  <conditionalFormatting sqref="C137:C139">
    <cfRule type="cellIs" dxfId="788" priority="783" stopIfTrue="1" operator="equal">
      <formula>"Towel"</formula>
    </cfRule>
  </conditionalFormatting>
  <conditionalFormatting sqref="B136:C136">
    <cfRule type="cellIs" dxfId="787" priority="779" stopIfTrue="1" operator="equal">
      <formula>"Towel"</formula>
    </cfRule>
    <cfRule type="cellIs" dxfId="786" priority="780" stopIfTrue="1" operator="equal">
      <formula>"Napkin Hs"</formula>
    </cfRule>
  </conditionalFormatting>
  <conditionalFormatting sqref="C136">
    <cfRule type="cellIs" dxfId="785" priority="778" stopIfTrue="1" operator="equal">
      <formula>"Napkin Hs"</formula>
    </cfRule>
  </conditionalFormatting>
  <conditionalFormatting sqref="C136">
    <cfRule type="cellIs" dxfId="784" priority="775" stopIfTrue="1" operator="equal">
      <formula>"Towel"</formula>
    </cfRule>
    <cfRule type="cellIs" dxfId="783" priority="776" stopIfTrue="1" operator="equal">
      <formula>"Napkin Hs"</formula>
    </cfRule>
  </conditionalFormatting>
  <conditionalFormatting sqref="C136">
    <cfRule type="cellIs" dxfId="782" priority="777" stopIfTrue="1" operator="equal">
      <formula>"Towel"</formula>
    </cfRule>
  </conditionalFormatting>
  <conditionalFormatting sqref="B135:C135">
    <cfRule type="cellIs" dxfId="781" priority="773" stopIfTrue="1" operator="equal">
      <formula>"Towel"</formula>
    </cfRule>
    <cfRule type="cellIs" dxfId="780" priority="774" stopIfTrue="1" operator="equal">
      <formula>"Napkin Hs"</formula>
    </cfRule>
  </conditionalFormatting>
  <conditionalFormatting sqref="C135">
    <cfRule type="cellIs" dxfId="779" priority="769" stopIfTrue="1" operator="equal">
      <formula>"Towel"</formula>
    </cfRule>
    <cfRule type="cellIs" dxfId="778" priority="770" stopIfTrue="1" operator="equal">
      <formula>"Napkin Hs"</formula>
    </cfRule>
  </conditionalFormatting>
  <conditionalFormatting sqref="C135">
    <cfRule type="cellIs" dxfId="777" priority="771" stopIfTrue="1" operator="equal">
      <formula>"Towel"</formula>
    </cfRule>
    <cfRule type="cellIs" dxfId="776" priority="772" stopIfTrue="1" operator="equal">
      <formula>"Napkin Hs"</formula>
    </cfRule>
  </conditionalFormatting>
  <conditionalFormatting sqref="B135:C135">
    <cfRule type="cellIs" dxfId="775" priority="767" stopIfTrue="1" operator="equal">
      <formula>"Towel"</formula>
    </cfRule>
    <cfRule type="cellIs" dxfId="774" priority="768" stopIfTrue="1" operator="equal">
      <formula>"Napkin Hs"</formula>
    </cfRule>
  </conditionalFormatting>
  <conditionalFormatting sqref="C135">
    <cfRule type="cellIs" dxfId="773" priority="765" stopIfTrue="1" operator="equal">
      <formula>"Towel"</formula>
    </cfRule>
    <cfRule type="cellIs" dxfId="772" priority="766" stopIfTrue="1" operator="equal">
      <formula>"Napkin Hs"</formula>
    </cfRule>
  </conditionalFormatting>
  <conditionalFormatting sqref="C135">
    <cfRule type="cellIs" dxfId="771" priority="763" stopIfTrue="1" operator="equal">
      <formula>"Towel"</formula>
    </cfRule>
    <cfRule type="cellIs" dxfId="770" priority="764" stopIfTrue="1" operator="equal">
      <formula>"Napkin Hs"</formula>
    </cfRule>
  </conditionalFormatting>
  <conditionalFormatting sqref="C135">
    <cfRule type="cellIs" dxfId="769" priority="755" stopIfTrue="1" operator="equal">
      <formula>"Towel"</formula>
    </cfRule>
    <cfRule type="cellIs" dxfId="768" priority="756" stopIfTrue="1" operator="equal">
      <formula>"Napkin Hs"</formula>
    </cfRule>
  </conditionalFormatting>
  <conditionalFormatting sqref="B135:C135">
    <cfRule type="cellIs" dxfId="767" priority="757" stopIfTrue="1" operator="equal">
      <formula>"Towel"</formula>
    </cfRule>
    <cfRule type="cellIs" dxfId="766" priority="758" stopIfTrue="1" operator="equal">
      <formula>"Napkin Hs"</formula>
    </cfRule>
  </conditionalFormatting>
  <conditionalFormatting sqref="C135">
    <cfRule type="cellIs" dxfId="765" priority="753" stopIfTrue="1" operator="equal">
      <formula>"Towel"</formula>
    </cfRule>
    <cfRule type="cellIs" dxfId="764" priority="754" stopIfTrue="1" operator="equal">
      <formula>"Napkin Hs"</formula>
    </cfRule>
  </conditionalFormatting>
  <conditionalFormatting sqref="B135:C135">
    <cfRule type="cellIs" dxfId="763" priority="751" stopIfTrue="1" operator="equal">
      <formula>"Towel"</formula>
    </cfRule>
    <cfRule type="cellIs" dxfId="762" priority="752" stopIfTrue="1" operator="equal">
      <formula>"Napkin Hs"</formula>
    </cfRule>
  </conditionalFormatting>
  <conditionalFormatting sqref="C135">
    <cfRule type="cellIs" dxfId="761" priority="759" stopIfTrue="1" operator="equal">
      <formula>"Towel"</formula>
    </cfRule>
    <cfRule type="cellIs" dxfId="760" priority="760" stopIfTrue="1" operator="equal">
      <formula>"Napkin Hs"</formula>
    </cfRule>
  </conditionalFormatting>
  <conditionalFormatting sqref="C135">
    <cfRule type="cellIs" dxfId="759" priority="761" stopIfTrue="1" operator="equal">
      <formula>"Towel"</formula>
    </cfRule>
    <cfRule type="cellIs" dxfId="758" priority="762" stopIfTrue="1" operator="equal">
      <formula>"Napkin Hs"</formula>
    </cfRule>
  </conditionalFormatting>
  <conditionalFormatting sqref="B135:C135">
    <cfRule type="cellIs" dxfId="757" priority="749" stopIfTrue="1" operator="equal">
      <formula>"Towel"</formula>
    </cfRule>
    <cfRule type="cellIs" dxfId="756" priority="750" stopIfTrue="1" operator="equal">
      <formula>"Napkin Hs"</formula>
    </cfRule>
  </conditionalFormatting>
  <conditionalFormatting sqref="C135">
    <cfRule type="cellIs" dxfId="755" priority="748" stopIfTrue="1" operator="equal">
      <formula>"Napkin Hs"</formula>
    </cfRule>
  </conditionalFormatting>
  <conditionalFormatting sqref="C135">
    <cfRule type="cellIs" dxfId="754" priority="745" stopIfTrue="1" operator="equal">
      <formula>"Towel"</formula>
    </cfRule>
    <cfRule type="cellIs" dxfId="753" priority="746" stopIfTrue="1" operator="equal">
      <formula>"Napkin Hs"</formula>
    </cfRule>
  </conditionalFormatting>
  <conditionalFormatting sqref="C135">
    <cfRule type="cellIs" dxfId="752" priority="747" stopIfTrue="1" operator="equal">
      <formula>"Towel"</formula>
    </cfRule>
  </conditionalFormatting>
  <conditionalFormatting sqref="B134:C134">
    <cfRule type="cellIs" dxfId="751" priority="743" stopIfTrue="1" operator="equal">
      <formula>"Towel"</formula>
    </cfRule>
    <cfRule type="cellIs" dxfId="750" priority="744" stopIfTrue="1" operator="equal">
      <formula>"Napkin Hs"</formula>
    </cfRule>
  </conditionalFormatting>
  <conditionalFormatting sqref="C134">
    <cfRule type="cellIs" dxfId="749" priority="739" stopIfTrue="1" operator="equal">
      <formula>"Towel"</formula>
    </cfRule>
    <cfRule type="cellIs" dxfId="748" priority="740" stopIfTrue="1" operator="equal">
      <formula>"Napkin Hs"</formula>
    </cfRule>
  </conditionalFormatting>
  <conditionalFormatting sqref="C134">
    <cfRule type="cellIs" dxfId="747" priority="741" stopIfTrue="1" operator="equal">
      <formula>"Towel"</formula>
    </cfRule>
    <cfRule type="cellIs" dxfId="746" priority="742" stopIfTrue="1" operator="equal">
      <formula>"Napkin Hs"</formula>
    </cfRule>
  </conditionalFormatting>
  <conditionalFormatting sqref="B134:C134">
    <cfRule type="cellIs" dxfId="745" priority="737" stopIfTrue="1" operator="equal">
      <formula>"Towel"</formula>
    </cfRule>
    <cfRule type="cellIs" dxfId="744" priority="738" stopIfTrue="1" operator="equal">
      <formula>"Napkin Hs"</formula>
    </cfRule>
  </conditionalFormatting>
  <conditionalFormatting sqref="C134">
    <cfRule type="cellIs" dxfId="743" priority="735" stopIfTrue="1" operator="equal">
      <formula>"Towel"</formula>
    </cfRule>
    <cfRule type="cellIs" dxfId="742" priority="736" stopIfTrue="1" operator="equal">
      <formula>"Napkin Hs"</formula>
    </cfRule>
  </conditionalFormatting>
  <conditionalFormatting sqref="C134">
    <cfRule type="cellIs" dxfId="741" priority="733" stopIfTrue="1" operator="equal">
      <formula>"Towel"</formula>
    </cfRule>
    <cfRule type="cellIs" dxfId="740" priority="734" stopIfTrue="1" operator="equal">
      <formula>"Napkin Hs"</formula>
    </cfRule>
  </conditionalFormatting>
  <conditionalFormatting sqref="C134">
    <cfRule type="cellIs" dxfId="739" priority="725" stopIfTrue="1" operator="equal">
      <formula>"Towel"</formula>
    </cfRule>
    <cfRule type="cellIs" dxfId="738" priority="726" stopIfTrue="1" operator="equal">
      <formula>"Napkin Hs"</formula>
    </cfRule>
  </conditionalFormatting>
  <conditionalFormatting sqref="B134:C134">
    <cfRule type="cellIs" dxfId="737" priority="727" stopIfTrue="1" operator="equal">
      <formula>"Towel"</formula>
    </cfRule>
    <cfRule type="cellIs" dxfId="736" priority="728" stopIfTrue="1" operator="equal">
      <formula>"Napkin Hs"</formula>
    </cfRule>
  </conditionalFormatting>
  <conditionalFormatting sqref="C134">
    <cfRule type="cellIs" dxfId="735" priority="723" stopIfTrue="1" operator="equal">
      <formula>"Towel"</formula>
    </cfRule>
    <cfRule type="cellIs" dxfId="734" priority="724" stopIfTrue="1" operator="equal">
      <formula>"Napkin Hs"</formula>
    </cfRule>
  </conditionalFormatting>
  <conditionalFormatting sqref="B134:C134">
    <cfRule type="cellIs" dxfId="733" priority="721" stopIfTrue="1" operator="equal">
      <formula>"Towel"</formula>
    </cfRule>
    <cfRule type="cellIs" dxfId="732" priority="722" stopIfTrue="1" operator="equal">
      <formula>"Napkin Hs"</formula>
    </cfRule>
  </conditionalFormatting>
  <conditionalFormatting sqref="C134">
    <cfRule type="cellIs" dxfId="731" priority="729" stopIfTrue="1" operator="equal">
      <formula>"Towel"</formula>
    </cfRule>
    <cfRule type="cellIs" dxfId="730" priority="730" stopIfTrue="1" operator="equal">
      <formula>"Napkin Hs"</formula>
    </cfRule>
  </conditionalFormatting>
  <conditionalFormatting sqref="C134">
    <cfRule type="cellIs" dxfId="729" priority="731" stopIfTrue="1" operator="equal">
      <formula>"Towel"</formula>
    </cfRule>
    <cfRule type="cellIs" dxfId="728" priority="732" stopIfTrue="1" operator="equal">
      <formula>"Napkin Hs"</formula>
    </cfRule>
  </conditionalFormatting>
  <conditionalFormatting sqref="B134:C134">
    <cfRule type="cellIs" dxfId="727" priority="719" stopIfTrue="1" operator="equal">
      <formula>"Towel"</formula>
    </cfRule>
    <cfRule type="cellIs" dxfId="726" priority="720" stopIfTrue="1" operator="equal">
      <formula>"Napkin Hs"</formula>
    </cfRule>
  </conditionalFormatting>
  <conditionalFormatting sqref="C134">
    <cfRule type="cellIs" dxfId="725" priority="718" stopIfTrue="1" operator="equal">
      <formula>"Napkin Hs"</formula>
    </cfRule>
  </conditionalFormatting>
  <conditionalFormatting sqref="C134">
    <cfRule type="cellIs" dxfId="724" priority="715" stopIfTrue="1" operator="equal">
      <formula>"Towel"</formula>
    </cfRule>
    <cfRule type="cellIs" dxfId="723" priority="716" stopIfTrue="1" operator="equal">
      <formula>"Napkin Hs"</formula>
    </cfRule>
  </conditionalFormatting>
  <conditionalFormatting sqref="C134">
    <cfRule type="cellIs" dxfId="722" priority="717" stopIfTrue="1" operator="equal">
      <formula>"Towel"</formula>
    </cfRule>
  </conditionalFormatting>
  <conditionalFormatting sqref="B144:C146">
    <cfRule type="cellIs" dxfId="721" priority="711" stopIfTrue="1" operator="equal">
      <formula>"Towel"</formula>
    </cfRule>
    <cfRule type="cellIs" dxfId="720" priority="712" stopIfTrue="1" operator="equal">
      <formula>"Napkin Hs"</formula>
    </cfRule>
  </conditionalFormatting>
  <conditionalFormatting sqref="C144:C146">
    <cfRule type="cellIs" dxfId="719" priority="713" stopIfTrue="1" operator="equal">
      <formula>"Towel"</formula>
    </cfRule>
    <cfRule type="cellIs" dxfId="718" priority="714" stopIfTrue="1" operator="equal">
      <formula>"Napkin Hs"</formula>
    </cfRule>
  </conditionalFormatting>
  <conditionalFormatting sqref="C144:C146">
    <cfRule type="cellIs" dxfId="717" priority="709" stopIfTrue="1" operator="equal">
      <formula>"Towel"</formula>
    </cfRule>
    <cfRule type="cellIs" dxfId="716" priority="710" stopIfTrue="1" operator="equal">
      <formula>"Napkin Hs"</formula>
    </cfRule>
  </conditionalFormatting>
  <conditionalFormatting sqref="B143:C143">
    <cfRule type="cellIs" dxfId="715" priority="707" stopIfTrue="1" operator="equal">
      <formula>"Towel"</formula>
    </cfRule>
    <cfRule type="cellIs" dxfId="714" priority="708" stopIfTrue="1" operator="equal">
      <formula>"Napkin Hs"</formula>
    </cfRule>
  </conditionalFormatting>
  <conditionalFormatting sqref="C143">
    <cfRule type="cellIs" dxfId="713" priority="703" stopIfTrue="1" operator="equal">
      <formula>"Towel"</formula>
    </cfRule>
    <cfRule type="cellIs" dxfId="712" priority="704" stopIfTrue="1" operator="equal">
      <formula>"Napkin Hs"</formula>
    </cfRule>
  </conditionalFormatting>
  <conditionalFormatting sqref="C143">
    <cfRule type="cellIs" dxfId="711" priority="705" stopIfTrue="1" operator="equal">
      <formula>"Towel"</formula>
    </cfRule>
    <cfRule type="cellIs" dxfId="710" priority="706" stopIfTrue="1" operator="equal">
      <formula>"Napkin Hs"</formula>
    </cfRule>
  </conditionalFormatting>
  <conditionalFormatting sqref="B144:C146">
    <cfRule type="cellIs" dxfId="709" priority="701" stopIfTrue="1" operator="equal">
      <formula>"Towel"</formula>
    </cfRule>
    <cfRule type="cellIs" dxfId="708" priority="702" stopIfTrue="1" operator="equal">
      <formula>"Napkin Hs"</formula>
    </cfRule>
  </conditionalFormatting>
  <conditionalFormatting sqref="C144:C146">
    <cfRule type="cellIs" dxfId="707" priority="699" stopIfTrue="1" operator="equal">
      <formula>"Towel"</formula>
    </cfRule>
    <cfRule type="cellIs" dxfId="706" priority="700" stopIfTrue="1" operator="equal">
      <formula>"Napkin Hs"</formula>
    </cfRule>
  </conditionalFormatting>
  <conditionalFormatting sqref="C144:C146">
    <cfRule type="cellIs" dxfId="705" priority="697" stopIfTrue="1" operator="equal">
      <formula>"Towel"</formula>
    </cfRule>
    <cfRule type="cellIs" dxfId="704" priority="698" stopIfTrue="1" operator="equal">
      <formula>"Napkin Hs"</formula>
    </cfRule>
  </conditionalFormatting>
  <conditionalFormatting sqref="B143:C143">
    <cfRule type="cellIs" dxfId="703" priority="695" stopIfTrue="1" operator="equal">
      <formula>"Towel"</formula>
    </cfRule>
    <cfRule type="cellIs" dxfId="702" priority="696" stopIfTrue="1" operator="equal">
      <formula>"Napkin Hs"</formula>
    </cfRule>
  </conditionalFormatting>
  <conditionalFormatting sqref="C143">
    <cfRule type="cellIs" dxfId="701" priority="693" stopIfTrue="1" operator="equal">
      <formula>"Towel"</formula>
    </cfRule>
    <cfRule type="cellIs" dxfId="700" priority="694" stopIfTrue="1" operator="equal">
      <formula>"Napkin Hs"</formula>
    </cfRule>
  </conditionalFormatting>
  <conditionalFormatting sqref="C143">
    <cfRule type="cellIs" dxfId="699" priority="691" stopIfTrue="1" operator="equal">
      <formula>"Towel"</formula>
    </cfRule>
    <cfRule type="cellIs" dxfId="698" priority="692" stopIfTrue="1" operator="equal">
      <formula>"Napkin Hs"</formula>
    </cfRule>
  </conditionalFormatting>
  <conditionalFormatting sqref="C143">
    <cfRule type="cellIs" dxfId="697" priority="683" stopIfTrue="1" operator="equal">
      <formula>"Towel"</formula>
    </cfRule>
    <cfRule type="cellIs" dxfId="696" priority="684" stopIfTrue="1" operator="equal">
      <formula>"Napkin Hs"</formula>
    </cfRule>
  </conditionalFormatting>
  <conditionalFormatting sqref="B143:C143">
    <cfRule type="cellIs" dxfId="695" priority="685" stopIfTrue="1" operator="equal">
      <formula>"Towel"</formula>
    </cfRule>
    <cfRule type="cellIs" dxfId="694" priority="686" stopIfTrue="1" operator="equal">
      <formula>"Napkin Hs"</formula>
    </cfRule>
  </conditionalFormatting>
  <conditionalFormatting sqref="C143">
    <cfRule type="cellIs" dxfId="693" priority="681" stopIfTrue="1" operator="equal">
      <formula>"Towel"</formula>
    </cfRule>
    <cfRule type="cellIs" dxfId="692" priority="682" stopIfTrue="1" operator="equal">
      <formula>"Napkin Hs"</formula>
    </cfRule>
  </conditionalFormatting>
  <conditionalFormatting sqref="B143:C143">
    <cfRule type="cellIs" dxfId="691" priority="679" stopIfTrue="1" operator="equal">
      <formula>"Towel"</formula>
    </cfRule>
    <cfRule type="cellIs" dxfId="690" priority="680" stopIfTrue="1" operator="equal">
      <formula>"Napkin Hs"</formula>
    </cfRule>
  </conditionalFormatting>
  <conditionalFormatting sqref="C143">
    <cfRule type="cellIs" dxfId="689" priority="687" stopIfTrue="1" operator="equal">
      <formula>"Towel"</formula>
    </cfRule>
    <cfRule type="cellIs" dxfId="688" priority="688" stopIfTrue="1" operator="equal">
      <formula>"Napkin Hs"</formula>
    </cfRule>
  </conditionalFormatting>
  <conditionalFormatting sqref="C143">
    <cfRule type="cellIs" dxfId="687" priority="689" stopIfTrue="1" operator="equal">
      <formula>"Towel"</formula>
    </cfRule>
    <cfRule type="cellIs" dxfId="686" priority="690" stopIfTrue="1" operator="equal">
      <formula>"Napkin Hs"</formula>
    </cfRule>
  </conditionalFormatting>
  <conditionalFormatting sqref="B144:C146">
    <cfRule type="cellIs" dxfId="685" priority="677" stopIfTrue="1" operator="equal">
      <formula>"Towel"</formula>
    </cfRule>
    <cfRule type="cellIs" dxfId="684" priority="678" stopIfTrue="1" operator="equal">
      <formula>"Napkin Hs"</formula>
    </cfRule>
  </conditionalFormatting>
  <conditionalFormatting sqref="C144:C146">
    <cfRule type="cellIs" dxfId="683" priority="676" stopIfTrue="1" operator="equal">
      <formula>"Napkin Hs"</formula>
    </cfRule>
  </conditionalFormatting>
  <conditionalFormatting sqref="C144:C146">
    <cfRule type="cellIs" dxfId="682" priority="673" stopIfTrue="1" operator="equal">
      <formula>"Towel"</formula>
    </cfRule>
    <cfRule type="cellIs" dxfId="681" priority="674" stopIfTrue="1" operator="equal">
      <formula>"Napkin Hs"</formula>
    </cfRule>
  </conditionalFormatting>
  <conditionalFormatting sqref="C144:C146">
    <cfRule type="cellIs" dxfId="680" priority="675" stopIfTrue="1" operator="equal">
      <formula>"Towel"</formula>
    </cfRule>
  </conditionalFormatting>
  <conditionalFormatting sqref="B143:C143">
    <cfRule type="cellIs" dxfId="679" priority="671" stopIfTrue="1" operator="equal">
      <formula>"Towel"</formula>
    </cfRule>
    <cfRule type="cellIs" dxfId="678" priority="672" stopIfTrue="1" operator="equal">
      <formula>"Napkin Hs"</formula>
    </cfRule>
  </conditionalFormatting>
  <conditionalFormatting sqref="C143">
    <cfRule type="cellIs" dxfId="677" priority="670" stopIfTrue="1" operator="equal">
      <formula>"Napkin Hs"</formula>
    </cfRule>
  </conditionalFormatting>
  <conditionalFormatting sqref="C143">
    <cfRule type="cellIs" dxfId="676" priority="667" stopIfTrue="1" operator="equal">
      <formula>"Towel"</formula>
    </cfRule>
    <cfRule type="cellIs" dxfId="675" priority="668" stopIfTrue="1" operator="equal">
      <formula>"Napkin Hs"</formula>
    </cfRule>
  </conditionalFormatting>
  <conditionalFormatting sqref="C143">
    <cfRule type="cellIs" dxfId="674" priority="669" stopIfTrue="1" operator="equal">
      <formula>"Towel"</formula>
    </cfRule>
  </conditionalFormatting>
  <conditionalFormatting sqref="B141:C142">
    <cfRule type="cellIs" dxfId="673" priority="665" stopIfTrue="1" operator="equal">
      <formula>"Towel"</formula>
    </cfRule>
    <cfRule type="cellIs" dxfId="672" priority="666" stopIfTrue="1" operator="equal">
      <formula>"Napkin Hs"</formula>
    </cfRule>
  </conditionalFormatting>
  <conditionalFormatting sqref="C141:C142">
    <cfRule type="cellIs" dxfId="671" priority="661" stopIfTrue="1" operator="equal">
      <formula>"Towel"</formula>
    </cfRule>
    <cfRule type="cellIs" dxfId="670" priority="662" stopIfTrue="1" operator="equal">
      <formula>"Napkin Hs"</formula>
    </cfRule>
  </conditionalFormatting>
  <conditionalFormatting sqref="C141:C142">
    <cfRule type="cellIs" dxfId="669" priority="663" stopIfTrue="1" operator="equal">
      <formula>"Towel"</formula>
    </cfRule>
    <cfRule type="cellIs" dxfId="668" priority="664" stopIfTrue="1" operator="equal">
      <formula>"Napkin Hs"</formula>
    </cfRule>
  </conditionalFormatting>
  <conditionalFormatting sqref="B141:C142">
    <cfRule type="cellIs" dxfId="667" priority="659" stopIfTrue="1" operator="equal">
      <formula>"Towel"</formula>
    </cfRule>
    <cfRule type="cellIs" dxfId="666" priority="660" stopIfTrue="1" operator="equal">
      <formula>"Napkin Hs"</formula>
    </cfRule>
  </conditionalFormatting>
  <conditionalFormatting sqref="C141:C142">
    <cfRule type="cellIs" dxfId="665" priority="657" stopIfTrue="1" operator="equal">
      <formula>"Towel"</formula>
    </cfRule>
    <cfRule type="cellIs" dxfId="664" priority="658" stopIfTrue="1" operator="equal">
      <formula>"Napkin Hs"</formula>
    </cfRule>
  </conditionalFormatting>
  <conditionalFormatting sqref="C141:C142">
    <cfRule type="cellIs" dxfId="663" priority="655" stopIfTrue="1" operator="equal">
      <formula>"Towel"</formula>
    </cfRule>
    <cfRule type="cellIs" dxfId="662" priority="656" stopIfTrue="1" operator="equal">
      <formula>"Napkin Hs"</formula>
    </cfRule>
  </conditionalFormatting>
  <conditionalFormatting sqref="C141:C142">
    <cfRule type="cellIs" dxfId="661" priority="647" stopIfTrue="1" operator="equal">
      <formula>"Towel"</formula>
    </cfRule>
    <cfRule type="cellIs" dxfId="660" priority="648" stopIfTrue="1" operator="equal">
      <formula>"Napkin Hs"</formula>
    </cfRule>
  </conditionalFormatting>
  <conditionalFormatting sqref="B141:C142">
    <cfRule type="cellIs" dxfId="659" priority="649" stopIfTrue="1" operator="equal">
      <formula>"Towel"</formula>
    </cfRule>
    <cfRule type="cellIs" dxfId="658" priority="650" stopIfTrue="1" operator="equal">
      <formula>"Napkin Hs"</formula>
    </cfRule>
  </conditionalFormatting>
  <conditionalFormatting sqref="C141:C142">
    <cfRule type="cellIs" dxfId="657" priority="645" stopIfTrue="1" operator="equal">
      <formula>"Towel"</formula>
    </cfRule>
    <cfRule type="cellIs" dxfId="656" priority="646" stopIfTrue="1" operator="equal">
      <formula>"Napkin Hs"</formula>
    </cfRule>
  </conditionalFormatting>
  <conditionalFormatting sqref="B141:C142">
    <cfRule type="cellIs" dxfId="655" priority="643" stopIfTrue="1" operator="equal">
      <formula>"Towel"</formula>
    </cfRule>
    <cfRule type="cellIs" dxfId="654" priority="644" stopIfTrue="1" operator="equal">
      <formula>"Napkin Hs"</formula>
    </cfRule>
  </conditionalFormatting>
  <conditionalFormatting sqref="C141:C142">
    <cfRule type="cellIs" dxfId="653" priority="651" stopIfTrue="1" operator="equal">
      <formula>"Towel"</formula>
    </cfRule>
    <cfRule type="cellIs" dxfId="652" priority="652" stopIfTrue="1" operator="equal">
      <formula>"Napkin Hs"</formula>
    </cfRule>
  </conditionalFormatting>
  <conditionalFormatting sqref="C141:C142">
    <cfRule type="cellIs" dxfId="651" priority="653" stopIfTrue="1" operator="equal">
      <formula>"Towel"</formula>
    </cfRule>
    <cfRule type="cellIs" dxfId="650" priority="654" stopIfTrue="1" operator="equal">
      <formula>"Napkin Hs"</formula>
    </cfRule>
  </conditionalFormatting>
  <conditionalFormatting sqref="B141:C142">
    <cfRule type="cellIs" dxfId="649" priority="641" stopIfTrue="1" operator="equal">
      <formula>"Towel"</formula>
    </cfRule>
    <cfRule type="cellIs" dxfId="648" priority="642" stopIfTrue="1" operator="equal">
      <formula>"Napkin Hs"</formula>
    </cfRule>
  </conditionalFormatting>
  <conditionalFormatting sqref="C141:C142">
    <cfRule type="cellIs" dxfId="647" priority="640" stopIfTrue="1" operator="equal">
      <formula>"Napkin Hs"</formula>
    </cfRule>
  </conditionalFormatting>
  <conditionalFormatting sqref="C141:C142">
    <cfRule type="cellIs" dxfId="646" priority="637" stopIfTrue="1" operator="equal">
      <formula>"Towel"</formula>
    </cfRule>
    <cfRule type="cellIs" dxfId="645" priority="638" stopIfTrue="1" operator="equal">
      <formula>"Napkin Hs"</formula>
    </cfRule>
  </conditionalFormatting>
  <conditionalFormatting sqref="C141:C142">
    <cfRule type="cellIs" dxfId="644" priority="639" stopIfTrue="1" operator="equal">
      <formula>"Towel"</formula>
    </cfRule>
  </conditionalFormatting>
  <conditionalFormatting sqref="B147:C147">
    <cfRule type="cellIs" dxfId="643" priority="635" stopIfTrue="1" operator="equal">
      <formula>"Towel"</formula>
    </cfRule>
    <cfRule type="cellIs" dxfId="642" priority="636" stopIfTrue="1" operator="equal">
      <formula>"Napkin Hs"</formula>
    </cfRule>
  </conditionalFormatting>
  <conditionalFormatting sqref="C147">
    <cfRule type="cellIs" dxfId="641" priority="634" stopIfTrue="1" operator="equal">
      <formula>"Napkin Hs"</formula>
    </cfRule>
  </conditionalFormatting>
  <conditionalFormatting sqref="C147">
    <cfRule type="cellIs" dxfId="640" priority="631" stopIfTrue="1" operator="equal">
      <formula>"Towel"</formula>
    </cfRule>
    <cfRule type="cellIs" dxfId="639" priority="632" stopIfTrue="1" operator="equal">
      <formula>"Napkin Hs"</formula>
    </cfRule>
  </conditionalFormatting>
  <conditionalFormatting sqref="C147">
    <cfRule type="cellIs" dxfId="638" priority="633" stopIfTrue="1" operator="equal">
      <formula>"Towel"</formula>
    </cfRule>
  </conditionalFormatting>
  <conditionalFormatting sqref="B152:C153">
    <cfRule type="cellIs" dxfId="637" priority="627" stopIfTrue="1" operator="equal">
      <formula>"Towel"</formula>
    </cfRule>
    <cfRule type="cellIs" dxfId="636" priority="628" stopIfTrue="1" operator="equal">
      <formula>"Napkin Hs"</formula>
    </cfRule>
  </conditionalFormatting>
  <conditionalFormatting sqref="C152:C153">
    <cfRule type="cellIs" dxfId="635" priority="629" stopIfTrue="1" operator="equal">
      <formula>"Towel"</formula>
    </cfRule>
    <cfRule type="cellIs" dxfId="634" priority="630" stopIfTrue="1" operator="equal">
      <formula>"Napkin Hs"</formula>
    </cfRule>
  </conditionalFormatting>
  <conditionalFormatting sqref="C152:C153">
    <cfRule type="cellIs" dxfId="633" priority="625" stopIfTrue="1" operator="equal">
      <formula>"Towel"</formula>
    </cfRule>
    <cfRule type="cellIs" dxfId="632" priority="626" stopIfTrue="1" operator="equal">
      <formula>"Napkin Hs"</formula>
    </cfRule>
  </conditionalFormatting>
  <conditionalFormatting sqref="B151:C151">
    <cfRule type="cellIs" dxfId="631" priority="623" stopIfTrue="1" operator="equal">
      <formula>"Towel"</formula>
    </cfRule>
    <cfRule type="cellIs" dxfId="630" priority="624" stopIfTrue="1" operator="equal">
      <formula>"Napkin Hs"</formula>
    </cfRule>
  </conditionalFormatting>
  <conditionalFormatting sqref="C151">
    <cfRule type="cellIs" dxfId="629" priority="619" stopIfTrue="1" operator="equal">
      <formula>"Towel"</formula>
    </cfRule>
    <cfRule type="cellIs" dxfId="628" priority="620" stopIfTrue="1" operator="equal">
      <formula>"Napkin Hs"</formula>
    </cfRule>
  </conditionalFormatting>
  <conditionalFormatting sqref="C151">
    <cfRule type="cellIs" dxfId="627" priority="621" stopIfTrue="1" operator="equal">
      <formula>"Towel"</formula>
    </cfRule>
    <cfRule type="cellIs" dxfId="626" priority="622" stopIfTrue="1" operator="equal">
      <formula>"Napkin Hs"</formula>
    </cfRule>
  </conditionalFormatting>
  <conditionalFormatting sqref="B152:C153">
    <cfRule type="cellIs" dxfId="625" priority="617" stopIfTrue="1" operator="equal">
      <formula>"Towel"</formula>
    </cfRule>
    <cfRule type="cellIs" dxfId="624" priority="618" stopIfTrue="1" operator="equal">
      <formula>"Napkin Hs"</formula>
    </cfRule>
  </conditionalFormatting>
  <conditionalFormatting sqref="C152:C153">
    <cfRule type="cellIs" dxfId="623" priority="615" stopIfTrue="1" operator="equal">
      <formula>"Towel"</formula>
    </cfRule>
    <cfRule type="cellIs" dxfId="622" priority="616" stopIfTrue="1" operator="equal">
      <formula>"Napkin Hs"</formula>
    </cfRule>
  </conditionalFormatting>
  <conditionalFormatting sqref="C152:C153">
    <cfRule type="cellIs" dxfId="621" priority="613" stopIfTrue="1" operator="equal">
      <formula>"Towel"</formula>
    </cfRule>
    <cfRule type="cellIs" dxfId="620" priority="614" stopIfTrue="1" operator="equal">
      <formula>"Napkin Hs"</formula>
    </cfRule>
  </conditionalFormatting>
  <conditionalFormatting sqref="B151:C151">
    <cfRule type="cellIs" dxfId="619" priority="611" stopIfTrue="1" operator="equal">
      <formula>"Towel"</formula>
    </cfRule>
    <cfRule type="cellIs" dxfId="618" priority="612" stopIfTrue="1" operator="equal">
      <formula>"Napkin Hs"</formula>
    </cfRule>
  </conditionalFormatting>
  <conditionalFormatting sqref="C151">
    <cfRule type="cellIs" dxfId="617" priority="609" stopIfTrue="1" operator="equal">
      <formula>"Towel"</formula>
    </cfRule>
    <cfRule type="cellIs" dxfId="616" priority="610" stopIfTrue="1" operator="equal">
      <formula>"Napkin Hs"</formula>
    </cfRule>
  </conditionalFormatting>
  <conditionalFormatting sqref="C151">
    <cfRule type="cellIs" dxfId="615" priority="607" stopIfTrue="1" operator="equal">
      <formula>"Towel"</formula>
    </cfRule>
    <cfRule type="cellIs" dxfId="614" priority="608" stopIfTrue="1" operator="equal">
      <formula>"Napkin Hs"</formula>
    </cfRule>
  </conditionalFormatting>
  <conditionalFormatting sqref="C151">
    <cfRule type="cellIs" dxfId="613" priority="599" stopIfTrue="1" operator="equal">
      <formula>"Towel"</formula>
    </cfRule>
    <cfRule type="cellIs" dxfId="612" priority="600" stopIfTrue="1" operator="equal">
      <formula>"Napkin Hs"</formula>
    </cfRule>
  </conditionalFormatting>
  <conditionalFormatting sqref="B151:C151">
    <cfRule type="cellIs" dxfId="611" priority="601" stopIfTrue="1" operator="equal">
      <formula>"Towel"</formula>
    </cfRule>
    <cfRule type="cellIs" dxfId="610" priority="602" stopIfTrue="1" operator="equal">
      <formula>"Napkin Hs"</formula>
    </cfRule>
  </conditionalFormatting>
  <conditionalFormatting sqref="C151">
    <cfRule type="cellIs" dxfId="609" priority="597" stopIfTrue="1" operator="equal">
      <formula>"Towel"</formula>
    </cfRule>
    <cfRule type="cellIs" dxfId="608" priority="598" stopIfTrue="1" operator="equal">
      <formula>"Napkin Hs"</formula>
    </cfRule>
  </conditionalFormatting>
  <conditionalFormatting sqref="B151:C151">
    <cfRule type="cellIs" dxfId="607" priority="595" stopIfTrue="1" operator="equal">
      <formula>"Towel"</formula>
    </cfRule>
    <cfRule type="cellIs" dxfId="606" priority="596" stopIfTrue="1" operator="equal">
      <formula>"Napkin Hs"</formula>
    </cfRule>
  </conditionalFormatting>
  <conditionalFormatting sqref="C151">
    <cfRule type="cellIs" dxfId="605" priority="603" stopIfTrue="1" operator="equal">
      <formula>"Towel"</formula>
    </cfRule>
    <cfRule type="cellIs" dxfId="604" priority="604" stopIfTrue="1" operator="equal">
      <formula>"Napkin Hs"</formula>
    </cfRule>
  </conditionalFormatting>
  <conditionalFormatting sqref="C151">
    <cfRule type="cellIs" dxfId="603" priority="605" stopIfTrue="1" operator="equal">
      <formula>"Towel"</formula>
    </cfRule>
    <cfRule type="cellIs" dxfId="602" priority="606" stopIfTrue="1" operator="equal">
      <formula>"Napkin Hs"</formula>
    </cfRule>
  </conditionalFormatting>
  <conditionalFormatting sqref="B152:C153">
    <cfRule type="cellIs" dxfId="601" priority="593" stopIfTrue="1" operator="equal">
      <formula>"Towel"</formula>
    </cfRule>
    <cfRule type="cellIs" dxfId="600" priority="594" stopIfTrue="1" operator="equal">
      <formula>"Napkin Hs"</formula>
    </cfRule>
  </conditionalFormatting>
  <conditionalFormatting sqref="C152:C153">
    <cfRule type="cellIs" dxfId="599" priority="592" stopIfTrue="1" operator="equal">
      <formula>"Napkin Hs"</formula>
    </cfRule>
  </conditionalFormatting>
  <conditionalFormatting sqref="C152:C153">
    <cfRule type="cellIs" dxfId="598" priority="589" stopIfTrue="1" operator="equal">
      <formula>"Towel"</formula>
    </cfRule>
    <cfRule type="cellIs" dxfId="597" priority="590" stopIfTrue="1" operator="equal">
      <formula>"Napkin Hs"</formula>
    </cfRule>
  </conditionalFormatting>
  <conditionalFormatting sqref="C152:C153">
    <cfRule type="cellIs" dxfId="596" priority="591" stopIfTrue="1" operator="equal">
      <formula>"Towel"</formula>
    </cfRule>
  </conditionalFormatting>
  <conditionalFormatting sqref="B151:C151">
    <cfRule type="cellIs" dxfId="595" priority="587" stopIfTrue="1" operator="equal">
      <formula>"Towel"</formula>
    </cfRule>
    <cfRule type="cellIs" dxfId="594" priority="588" stopIfTrue="1" operator="equal">
      <formula>"Napkin Hs"</formula>
    </cfRule>
  </conditionalFormatting>
  <conditionalFormatting sqref="C151">
    <cfRule type="cellIs" dxfId="593" priority="586" stopIfTrue="1" operator="equal">
      <formula>"Napkin Hs"</formula>
    </cfRule>
  </conditionalFormatting>
  <conditionalFormatting sqref="C151">
    <cfRule type="cellIs" dxfId="592" priority="583" stopIfTrue="1" operator="equal">
      <formula>"Towel"</formula>
    </cfRule>
    <cfRule type="cellIs" dxfId="591" priority="584" stopIfTrue="1" operator="equal">
      <formula>"Napkin Hs"</formula>
    </cfRule>
  </conditionalFormatting>
  <conditionalFormatting sqref="C151">
    <cfRule type="cellIs" dxfId="590" priority="585" stopIfTrue="1" operator="equal">
      <formula>"Towel"</formula>
    </cfRule>
  </conditionalFormatting>
  <conditionalFormatting sqref="B150:C150">
    <cfRule type="cellIs" dxfId="589" priority="581" stopIfTrue="1" operator="equal">
      <formula>"Towel"</formula>
    </cfRule>
    <cfRule type="cellIs" dxfId="588" priority="582" stopIfTrue="1" operator="equal">
      <formula>"Napkin Hs"</formula>
    </cfRule>
  </conditionalFormatting>
  <conditionalFormatting sqref="C150">
    <cfRule type="cellIs" dxfId="587" priority="577" stopIfTrue="1" operator="equal">
      <formula>"Towel"</formula>
    </cfRule>
    <cfRule type="cellIs" dxfId="586" priority="578" stopIfTrue="1" operator="equal">
      <formula>"Napkin Hs"</formula>
    </cfRule>
  </conditionalFormatting>
  <conditionalFormatting sqref="C150">
    <cfRule type="cellIs" dxfId="585" priority="579" stopIfTrue="1" operator="equal">
      <formula>"Towel"</formula>
    </cfRule>
    <cfRule type="cellIs" dxfId="584" priority="580" stopIfTrue="1" operator="equal">
      <formula>"Napkin Hs"</formula>
    </cfRule>
  </conditionalFormatting>
  <conditionalFormatting sqref="B150:C150">
    <cfRule type="cellIs" dxfId="583" priority="575" stopIfTrue="1" operator="equal">
      <formula>"Towel"</formula>
    </cfRule>
    <cfRule type="cellIs" dxfId="582" priority="576" stopIfTrue="1" operator="equal">
      <formula>"Napkin Hs"</formula>
    </cfRule>
  </conditionalFormatting>
  <conditionalFormatting sqref="C150">
    <cfRule type="cellIs" dxfId="581" priority="573" stopIfTrue="1" operator="equal">
      <formula>"Towel"</formula>
    </cfRule>
    <cfRule type="cellIs" dxfId="580" priority="574" stopIfTrue="1" operator="equal">
      <formula>"Napkin Hs"</formula>
    </cfRule>
  </conditionalFormatting>
  <conditionalFormatting sqref="C150">
    <cfRule type="cellIs" dxfId="579" priority="571" stopIfTrue="1" operator="equal">
      <formula>"Towel"</formula>
    </cfRule>
    <cfRule type="cellIs" dxfId="578" priority="572" stopIfTrue="1" operator="equal">
      <formula>"Napkin Hs"</formula>
    </cfRule>
  </conditionalFormatting>
  <conditionalFormatting sqref="C150">
    <cfRule type="cellIs" dxfId="577" priority="563" stopIfTrue="1" operator="equal">
      <formula>"Towel"</formula>
    </cfRule>
    <cfRule type="cellIs" dxfId="576" priority="564" stopIfTrue="1" operator="equal">
      <formula>"Napkin Hs"</formula>
    </cfRule>
  </conditionalFormatting>
  <conditionalFormatting sqref="B150:C150">
    <cfRule type="cellIs" dxfId="575" priority="565" stopIfTrue="1" operator="equal">
      <formula>"Towel"</formula>
    </cfRule>
    <cfRule type="cellIs" dxfId="574" priority="566" stopIfTrue="1" operator="equal">
      <formula>"Napkin Hs"</formula>
    </cfRule>
  </conditionalFormatting>
  <conditionalFormatting sqref="C150">
    <cfRule type="cellIs" dxfId="573" priority="561" stopIfTrue="1" operator="equal">
      <formula>"Towel"</formula>
    </cfRule>
    <cfRule type="cellIs" dxfId="572" priority="562" stopIfTrue="1" operator="equal">
      <formula>"Napkin Hs"</formula>
    </cfRule>
  </conditionalFormatting>
  <conditionalFormatting sqref="B150:C150">
    <cfRule type="cellIs" dxfId="571" priority="559" stopIfTrue="1" operator="equal">
      <formula>"Towel"</formula>
    </cfRule>
    <cfRule type="cellIs" dxfId="570" priority="560" stopIfTrue="1" operator="equal">
      <formula>"Napkin Hs"</formula>
    </cfRule>
  </conditionalFormatting>
  <conditionalFormatting sqref="C150">
    <cfRule type="cellIs" dxfId="569" priority="567" stopIfTrue="1" operator="equal">
      <formula>"Towel"</formula>
    </cfRule>
    <cfRule type="cellIs" dxfId="568" priority="568" stopIfTrue="1" operator="equal">
      <formula>"Napkin Hs"</formula>
    </cfRule>
  </conditionalFormatting>
  <conditionalFormatting sqref="C150">
    <cfRule type="cellIs" dxfId="567" priority="569" stopIfTrue="1" operator="equal">
      <formula>"Towel"</formula>
    </cfRule>
    <cfRule type="cellIs" dxfId="566" priority="570" stopIfTrue="1" operator="equal">
      <formula>"Napkin Hs"</formula>
    </cfRule>
  </conditionalFormatting>
  <conditionalFormatting sqref="B150:C150">
    <cfRule type="cellIs" dxfId="565" priority="557" stopIfTrue="1" operator="equal">
      <formula>"Towel"</formula>
    </cfRule>
    <cfRule type="cellIs" dxfId="564" priority="558" stopIfTrue="1" operator="equal">
      <formula>"Napkin Hs"</formula>
    </cfRule>
  </conditionalFormatting>
  <conditionalFormatting sqref="C150">
    <cfRule type="cellIs" dxfId="563" priority="556" stopIfTrue="1" operator="equal">
      <formula>"Napkin Hs"</formula>
    </cfRule>
  </conditionalFormatting>
  <conditionalFormatting sqref="C150">
    <cfRule type="cellIs" dxfId="562" priority="553" stopIfTrue="1" operator="equal">
      <formula>"Towel"</formula>
    </cfRule>
    <cfRule type="cellIs" dxfId="561" priority="554" stopIfTrue="1" operator="equal">
      <formula>"Napkin Hs"</formula>
    </cfRule>
  </conditionalFormatting>
  <conditionalFormatting sqref="C150">
    <cfRule type="cellIs" dxfId="560" priority="555" stopIfTrue="1" operator="equal">
      <formula>"Towel"</formula>
    </cfRule>
  </conditionalFormatting>
  <conditionalFormatting sqref="B149:C149">
    <cfRule type="cellIs" dxfId="559" priority="551" stopIfTrue="1" operator="equal">
      <formula>"Towel"</formula>
    </cfRule>
    <cfRule type="cellIs" dxfId="558" priority="552" stopIfTrue="1" operator="equal">
      <formula>"Napkin Hs"</formula>
    </cfRule>
  </conditionalFormatting>
  <conditionalFormatting sqref="C149">
    <cfRule type="cellIs" dxfId="557" priority="547" stopIfTrue="1" operator="equal">
      <formula>"Towel"</formula>
    </cfRule>
    <cfRule type="cellIs" dxfId="556" priority="548" stopIfTrue="1" operator="equal">
      <formula>"Napkin Hs"</formula>
    </cfRule>
  </conditionalFormatting>
  <conditionalFormatting sqref="C149">
    <cfRule type="cellIs" dxfId="555" priority="549" stopIfTrue="1" operator="equal">
      <formula>"Towel"</formula>
    </cfRule>
    <cfRule type="cellIs" dxfId="554" priority="550" stopIfTrue="1" operator="equal">
      <formula>"Napkin Hs"</formula>
    </cfRule>
  </conditionalFormatting>
  <conditionalFormatting sqref="B149:C149">
    <cfRule type="cellIs" dxfId="553" priority="545" stopIfTrue="1" operator="equal">
      <formula>"Towel"</formula>
    </cfRule>
    <cfRule type="cellIs" dxfId="552" priority="546" stopIfTrue="1" operator="equal">
      <formula>"Napkin Hs"</formula>
    </cfRule>
  </conditionalFormatting>
  <conditionalFormatting sqref="C149">
    <cfRule type="cellIs" dxfId="551" priority="543" stopIfTrue="1" operator="equal">
      <formula>"Towel"</formula>
    </cfRule>
    <cfRule type="cellIs" dxfId="550" priority="544" stopIfTrue="1" operator="equal">
      <formula>"Napkin Hs"</formula>
    </cfRule>
  </conditionalFormatting>
  <conditionalFormatting sqref="C149">
    <cfRule type="cellIs" dxfId="549" priority="541" stopIfTrue="1" operator="equal">
      <formula>"Towel"</formula>
    </cfRule>
    <cfRule type="cellIs" dxfId="548" priority="542" stopIfTrue="1" operator="equal">
      <formula>"Napkin Hs"</formula>
    </cfRule>
  </conditionalFormatting>
  <conditionalFormatting sqref="C149">
    <cfRule type="cellIs" dxfId="547" priority="533" stopIfTrue="1" operator="equal">
      <formula>"Towel"</formula>
    </cfRule>
    <cfRule type="cellIs" dxfId="546" priority="534" stopIfTrue="1" operator="equal">
      <formula>"Napkin Hs"</formula>
    </cfRule>
  </conditionalFormatting>
  <conditionalFormatting sqref="B149:C149">
    <cfRule type="cellIs" dxfId="545" priority="535" stopIfTrue="1" operator="equal">
      <formula>"Towel"</formula>
    </cfRule>
    <cfRule type="cellIs" dxfId="544" priority="536" stopIfTrue="1" operator="equal">
      <formula>"Napkin Hs"</formula>
    </cfRule>
  </conditionalFormatting>
  <conditionalFormatting sqref="C149">
    <cfRule type="cellIs" dxfId="543" priority="531" stopIfTrue="1" operator="equal">
      <formula>"Towel"</formula>
    </cfRule>
    <cfRule type="cellIs" dxfId="542" priority="532" stopIfTrue="1" operator="equal">
      <formula>"Napkin Hs"</formula>
    </cfRule>
  </conditionalFormatting>
  <conditionalFormatting sqref="B149:C149">
    <cfRule type="cellIs" dxfId="541" priority="529" stopIfTrue="1" operator="equal">
      <formula>"Towel"</formula>
    </cfRule>
    <cfRule type="cellIs" dxfId="540" priority="530" stopIfTrue="1" operator="equal">
      <formula>"Napkin Hs"</formula>
    </cfRule>
  </conditionalFormatting>
  <conditionalFormatting sqref="C149">
    <cfRule type="cellIs" dxfId="539" priority="537" stopIfTrue="1" operator="equal">
      <formula>"Towel"</formula>
    </cfRule>
    <cfRule type="cellIs" dxfId="538" priority="538" stopIfTrue="1" operator="equal">
      <formula>"Napkin Hs"</formula>
    </cfRule>
  </conditionalFormatting>
  <conditionalFormatting sqref="C149">
    <cfRule type="cellIs" dxfId="537" priority="539" stopIfTrue="1" operator="equal">
      <formula>"Towel"</formula>
    </cfRule>
    <cfRule type="cellIs" dxfId="536" priority="540" stopIfTrue="1" operator="equal">
      <formula>"Napkin Hs"</formula>
    </cfRule>
  </conditionalFormatting>
  <conditionalFormatting sqref="B149:C149">
    <cfRule type="cellIs" dxfId="535" priority="527" stopIfTrue="1" operator="equal">
      <formula>"Towel"</formula>
    </cfRule>
    <cfRule type="cellIs" dxfId="534" priority="528" stopIfTrue="1" operator="equal">
      <formula>"Napkin Hs"</formula>
    </cfRule>
  </conditionalFormatting>
  <conditionalFormatting sqref="C149">
    <cfRule type="cellIs" dxfId="533" priority="526" stopIfTrue="1" operator="equal">
      <formula>"Napkin Hs"</formula>
    </cfRule>
  </conditionalFormatting>
  <conditionalFormatting sqref="C149">
    <cfRule type="cellIs" dxfId="532" priority="523" stopIfTrue="1" operator="equal">
      <formula>"Towel"</formula>
    </cfRule>
    <cfRule type="cellIs" dxfId="531" priority="524" stopIfTrue="1" operator="equal">
      <formula>"Napkin Hs"</formula>
    </cfRule>
  </conditionalFormatting>
  <conditionalFormatting sqref="C149">
    <cfRule type="cellIs" dxfId="530" priority="525" stopIfTrue="1" operator="equal">
      <formula>"Towel"</formula>
    </cfRule>
  </conditionalFormatting>
  <conditionalFormatting sqref="B154:C155">
    <cfRule type="cellIs" dxfId="529" priority="521" stopIfTrue="1" operator="equal">
      <formula>"Towel"</formula>
    </cfRule>
    <cfRule type="cellIs" dxfId="528" priority="522" stopIfTrue="1" operator="equal">
      <formula>"Napkin Hs"</formula>
    </cfRule>
  </conditionalFormatting>
  <conditionalFormatting sqref="C154:C155">
    <cfRule type="cellIs" dxfId="527" priority="520" stopIfTrue="1" operator="equal">
      <formula>"Napkin Hs"</formula>
    </cfRule>
  </conditionalFormatting>
  <conditionalFormatting sqref="C154:C155">
    <cfRule type="cellIs" dxfId="526" priority="517" stopIfTrue="1" operator="equal">
      <formula>"Towel"</formula>
    </cfRule>
    <cfRule type="cellIs" dxfId="525" priority="518" stopIfTrue="1" operator="equal">
      <formula>"Napkin Hs"</formula>
    </cfRule>
  </conditionalFormatting>
  <conditionalFormatting sqref="C154:C155">
    <cfRule type="cellIs" dxfId="524" priority="519" stopIfTrue="1" operator="equal">
      <formula>"Towel"</formula>
    </cfRule>
  </conditionalFormatting>
  <conditionalFormatting sqref="B160:C160">
    <cfRule type="cellIs" dxfId="523" priority="513" stopIfTrue="1" operator="equal">
      <formula>"Towel"</formula>
    </cfRule>
    <cfRule type="cellIs" dxfId="522" priority="514" stopIfTrue="1" operator="equal">
      <formula>"Napkin Hs"</formula>
    </cfRule>
  </conditionalFormatting>
  <conditionalFormatting sqref="C160">
    <cfRule type="cellIs" dxfId="521" priority="515" stopIfTrue="1" operator="equal">
      <formula>"Towel"</formula>
    </cfRule>
    <cfRule type="cellIs" dxfId="520" priority="516" stopIfTrue="1" operator="equal">
      <formula>"Napkin Hs"</formula>
    </cfRule>
  </conditionalFormatting>
  <conditionalFormatting sqref="C160">
    <cfRule type="cellIs" dxfId="519" priority="511" stopIfTrue="1" operator="equal">
      <formula>"Towel"</formula>
    </cfRule>
    <cfRule type="cellIs" dxfId="518" priority="512" stopIfTrue="1" operator="equal">
      <formula>"Napkin Hs"</formula>
    </cfRule>
  </conditionalFormatting>
  <conditionalFormatting sqref="B159:C159">
    <cfRule type="cellIs" dxfId="517" priority="509" stopIfTrue="1" operator="equal">
      <formula>"Towel"</formula>
    </cfRule>
    <cfRule type="cellIs" dxfId="516" priority="510" stopIfTrue="1" operator="equal">
      <formula>"Napkin Hs"</formula>
    </cfRule>
  </conditionalFormatting>
  <conditionalFormatting sqref="C159">
    <cfRule type="cellIs" dxfId="515" priority="505" stopIfTrue="1" operator="equal">
      <formula>"Towel"</formula>
    </cfRule>
    <cfRule type="cellIs" dxfId="514" priority="506" stopIfTrue="1" operator="equal">
      <formula>"Napkin Hs"</formula>
    </cfRule>
  </conditionalFormatting>
  <conditionalFormatting sqref="C159">
    <cfRule type="cellIs" dxfId="513" priority="507" stopIfTrue="1" operator="equal">
      <formula>"Towel"</formula>
    </cfRule>
    <cfRule type="cellIs" dxfId="512" priority="508" stopIfTrue="1" operator="equal">
      <formula>"Napkin Hs"</formula>
    </cfRule>
  </conditionalFormatting>
  <conditionalFormatting sqref="B160:C160">
    <cfRule type="cellIs" dxfId="511" priority="503" stopIfTrue="1" operator="equal">
      <formula>"Towel"</formula>
    </cfRule>
    <cfRule type="cellIs" dxfId="510" priority="504" stopIfTrue="1" operator="equal">
      <formula>"Napkin Hs"</formula>
    </cfRule>
  </conditionalFormatting>
  <conditionalFormatting sqref="C160">
    <cfRule type="cellIs" dxfId="509" priority="501" stopIfTrue="1" operator="equal">
      <formula>"Towel"</formula>
    </cfRule>
    <cfRule type="cellIs" dxfId="508" priority="502" stopIfTrue="1" operator="equal">
      <formula>"Napkin Hs"</formula>
    </cfRule>
  </conditionalFormatting>
  <conditionalFormatting sqref="C160">
    <cfRule type="cellIs" dxfId="507" priority="499" stopIfTrue="1" operator="equal">
      <formula>"Towel"</formula>
    </cfRule>
    <cfRule type="cellIs" dxfId="506" priority="500" stopIfTrue="1" operator="equal">
      <formula>"Napkin Hs"</formula>
    </cfRule>
  </conditionalFormatting>
  <conditionalFormatting sqref="B159:C159">
    <cfRule type="cellIs" dxfId="505" priority="497" stopIfTrue="1" operator="equal">
      <formula>"Towel"</formula>
    </cfRule>
    <cfRule type="cellIs" dxfId="504" priority="498" stopIfTrue="1" operator="equal">
      <formula>"Napkin Hs"</formula>
    </cfRule>
  </conditionalFormatting>
  <conditionalFormatting sqref="C159">
    <cfRule type="cellIs" dxfId="503" priority="495" stopIfTrue="1" operator="equal">
      <formula>"Towel"</formula>
    </cfRule>
    <cfRule type="cellIs" dxfId="502" priority="496" stopIfTrue="1" operator="equal">
      <formula>"Napkin Hs"</formula>
    </cfRule>
  </conditionalFormatting>
  <conditionalFormatting sqref="C159">
    <cfRule type="cellIs" dxfId="501" priority="493" stopIfTrue="1" operator="equal">
      <formula>"Towel"</formula>
    </cfRule>
    <cfRule type="cellIs" dxfId="500" priority="494" stopIfTrue="1" operator="equal">
      <formula>"Napkin Hs"</formula>
    </cfRule>
  </conditionalFormatting>
  <conditionalFormatting sqref="C159">
    <cfRule type="cellIs" dxfId="499" priority="485" stopIfTrue="1" operator="equal">
      <formula>"Towel"</formula>
    </cfRule>
    <cfRule type="cellIs" dxfId="498" priority="486" stopIfTrue="1" operator="equal">
      <formula>"Napkin Hs"</formula>
    </cfRule>
  </conditionalFormatting>
  <conditionalFormatting sqref="B159:C159">
    <cfRule type="cellIs" dxfId="497" priority="487" stopIfTrue="1" operator="equal">
      <formula>"Towel"</formula>
    </cfRule>
    <cfRule type="cellIs" dxfId="496" priority="488" stopIfTrue="1" operator="equal">
      <formula>"Napkin Hs"</formula>
    </cfRule>
  </conditionalFormatting>
  <conditionalFormatting sqref="C159">
    <cfRule type="cellIs" dxfId="495" priority="483" stopIfTrue="1" operator="equal">
      <formula>"Towel"</formula>
    </cfRule>
    <cfRule type="cellIs" dxfId="494" priority="484" stopIfTrue="1" operator="equal">
      <formula>"Napkin Hs"</formula>
    </cfRule>
  </conditionalFormatting>
  <conditionalFormatting sqref="B159:C159">
    <cfRule type="cellIs" dxfId="493" priority="481" stopIfTrue="1" operator="equal">
      <formula>"Towel"</formula>
    </cfRule>
    <cfRule type="cellIs" dxfId="492" priority="482" stopIfTrue="1" operator="equal">
      <formula>"Napkin Hs"</formula>
    </cfRule>
  </conditionalFormatting>
  <conditionalFormatting sqref="C159">
    <cfRule type="cellIs" dxfId="491" priority="489" stopIfTrue="1" operator="equal">
      <formula>"Towel"</formula>
    </cfRule>
    <cfRule type="cellIs" dxfId="490" priority="490" stopIfTrue="1" operator="equal">
      <formula>"Napkin Hs"</formula>
    </cfRule>
  </conditionalFormatting>
  <conditionalFormatting sqref="C159">
    <cfRule type="cellIs" dxfId="489" priority="491" stopIfTrue="1" operator="equal">
      <formula>"Towel"</formula>
    </cfRule>
    <cfRule type="cellIs" dxfId="488" priority="492" stopIfTrue="1" operator="equal">
      <formula>"Napkin Hs"</formula>
    </cfRule>
  </conditionalFormatting>
  <conditionalFormatting sqref="B160:C160">
    <cfRule type="cellIs" dxfId="487" priority="479" stopIfTrue="1" operator="equal">
      <formula>"Towel"</formula>
    </cfRule>
    <cfRule type="cellIs" dxfId="486" priority="480" stopIfTrue="1" operator="equal">
      <formula>"Napkin Hs"</formula>
    </cfRule>
  </conditionalFormatting>
  <conditionalFormatting sqref="C160">
    <cfRule type="cellIs" dxfId="485" priority="478" stopIfTrue="1" operator="equal">
      <formula>"Napkin Hs"</formula>
    </cfRule>
  </conditionalFormatting>
  <conditionalFormatting sqref="C160">
    <cfRule type="cellIs" dxfId="484" priority="475" stopIfTrue="1" operator="equal">
      <formula>"Towel"</formula>
    </cfRule>
    <cfRule type="cellIs" dxfId="483" priority="476" stopIfTrue="1" operator="equal">
      <formula>"Napkin Hs"</formula>
    </cfRule>
  </conditionalFormatting>
  <conditionalFormatting sqref="C160">
    <cfRule type="cellIs" dxfId="482" priority="477" stopIfTrue="1" operator="equal">
      <formula>"Towel"</formula>
    </cfRule>
  </conditionalFormatting>
  <conditionalFormatting sqref="B159:C159">
    <cfRule type="cellIs" dxfId="481" priority="473" stopIfTrue="1" operator="equal">
      <formula>"Towel"</formula>
    </cfRule>
    <cfRule type="cellIs" dxfId="480" priority="474" stopIfTrue="1" operator="equal">
      <formula>"Napkin Hs"</formula>
    </cfRule>
  </conditionalFormatting>
  <conditionalFormatting sqref="C159">
    <cfRule type="cellIs" dxfId="479" priority="472" stopIfTrue="1" operator="equal">
      <formula>"Napkin Hs"</formula>
    </cfRule>
  </conditionalFormatting>
  <conditionalFormatting sqref="C159">
    <cfRule type="cellIs" dxfId="478" priority="469" stopIfTrue="1" operator="equal">
      <formula>"Towel"</formula>
    </cfRule>
    <cfRule type="cellIs" dxfId="477" priority="470" stopIfTrue="1" operator="equal">
      <formula>"Napkin Hs"</formula>
    </cfRule>
  </conditionalFormatting>
  <conditionalFormatting sqref="C159">
    <cfRule type="cellIs" dxfId="476" priority="471" stopIfTrue="1" operator="equal">
      <formula>"Towel"</formula>
    </cfRule>
  </conditionalFormatting>
  <conditionalFormatting sqref="B158:C158">
    <cfRule type="cellIs" dxfId="475" priority="467" stopIfTrue="1" operator="equal">
      <formula>"Towel"</formula>
    </cfRule>
    <cfRule type="cellIs" dxfId="474" priority="468" stopIfTrue="1" operator="equal">
      <formula>"Napkin Hs"</formula>
    </cfRule>
  </conditionalFormatting>
  <conditionalFormatting sqref="C158">
    <cfRule type="cellIs" dxfId="473" priority="463" stopIfTrue="1" operator="equal">
      <formula>"Towel"</formula>
    </cfRule>
    <cfRule type="cellIs" dxfId="472" priority="464" stopIfTrue="1" operator="equal">
      <formula>"Napkin Hs"</formula>
    </cfRule>
  </conditionalFormatting>
  <conditionalFormatting sqref="C158">
    <cfRule type="cellIs" dxfId="471" priority="465" stopIfTrue="1" operator="equal">
      <formula>"Towel"</formula>
    </cfRule>
    <cfRule type="cellIs" dxfId="470" priority="466" stopIfTrue="1" operator="equal">
      <formula>"Napkin Hs"</formula>
    </cfRule>
  </conditionalFormatting>
  <conditionalFormatting sqref="B158:C158">
    <cfRule type="cellIs" dxfId="469" priority="461" stopIfTrue="1" operator="equal">
      <formula>"Towel"</formula>
    </cfRule>
    <cfRule type="cellIs" dxfId="468" priority="462" stopIfTrue="1" operator="equal">
      <formula>"Napkin Hs"</formula>
    </cfRule>
  </conditionalFormatting>
  <conditionalFormatting sqref="C158">
    <cfRule type="cellIs" dxfId="467" priority="459" stopIfTrue="1" operator="equal">
      <formula>"Towel"</formula>
    </cfRule>
    <cfRule type="cellIs" dxfId="466" priority="460" stopIfTrue="1" operator="equal">
      <formula>"Napkin Hs"</formula>
    </cfRule>
  </conditionalFormatting>
  <conditionalFormatting sqref="C158">
    <cfRule type="cellIs" dxfId="465" priority="457" stopIfTrue="1" operator="equal">
      <formula>"Towel"</formula>
    </cfRule>
    <cfRule type="cellIs" dxfId="464" priority="458" stopIfTrue="1" operator="equal">
      <formula>"Napkin Hs"</formula>
    </cfRule>
  </conditionalFormatting>
  <conditionalFormatting sqref="C158">
    <cfRule type="cellIs" dxfId="463" priority="449" stopIfTrue="1" operator="equal">
      <formula>"Towel"</formula>
    </cfRule>
    <cfRule type="cellIs" dxfId="462" priority="450" stopIfTrue="1" operator="equal">
      <formula>"Napkin Hs"</formula>
    </cfRule>
  </conditionalFormatting>
  <conditionalFormatting sqref="B158:C158">
    <cfRule type="cellIs" dxfId="461" priority="451" stopIfTrue="1" operator="equal">
      <formula>"Towel"</formula>
    </cfRule>
    <cfRule type="cellIs" dxfId="460" priority="452" stopIfTrue="1" operator="equal">
      <formula>"Napkin Hs"</formula>
    </cfRule>
  </conditionalFormatting>
  <conditionalFormatting sqref="C158">
    <cfRule type="cellIs" dxfId="459" priority="447" stopIfTrue="1" operator="equal">
      <formula>"Towel"</formula>
    </cfRule>
    <cfRule type="cellIs" dxfId="458" priority="448" stopIfTrue="1" operator="equal">
      <formula>"Napkin Hs"</formula>
    </cfRule>
  </conditionalFormatting>
  <conditionalFormatting sqref="B158:C158">
    <cfRule type="cellIs" dxfId="457" priority="445" stopIfTrue="1" operator="equal">
      <formula>"Towel"</formula>
    </cfRule>
    <cfRule type="cellIs" dxfId="456" priority="446" stopIfTrue="1" operator="equal">
      <formula>"Napkin Hs"</formula>
    </cfRule>
  </conditionalFormatting>
  <conditionalFormatting sqref="C158">
    <cfRule type="cellIs" dxfId="455" priority="453" stopIfTrue="1" operator="equal">
      <formula>"Towel"</formula>
    </cfRule>
    <cfRule type="cellIs" dxfId="454" priority="454" stopIfTrue="1" operator="equal">
      <formula>"Napkin Hs"</formula>
    </cfRule>
  </conditionalFormatting>
  <conditionalFormatting sqref="C158">
    <cfRule type="cellIs" dxfId="453" priority="455" stopIfTrue="1" operator="equal">
      <formula>"Towel"</formula>
    </cfRule>
    <cfRule type="cellIs" dxfId="452" priority="456" stopIfTrue="1" operator="equal">
      <formula>"Napkin Hs"</formula>
    </cfRule>
  </conditionalFormatting>
  <conditionalFormatting sqref="B158:C158">
    <cfRule type="cellIs" dxfId="451" priority="443" stopIfTrue="1" operator="equal">
      <formula>"Towel"</formula>
    </cfRule>
    <cfRule type="cellIs" dxfId="450" priority="444" stopIfTrue="1" operator="equal">
      <formula>"Napkin Hs"</formula>
    </cfRule>
  </conditionalFormatting>
  <conditionalFormatting sqref="C158">
    <cfRule type="cellIs" dxfId="449" priority="442" stopIfTrue="1" operator="equal">
      <formula>"Napkin Hs"</formula>
    </cfRule>
  </conditionalFormatting>
  <conditionalFormatting sqref="C158">
    <cfRule type="cellIs" dxfId="448" priority="439" stopIfTrue="1" operator="equal">
      <formula>"Towel"</formula>
    </cfRule>
    <cfRule type="cellIs" dxfId="447" priority="440" stopIfTrue="1" operator="equal">
      <formula>"Napkin Hs"</formula>
    </cfRule>
  </conditionalFormatting>
  <conditionalFormatting sqref="C158">
    <cfRule type="cellIs" dxfId="446" priority="441" stopIfTrue="1" operator="equal">
      <formula>"Towel"</formula>
    </cfRule>
  </conditionalFormatting>
  <conditionalFormatting sqref="B157:C157">
    <cfRule type="cellIs" dxfId="445" priority="437" stopIfTrue="1" operator="equal">
      <formula>"Towel"</formula>
    </cfRule>
    <cfRule type="cellIs" dxfId="444" priority="438" stopIfTrue="1" operator="equal">
      <formula>"Napkin Hs"</formula>
    </cfRule>
  </conditionalFormatting>
  <conditionalFormatting sqref="C157">
    <cfRule type="cellIs" dxfId="443" priority="433" stopIfTrue="1" operator="equal">
      <formula>"Towel"</formula>
    </cfRule>
    <cfRule type="cellIs" dxfId="442" priority="434" stopIfTrue="1" operator="equal">
      <formula>"Napkin Hs"</formula>
    </cfRule>
  </conditionalFormatting>
  <conditionalFormatting sqref="C157">
    <cfRule type="cellIs" dxfId="441" priority="435" stopIfTrue="1" operator="equal">
      <formula>"Towel"</formula>
    </cfRule>
    <cfRule type="cellIs" dxfId="440" priority="436" stopIfTrue="1" operator="equal">
      <formula>"Napkin Hs"</formula>
    </cfRule>
  </conditionalFormatting>
  <conditionalFormatting sqref="B157:C157">
    <cfRule type="cellIs" dxfId="439" priority="431" stopIfTrue="1" operator="equal">
      <formula>"Towel"</formula>
    </cfRule>
    <cfRule type="cellIs" dxfId="438" priority="432" stopIfTrue="1" operator="equal">
      <formula>"Napkin Hs"</formula>
    </cfRule>
  </conditionalFormatting>
  <conditionalFormatting sqref="C157">
    <cfRule type="cellIs" dxfId="437" priority="429" stopIfTrue="1" operator="equal">
      <formula>"Towel"</formula>
    </cfRule>
    <cfRule type="cellIs" dxfId="436" priority="430" stopIfTrue="1" operator="equal">
      <formula>"Napkin Hs"</formula>
    </cfRule>
  </conditionalFormatting>
  <conditionalFormatting sqref="C157">
    <cfRule type="cellIs" dxfId="435" priority="427" stopIfTrue="1" operator="equal">
      <formula>"Towel"</formula>
    </cfRule>
    <cfRule type="cellIs" dxfId="434" priority="428" stopIfTrue="1" operator="equal">
      <formula>"Napkin Hs"</formula>
    </cfRule>
  </conditionalFormatting>
  <conditionalFormatting sqref="C157">
    <cfRule type="cellIs" dxfId="433" priority="419" stopIfTrue="1" operator="equal">
      <formula>"Towel"</formula>
    </cfRule>
    <cfRule type="cellIs" dxfId="432" priority="420" stopIfTrue="1" operator="equal">
      <formula>"Napkin Hs"</formula>
    </cfRule>
  </conditionalFormatting>
  <conditionalFormatting sqref="B157:C157">
    <cfRule type="cellIs" dxfId="431" priority="421" stopIfTrue="1" operator="equal">
      <formula>"Towel"</formula>
    </cfRule>
    <cfRule type="cellIs" dxfId="430" priority="422" stopIfTrue="1" operator="equal">
      <formula>"Napkin Hs"</formula>
    </cfRule>
  </conditionalFormatting>
  <conditionalFormatting sqref="C157">
    <cfRule type="cellIs" dxfId="429" priority="417" stopIfTrue="1" operator="equal">
      <formula>"Towel"</formula>
    </cfRule>
    <cfRule type="cellIs" dxfId="428" priority="418" stopIfTrue="1" operator="equal">
      <formula>"Napkin Hs"</formula>
    </cfRule>
  </conditionalFormatting>
  <conditionalFormatting sqref="B157:C157">
    <cfRule type="cellIs" dxfId="427" priority="415" stopIfTrue="1" operator="equal">
      <formula>"Towel"</formula>
    </cfRule>
    <cfRule type="cellIs" dxfId="426" priority="416" stopIfTrue="1" operator="equal">
      <formula>"Napkin Hs"</formula>
    </cfRule>
  </conditionalFormatting>
  <conditionalFormatting sqref="C157">
    <cfRule type="cellIs" dxfId="425" priority="423" stopIfTrue="1" operator="equal">
      <formula>"Towel"</formula>
    </cfRule>
    <cfRule type="cellIs" dxfId="424" priority="424" stopIfTrue="1" operator="equal">
      <formula>"Napkin Hs"</formula>
    </cfRule>
  </conditionalFormatting>
  <conditionalFormatting sqref="C157">
    <cfRule type="cellIs" dxfId="423" priority="425" stopIfTrue="1" operator="equal">
      <formula>"Towel"</formula>
    </cfRule>
    <cfRule type="cellIs" dxfId="422" priority="426" stopIfTrue="1" operator="equal">
      <formula>"Napkin Hs"</formula>
    </cfRule>
  </conditionalFormatting>
  <conditionalFormatting sqref="B157:C157">
    <cfRule type="cellIs" dxfId="421" priority="413" stopIfTrue="1" operator="equal">
      <formula>"Towel"</formula>
    </cfRule>
    <cfRule type="cellIs" dxfId="420" priority="414" stopIfTrue="1" operator="equal">
      <formula>"Napkin Hs"</formula>
    </cfRule>
  </conditionalFormatting>
  <conditionalFormatting sqref="C157">
    <cfRule type="cellIs" dxfId="419" priority="412" stopIfTrue="1" operator="equal">
      <formula>"Napkin Hs"</formula>
    </cfRule>
  </conditionalFormatting>
  <conditionalFormatting sqref="C157">
    <cfRule type="cellIs" dxfId="418" priority="409" stopIfTrue="1" operator="equal">
      <formula>"Towel"</formula>
    </cfRule>
    <cfRule type="cellIs" dxfId="417" priority="410" stopIfTrue="1" operator="equal">
      <formula>"Napkin Hs"</formula>
    </cfRule>
  </conditionalFormatting>
  <conditionalFormatting sqref="C157">
    <cfRule type="cellIs" dxfId="416" priority="411" stopIfTrue="1" operator="equal">
      <formula>"Towel"</formula>
    </cfRule>
  </conditionalFormatting>
  <conditionalFormatting sqref="B161:C161">
    <cfRule type="cellIs" dxfId="415" priority="407" stopIfTrue="1" operator="equal">
      <formula>"Towel"</formula>
    </cfRule>
    <cfRule type="cellIs" dxfId="414" priority="408" stopIfTrue="1" operator="equal">
      <formula>"Napkin Hs"</formula>
    </cfRule>
  </conditionalFormatting>
  <conditionalFormatting sqref="C161">
    <cfRule type="cellIs" dxfId="413" priority="406" stopIfTrue="1" operator="equal">
      <formula>"Napkin Hs"</formula>
    </cfRule>
  </conditionalFormatting>
  <conditionalFormatting sqref="C161">
    <cfRule type="cellIs" dxfId="412" priority="403" stopIfTrue="1" operator="equal">
      <formula>"Towel"</formula>
    </cfRule>
    <cfRule type="cellIs" dxfId="411" priority="404" stopIfTrue="1" operator="equal">
      <formula>"Napkin Hs"</formula>
    </cfRule>
  </conditionalFormatting>
  <conditionalFormatting sqref="C161">
    <cfRule type="cellIs" dxfId="410" priority="405" stopIfTrue="1" operator="equal">
      <formula>"Towel"</formula>
    </cfRule>
  </conditionalFormatting>
  <conditionalFormatting sqref="B166:C166">
    <cfRule type="cellIs" dxfId="409" priority="399" stopIfTrue="1" operator="equal">
      <formula>"Towel"</formula>
    </cfRule>
    <cfRule type="cellIs" dxfId="408" priority="400" stopIfTrue="1" operator="equal">
      <formula>"Napkin Hs"</formula>
    </cfRule>
  </conditionalFormatting>
  <conditionalFormatting sqref="C166">
    <cfRule type="cellIs" dxfId="407" priority="401" stopIfTrue="1" operator="equal">
      <formula>"Towel"</formula>
    </cfRule>
    <cfRule type="cellIs" dxfId="406" priority="402" stopIfTrue="1" operator="equal">
      <formula>"Napkin Hs"</formula>
    </cfRule>
  </conditionalFormatting>
  <conditionalFormatting sqref="C166">
    <cfRule type="cellIs" dxfId="405" priority="397" stopIfTrue="1" operator="equal">
      <formula>"Towel"</formula>
    </cfRule>
    <cfRule type="cellIs" dxfId="404" priority="398" stopIfTrue="1" operator="equal">
      <formula>"Napkin Hs"</formula>
    </cfRule>
  </conditionalFormatting>
  <conditionalFormatting sqref="B165:C165">
    <cfRule type="cellIs" dxfId="403" priority="395" stopIfTrue="1" operator="equal">
      <formula>"Towel"</formula>
    </cfRule>
    <cfRule type="cellIs" dxfId="402" priority="396" stopIfTrue="1" operator="equal">
      <formula>"Napkin Hs"</formula>
    </cfRule>
  </conditionalFormatting>
  <conditionalFormatting sqref="C165">
    <cfRule type="cellIs" dxfId="401" priority="391" stopIfTrue="1" operator="equal">
      <formula>"Towel"</formula>
    </cfRule>
    <cfRule type="cellIs" dxfId="400" priority="392" stopIfTrue="1" operator="equal">
      <formula>"Napkin Hs"</formula>
    </cfRule>
  </conditionalFormatting>
  <conditionalFormatting sqref="C165">
    <cfRule type="cellIs" dxfId="399" priority="393" stopIfTrue="1" operator="equal">
      <formula>"Towel"</formula>
    </cfRule>
    <cfRule type="cellIs" dxfId="398" priority="394" stopIfTrue="1" operator="equal">
      <formula>"Napkin Hs"</formula>
    </cfRule>
  </conditionalFormatting>
  <conditionalFormatting sqref="B166:C166">
    <cfRule type="cellIs" dxfId="397" priority="389" stopIfTrue="1" operator="equal">
      <formula>"Towel"</formula>
    </cfRule>
    <cfRule type="cellIs" dxfId="396" priority="390" stopIfTrue="1" operator="equal">
      <formula>"Napkin Hs"</formula>
    </cfRule>
  </conditionalFormatting>
  <conditionalFormatting sqref="C166">
    <cfRule type="cellIs" dxfId="395" priority="387" stopIfTrue="1" operator="equal">
      <formula>"Towel"</formula>
    </cfRule>
    <cfRule type="cellIs" dxfId="394" priority="388" stopIfTrue="1" operator="equal">
      <formula>"Napkin Hs"</formula>
    </cfRule>
  </conditionalFormatting>
  <conditionalFormatting sqref="C166">
    <cfRule type="cellIs" dxfId="393" priority="385" stopIfTrue="1" operator="equal">
      <formula>"Towel"</formula>
    </cfRule>
    <cfRule type="cellIs" dxfId="392" priority="386" stopIfTrue="1" operator="equal">
      <formula>"Napkin Hs"</formula>
    </cfRule>
  </conditionalFormatting>
  <conditionalFormatting sqref="B165:C165">
    <cfRule type="cellIs" dxfId="391" priority="383" stopIfTrue="1" operator="equal">
      <formula>"Towel"</formula>
    </cfRule>
    <cfRule type="cellIs" dxfId="390" priority="384" stopIfTrue="1" operator="equal">
      <formula>"Napkin Hs"</formula>
    </cfRule>
  </conditionalFormatting>
  <conditionalFormatting sqref="C165">
    <cfRule type="cellIs" dxfId="389" priority="381" stopIfTrue="1" operator="equal">
      <formula>"Towel"</formula>
    </cfRule>
    <cfRule type="cellIs" dxfId="388" priority="382" stopIfTrue="1" operator="equal">
      <formula>"Napkin Hs"</formula>
    </cfRule>
  </conditionalFormatting>
  <conditionalFormatting sqref="C165">
    <cfRule type="cellIs" dxfId="387" priority="379" stopIfTrue="1" operator="equal">
      <formula>"Towel"</formula>
    </cfRule>
    <cfRule type="cellIs" dxfId="386" priority="380" stopIfTrue="1" operator="equal">
      <formula>"Napkin Hs"</formula>
    </cfRule>
  </conditionalFormatting>
  <conditionalFormatting sqref="C165">
    <cfRule type="cellIs" dxfId="385" priority="371" stopIfTrue="1" operator="equal">
      <formula>"Towel"</formula>
    </cfRule>
    <cfRule type="cellIs" dxfId="384" priority="372" stopIfTrue="1" operator="equal">
      <formula>"Napkin Hs"</formula>
    </cfRule>
  </conditionalFormatting>
  <conditionalFormatting sqref="B165:C165">
    <cfRule type="cellIs" dxfId="383" priority="373" stopIfTrue="1" operator="equal">
      <formula>"Towel"</formula>
    </cfRule>
    <cfRule type="cellIs" dxfId="382" priority="374" stopIfTrue="1" operator="equal">
      <formula>"Napkin Hs"</formula>
    </cfRule>
  </conditionalFormatting>
  <conditionalFormatting sqref="C165">
    <cfRule type="cellIs" dxfId="381" priority="369" stopIfTrue="1" operator="equal">
      <formula>"Towel"</formula>
    </cfRule>
    <cfRule type="cellIs" dxfId="380" priority="370" stopIfTrue="1" operator="equal">
      <formula>"Napkin Hs"</formula>
    </cfRule>
  </conditionalFormatting>
  <conditionalFormatting sqref="B165:C165">
    <cfRule type="cellIs" dxfId="379" priority="367" stopIfTrue="1" operator="equal">
      <formula>"Towel"</formula>
    </cfRule>
    <cfRule type="cellIs" dxfId="378" priority="368" stopIfTrue="1" operator="equal">
      <formula>"Napkin Hs"</formula>
    </cfRule>
  </conditionalFormatting>
  <conditionalFormatting sqref="C165">
    <cfRule type="cellIs" dxfId="377" priority="375" stopIfTrue="1" operator="equal">
      <formula>"Towel"</formula>
    </cfRule>
    <cfRule type="cellIs" dxfId="376" priority="376" stopIfTrue="1" operator="equal">
      <formula>"Napkin Hs"</formula>
    </cfRule>
  </conditionalFormatting>
  <conditionalFormatting sqref="C165">
    <cfRule type="cellIs" dxfId="375" priority="377" stopIfTrue="1" operator="equal">
      <formula>"Towel"</formula>
    </cfRule>
    <cfRule type="cellIs" dxfId="374" priority="378" stopIfTrue="1" operator="equal">
      <formula>"Napkin Hs"</formula>
    </cfRule>
  </conditionalFormatting>
  <conditionalFormatting sqref="B166:C166">
    <cfRule type="cellIs" dxfId="373" priority="365" stopIfTrue="1" operator="equal">
      <formula>"Towel"</formula>
    </cfRule>
    <cfRule type="cellIs" dxfId="372" priority="366" stopIfTrue="1" operator="equal">
      <formula>"Napkin Hs"</formula>
    </cfRule>
  </conditionalFormatting>
  <conditionalFormatting sqref="C166">
    <cfRule type="cellIs" dxfId="371" priority="364" stopIfTrue="1" operator="equal">
      <formula>"Napkin Hs"</formula>
    </cfRule>
  </conditionalFormatting>
  <conditionalFormatting sqref="C166">
    <cfRule type="cellIs" dxfId="370" priority="361" stopIfTrue="1" operator="equal">
      <formula>"Towel"</formula>
    </cfRule>
    <cfRule type="cellIs" dxfId="369" priority="362" stopIfTrue="1" operator="equal">
      <formula>"Napkin Hs"</formula>
    </cfRule>
  </conditionalFormatting>
  <conditionalFormatting sqref="C166">
    <cfRule type="cellIs" dxfId="368" priority="363" stopIfTrue="1" operator="equal">
      <formula>"Towel"</formula>
    </cfRule>
  </conditionalFormatting>
  <conditionalFormatting sqref="B165:C165">
    <cfRule type="cellIs" dxfId="367" priority="359" stopIfTrue="1" operator="equal">
      <formula>"Towel"</formula>
    </cfRule>
    <cfRule type="cellIs" dxfId="366" priority="360" stopIfTrue="1" operator="equal">
      <formula>"Napkin Hs"</formula>
    </cfRule>
  </conditionalFormatting>
  <conditionalFormatting sqref="C165">
    <cfRule type="cellIs" dxfId="365" priority="358" stopIfTrue="1" operator="equal">
      <formula>"Napkin Hs"</formula>
    </cfRule>
  </conditionalFormatting>
  <conditionalFormatting sqref="C165">
    <cfRule type="cellIs" dxfId="364" priority="355" stopIfTrue="1" operator="equal">
      <formula>"Towel"</formula>
    </cfRule>
    <cfRule type="cellIs" dxfId="363" priority="356" stopIfTrue="1" operator="equal">
      <formula>"Napkin Hs"</formula>
    </cfRule>
  </conditionalFormatting>
  <conditionalFormatting sqref="C165">
    <cfRule type="cellIs" dxfId="362" priority="357" stopIfTrue="1" operator="equal">
      <formula>"Towel"</formula>
    </cfRule>
  </conditionalFormatting>
  <conditionalFormatting sqref="B164:C164">
    <cfRule type="cellIs" dxfId="361" priority="353" stopIfTrue="1" operator="equal">
      <formula>"Towel"</formula>
    </cfRule>
    <cfRule type="cellIs" dxfId="360" priority="354" stopIfTrue="1" operator="equal">
      <formula>"Napkin Hs"</formula>
    </cfRule>
  </conditionalFormatting>
  <conditionalFormatting sqref="C164">
    <cfRule type="cellIs" dxfId="359" priority="349" stopIfTrue="1" operator="equal">
      <formula>"Towel"</formula>
    </cfRule>
    <cfRule type="cellIs" dxfId="358" priority="350" stopIfTrue="1" operator="equal">
      <formula>"Napkin Hs"</formula>
    </cfRule>
  </conditionalFormatting>
  <conditionalFormatting sqref="C164">
    <cfRule type="cellIs" dxfId="357" priority="351" stopIfTrue="1" operator="equal">
      <formula>"Towel"</formula>
    </cfRule>
    <cfRule type="cellIs" dxfId="356" priority="352" stopIfTrue="1" operator="equal">
      <formula>"Napkin Hs"</formula>
    </cfRule>
  </conditionalFormatting>
  <conditionalFormatting sqref="B164:C164">
    <cfRule type="cellIs" dxfId="355" priority="347" stopIfTrue="1" operator="equal">
      <formula>"Towel"</formula>
    </cfRule>
    <cfRule type="cellIs" dxfId="354" priority="348" stopIfTrue="1" operator="equal">
      <formula>"Napkin Hs"</formula>
    </cfRule>
  </conditionalFormatting>
  <conditionalFormatting sqref="C164">
    <cfRule type="cellIs" dxfId="353" priority="345" stopIfTrue="1" operator="equal">
      <formula>"Towel"</formula>
    </cfRule>
    <cfRule type="cellIs" dxfId="352" priority="346" stopIfTrue="1" operator="equal">
      <formula>"Napkin Hs"</formula>
    </cfRule>
  </conditionalFormatting>
  <conditionalFormatting sqref="C164">
    <cfRule type="cellIs" dxfId="351" priority="343" stopIfTrue="1" operator="equal">
      <formula>"Towel"</formula>
    </cfRule>
    <cfRule type="cellIs" dxfId="350" priority="344" stopIfTrue="1" operator="equal">
      <formula>"Napkin Hs"</formula>
    </cfRule>
  </conditionalFormatting>
  <conditionalFormatting sqref="C164">
    <cfRule type="cellIs" dxfId="349" priority="335" stopIfTrue="1" operator="equal">
      <formula>"Towel"</formula>
    </cfRule>
    <cfRule type="cellIs" dxfId="348" priority="336" stopIfTrue="1" operator="equal">
      <formula>"Napkin Hs"</formula>
    </cfRule>
  </conditionalFormatting>
  <conditionalFormatting sqref="B164:C164">
    <cfRule type="cellIs" dxfId="347" priority="337" stopIfTrue="1" operator="equal">
      <formula>"Towel"</formula>
    </cfRule>
    <cfRule type="cellIs" dxfId="346" priority="338" stopIfTrue="1" operator="equal">
      <formula>"Napkin Hs"</formula>
    </cfRule>
  </conditionalFormatting>
  <conditionalFormatting sqref="C164">
    <cfRule type="cellIs" dxfId="345" priority="333" stopIfTrue="1" operator="equal">
      <formula>"Towel"</formula>
    </cfRule>
    <cfRule type="cellIs" dxfId="344" priority="334" stopIfTrue="1" operator="equal">
      <formula>"Napkin Hs"</formula>
    </cfRule>
  </conditionalFormatting>
  <conditionalFormatting sqref="B164:C164">
    <cfRule type="cellIs" dxfId="343" priority="331" stopIfTrue="1" operator="equal">
      <formula>"Towel"</formula>
    </cfRule>
    <cfRule type="cellIs" dxfId="342" priority="332" stopIfTrue="1" operator="equal">
      <formula>"Napkin Hs"</formula>
    </cfRule>
  </conditionalFormatting>
  <conditionalFormatting sqref="C164">
    <cfRule type="cellIs" dxfId="341" priority="339" stopIfTrue="1" operator="equal">
      <formula>"Towel"</formula>
    </cfRule>
    <cfRule type="cellIs" dxfId="340" priority="340" stopIfTrue="1" operator="equal">
      <formula>"Napkin Hs"</formula>
    </cfRule>
  </conditionalFormatting>
  <conditionalFormatting sqref="C164">
    <cfRule type="cellIs" dxfId="339" priority="341" stopIfTrue="1" operator="equal">
      <formula>"Towel"</formula>
    </cfRule>
    <cfRule type="cellIs" dxfId="338" priority="342" stopIfTrue="1" operator="equal">
      <formula>"Napkin Hs"</formula>
    </cfRule>
  </conditionalFormatting>
  <conditionalFormatting sqref="B164:C164">
    <cfRule type="cellIs" dxfId="337" priority="329" stopIfTrue="1" operator="equal">
      <formula>"Towel"</formula>
    </cfRule>
    <cfRule type="cellIs" dxfId="336" priority="330" stopIfTrue="1" operator="equal">
      <formula>"Napkin Hs"</formula>
    </cfRule>
  </conditionalFormatting>
  <conditionalFormatting sqref="C164">
    <cfRule type="cellIs" dxfId="335" priority="328" stopIfTrue="1" operator="equal">
      <formula>"Napkin Hs"</formula>
    </cfRule>
  </conditionalFormatting>
  <conditionalFormatting sqref="C164">
    <cfRule type="cellIs" dxfId="334" priority="325" stopIfTrue="1" operator="equal">
      <formula>"Towel"</formula>
    </cfRule>
    <cfRule type="cellIs" dxfId="333" priority="326" stopIfTrue="1" operator="equal">
      <formula>"Napkin Hs"</formula>
    </cfRule>
  </conditionalFormatting>
  <conditionalFormatting sqref="C164">
    <cfRule type="cellIs" dxfId="332" priority="327" stopIfTrue="1" operator="equal">
      <formula>"Towel"</formula>
    </cfRule>
  </conditionalFormatting>
  <conditionalFormatting sqref="B163:C163">
    <cfRule type="cellIs" dxfId="331" priority="323" stopIfTrue="1" operator="equal">
      <formula>"Towel"</formula>
    </cfRule>
    <cfRule type="cellIs" dxfId="330" priority="324" stopIfTrue="1" operator="equal">
      <formula>"Napkin Hs"</formula>
    </cfRule>
  </conditionalFormatting>
  <conditionalFormatting sqref="C163">
    <cfRule type="cellIs" dxfId="329" priority="319" stopIfTrue="1" operator="equal">
      <formula>"Towel"</formula>
    </cfRule>
    <cfRule type="cellIs" dxfId="328" priority="320" stopIfTrue="1" operator="equal">
      <formula>"Napkin Hs"</formula>
    </cfRule>
  </conditionalFormatting>
  <conditionalFormatting sqref="C163">
    <cfRule type="cellIs" dxfId="327" priority="321" stopIfTrue="1" operator="equal">
      <formula>"Towel"</formula>
    </cfRule>
    <cfRule type="cellIs" dxfId="326" priority="322" stopIfTrue="1" operator="equal">
      <formula>"Napkin Hs"</formula>
    </cfRule>
  </conditionalFormatting>
  <conditionalFormatting sqref="B163:C163">
    <cfRule type="cellIs" dxfId="325" priority="317" stopIfTrue="1" operator="equal">
      <formula>"Towel"</formula>
    </cfRule>
    <cfRule type="cellIs" dxfId="324" priority="318" stopIfTrue="1" operator="equal">
      <formula>"Napkin Hs"</formula>
    </cfRule>
  </conditionalFormatting>
  <conditionalFormatting sqref="C163">
    <cfRule type="cellIs" dxfId="323" priority="315" stopIfTrue="1" operator="equal">
      <formula>"Towel"</formula>
    </cfRule>
    <cfRule type="cellIs" dxfId="322" priority="316" stopIfTrue="1" operator="equal">
      <formula>"Napkin Hs"</formula>
    </cfRule>
  </conditionalFormatting>
  <conditionalFormatting sqref="C163">
    <cfRule type="cellIs" dxfId="321" priority="313" stopIfTrue="1" operator="equal">
      <formula>"Towel"</formula>
    </cfRule>
    <cfRule type="cellIs" dxfId="320" priority="314" stopIfTrue="1" operator="equal">
      <formula>"Napkin Hs"</formula>
    </cfRule>
  </conditionalFormatting>
  <conditionalFormatting sqref="C163">
    <cfRule type="cellIs" dxfId="319" priority="305" stopIfTrue="1" operator="equal">
      <formula>"Towel"</formula>
    </cfRule>
    <cfRule type="cellIs" dxfId="318" priority="306" stopIfTrue="1" operator="equal">
      <formula>"Napkin Hs"</formula>
    </cfRule>
  </conditionalFormatting>
  <conditionalFormatting sqref="B163:C163">
    <cfRule type="cellIs" dxfId="317" priority="307" stopIfTrue="1" operator="equal">
      <formula>"Towel"</formula>
    </cfRule>
    <cfRule type="cellIs" dxfId="316" priority="308" stopIfTrue="1" operator="equal">
      <formula>"Napkin Hs"</formula>
    </cfRule>
  </conditionalFormatting>
  <conditionalFormatting sqref="C163">
    <cfRule type="cellIs" dxfId="315" priority="303" stopIfTrue="1" operator="equal">
      <formula>"Towel"</formula>
    </cfRule>
    <cfRule type="cellIs" dxfId="314" priority="304" stopIfTrue="1" operator="equal">
      <formula>"Napkin Hs"</formula>
    </cfRule>
  </conditionalFormatting>
  <conditionalFormatting sqref="B163:C163">
    <cfRule type="cellIs" dxfId="313" priority="301" stopIfTrue="1" operator="equal">
      <formula>"Towel"</formula>
    </cfRule>
    <cfRule type="cellIs" dxfId="312" priority="302" stopIfTrue="1" operator="equal">
      <formula>"Napkin Hs"</formula>
    </cfRule>
  </conditionalFormatting>
  <conditionalFormatting sqref="C163">
    <cfRule type="cellIs" dxfId="311" priority="309" stopIfTrue="1" operator="equal">
      <formula>"Towel"</formula>
    </cfRule>
    <cfRule type="cellIs" dxfId="310" priority="310" stopIfTrue="1" operator="equal">
      <formula>"Napkin Hs"</formula>
    </cfRule>
  </conditionalFormatting>
  <conditionalFormatting sqref="C163">
    <cfRule type="cellIs" dxfId="309" priority="311" stopIfTrue="1" operator="equal">
      <formula>"Towel"</formula>
    </cfRule>
    <cfRule type="cellIs" dxfId="308" priority="312" stopIfTrue="1" operator="equal">
      <formula>"Napkin Hs"</formula>
    </cfRule>
  </conditionalFormatting>
  <conditionalFormatting sqref="B163:C163">
    <cfRule type="cellIs" dxfId="307" priority="299" stopIfTrue="1" operator="equal">
      <formula>"Towel"</formula>
    </cfRule>
    <cfRule type="cellIs" dxfId="306" priority="300" stopIfTrue="1" operator="equal">
      <formula>"Napkin Hs"</formula>
    </cfRule>
  </conditionalFormatting>
  <conditionalFormatting sqref="C163">
    <cfRule type="cellIs" dxfId="305" priority="298" stopIfTrue="1" operator="equal">
      <formula>"Napkin Hs"</formula>
    </cfRule>
  </conditionalFormatting>
  <conditionalFormatting sqref="C163">
    <cfRule type="cellIs" dxfId="304" priority="295" stopIfTrue="1" operator="equal">
      <formula>"Towel"</formula>
    </cfRule>
    <cfRule type="cellIs" dxfId="303" priority="296" stopIfTrue="1" operator="equal">
      <formula>"Napkin Hs"</formula>
    </cfRule>
  </conditionalFormatting>
  <conditionalFormatting sqref="C163">
    <cfRule type="cellIs" dxfId="302" priority="297" stopIfTrue="1" operator="equal">
      <formula>"Towel"</formula>
    </cfRule>
  </conditionalFormatting>
  <conditionalFormatting sqref="B167:C167">
    <cfRule type="cellIs" dxfId="301" priority="293" stopIfTrue="1" operator="equal">
      <formula>"Towel"</formula>
    </cfRule>
    <cfRule type="cellIs" dxfId="300" priority="294" stopIfTrue="1" operator="equal">
      <formula>"Napkin Hs"</formula>
    </cfRule>
  </conditionalFormatting>
  <conditionalFormatting sqref="C167">
    <cfRule type="cellIs" dxfId="299" priority="292" stopIfTrue="1" operator="equal">
      <formula>"Napkin Hs"</formula>
    </cfRule>
  </conditionalFormatting>
  <conditionalFormatting sqref="C167">
    <cfRule type="cellIs" dxfId="298" priority="289" stopIfTrue="1" operator="equal">
      <formula>"Towel"</formula>
    </cfRule>
    <cfRule type="cellIs" dxfId="297" priority="290" stopIfTrue="1" operator="equal">
      <formula>"Napkin Hs"</formula>
    </cfRule>
  </conditionalFormatting>
  <conditionalFormatting sqref="C167">
    <cfRule type="cellIs" dxfId="296" priority="291" stopIfTrue="1" operator="equal">
      <formula>"Towel"</formula>
    </cfRule>
  </conditionalFormatting>
  <conditionalFormatting sqref="B172:C172">
    <cfRule type="cellIs" dxfId="295" priority="285" stopIfTrue="1" operator="equal">
      <formula>"Towel"</formula>
    </cfRule>
    <cfRule type="cellIs" dxfId="294" priority="286" stopIfTrue="1" operator="equal">
      <formula>"Napkin Hs"</formula>
    </cfRule>
  </conditionalFormatting>
  <conditionalFormatting sqref="C172">
    <cfRule type="cellIs" dxfId="293" priority="287" stopIfTrue="1" operator="equal">
      <formula>"Towel"</formula>
    </cfRule>
    <cfRule type="cellIs" dxfId="292" priority="288" stopIfTrue="1" operator="equal">
      <formula>"Napkin Hs"</formula>
    </cfRule>
  </conditionalFormatting>
  <conditionalFormatting sqref="C172">
    <cfRule type="cellIs" dxfId="291" priority="283" stopIfTrue="1" operator="equal">
      <formula>"Towel"</formula>
    </cfRule>
    <cfRule type="cellIs" dxfId="290" priority="284" stopIfTrue="1" operator="equal">
      <formula>"Napkin Hs"</formula>
    </cfRule>
  </conditionalFormatting>
  <conditionalFormatting sqref="B171:C171">
    <cfRule type="cellIs" dxfId="289" priority="281" stopIfTrue="1" operator="equal">
      <formula>"Towel"</formula>
    </cfRule>
    <cfRule type="cellIs" dxfId="288" priority="282" stopIfTrue="1" operator="equal">
      <formula>"Napkin Hs"</formula>
    </cfRule>
  </conditionalFormatting>
  <conditionalFormatting sqref="C171">
    <cfRule type="cellIs" dxfId="287" priority="277" stopIfTrue="1" operator="equal">
      <formula>"Towel"</formula>
    </cfRule>
    <cfRule type="cellIs" dxfId="286" priority="278" stopIfTrue="1" operator="equal">
      <formula>"Napkin Hs"</formula>
    </cfRule>
  </conditionalFormatting>
  <conditionalFormatting sqref="C171">
    <cfRule type="cellIs" dxfId="285" priority="279" stopIfTrue="1" operator="equal">
      <formula>"Towel"</formula>
    </cfRule>
    <cfRule type="cellIs" dxfId="284" priority="280" stopIfTrue="1" operator="equal">
      <formula>"Napkin Hs"</formula>
    </cfRule>
  </conditionalFormatting>
  <conditionalFormatting sqref="B172:C172">
    <cfRule type="cellIs" dxfId="283" priority="275" stopIfTrue="1" operator="equal">
      <formula>"Towel"</formula>
    </cfRule>
    <cfRule type="cellIs" dxfId="282" priority="276" stopIfTrue="1" operator="equal">
      <formula>"Napkin Hs"</formula>
    </cfRule>
  </conditionalFormatting>
  <conditionalFormatting sqref="C172">
    <cfRule type="cellIs" dxfId="281" priority="273" stopIfTrue="1" operator="equal">
      <formula>"Towel"</formula>
    </cfRule>
    <cfRule type="cellIs" dxfId="280" priority="274" stopIfTrue="1" operator="equal">
      <formula>"Napkin Hs"</formula>
    </cfRule>
  </conditionalFormatting>
  <conditionalFormatting sqref="C172">
    <cfRule type="cellIs" dxfId="279" priority="271" stopIfTrue="1" operator="equal">
      <formula>"Towel"</formula>
    </cfRule>
    <cfRule type="cellIs" dxfId="278" priority="272" stopIfTrue="1" operator="equal">
      <formula>"Napkin Hs"</formula>
    </cfRule>
  </conditionalFormatting>
  <conditionalFormatting sqref="B171:C171">
    <cfRule type="cellIs" dxfId="277" priority="269" stopIfTrue="1" operator="equal">
      <formula>"Towel"</formula>
    </cfRule>
    <cfRule type="cellIs" dxfId="276" priority="270" stopIfTrue="1" operator="equal">
      <formula>"Napkin Hs"</formula>
    </cfRule>
  </conditionalFormatting>
  <conditionalFormatting sqref="C171">
    <cfRule type="cellIs" dxfId="275" priority="267" stopIfTrue="1" operator="equal">
      <formula>"Towel"</formula>
    </cfRule>
    <cfRule type="cellIs" dxfId="274" priority="268" stopIfTrue="1" operator="equal">
      <formula>"Napkin Hs"</formula>
    </cfRule>
  </conditionalFormatting>
  <conditionalFormatting sqref="C171">
    <cfRule type="cellIs" dxfId="273" priority="265" stopIfTrue="1" operator="equal">
      <formula>"Towel"</formula>
    </cfRule>
    <cfRule type="cellIs" dxfId="272" priority="266" stopIfTrue="1" operator="equal">
      <formula>"Napkin Hs"</formula>
    </cfRule>
  </conditionalFormatting>
  <conditionalFormatting sqref="C171">
    <cfRule type="cellIs" dxfId="271" priority="257" stopIfTrue="1" operator="equal">
      <formula>"Towel"</formula>
    </cfRule>
    <cfRule type="cellIs" dxfId="270" priority="258" stopIfTrue="1" operator="equal">
      <formula>"Napkin Hs"</formula>
    </cfRule>
  </conditionalFormatting>
  <conditionalFormatting sqref="B171:C171">
    <cfRule type="cellIs" dxfId="269" priority="259" stopIfTrue="1" operator="equal">
      <formula>"Towel"</formula>
    </cfRule>
    <cfRule type="cellIs" dxfId="268" priority="260" stopIfTrue="1" operator="equal">
      <formula>"Napkin Hs"</formula>
    </cfRule>
  </conditionalFormatting>
  <conditionalFormatting sqref="C171">
    <cfRule type="cellIs" dxfId="267" priority="255" stopIfTrue="1" operator="equal">
      <formula>"Towel"</formula>
    </cfRule>
    <cfRule type="cellIs" dxfId="266" priority="256" stopIfTrue="1" operator="equal">
      <formula>"Napkin Hs"</formula>
    </cfRule>
  </conditionalFormatting>
  <conditionalFormatting sqref="B171:C171">
    <cfRule type="cellIs" dxfId="265" priority="253" stopIfTrue="1" operator="equal">
      <formula>"Towel"</formula>
    </cfRule>
    <cfRule type="cellIs" dxfId="264" priority="254" stopIfTrue="1" operator="equal">
      <formula>"Napkin Hs"</formula>
    </cfRule>
  </conditionalFormatting>
  <conditionalFormatting sqref="C171">
    <cfRule type="cellIs" dxfId="263" priority="261" stopIfTrue="1" operator="equal">
      <formula>"Towel"</formula>
    </cfRule>
    <cfRule type="cellIs" dxfId="262" priority="262" stopIfTrue="1" operator="equal">
      <formula>"Napkin Hs"</formula>
    </cfRule>
  </conditionalFormatting>
  <conditionalFormatting sqref="C171">
    <cfRule type="cellIs" dxfId="261" priority="263" stopIfTrue="1" operator="equal">
      <formula>"Towel"</formula>
    </cfRule>
    <cfRule type="cellIs" dxfId="260" priority="264" stopIfTrue="1" operator="equal">
      <formula>"Napkin Hs"</formula>
    </cfRule>
  </conditionalFormatting>
  <conditionalFormatting sqref="B172:C172">
    <cfRule type="cellIs" dxfId="259" priority="251" stopIfTrue="1" operator="equal">
      <formula>"Towel"</formula>
    </cfRule>
    <cfRule type="cellIs" dxfId="258" priority="252" stopIfTrue="1" operator="equal">
      <formula>"Napkin Hs"</formula>
    </cfRule>
  </conditionalFormatting>
  <conditionalFormatting sqref="C172">
    <cfRule type="cellIs" dxfId="257" priority="250" stopIfTrue="1" operator="equal">
      <formula>"Napkin Hs"</formula>
    </cfRule>
  </conditionalFormatting>
  <conditionalFormatting sqref="C172">
    <cfRule type="cellIs" dxfId="256" priority="247" stopIfTrue="1" operator="equal">
      <formula>"Towel"</formula>
    </cfRule>
    <cfRule type="cellIs" dxfId="255" priority="248" stopIfTrue="1" operator="equal">
      <formula>"Napkin Hs"</formula>
    </cfRule>
  </conditionalFormatting>
  <conditionalFormatting sqref="C172">
    <cfRule type="cellIs" dxfId="254" priority="249" stopIfTrue="1" operator="equal">
      <formula>"Towel"</formula>
    </cfRule>
  </conditionalFormatting>
  <conditionalFormatting sqref="B171:C171">
    <cfRule type="cellIs" dxfId="253" priority="245" stopIfTrue="1" operator="equal">
      <formula>"Towel"</formula>
    </cfRule>
    <cfRule type="cellIs" dxfId="252" priority="246" stopIfTrue="1" operator="equal">
      <formula>"Napkin Hs"</formula>
    </cfRule>
  </conditionalFormatting>
  <conditionalFormatting sqref="C171">
    <cfRule type="cellIs" dxfId="251" priority="244" stopIfTrue="1" operator="equal">
      <formula>"Napkin Hs"</formula>
    </cfRule>
  </conditionalFormatting>
  <conditionalFormatting sqref="C171">
    <cfRule type="cellIs" dxfId="250" priority="241" stopIfTrue="1" operator="equal">
      <formula>"Towel"</formula>
    </cfRule>
    <cfRule type="cellIs" dxfId="249" priority="242" stopIfTrue="1" operator="equal">
      <formula>"Napkin Hs"</formula>
    </cfRule>
  </conditionalFormatting>
  <conditionalFormatting sqref="C171">
    <cfRule type="cellIs" dxfId="248" priority="243" stopIfTrue="1" operator="equal">
      <formula>"Towel"</formula>
    </cfRule>
  </conditionalFormatting>
  <conditionalFormatting sqref="B170:C170">
    <cfRule type="cellIs" dxfId="247" priority="239" stopIfTrue="1" operator="equal">
      <formula>"Towel"</formula>
    </cfRule>
    <cfRule type="cellIs" dxfId="246" priority="240" stopIfTrue="1" operator="equal">
      <formula>"Napkin Hs"</formula>
    </cfRule>
  </conditionalFormatting>
  <conditionalFormatting sqref="C170">
    <cfRule type="cellIs" dxfId="245" priority="235" stopIfTrue="1" operator="equal">
      <formula>"Towel"</formula>
    </cfRule>
    <cfRule type="cellIs" dxfId="244" priority="236" stopIfTrue="1" operator="equal">
      <formula>"Napkin Hs"</formula>
    </cfRule>
  </conditionalFormatting>
  <conditionalFormatting sqref="C170">
    <cfRule type="cellIs" dxfId="243" priority="237" stopIfTrue="1" operator="equal">
      <formula>"Towel"</formula>
    </cfRule>
    <cfRule type="cellIs" dxfId="242" priority="238" stopIfTrue="1" operator="equal">
      <formula>"Napkin Hs"</formula>
    </cfRule>
  </conditionalFormatting>
  <conditionalFormatting sqref="B170:C170">
    <cfRule type="cellIs" dxfId="241" priority="233" stopIfTrue="1" operator="equal">
      <formula>"Towel"</formula>
    </cfRule>
    <cfRule type="cellIs" dxfId="240" priority="234" stopIfTrue="1" operator="equal">
      <formula>"Napkin Hs"</formula>
    </cfRule>
  </conditionalFormatting>
  <conditionalFormatting sqref="C170">
    <cfRule type="cellIs" dxfId="239" priority="231" stopIfTrue="1" operator="equal">
      <formula>"Towel"</formula>
    </cfRule>
    <cfRule type="cellIs" dxfId="238" priority="232" stopIfTrue="1" operator="equal">
      <formula>"Napkin Hs"</formula>
    </cfRule>
  </conditionalFormatting>
  <conditionalFormatting sqref="C170">
    <cfRule type="cellIs" dxfId="237" priority="229" stopIfTrue="1" operator="equal">
      <formula>"Towel"</formula>
    </cfRule>
    <cfRule type="cellIs" dxfId="236" priority="230" stopIfTrue="1" operator="equal">
      <formula>"Napkin Hs"</formula>
    </cfRule>
  </conditionalFormatting>
  <conditionalFormatting sqref="C170">
    <cfRule type="cellIs" dxfId="235" priority="221" stopIfTrue="1" operator="equal">
      <formula>"Towel"</formula>
    </cfRule>
    <cfRule type="cellIs" dxfId="234" priority="222" stopIfTrue="1" operator="equal">
      <formula>"Napkin Hs"</formula>
    </cfRule>
  </conditionalFormatting>
  <conditionalFormatting sqref="B170:C170">
    <cfRule type="cellIs" dxfId="233" priority="223" stopIfTrue="1" operator="equal">
      <formula>"Towel"</formula>
    </cfRule>
    <cfRule type="cellIs" dxfId="232" priority="224" stopIfTrue="1" operator="equal">
      <formula>"Napkin Hs"</formula>
    </cfRule>
  </conditionalFormatting>
  <conditionalFormatting sqref="C170">
    <cfRule type="cellIs" dxfId="231" priority="219" stopIfTrue="1" operator="equal">
      <formula>"Towel"</formula>
    </cfRule>
    <cfRule type="cellIs" dxfId="230" priority="220" stopIfTrue="1" operator="equal">
      <formula>"Napkin Hs"</formula>
    </cfRule>
  </conditionalFormatting>
  <conditionalFormatting sqref="B170:C170">
    <cfRule type="cellIs" dxfId="229" priority="217" stopIfTrue="1" operator="equal">
      <formula>"Towel"</formula>
    </cfRule>
    <cfRule type="cellIs" dxfId="228" priority="218" stopIfTrue="1" operator="equal">
      <formula>"Napkin Hs"</formula>
    </cfRule>
  </conditionalFormatting>
  <conditionalFormatting sqref="C170">
    <cfRule type="cellIs" dxfId="227" priority="225" stopIfTrue="1" operator="equal">
      <formula>"Towel"</formula>
    </cfRule>
    <cfRule type="cellIs" dxfId="226" priority="226" stopIfTrue="1" operator="equal">
      <formula>"Napkin Hs"</formula>
    </cfRule>
  </conditionalFormatting>
  <conditionalFormatting sqref="C170">
    <cfRule type="cellIs" dxfId="225" priority="227" stopIfTrue="1" operator="equal">
      <formula>"Towel"</formula>
    </cfRule>
    <cfRule type="cellIs" dxfId="224" priority="228" stopIfTrue="1" operator="equal">
      <formula>"Napkin Hs"</formula>
    </cfRule>
  </conditionalFormatting>
  <conditionalFormatting sqref="B170:C170">
    <cfRule type="cellIs" dxfId="223" priority="215" stopIfTrue="1" operator="equal">
      <formula>"Towel"</formula>
    </cfRule>
    <cfRule type="cellIs" dxfId="222" priority="216" stopIfTrue="1" operator="equal">
      <formula>"Napkin Hs"</formula>
    </cfRule>
  </conditionalFormatting>
  <conditionalFormatting sqref="C170">
    <cfRule type="cellIs" dxfId="221" priority="214" stopIfTrue="1" operator="equal">
      <formula>"Napkin Hs"</formula>
    </cfRule>
  </conditionalFormatting>
  <conditionalFormatting sqref="C170">
    <cfRule type="cellIs" dxfId="220" priority="211" stopIfTrue="1" operator="equal">
      <formula>"Towel"</formula>
    </cfRule>
    <cfRule type="cellIs" dxfId="219" priority="212" stopIfTrue="1" operator="equal">
      <formula>"Napkin Hs"</formula>
    </cfRule>
  </conditionalFormatting>
  <conditionalFormatting sqref="C170">
    <cfRule type="cellIs" dxfId="218" priority="213" stopIfTrue="1" operator="equal">
      <formula>"Towel"</formula>
    </cfRule>
  </conditionalFormatting>
  <conditionalFormatting sqref="B169:C169">
    <cfRule type="cellIs" dxfId="217" priority="209" stopIfTrue="1" operator="equal">
      <formula>"Towel"</formula>
    </cfRule>
    <cfRule type="cellIs" dxfId="216" priority="210" stopIfTrue="1" operator="equal">
      <formula>"Napkin Hs"</formula>
    </cfRule>
  </conditionalFormatting>
  <conditionalFormatting sqref="C169">
    <cfRule type="cellIs" dxfId="215" priority="205" stopIfTrue="1" operator="equal">
      <formula>"Towel"</formula>
    </cfRule>
    <cfRule type="cellIs" dxfId="214" priority="206" stopIfTrue="1" operator="equal">
      <formula>"Napkin Hs"</formula>
    </cfRule>
  </conditionalFormatting>
  <conditionalFormatting sqref="C169">
    <cfRule type="cellIs" dxfId="213" priority="207" stopIfTrue="1" operator="equal">
      <formula>"Towel"</formula>
    </cfRule>
    <cfRule type="cellIs" dxfId="212" priority="208" stopIfTrue="1" operator="equal">
      <formula>"Napkin Hs"</formula>
    </cfRule>
  </conditionalFormatting>
  <conditionalFormatting sqref="B169:C169">
    <cfRule type="cellIs" dxfId="211" priority="203" stopIfTrue="1" operator="equal">
      <formula>"Towel"</formula>
    </cfRule>
    <cfRule type="cellIs" dxfId="210" priority="204" stopIfTrue="1" operator="equal">
      <formula>"Napkin Hs"</formula>
    </cfRule>
  </conditionalFormatting>
  <conditionalFormatting sqref="C169">
    <cfRule type="cellIs" dxfId="209" priority="201" stopIfTrue="1" operator="equal">
      <formula>"Towel"</formula>
    </cfRule>
    <cfRule type="cellIs" dxfId="208" priority="202" stopIfTrue="1" operator="equal">
      <formula>"Napkin Hs"</formula>
    </cfRule>
  </conditionalFormatting>
  <conditionalFormatting sqref="C169">
    <cfRule type="cellIs" dxfId="207" priority="199" stopIfTrue="1" operator="equal">
      <formula>"Towel"</formula>
    </cfRule>
    <cfRule type="cellIs" dxfId="206" priority="200" stopIfTrue="1" operator="equal">
      <formula>"Napkin Hs"</formula>
    </cfRule>
  </conditionalFormatting>
  <conditionalFormatting sqref="C169">
    <cfRule type="cellIs" dxfId="205" priority="191" stopIfTrue="1" operator="equal">
      <formula>"Towel"</formula>
    </cfRule>
    <cfRule type="cellIs" dxfId="204" priority="192" stopIfTrue="1" operator="equal">
      <formula>"Napkin Hs"</formula>
    </cfRule>
  </conditionalFormatting>
  <conditionalFormatting sqref="B169:C169">
    <cfRule type="cellIs" dxfId="203" priority="193" stopIfTrue="1" operator="equal">
      <formula>"Towel"</formula>
    </cfRule>
    <cfRule type="cellIs" dxfId="202" priority="194" stopIfTrue="1" operator="equal">
      <formula>"Napkin Hs"</formula>
    </cfRule>
  </conditionalFormatting>
  <conditionalFormatting sqref="C169">
    <cfRule type="cellIs" dxfId="201" priority="189" stopIfTrue="1" operator="equal">
      <formula>"Towel"</formula>
    </cfRule>
    <cfRule type="cellIs" dxfId="200" priority="190" stopIfTrue="1" operator="equal">
      <formula>"Napkin Hs"</formula>
    </cfRule>
  </conditionalFormatting>
  <conditionalFormatting sqref="B169:C169">
    <cfRule type="cellIs" dxfId="199" priority="187" stopIfTrue="1" operator="equal">
      <formula>"Towel"</formula>
    </cfRule>
    <cfRule type="cellIs" dxfId="198" priority="188" stopIfTrue="1" operator="equal">
      <formula>"Napkin Hs"</formula>
    </cfRule>
  </conditionalFormatting>
  <conditionalFormatting sqref="C169">
    <cfRule type="cellIs" dxfId="197" priority="195" stopIfTrue="1" operator="equal">
      <formula>"Towel"</formula>
    </cfRule>
    <cfRule type="cellIs" dxfId="196" priority="196" stopIfTrue="1" operator="equal">
      <formula>"Napkin Hs"</formula>
    </cfRule>
  </conditionalFormatting>
  <conditionalFormatting sqref="C169">
    <cfRule type="cellIs" dxfId="195" priority="197" stopIfTrue="1" operator="equal">
      <formula>"Towel"</formula>
    </cfRule>
    <cfRule type="cellIs" dxfId="194" priority="198" stopIfTrue="1" operator="equal">
      <formula>"Napkin Hs"</formula>
    </cfRule>
  </conditionalFormatting>
  <conditionalFormatting sqref="B169:C169">
    <cfRule type="cellIs" dxfId="193" priority="185" stopIfTrue="1" operator="equal">
      <formula>"Towel"</formula>
    </cfRule>
    <cfRule type="cellIs" dxfId="192" priority="186" stopIfTrue="1" operator="equal">
      <formula>"Napkin Hs"</formula>
    </cfRule>
  </conditionalFormatting>
  <conditionalFormatting sqref="C169">
    <cfRule type="cellIs" dxfId="191" priority="184" stopIfTrue="1" operator="equal">
      <formula>"Napkin Hs"</formula>
    </cfRule>
  </conditionalFormatting>
  <conditionalFormatting sqref="C169">
    <cfRule type="cellIs" dxfId="190" priority="181" stopIfTrue="1" operator="equal">
      <formula>"Towel"</formula>
    </cfRule>
    <cfRule type="cellIs" dxfId="189" priority="182" stopIfTrue="1" operator="equal">
      <formula>"Napkin Hs"</formula>
    </cfRule>
  </conditionalFormatting>
  <conditionalFormatting sqref="C169">
    <cfRule type="cellIs" dxfId="188" priority="183" stopIfTrue="1" operator="equal">
      <formula>"Towel"</formula>
    </cfRule>
  </conditionalFormatting>
  <conditionalFormatting sqref="B173:C173">
    <cfRule type="cellIs" dxfId="187" priority="179" stopIfTrue="1" operator="equal">
      <formula>"Towel"</formula>
    </cfRule>
    <cfRule type="cellIs" dxfId="186" priority="180" stopIfTrue="1" operator="equal">
      <formula>"Napkin Hs"</formula>
    </cfRule>
  </conditionalFormatting>
  <conditionalFormatting sqref="C173">
    <cfRule type="cellIs" dxfId="185" priority="178" stopIfTrue="1" operator="equal">
      <formula>"Napkin Hs"</formula>
    </cfRule>
  </conditionalFormatting>
  <conditionalFormatting sqref="C173">
    <cfRule type="cellIs" dxfId="184" priority="175" stopIfTrue="1" operator="equal">
      <formula>"Towel"</formula>
    </cfRule>
    <cfRule type="cellIs" dxfId="183" priority="176" stopIfTrue="1" operator="equal">
      <formula>"Napkin Hs"</formula>
    </cfRule>
  </conditionalFormatting>
  <conditionalFormatting sqref="C173">
    <cfRule type="cellIs" dxfId="182" priority="177" stopIfTrue="1" operator="equal">
      <formula>"Towel"</formula>
    </cfRule>
  </conditionalFormatting>
  <conditionalFormatting sqref="B178:C179">
    <cfRule type="cellIs" dxfId="181" priority="171" stopIfTrue="1" operator="equal">
      <formula>"Towel"</formula>
    </cfRule>
    <cfRule type="cellIs" dxfId="180" priority="172" stopIfTrue="1" operator="equal">
      <formula>"Napkin Hs"</formula>
    </cfRule>
  </conditionalFormatting>
  <conditionalFormatting sqref="C178:C179">
    <cfRule type="cellIs" dxfId="179" priority="173" stopIfTrue="1" operator="equal">
      <formula>"Towel"</formula>
    </cfRule>
    <cfRule type="cellIs" dxfId="178" priority="174" stopIfTrue="1" operator="equal">
      <formula>"Napkin Hs"</formula>
    </cfRule>
  </conditionalFormatting>
  <conditionalFormatting sqref="C178:C179">
    <cfRule type="cellIs" dxfId="177" priority="169" stopIfTrue="1" operator="equal">
      <formula>"Towel"</formula>
    </cfRule>
    <cfRule type="cellIs" dxfId="176" priority="170" stopIfTrue="1" operator="equal">
      <formula>"Napkin Hs"</formula>
    </cfRule>
  </conditionalFormatting>
  <conditionalFormatting sqref="B177:C177">
    <cfRule type="cellIs" dxfId="175" priority="167" stopIfTrue="1" operator="equal">
      <formula>"Towel"</formula>
    </cfRule>
    <cfRule type="cellIs" dxfId="174" priority="168" stopIfTrue="1" operator="equal">
      <formula>"Napkin Hs"</formula>
    </cfRule>
  </conditionalFormatting>
  <conditionalFormatting sqref="C177">
    <cfRule type="cellIs" dxfId="173" priority="163" stopIfTrue="1" operator="equal">
      <formula>"Towel"</formula>
    </cfRule>
    <cfRule type="cellIs" dxfId="172" priority="164" stopIfTrue="1" operator="equal">
      <formula>"Napkin Hs"</formula>
    </cfRule>
  </conditionalFormatting>
  <conditionalFormatting sqref="C177">
    <cfRule type="cellIs" dxfId="171" priority="165" stopIfTrue="1" operator="equal">
      <formula>"Towel"</formula>
    </cfRule>
    <cfRule type="cellIs" dxfId="170" priority="166" stopIfTrue="1" operator="equal">
      <formula>"Napkin Hs"</formula>
    </cfRule>
  </conditionalFormatting>
  <conditionalFormatting sqref="B178:C179">
    <cfRule type="cellIs" dxfId="169" priority="161" stopIfTrue="1" operator="equal">
      <formula>"Towel"</formula>
    </cfRule>
    <cfRule type="cellIs" dxfId="168" priority="162" stopIfTrue="1" operator="equal">
      <formula>"Napkin Hs"</formula>
    </cfRule>
  </conditionalFormatting>
  <conditionalFormatting sqref="C178:C179">
    <cfRule type="cellIs" dxfId="167" priority="159" stopIfTrue="1" operator="equal">
      <formula>"Towel"</formula>
    </cfRule>
    <cfRule type="cellIs" dxfId="166" priority="160" stopIfTrue="1" operator="equal">
      <formula>"Napkin Hs"</formula>
    </cfRule>
  </conditionalFormatting>
  <conditionalFormatting sqref="C178:C179">
    <cfRule type="cellIs" dxfId="165" priority="157" stopIfTrue="1" operator="equal">
      <formula>"Towel"</formula>
    </cfRule>
    <cfRule type="cellIs" dxfId="164" priority="158" stopIfTrue="1" operator="equal">
      <formula>"Napkin Hs"</formula>
    </cfRule>
  </conditionalFormatting>
  <conditionalFormatting sqref="B177:C177">
    <cfRule type="cellIs" dxfId="163" priority="155" stopIfTrue="1" operator="equal">
      <formula>"Towel"</formula>
    </cfRule>
    <cfRule type="cellIs" dxfId="162" priority="156" stopIfTrue="1" operator="equal">
      <formula>"Napkin Hs"</formula>
    </cfRule>
  </conditionalFormatting>
  <conditionalFormatting sqref="C177">
    <cfRule type="cellIs" dxfId="161" priority="153" stopIfTrue="1" operator="equal">
      <formula>"Towel"</formula>
    </cfRule>
    <cfRule type="cellIs" dxfId="160" priority="154" stopIfTrue="1" operator="equal">
      <formula>"Napkin Hs"</formula>
    </cfRule>
  </conditionalFormatting>
  <conditionalFormatting sqref="C177">
    <cfRule type="cellIs" dxfId="159" priority="151" stopIfTrue="1" operator="equal">
      <formula>"Towel"</formula>
    </cfRule>
    <cfRule type="cellIs" dxfId="158" priority="152" stopIfTrue="1" operator="equal">
      <formula>"Napkin Hs"</formula>
    </cfRule>
  </conditionalFormatting>
  <conditionalFormatting sqref="C177">
    <cfRule type="cellIs" dxfId="157" priority="143" stopIfTrue="1" operator="equal">
      <formula>"Towel"</formula>
    </cfRule>
    <cfRule type="cellIs" dxfId="156" priority="144" stopIfTrue="1" operator="equal">
      <formula>"Napkin Hs"</formula>
    </cfRule>
  </conditionalFormatting>
  <conditionalFormatting sqref="B177:C177">
    <cfRule type="cellIs" dxfId="155" priority="145" stopIfTrue="1" operator="equal">
      <formula>"Towel"</formula>
    </cfRule>
    <cfRule type="cellIs" dxfId="154" priority="146" stopIfTrue="1" operator="equal">
      <formula>"Napkin Hs"</formula>
    </cfRule>
  </conditionalFormatting>
  <conditionalFormatting sqref="C177">
    <cfRule type="cellIs" dxfId="153" priority="141" stopIfTrue="1" operator="equal">
      <formula>"Towel"</formula>
    </cfRule>
    <cfRule type="cellIs" dxfId="152" priority="142" stopIfTrue="1" operator="equal">
      <formula>"Napkin Hs"</formula>
    </cfRule>
  </conditionalFormatting>
  <conditionalFormatting sqref="B177:C177">
    <cfRule type="cellIs" dxfId="151" priority="139" stopIfTrue="1" operator="equal">
      <formula>"Towel"</formula>
    </cfRule>
    <cfRule type="cellIs" dxfId="150" priority="140" stopIfTrue="1" operator="equal">
      <formula>"Napkin Hs"</formula>
    </cfRule>
  </conditionalFormatting>
  <conditionalFormatting sqref="C177">
    <cfRule type="cellIs" dxfId="149" priority="147" stopIfTrue="1" operator="equal">
      <formula>"Towel"</formula>
    </cfRule>
    <cfRule type="cellIs" dxfId="148" priority="148" stopIfTrue="1" operator="equal">
      <formula>"Napkin Hs"</formula>
    </cfRule>
  </conditionalFormatting>
  <conditionalFormatting sqref="C177">
    <cfRule type="cellIs" dxfId="147" priority="149" stopIfTrue="1" operator="equal">
      <formula>"Towel"</formula>
    </cfRule>
    <cfRule type="cellIs" dxfId="146" priority="150" stopIfTrue="1" operator="equal">
      <formula>"Napkin Hs"</formula>
    </cfRule>
  </conditionalFormatting>
  <conditionalFormatting sqref="B178:C179">
    <cfRule type="cellIs" dxfId="145" priority="137" stopIfTrue="1" operator="equal">
      <formula>"Towel"</formula>
    </cfRule>
    <cfRule type="cellIs" dxfId="144" priority="138" stopIfTrue="1" operator="equal">
      <formula>"Napkin Hs"</formula>
    </cfRule>
  </conditionalFormatting>
  <conditionalFormatting sqref="C178:C179">
    <cfRule type="cellIs" dxfId="143" priority="136" stopIfTrue="1" operator="equal">
      <formula>"Napkin Hs"</formula>
    </cfRule>
  </conditionalFormatting>
  <conditionalFormatting sqref="C178:C179">
    <cfRule type="cellIs" dxfId="142" priority="133" stopIfTrue="1" operator="equal">
      <formula>"Towel"</formula>
    </cfRule>
    <cfRule type="cellIs" dxfId="141" priority="134" stopIfTrue="1" operator="equal">
      <formula>"Napkin Hs"</formula>
    </cfRule>
  </conditionalFormatting>
  <conditionalFormatting sqref="C178:C179">
    <cfRule type="cellIs" dxfId="140" priority="135" stopIfTrue="1" operator="equal">
      <formula>"Towel"</formula>
    </cfRule>
  </conditionalFormatting>
  <conditionalFormatting sqref="B177:C177">
    <cfRule type="cellIs" dxfId="139" priority="131" stopIfTrue="1" operator="equal">
      <formula>"Towel"</formula>
    </cfRule>
    <cfRule type="cellIs" dxfId="138" priority="132" stopIfTrue="1" operator="equal">
      <formula>"Napkin Hs"</formula>
    </cfRule>
  </conditionalFormatting>
  <conditionalFormatting sqref="C177">
    <cfRule type="cellIs" dxfId="137" priority="130" stopIfTrue="1" operator="equal">
      <formula>"Napkin Hs"</formula>
    </cfRule>
  </conditionalFormatting>
  <conditionalFormatting sqref="C177">
    <cfRule type="cellIs" dxfId="136" priority="127" stopIfTrue="1" operator="equal">
      <formula>"Towel"</formula>
    </cfRule>
    <cfRule type="cellIs" dxfId="135" priority="128" stopIfTrue="1" operator="equal">
      <formula>"Napkin Hs"</formula>
    </cfRule>
  </conditionalFormatting>
  <conditionalFormatting sqref="C177">
    <cfRule type="cellIs" dxfId="134" priority="129" stopIfTrue="1" operator="equal">
      <formula>"Towel"</formula>
    </cfRule>
  </conditionalFormatting>
  <conditionalFormatting sqref="B175:C176">
    <cfRule type="cellIs" dxfId="133" priority="125" stopIfTrue="1" operator="equal">
      <formula>"Towel"</formula>
    </cfRule>
    <cfRule type="cellIs" dxfId="132" priority="126" stopIfTrue="1" operator="equal">
      <formula>"Napkin Hs"</formula>
    </cfRule>
  </conditionalFormatting>
  <conditionalFormatting sqref="C175:C176">
    <cfRule type="cellIs" dxfId="131" priority="121" stopIfTrue="1" operator="equal">
      <formula>"Towel"</formula>
    </cfRule>
    <cfRule type="cellIs" dxfId="130" priority="122" stopIfTrue="1" operator="equal">
      <formula>"Napkin Hs"</formula>
    </cfRule>
  </conditionalFormatting>
  <conditionalFormatting sqref="C175:C176">
    <cfRule type="cellIs" dxfId="129" priority="123" stopIfTrue="1" operator="equal">
      <formula>"Towel"</formula>
    </cfRule>
    <cfRule type="cellIs" dxfId="128" priority="124" stopIfTrue="1" operator="equal">
      <formula>"Napkin Hs"</formula>
    </cfRule>
  </conditionalFormatting>
  <conditionalFormatting sqref="B175:C176">
    <cfRule type="cellIs" dxfId="127" priority="119" stopIfTrue="1" operator="equal">
      <formula>"Towel"</formula>
    </cfRule>
    <cfRule type="cellIs" dxfId="126" priority="120" stopIfTrue="1" operator="equal">
      <formula>"Napkin Hs"</formula>
    </cfRule>
  </conditionalFormatting>
  <conditionalFormatting sqref="C175:C176">
    <cfRule type="cellIs" dxfId="125" priority="117" stopIfTrue="1" operator="equal">
      <formula>"Towel"</formula>
    </cfRule>
    <cfRule type="cellIs" dxfId="124" priority="118" stopIfTrue="1" operator="equal">
      <formula>"Napkin Hs"</formula>
    </cfRule>
  </conditionalFormatting>
  <conditionalFormatting sqref="C175:C176">
    <cfRule type="cellIs" dxfId="123" priority="115" stopIfTrue="1" operator="equal">
      <formula>"Towel"</formula>
    </cfRule>
    <cfRule type="cellIs" dxfId="122" priority="116" stopIfTrue="1" operator="equal">
      <formula>"Napkin Hs"</formula>
    </cfRule>
  </conditionalFormatting>
  <conditionalFormatting sqref="C175:C176">
    <cfRule type="cellIs" dxfId="121" priority="107" stopIfTrue="1" operator="equal">
      <formula>"Towel"</formula>
    </cfRule>
    <cfRule type="cellIs" dxfId="120" priority="108" stopIfTrue="1" operator="equal">
      <formula>"Napkin Hs"</formula>
    </cfRule>
  </conditionalFormatting>
  <conditionalFormatting sqref="B175:C176">
    <cfRule type="cellIs" dxfId="119" priority="109" stopIfTrue="1" operator="equal">
      <formula>"Towel"</formula>
    </cfRule>
    <cfRule type="cellIs" dxfId="118" priority="110" stopIfTrue="1" operator="equal">
      <formula>"Napkin Hs"</formula>
    </cfRule>
  </conditionalFormatting>
  <conditionalFormatting sqref="C175:C176">
    <cfRule type="cellIs" dxfId="117" priority="105" stopIfTrue="1" operator="equal">
      <formula>"Towel"</formula>
    </cfRule>
    <cfRule type="cellIs" dxfId="116" priority="106" stopIfTrue="1" operator="equal">
      <formula>"Napkin Hs"</formula>
    </cfRule>
  </conditionalFormatting>
  <conditionalFormatting sqref="B175:C176">
    <cfRule type="cellIs" dxfId="115" priority="103" stopIfTrue="1" operator="equal">
      <formula>"Towel"</formula>
    </cfRule>
    <cfRule type="cellIs" dxfId="114" priority="104" stopIfTrue="1" operator="equal">
      <formula>"Napkin Hs"</formula>
    </cfRule>
  </conditionalFormatting>
  <conditionalFormatting sqref="C175:C176">
    <cfRule type="cellIs" dxfId="113" priority="111" stopIfTrue="1" operator="equal">
      <formula>"Towel"</formula>
    </cfRule>
    <cfRule type="cellIs" dxfId="112" priority="112" stopIfTrue="1" operator="equal">
      <formula>"Napkin Hs"</formula>
    </cfRule>
  </conditionalFormatting>
  <conditionalFormatting sqref="C175:C176">
    <cfRule type="cellIs" dxfId="111" priority="113" stopIfTrue="1" operator="equal">
      <formula>"Towel"</formula>
    </cfRule>
    <cfRule type="cellIs" dxfId="110" priority="114" stopIfTrue="1" operator="equal">
      <formula>"Napkin Hs"</formula>
    </cfRule>
  </conditionalFormatting>
  <conditionalFormatting sqref="B175:C176">
    <cfRule type="cellIs" dxfId="109" priority="101" stopIfTrue="1" operator="equal">
      <formula>"Towel"</formula>
    </cfRule>
    <cfRule type="cellIs" dxfId="108" priority="102" stopIfTrue="1" operator="equal">
      <formula>"Napkin Hs"</formula>
    </cfRule>
  </conditionalFormatting>
  <conditionalFormatting sqref="C175:C176">
    <cfRule type="cellIs" dxfId="107" priority="100" stopIfTrue="1" operator="equal">
      <formula>"Napkin Hs"</formula>
    </cfRule>
  </conditionalFormatting>
  <conditionalFormatting sqref="C175:C176">
    <cfRule type="cellIs" dxfId="106" priority="97" stopIfTrue="1" operator="equal">
      <formula>"Towel"</formula>
    </cfRule>
    <cfRule type="cellIs" dxfId="105" priority="98" stopIfTrue="1" operator="equal">
      <formula>"Napkin Hs"</formula>
    </cfRule>
  </conditionalFormatting>
  <conditionalFormatting sqref="C175:C176">
    <cfRule type="cellIs" dxfId="104" priority="99" stopIfTrue="1" operator="equal">
      <formula>"Towel"</formula>
    </cfRule>
  </conditionalFormatting>
  <conditionalFormatting sqref="B180:C181">
    <cfRule type="cellIs" dxfId="103" priority="95" stopIfTrue="1" operator="equal">
      <formula>"Towel"</formula>
    </cfRule>
    <cfRule type="cellIs" dxfId="102" priority="96" stopIfTrue="1" operator="equal">
      <formula>"Napkin Hs"</formula>
    </cfRule>
  </conditionalFormatting>
  <conditionalFormatting sqref="C180:C181">
    <cfRule type="cellIs" dxfId="101" priority="94" stopIfTrue="1" operator="equal">
      <formula>"Napkin Hs"</formula>
    </cfRule>
  </conditionalFormatting>
  <conditionalFormatting sqref="C180:C181">
    <cfRule type="cellIs" dxfId="100" priority="91" stopIfTrue="1" operator="equal">
      <formula>"Towel"</formula>
    </cfRule>
    <cfRule type="cellIs" dxfId="99" priority="92" stopIfTrue="1" operator="equal">
      <formula>"Napkin Hs"</formula>
    </cfRule>
  </conditionalFormatting>
  <conditionalFormatting sqref="C180:C181">
    <cfRule type="cellIs" dxfId="98" priority="93" stopIfTrue="1" operator="equal">
      <formula>"Towel"</formula>
    </cfRule>
  </conditionalFormatting>
  <conditionalFormatting sqref="B184:C184">
    <cfRule type="cellIs" dxfId="97" priority="89" stopIfTrue="1" operator="equal">
      <formula>"Towel"</formula>
    </cfRule>
    <cfRule type="cellIs" dxfId="96" priority="90" stopIfTrue="1" operator="equal">
      <formula>"Napkin Hs"</formula>
    </cfRule>
  </conditionalFormatting>
  <conditionalFormatting sqref="C184">
    <cfRule type="cellIs" dxfId="95" priority="85" stopIfTrue="1" operator="equal">
      <formula>"Towel"</formula>
    </cfRule>
    <cfRule type="cellIs" dxfId="94" priority="86" stopIfTrue="1" operator="equal">
      <formula>"Napkin Hs"</formula>
    </cfRule>
  </conditionalFormatting>
  <conditionalFormatting sqref="C184">
    <cfRule type="cellIs" dxfId="93" priority="87" stopIfTrue="1" operator="equal">
      <formula>"Towel"</formula>
    </cfRule>
    <cfRule type="cellIs" dxfId="92" priority="88" stopIfTrue="1" operator="equal">
      <formula>"Napkin Hs"</formula>
    </cfRule>
  </conditionalFormatting>
  <conditionalFormatting sqref="B184:C184">
    <cfRule type="cellIs" dxfId="91" priority="83" stopIfTrue="1" operator="equal">
      <formula>"Towel"</formula>
    </cfRule>
    <cfRule type="cellIs" dxfId="90" priority="84" stopIfTrue="1" operator="equal">
      <formula>"Napkin Hs"</formula>
    </cfRule>
  </conditionalFormatting>
  <conditionalFormatting sqref="C184">
    <cfRule type="cellIs" dxfId="89" priority="81" stopIfTrue="1" operator="equal">
      <formula>"Towel"</formula>
    </cfRule>
    <cfRule type="cellIs" dxfId="88" priority="82" stopIfTrue="1" operator="equal">
      <formula>"Napkin Hs"</formula>
    </cfRule>
  </conditionalFormatting>
  <conditionalFormatting sqref="C184">
    <cfRule type="cellIs" dxfId="87" priority="79" stopIfTrue="1" operator="equal">
      <formula>"Towel"</formula>
    </cfRule>
    <cfRule type="cellIs" dxfId="86" priority="80" stopIfTrue="1" operator="equal">
      <formula>"Napkin Hs"</formula>
    </cfRule>
  </conditionalFormatting>
  <conditionalFormatting sqref="C184">
    <cfRule type="cellIs" dxfId="85" priority="71" stopIfTrue="1" operator="equal">
      <formula>"Towel"</formula>
    </cfRule>
    <cfRule type="cellIs" dxfId="84" priority="72" stopIfTrue="1" operator="equal">
      <formula>"Napkin Hs"</formula>
    </cfRule>
  </conditionalFormatting>
  <conditionalFormatting sqref="B184:C184">
    <cfRule type="cellIs" dxfId="83" priority="73" stopIfTrue="1" operator="equal">
      <formula>"Towel"</formula>
    </cfRule>
    <cfRule type="cellIs" dxfId="82" priority="74" stopIfTrue="1" operator="equal">
      <formula>"Napkin Hs"</formula>
    </cfRule>
  </conditionalFormatting>
  <conditionalFormatting sqref="C184">
    <cfRule type="cellIs" dxfId="81" priority="69" stopIfTrue="1" operator="equal">
      <formula>"Towel"</formula>
    </cfRule>
    <cfRule type="cellIs" dxfId="80" priority="70" stopIfTrue="1" operator="equal">
      <formula>"Napkin Hs"</formula>
    </cfRule>
  </conditionalFormatting>
  <conditionalFormatting sqref="B184:C184">
    <cfRule type="cellIs" dxfId="79" priority="67" stopIfTrue="1" operator="equal">
      <formula>"Towel"</formula>
    </cfRule>
    <cfRule type="cellIs" dxfId="78" priority="68" stopIfTrue="1" operator="equal">
      <formula>"Napkin Hs"</formula>
    </cfRule>
  </conditionalFormatting>
  <conditionalFormatting sqref="C184">
    <cfRule type="cellIs" dxfId="77" priority="75" stopIfTrue="1" operator="equal">
      <formula>"Towel"</formula>
    </cfRule>
    <cfRule type="cellIs" dxfId="76" priority="76" stopIfTrue="1" operator="equal">
      <formula>"Napkin Hs"</formula>
    </cfRule>
  </conditionalFormatting>
  <conditionalFormatting sqref="C184">
    <cfRule type="cellIs" dxfId="75" priority="77" stopIfTrue="1" operator="equal">
      <formula>"Towel"</formula>
    </cfRule>
    <cfRule type="cellIs" dxfId="74" priority="78" stopIfTrue="1" operator="equal">
      <formula>"Napkin Hs"</formula>
    </cfRule>
  </conditionalFormatting>
  <conditionalFormatting sqref="B184:C184">
    <cfRule type="cellIs" dxfId="73" priority="65" stopIfTrue="1" operator="equal">
      <formula>"Towel"</formula>
    </cfRule>
    <cfRule type="cellIs" dxfId="72" priority="66" stopIfTrue="1" operator="equal">
      <formula>"Napkin Hs"</formula>
    </cfRule>
  </conditionalFormatting>
  <conditionalFormatting sqref="C184">
    <cfRule type="cellIs" dxfId="71" priority="64" stopIfTrue="1" operator="equal">
      <formula>"Napkin Hs"</formula>
    </cfRule>
  </conditionalFormatting>
  <conditionalFormatting sqref="C184">
    <cfRule type="cellIs" dxfId="70" priority="61" stopIfTrue="1" operator="equal">
      <formula>"Towel"</formula>
    </cfRule>
    <cfRule type="cellIs" dxfId="69" priority="62" stopIfTrue="1" operator="equal">
      <formula>"Napkin Hs"</formula>
    </cfRule>
  </conditionalFormatting>
  <conditionalFormatting sqref="C184">
    <cfRule type="cellIs" dxfId="68" priority="63" stopIfTrue="1" operator="equal">
      <formula>"Towel"</formula>
    </cfRule>
  </conditionalFormatting>
  <conditionalFormatting sqref="B183:C183">
    <cfRule type="cellIs" dxfId="67" priority="59" stopIfTrue="1" operator="equal">
      <formula>"Towel"</formula>
    </cfRule>
    <cfRule type="cellIs" dxfId="66" priority="60" stopIfTrue="1" operator="equal">
      <formula>"Napkin Hs"</formula>
    </cfRule>
  </conditionalFormatting>
  <conditionalFormatting sqref="C183">
    <cfRule type="cellIs" dxfId="65" priority="55" stopIfTrue="1" operator="equal">
      <formula>"Towel"</formula>
    </cfRule>
    <cfRule type="cellIs" dxfId="64" priority="56" stopIfTrue="1" operator="equal">
      <formula>"Napkin Hs"</formula>
    </cfRule>
  </conditionalFormatting>
  <conditionalFormatting sqref="C183">
    <cfRule type="cellIs" dxfId="63" priority="57" stopIfTrue="1" operator="equal">
      <formula>"Towel"</formula>
    </cfRule>
    <cfRule type="cellIs" dxfId="62" priority="58" stopIfTrue="1" operator="equal">
      <formula>"Napkin Hs"</formula>
    </cfRule>
  </conditionalFormatting>
  <conditionalFormatting sqref="B183:C183">
    <cfRule type="cellIs" dxfId="61" priority="53" stopIfTrue="1" operator="equal">
      <formula>"Towel"</formula>
    </cfRule>
    <cfRule type="cellIs" dxfId="60" priority="54" stopIfTrue="1" operator="equal">
      <formula>"Napkin Hs"</formula>
    </cfRule>
  </conditionalFormatting>
  <conditionalFormatting sqref="C183">
    <cfRule type="cellIs" dxfId="59" priority="51" stopIfTrue="1" operator="equal">
      <formula>"Towel"</formula>
    </cfRule>
    <cfRule type="cellIs" dxfId="58" priority="52" stopIfTrue="1" operator="equal">
      <formula>"Napkin Hs"</formula>
    </cfRule>
  </conditionalFormatting>
  <conditionalFormatting sqref="C183">
    <cfRule type="cellIs" dxfId="57" priority="49" stopIfTrue="1" operator="equal">
      <formula>"Towel"</formula>
    </cfRule>
    <cfRule type="cellIs" dxfId="56" priority="50" stopIfTrue="1" operator="equal">
      <formula>"Napkin Hs"</formula>
    </cfRule>
  </conditionalFormatting>
  <conditionalFormatting sqref="C183">
    <cfRule type="cellIs" dxfId="55" priority="41" stopIfTrue="1" operator="equal">
      <formula>"Towel"</formula>
    </cfRule>
    <cfRule type="cellIs" dxfId="54" priority="42" stopIfTrue="1" operator="equal">
      <formula>"Napkin Hs"</formula>
    </cfRule>
  </conditionalFormatting>
  <conditionalFormatting sqref="B183:C183">
    <cfRule type="cellIs" dxfId="53" priority="43" stopIfTrue="1" operator="equal">
      <formula>"Towel"</formula>
    </cfRule>
    <cfRule type="cellIs" dxfId="52" priority="44" stopIfTrue="1" operator="equal">
      <formula>"Napkin Hs"</formula>
    </cfRule>
  </conditionalFormatting>
  <conditionalFormatting sqref="C183">
    <cfRule type="cellIs" dxfId="51" priority="39" stopIfTrue="1" operator="equal">
      <formula>"Towel"</formula>
    </cfRule>
    <cfRule type="cellIs" dxfId="50" priority="40" stopIfTrue="1" operator="equal">
      <formula>"Napkin Hs"</formula>
    </cfRule>
  </conditionalFormatting>
  <conditionalFormatting sqref="B183:C183">
    <cfRule type="cellIs" dxfId="49" priority="37" stopIfTrue="1" operator="equal">
      <formula>"Towel"</formula>
    </cfRule>
    <cfRule type="cellIs" dxfId="48" priority="38" stopIfTrue="1" operator="equal">
      <formula>"Napkin Hs"</formula>
    </cfRule>
  </conditionalFormatting>
  <conditionalFormatting sqref="C183">
    <cfRule type="cellIs" dxfId="47" priority="45" stopIfTrue="1" operator="equal">
      <formula>"Towel"</formula>
    </cfRule>
    <cfRule type="cellIs" dxfId="46" priority="46" stopIfTrue="1" operator="equal">
      <formula>"Napkin Hs"</formula>
    </cfRule>
  </conditionalFormatting>
  <conditionalFormatting sqref="C183">
    <cfRule type="cellIs" dxfId="45" priority="47" stopIfTrue="1" operator="equal">
      <formula>"Towel"</formula>
    </cfRule>
    <cfRule type="cellIs" dxfId="44" priority="48" stopIfTrue="1" operator="equal">
      <formula>"Napkin Hs"</formula>
    </cfRule>
  </conditionalFormatting>
  <conditionalFormatting sqref="B183:C183">
    <cfRule type="cellIs" dxfId="43" priority="35" stopIfTrue="1" operator="equal">
      <formula>"Towel"</formula>
    </cfRule>
    <cfRule type="cellIs" dxfId="42" priority="36" stopIfTrue="1" operator="equal">
      <formula>"Napkin Hs"</formula>
    </cfRule>
  </conditionalFormatting>
  <conditionalFormatting sqref="C183">
    <cfRule type="cellIs" dxfId="41" priority="34" stopIfTrue="1" operator="equal">
      <formula>"Napkin Hs"</formula>
    </cfRule>
  </conditionalFormatting>
  <conditionalFormatting sqref="C183">
    <cfRule type="cellIs" dxfId="40" priority="31" stopIfTrue="1" operator="equal">
      <formula>"Towel"</formula>
    </cfRule>
    <cfRule type="cellIs" dxfId="39" priority="32" stopIfTrue="1" operator="equal">
      <formula>"Napkin Hs"</formula>
    </cfRule>
  </conditionalFormatting>
  <conditionalFormatting sqref="C183">
    <cfRule type="cellIs" dxfId="38" priority="33" stopIfTrue="1" operator="equal">
      <formula>"Towel"</formula>
    </cfRule>
  </conditionalFormatting>
  <conditionalFormatting sqref="B182:C182">
    <cfRule type="cellIs" dxfId="37" priority="29" stopIfTrue="1" operator="equal">
      <formula>"Towel"</formula>
    </cfRule>
    <cfRule type="cellIs" dxfId="36" priority="30" stopIfTrue="1" operator="equal">
      <formula>"Napkin Hs"</formula>
    </cfRule>
  </conditionalFormatting>
  <conditionalFormatting sqref="C182">
    <cfRule type="cellIs" dxfId="35" priority="25" stopIfTrue="1" operator="equal">
      <formula>"Towel"</formula>
    </cfRule>
    <cfRule type="cellIs" dxfId="34" priority="26" stopIfTrue="1" operator="equal">
      <formula>"Napkin Hs"</formula>
    </cfRule>
  </conditionalFormatting>
  <conditionalFormatting sqref="C182">
    <cfRule type="cellIs" dxfId="33" priority="27" stopIfTrue="1" operator="equal">
      <formula>"Towel"</formula>
    </cfRule>
    <cfRule type="cellIs" dxfId="32" priority="28" stopIfTrue="1" operator="equal">
      <formula>"Napkin Hs"</formula>
    </cfRule>
  </conditionalFormatting>
  <conditionalFormatting sqref="B182:C182">
    <cfRule type="cellIs" dxfId="31" priority="23" stopIfTrue="1" operator="equal">
      <formula>"Towel"</formula>
    </cfRule>
    <cfRule type="cellIs" dxfId="30" priority="24" stopIfTrue="1" operator="equal">
      <formula>"Napkin Hs"</formula>
    </cfRule>
  </conditionalFormatting>
  <conditionalFormatting sqref="C182">
    <cfRule type="cellIs" dxfId="29" priority="21" stopIfTrue="1" operator="equal">
      <formula>"Towel"</formula>
    </cfRule>
    <cfRule type="cellIs" dxfId="28" priority="22" stopIfTrue="1" operator="equal">
      <formula>"Napkin Hs"</formula>
    </cfRule>
  </conditionalFormatting>
  <conditionalFormatting sqref="C182">
    <cfRule type="cellIs" dxfId="27" priority="19" stopIfTrue="1" operator="equal">
      <formula>"Towel"</formula>
    </cfRule>
    <cfRule type="cellIs" dxfId="26" priority="20" stopIfTrue="1" operator="equal">
      <formula>"Napkin Hs"</formula>
    </cfRule>
  </conditionalFormatting>
  <conditionalFormatting sqref="C182">
    <cfRule type="cellIs" dxfId="25" priority="11" stopIfTrue="1" operator="equal">
      <formula>"Towel"</formula>
    </cfRule>
    <cfRule type="cellIs" dxfId="24" priority="12" stopIfTrue="1" operator="equal">
      <formula>"Napkin Hs"</formula>
    </cfRule>
  </conditionalFormatting>
  <conditionalFormatting sqref="B182:C182">
    <cfRule type="cellIs" dxfId="23" priority="13" stopIfTrue="1" operator="equal">
      <formula>"Towel"</formula>
    </cfRule>
    <cfRule type="cellIs" dxfId="22" priority="14" stopIfTrue="1" operator="equal">
      <formula>"Napkin Hs"</formula>
    </cfRule>
  </conditionalFormatting>
  <conditionalFormatting sqref="C182">
    <cfRule type="cellIs" dxfId="21" priority="9" stopIfTrue="1" operator="equal">
      <formula>"Towel"</formula>
    </cfRule>
    <cfRule type="cellIs" dxfId="20" priority="10" stopIfTrue="1" operator="equal">
      <formula>"Napkin Hs"</formula>
    </cfRule>
  </conditionalFormatting>
  <conditionalFormatting sqref="B182:C182">
    <cfRule type="cellIs" dxfId="19" priority="7" stopIfTrue="1" operator="equal">
      <formula>"Towel"</formula>
    </cfRule>
    <cfRule type="cellIs" dxfId="18" priority="8" stopIfTrue="1" operator="equal">
      <formula>"Napkin Hs"</formula>
    </cfRule>
  </conditionalFormatting>
  <conditionalFormatting sqref="C182">
    <cfRule type="cellIs" dxfId="17" priority="15" stopIfTrue="1" operator="equal">
      <formula>"Towel"</formula>
    </cfRule>
    <cfRule type="cellIs" dxfId="16" priority="16" stopIfTrue="1" operator="equal">
      <formula>"Napkin Hs"</formula>
    </cfRule>
  </conditionalFormatting>
  <conditionalFormatting sqref="C182">
    <cfRule type="cellIs" dxfId="15" priority="17" stopIfTrue="1" operator="equal">
      <formula>"Towel"</formula>
    </cfRule>
    <cfRule type="cellIs" dxfId="14" priority="18" stopIfTrue="1" operator="equal">
      <formula>"Napkin Hs"</formula>
    </cfRule>
  </conditionalFormatting>
  <conditionalFormatting sqref="B182:C182">
    <cfRule type="cellIs" dxfId="13" priority="5" stopIfTrue="1" operator="equal">
      <formula>"Towel"</formula>
    </cfRule>
    <cfRule type="cellIs" dxfId="12" priority="6" stopIfTrue="1" operator="equal">
      <formula>"Napkin Hs"</formula>
    </cfRule>
  </conditionalFormatting>
  <conditionalFormatting sqref="C182">
    <cfRule type="cellIs" dxfId="11" priority="4" stopIfTrue="1" operator="equal">
      <formula>"Napkin Hs"</formula>
    </cfRule>
  </conditionalFormatting>
  <conditionalFormatting sqref="C182">
    <cfRule type="cellIs" dxfId="10" priority="1" stopIfTrue="1" operator="equal">
      <formula>"Towel"</formula>
    </cfRule>
    <cfRule type="cellIs" dxfId="9" priority="2" stopIfTrue="1" operator="equal">
      <formula>"Napkin Hs"</formula>
    </cfRule>
  </conditionalFormatting>
  <conditionalFormatting sqref="C182">
    <cfRule type="cellIs" dxfId="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XFD45"/>
  <sheetViews>
    <sheetView zoomScale="85" workbookViewId="0">
      <pane xSplit="5" ySplit="8" topLeftCell="JB12" activePane="bottomRight" state="frozen"/>
      <selection pane="topRight" activeCell="E1" sqref="E1"/>
      <selection pane="bottomLeft" activeCell="A9" sqref="A9"/>
      <selection pane="bottomRight" activeCell="JG23" sqref="JG23"/>
    </sheetView>
  </sheetViews>
  <sheetFormatPr defaultColWidth="10.42578125" defaultRowHeight="15" customHeight="1"/>
  <cols>
    <col min="1" max="1" width="8.140625" style="268" customWidth="1"/>
    <col min="2" max="2" width="13.5703125" style="268" customWidth="1"/>
    <col min="3" max="3" width="12.5703125" style="269" customWidth="1"/>
    <col min="4" max="4" width="11.140625" style="269" customWidth="1"/>
    <col min="5" max="5" width="11" style="270" customWidth="1"/>
    <col min="6" max="17" width="12.42578125" style="526" customWidth="1"/>
    <col min="18" max="20" width="12.42578125" style="526" hidden="1" customWidth="1"/>
    <col min="21" max="41" width="12.42578125" style="526" customWidth="1"/>
    <col min="42" max="47" width="12.42578125" style="526" hidden="1" customWidth="1"/>
    <col min="48" max="56" width="12.42578125" style="526" customWidth="1"/>
    <col min="57" max="65" width="12.42578125" style="526" hidden="1" customWidth="1"/>
    <col min="66" max="269" width="12.42578125" style="526" customWidth="1"/>
    <col min="270" max="272" width="9.28515625" style="526" customWidth="1"/>
    <col min="273" max="303" width="5.5703125" style="526" customWidth="1"/>
    <col min="304" max="304" width="8.7109375" style="526" bestFit="1" customWidth="1"/>
    <col min="305" max="305" width="7.7109375" style="526" customWidth="1"/>
    <col min="306" max="306" width="21" style="526" bestFit="1" customWidth="1"/>
    <col min="307" max="307" width="19.85546875" style="526" bestFit="1" customWidth="1"/>
    <col min="308" max="16384" width="10.42578125" style="268"/>
  </cols>
  <sheetData>
    <row r="1" spans="1:308" ht="15" customHeight="1">
      <c r="A1" s="264"/>
      <c r="B1" s="265"/>
      <c r="C1" s="266"/>
      <c r="D1" s="266"/>
      <c r="E1" s="267"/>
    </row>
    <row r="2" spans="1:308" ht="15" customHeight="1">
      <c r="A2" s="264"/>
    </row>
    <row r="3" spans="1:308" ht="15" customHeight="1">
      <c r="A3" s="272"/>
    </row>
    <row r="4" spans="1:308" ht="15" customHeight="1">
      <c r="A4" s="503" t="s">
        <v>382</v>
      </c>
    </row>
    <row r="5" spans="1:308" ht="15" customHeight="1" thickBot="1">
      <c r="F5" s="741" t="s">
        <v>301</v>
      </c>
      <c r="G5" s="742"/>
      <c r="H5" s="742"/>
      <c r="I5" s="742"/>
      <c r="J5" s="742"/>
      <c r="K5" s="742"/>
      <c r="L5" s="742"/>
      <c r="M5" s="742"/>
      <c r="N5" s="742"/>
      <c r="O5" s="742"/>
      <c r="P5" s="742"/>
      <c r="Q5" s="742"/>
      <c r="R5" s="742"/>
      <c r="S5" s="742"/>
      <c r="T5" s="742"/>
      <c r="U5" s="742"/>
      <c r="V5" s="742"/>
      <c r="W5" s="742"/>
      <c r="X5" s="742"/>
      <c r="Y5" s="742"/>
      <c r="Z5" s="742"/>
      <c r="AA5" s="742"/>
      <c r="AB5" s="742"/>
      <c r="AC5" s="742"/>
      <c r="AD5" s="742"/>
      <c r="AE5" s="742"/>
      <c r="AF5" s="742"/>
      <c r="AG5" s="742"/>
      <c r="AH5" s="742"/>
      <c r="AI5" s="742"/>
      <c r="AJ5" s="742"/>
      <c r="AK5" s="742"/>
      <c r="AL5" s="742"/>
      <c r="AM5" s="742"/>
      <c r="AN5" s="742"/>
      <c r="AO5" s="742"/>
      <c r="AP5" s="742"/>
      <c r="AQ5" s="742"/>
      <c r="AR5" s="742"/>
      <c r="AS5" s="742"/>
      <c r="AT5" s="742"/>
      <c r="AU5" s="742"/>
      <c r="AV5" s="742"/>
      <c r="AW5" s="742"/>
      <c r="AX5" s="742"/>
      <c r="AY5" s="742"/>
      <c r="AZ5" s="742"/>
      <c r="BA5" s="742"/>
      <c r="BB5" s="742"/>
      <c r="BC5" s="742"/>
      <c r="BD5" s="742"/>
      <c r="BE5" s="742"/>
      <c r="BF5" s="742"/>
      <c r="BG5" s="742"/>
      <c r="BH5" s="742"/>
      <c r="BI5" s="742"/>
      <c r="BJ5" s="742"/>
      <c r="BK5" s="742"/>
      <c r="BL5" s="742"/>
      <c r="BM5" s="742"/>
      <c r="BN5" s="742"/>
      <c r="BO5" s="742"/>
      <c r="BP5" s="742"/>
      <c r="BQ5" s="742"/>
      <c r="BR5" s="742"/>
      <c r="BS5" s="742"/>
      <c r="BT5" s="742"/>
      <c r="BU5" s="742"/>
      <c r="BV5" s="742"/>
      <c r="BW5" s="742"/>
      <c r="BX5" s="742"/>
      <c r="BY5" s="742"/>
      <c r="BZ5" s="742"/>
      <c r="CA5" s="742"/>
      <c r="CB5" s="742"/>
      <c r="CC5" s="742"/>
      <c r="CD5" s="742"/>
      <c r="CE5" s="742"/>
      <c r="CF5" s="742"/>
      <c r="CG5" s="742"/>
      <c r="CH5" s="742"/>
      <c r="CI5" s="742"/>
      <c r="CJ5" s="742"/>
      <c r="CK5" s="742"/>
      <c r="CL5" s="742"/>
      <c r="CM5" s="742"/>
      <c r="CN5" s="742"/>
      <c r="CO5" s="742"/>
      <c r="CP5" s="742"/>
      <c r="CQ5" s="742"/>
      <c r="CR5" s="742"/>
      <c r="CS5" s="742"/>
      <c r="CT5" s="742"/>
      <c r="CU5" s="742"/>
      <c r="CV5" s="742"/>
      <c r="CW5" s="742"/>
      <c r="CX5" s="742"/>
      <c r="CY5" s="742"/>
      <c r="CZ5" s="742"/>
      <c r="DA5" s="742"/>
      <c r="DB5" s="742"/>
      <c r="DC5" s="742"/>
      <c r="DD5" s="742"/>
      <c r="DE5" s="742"/>
      <c r="DF5" s="742"/>
      <c r="DG5" s="742"/>
      <c r="DH5" s="742"/>
      <c r="DI5" s="742"/>
      <c r="DJ5" s="742"/>
      <c r="DK5" s="742"/>
      <c r="DL5" s="742"/>
      <c r="DM5" s="742"/>
      <c r="DN5" s="742"/>
      <c r="DO5" s="742"/>
      <c r="DP5" s="742"/>
      <c r="DQ5" s="742"/>
      <c r="DR5" s="742"/>
      <c r="DS5" s="742"/>
      <c r="DT5" s="742"/>
      <c r="DU5" s="742"/>
      <c r="DV5" s="742"/>
      <c r="DW5" s="742"/>
      <c r="DX5" s="742"/>
      <c r="DY5" s="742"/>
      <c r="DZ5" s="742"/>
      <c r="EA5" s="742"/>
      <c r="EB5" s="742"/>
      <c r="EC5" s="742"/>
      <c r="ED5" s="742"/>
      <c r="EE5" s="742"/>
      <c r="EF5" s="742"/>
      <c r="EG5" s="742"/>
      <c r="EH5" s="742"/>
      <c r="EI5" s="742"/>
      <c r="EJ5" s="742"/>
      <c r="EK5" s="742"/>
      <c r="EL5" s="742"/>
      <c r="EM5" s="742"/>
      <c r="EN5" s="742"/>
      <c r="EO5" s="742"/>
      <c r="EP5" s="742"/>
      <c r="EQ5" s="742"/>
      <c r="ER5" s="742"/>
      <c r="ES5" s="742"/>
      <c r="ET5" s="742"/>
      <c r="EU5" s="742"/>
      <c r="EV5" s="742"/>
      <c r="EW5" s="742"/>
      <c r="EX5" s="742"/>
      <c r="EY5" s="742"/>
      <c r="EZ5" s="742"/>
      <c r="FA5" s="742"/>
      <c r="FB5" s="742"/>
      <c r="FC5" s="742"/>
      <c r="FD5" s="742"/>
      <c r="FE5" s="742"/>
      <c r="FF5" s="742"/>
      <c r="FG5" s="742"/>
      <c r="FH5" s="742"/>
      <c r="FI5" s="742"/>
      <c r="FJ5" s="742"/>
      <c r="FK5" s="742"/>
      <c r="FL5" s="742"/>
      <c r="FM5" s="742"/>
      <c r="FN5" s="742"/>
      <c r="FO5" s="742"/>
      <c r="FP5" s="742"/>
      <c r="FQ5" s="742"/>
      <c r="FR5" s="742"/>
      <c r="FS5" s="742"/>
      <c r="FT5" s="742"/>
      <c r="FU5" s="742"/>
      <c r="FV5" s="742"/>
      <c r="FW5" s="742"/>
      <c r="FX5" s="742"/>
      <c r="FY5" s="742"/>
      <c r="FZ5" s="742"/>
      <c r="GA5" s="742"/>
      <c r="GB5" s="742"/>
      <c r="GC5" s="743"/>
      <c r="GD5" s="741" t="s">
        <v>302</v>
      </c>
      <c r="GE5" s="742"/>
      <c r="GF5" s="742"/>
      <c r="GG5" s="742"/>
      <c r="GH5" s="742"/>
      <c r="GI5" s="742"/>
      <c r="GJ5" s="742"/>
      <c r="GK5" s="742"/>
      <c r="GL5" s="742"/>
      <c r="GM5" s="742"/>
      <c r="GN5" s="742"/>
      <c r="GO5" s="742"/>
      <c r="GP5" s="742"/>
      <c r="GQ5" s="742"/>
      <c r="GR5" s="742"/>
      <c r="GS5" s="742"/>
      <c r="GT5" s="742"/>
      <c r="GU5" s="742"/>
      <c r="GV5" s="742"/>
      <c r="GW5" s="742"/>
      <c r="GX5" s="742"/>
      <c r="GY5" s="742"/>
      <c r="GZ5" s="742"/>
      <c r="HA5" s="742"/>
      <c r="HB5" s="742"/>
      <c r="HC5" s="742"/>
      <c r="HD5" s="742"/>
      <c r="HE5" s="742"/>
      <c r="HF5" s="742"/>
      <c r="HG5" s="742"/>
      <c r="HH5" s="742"/>
      <c r="HI5" s="742"/>
      <c r="HJ5" s="742"/>
      <c r="HK5" s="742"/>
      <c r="HL5" s="742"/>
      <c r="HM5" s="742"/>
      <c r="HN5" s="742"/>
      <c r="HO5" s="742"/>
      <c r="HP5" s="742"/>
      <c r="HQ5" s="742"/>
      <c r="HR5" s="742"/>
      <c r="HS5" s="742"/>
      <c r="HT5" s="742"/>
      <c r="HU5" s="742"/>
      <c r="HV5" s="742"/>
      <c r="HW5" s="742"/>
      <c r="HX5" s="742"/>
      <c r="HY5" s="742"/>
      <c r="HZ5" s="742"/>
      <c r="IA5" s="742"/>
      <c r="IB5" s="742"/>
      <c r="IC5" s="742"/>
      <c r="ID5" s="742"/>
      <c r="IE5" s="742"/>
      <c r="IF5" s="742"/>
      <c r="IG5" s="742"/>
      <c r="IH5" s="742"/>
      <c r="II5" s="742"/>
      <c r="IJ5" s="742"/>
      <c r="IK5" s="742"/>
      <c r="IL5" s="742"/>
      <c r="IM5" s="742"/>
      <c r="IN5" s="742"/>
      <c r="IO5" s="742"/>
      <c r="IP5" s="742"/>
      <c r="IQ5" s="742"/>
      <c r="IR5" s="742"/>
      <c r="IS5" s="742"/>
      <c r="IT5" s="742"/>
      <c r="IU5" s="742"/>
      <c r="IV5" s="742"/>
      <c r="IW5" s="742"/>
      <c r="IX5" s="742"/>
      <c r="IY5" s="742"/>
      <c r="IZ5" s="742"/>
      <c r="JA5" s="742"/>
      <c r="JB5" s="742"/>
      <c r="JC5" s="742"/>
      <c r="JD5" s="742"/>
      <c r="JE5" s="742"/>
      <c r="JF5" s="742"/>
      <c r="JG5" s="742"/>
      <c r="JH5" s="742"/>
      <c r="JI5" s="742"/>
      <c r="JJ5" s="742"/>
      <c r="JK5" s="742"/>
      <c r="JL5" s="742"/>
      <c r="JM5" s="742"/>
      <c r="JN5" s="742"/>
      <c r="JO5" s="742"/>
      <c r="JP5" s="742"/>
      <c r="JQ5" s="742"/>
      <c r="JR5" s="742"/>
      <c r="JS5" s="742"/>
      <c r="JT5" s="742"/>
      <c r="JU5" s="742"/>
      <c r="JV5" s="742"/>
      <c r="JW5" s="742"/>
      <c r="JX5" s="742"/>
      <c r="JY5" s="742"/>
      <c r="JZ5" s="742"/>
      <c r="KA5" s="742"/>
      <c r="KB5" s="742"/>
      <c r="KC5" s="742"/>
      <c r="KD5" s="742"/>
      <c r="KE5" s="742"/>
      <c r="KF5" s="742"/>
      <c r="KG5" s="742"/>
      <c r="KH5" s="742"/>
      <c r="KI5" s="742"/>
      <c r="KJ5" s="742"/>
      <c r="KK5" s="742"/>
      <c r="KL5" s="742"/>
      <c r="KM5" s="742"/>
      <c r="KN5" s="742"/>
      <c r="KO5" s="742"/>
      <c r="KP5" s="742"/>
      <c r="KQ5" s="742"/>
      <c r="KR5" s="742"/>
      <c r="KS5" s="743"/>
      <c r="KT5" s="749" t="s">
        <v>303</v>
      </c>
      <c r="KU5" s="749" t="s">
        <v>302</v>
      </c>
    </row>
    <row r="6" spans="1:308" ht="31.5" customHeight="1">
      <c r="A6" s="729" t="s">
        <v>30</v>
      </c>
      <c r="B6" s="732" t="s">
        <v>6</v>
      </c>
      <c r="C6" s="732" t="s">
        <v>7</v>
      </c>
      <c r="D6" s="738" t="s">
        <v>45</v>
      </c>
      <c r="E6" s="735" t="s">
        <v>43</v>
      </c>
      <c r="F6" s="747" t="s">
        <v>304</v>
      </c>
      <c r="G6" s="750"/>
      <c r="H6" s="748"/>
      <c r="I6" s="747" t="s">
        <v>305</v>
      </c>
      <c r="J6" s="750"/>
      <c r="K6" s="748"/>
      <c r="L6" s="747" t="s">
        <v>306</v>
      </c>
      <c r="M6" s="750"/>
      <c r="N6" s="748"/>
      <c r="O6" s="747" t="s">
        <v>307</v>
      </c>
      <c r="P6" s="750"/>
      <c r="Q6" s="748"/>
      <c r="R6" s="747" t="s">
        <v>308</v>
      </c>
      <c r="S6" s="750"/>
      <c r="T6" s="748"/>
      <c r="U6" s="747" t="s">
        <v>309</v>
      </c>
      <c r="V6" s="750"/>
      <c r="W6" s="748"/>
      <c r="X6" s="747" t="s">
        <v>310</v>
      </c>
      <c r="Y6" s="750"/>
      <c r="Z6" s="748"/>
      <c r="AA6" s="747" t="s">
        <v>311</v>
      </c>
      <c r="AB6" s="750"/>
      <c r="AC6" s="748"/>
      <c r="AD6" s="747" t="s">
        <v>312</v>
      </c>
      <c r="AE6" s="750"/>
      <c r="AF6" s="748"/>
      <c r="AG6" s="747" t="s">
        <v>313</v>
      </c>
      <c r="AH6" s="750"/>
      <c r="AI6" s="748"/>
      <c r="AJ6" s="747" t="s">
        <v>314</v>
      </c>
      <c r="AK6" s="750"/>
      <c r="AL6" s="748"/>
      <c r="AM6" s="747" t="s">
        <v>315</v>
      </c>
      <c r="AN6" s="750"/>
      <c r="AO6" s="748"/>
      <c r="AP6" s="747" t="s">
        <v>316</v>
      </c>
      <c r="AQ6" s="750"/>
      <c r="AR6" s="748"/>
      <c r="AS6" s="747" t="s">
        <v>317</v>
      </c>
      <c r="AT6" s="750"/>
      <c r="AU6" s="748"/>
      <c r="AV6" s="747" t="s">
        <v>318</v>
      </c>
      <c r="AW6" s="750"/>
      <c r="AX6" s="748"/>
      <c r="AY6" s="744" t="s">
        <v>319</v>
      </c>
      <c r="AZ6" s="745"/>
      <c r="BA6" s="745"/>
      <c r="BB6" s="744" t="s">
        <v>320</v>
      </c>
      <c r="BC6" s="745"/>
      <c r="BD6" s="746"/>
      <c r="BE6" s="744" t="s">
        <v>321</v>
      </c>
      <c r="BF6" s="745"/>
      <c r="BG6" s="745"/>
      <c r="BH6" s="744" t="s">
        <v>322</v>
      </c>
      <c r="BI6" s="745"/>
      <c r="BJ6" s="746"/>
      <c r="BK6" s="744" t="s">
        <v>323</v>
      </c>
      <c r="BL6" s="745"/>
      <c r="BM6" s="745"/>
      <c r="BN6" s="744" t="s">
        <v>324</v>
      </c>
      <c r="BO6" s="745"/>
      <c r="BP6" s="746"/>
      <c r="BQ6" s="744" t="s">
        <v>325</v>
      </c>
      <c r="BR6" s="745"/>
      <c r="BS6" s="745"/>
      <c r="BT6" s="744" t="s">
        <v>326</v>
      </c>
      <c r="BU6" s="745"/>
      <c r="BV6" s="746"/>
      <c r="BW6" s="744" t="s">
        <v>327</v>
      </c>
      <c r="BX6" s="745"/>
      <c r="BY6" s="745"/>
      <c r="BZ6" s="744" t="s">
        <v>328</v>
      </c>
      <c r="CA6" s="745"/>
      <c r="CB6" s="746"/>
      <c r="CC6" s="744" t="s">
        <v>329</v>
      </c>
      <c r="CD6" s="745"/>
      <c r="CE6" s="745"/>
      <c r="CF6" s="744" t="s">
        <v>330</v>
      </c>
      <c r="CG6" s="745"/>
      <c r="CH6" s="746"/>
      <c r="CI6" s="744" t="s">
        <v>331</v>
      </c>
      <c r="CJ6" s="745"/>
      <c r="CK6" s="745"/>
      <c r="CL6" s="744" t="s">
        <v>332</v>
      </c>
      <c r="CM6" s="745"/>
      <c r="CN6" s="746"/>
      <c r="CO6" s="744" t="s">
        <v>333</v>
      </c>
      <c r="CP6" s="745"/>
      <c r="CQ6" s="745"/>
      <c r="CR6" s="744" t="s">
        <v>334</v>
      </c>
      <c r="CS6" s="745"/>
      <c r="CT6" s="746"/>
      <c r="CU6" s="744" t="s">
        <v>227</v>
      </c>
      <c r="CV6" s="745"/>
      <c r="CW6" s="745"/>
      <c r="CX6" s="744" t="s">
        <v>335</v>
      </c>
      <c r="CY6" s="745"/>
      <c r="CZ6" s="746"/>
      <c r="DA6" s="744" t="s">
        <v>336</v>
      </c>
      <c r="DB6" s="745"/>
      <c r="DC6" s="745"/>
      <c r="DD6" s="744" t="s">
        <v>337</v>
      </c>
      <c r="DE6" s="745"/>
      <c r="DF6" s="746"/>
      <c r="DG6" s="744" t="s">
        <v>338</v>
      </c>
      <c r="DH6" s="745"/>
      <c r="DI6" s="745"/>
      <c r="DJ6" s="744" t="s">
        <v>339</v>
      </c>
      <c r="DK6" s="745"/>
      <c r="DL6" s="746"/>
      <c r="DM6" s="744" t="s">
        <v>340</v>
      </c>
      <c r="DN6" s="745"/>
      <c r="DO6" s="745"/>
      <c r="DP6" s="744" t="s">
        <v>341</v>
      </c>
      <c r="DQ6" s="745"/>
      <c r="DR6" s="746"/>
      <c r="DS6" s="744" t="s">
        <v>342</v>
      </c>
      <c r="DT6" s="745"/>
      <c r="DU6" s="745"/>
      <c r="DV6" s="744" t="s">
        <v>343</v>
      </c>
      <c r="DW6" s="745"/>
      <c r="DX6" s="746"/>
      <c r="DY6" s="744" t="s">
        <v>344</v>
      </c>
      <c r="DZ6" s="745"/>
      <c r="EA6" s="745"/>
      <c r="EB6" s="744" t="s">
        <v>364</v>
      </c>
      <c r="EC6" s="745"/>
      <c r="ED6" s="746"/>
      <c r="EE6" s="744" t="s">
        <v>462</v>
      </c>
      <c r="EF6" s="745"/>
      <c r="EG6" s="745"/>
      <c r="EH6" s="744" t="s">
        <v>463</v>
      </c>
      <c r="EI6" s="745"/>
      <c r="EJ6" s="746"/>
      <c r="EK6" s="744" t="s">
        <v>464</v>
      </c>
      <c r="EL6" s="745"/>
      <c r="EM6" s="745"/>
      <c r="EN6" s="744" t="s">
        <v>364</v>
      </c>
      <c r="EO6" s="745"/>
      <c r="EP6" s="746"/>
      <c r="EQ6" s="744" t="s">
        <v>641</v>
      </c>
      <c r="ER6" s="745"/>
      <c r="ES6" s="745"/>
      <c r="ET6" s="744" t="s">
        <v>681</v>
      </c>
      <c r="EU6" s="745"/>
      <c r="EV6" s="746"/>
      <c r="EW6" s="744"/>
      <c r="EX6" s="745"/>
      <c r="EY6" s="745"/>
      <c r="EZ6" s="744"/>
      <c r="FA6" s="745"/>
      <c r="FB6" s="746"/>
      <c r="FC6" s="744"/>
      <c r="FD6" s="745"/>
      <c r="FE6" s="745"/>
      <c r="FF6" s="744"/>
      <c r="FG6" s="745"/>
      <c r="FH6" s="746"/>
      <c r="FI6" s="744"/>
      <c r="FJ6" s="745"/>
      <c r="FK6" s="745"/>
      <c r="FL6" s="744"/>
      <c r="FM6" s="745"/>
      <c r="FN6" s="746"/>
      <c r="FO6" s="744"/>
      <c r="FP6" s="745"/>
      <c r="FQ6" s="745"/>
      <c r="FR6" s="744"/>
      <c r="FS6" s="745"/>
      <c r="FT6" s="746"/>
      <c r="FU6" s="744"/>
      <c r="FV6" s="745"/>
      <c r="FW6" s="745"/>
      <c r="FX6" s="744"/>
      <c r="FY6" s="745"/>
      <c r="FZ6" s="746"/>
      <c r="GA6" s="744"/>
      <c r="GB6" s="745"/>
      <c r="GC6" s="745"/>
      <c r="GD6" s="744" t="s">
        <v>463</v>
      </c>
      <c r="GE6" s="745"/>
      <c r="GF6" s="746"/>
      <c r="GG6" s="744" t="s">
        <v>297</v>
      </c>
      <c r="GH6" s="745"/>
      <c r="GI6" s="745"/>
      <c r="GJ6" s="744" t="s">
        <v>345</v>
      </c>
      <c r="GK6" s="745"/>
      <c r="GL6" s="746"/>
      <c r="GM6" s="744" t="s">
        <v>346</v>
      </c>
      <c r="GN6" s="745"/>
      <c r="GO6" s="745"/>
      <c r="GP6" s="744" t="s">
        <v>347</v>
      </c>
      <c r="GQ6" s="745"/>
      <c r="GR6" s="746"/>
      <c r="GS6" s="744" t="s">
        <v>348</v>
      </c>
      <c r="GT6" s="745"/>
      <c r="GU6" s="745"/>
      <c r="GV6" s="744" t="s">
        <v>349</v>
      </c>
      <c r="GW6" s="745"/>
      <c r="GX6" s="746"/>
      <c r="GY6" s="744" t="s">
        <v>350</v>
      </c>
      <c r="GZ6" s="745"/>
      <c r="HA6" s="745"/>
      <c r="HB6" s="744" t="s">
        <v>328</v>
      </c>
      <c r="HC6" s="745"/>
      <c r="HD6" s="746"/>
      <c r="HE6" s="744" t="s">
        <v>343</v>
      </c>
      <c r="HF6" s="745"/>
      <c r="HG6" s="745"/>
      <c r="HH6" s="744" t="s">
        <v>342</v>
      </c>
      <c r="HI6" s="745"/>
      <c r="HJ6" s="746"/>
      <c r="HK6" s="744" t="s">
        <v>324</v>
      </c>
      <c r="HL6" s="745"/>
      <c r="HM6" s="745"/>
      <c r="HN6" s="744" t="s">
        <v>228</v>
      </c>
      <c r="HO6" s="745"/>
      <c r="HP6" s="746"/>
      <c r="HQ6" s="744" t="s">
        <v>227</v>
      </c>
      <c r="HR6" s="745"/>
      <c r="HS6" s="745"/>
      <c r="HT6" s="744" t="s">
        <v>351</v>
      </c>
      <c r="HU6" s="745"/>
      <c r="HV6" s="746"/>
      <c r="HW6" s="744" t="s">
        <v>352</v>
      </c>
      <c r="HX6" s="745"/>
      <c r="HY6" s="745"/>
      <c r="HZ6" s="744" t="s">
        <v>353</v>
      </c>
      <c r="IA6" s="745"/>
      <c r="IB6" s="746"/>
      <c r="IC6" s="744" t="s">
        <v>354</v>
      </c>
      <c r="ID6" s="745"/>
      <c r="IE6" s="745"/>
      <c r="IF6" s="744" t="s">
        <v>355</v>
      </c>
      <c r="IG6" s="745"/>
      <c r="IH6" s="746"/>
      <c r="II6" s="751" t="s">
        <v>330</v>
      </c>
      <c r="IJ6" s="751"/>
      <c r="IK6" s="751"/>
      <c r="IL6" s="744" t="s">
        <v>333</v>
      </c>
      <c r="IM6" s="745"/>
      <c r="IN6" s="746"/>
      <c r="IO6" s="744" t="s">
        <v>334</v>
      </c>
      <c r="IP6" s="745"/>
      <c r="IQ6" s="745"/>
      <c r="IR6" s="744" t="s">
        <v>329</v>
      </c>
      <c r="IS6" s="745"/>
      <c r="IT6" s="746"/>
      <c r="IU6" s="744" t="s">
        <v>356</v>
      </c>
      <c r="IV6" s="745"/>
      <c r="IW6" s="745"/>
      <c r="IX6" s="744" t="s">
        <v>336</v>
      </c>
      <c r="IY6" s="745"/>
      <c r="IZ6" s="746"/>
      <c r="JA6" s="744" t="s">
        <v>357</v>
      </c>
      <c r="JB6" s="745"/>
      <c r="JC6" s="745"/>
      <c r="JD6" s="744" t="s">
        <v>767</v>
      </c>
      <c r="JE6" s="745"/>
      <c r="JF6" s="746"/>
      <c r="JG6" s="744" t="s">
        <v>610</v>
      </c>
      <c r="JH6" s="745"/>
      <c r="JI6" s="745"/>
      <c r="JJ6" s="744" t="s">
        <v>374</v>
      </c>
      <c r="JK6" s="745"/>
      <c r="JL6" s="746"/>
      <c r="JM6" s="744"/>
      <c r="JN6" s="745"/>
      <c r="JO6" s="745"/>
      <c r="JP6" s="744"/>
      <c r="JQ6" s="745"/>
      <c r="JR6" s="746"/>
      <c r="JS6" s="744"/>
      <c r="JT6" s="745"/>
      <c r="JU6" s="745"/>
      <c r="JV6" s="744"/>
      <c r="JW6" s="745"/>
      <c r="JX6" s="746"/>
      <c r="JY6" s="744"/>
      <c r="JZ6" s="745"/>
      <c r="KA6" s="745"/>
      <c r="KB6" s="744"/>
      <c r="KC6" s="745"/>
      <c r="KD6" s="746"/>
      <c r="KE6" s="744"/>
      <c r="KF6" s="745"/>
      <c r="KG6" s="745"/>
      <c r="KH6" s="744"/>
      <c r="KI6" s="745"/>
      <c r="KJ6" s="746"/>
      <c r="KK6" s="744"/>
      <c r="KL6" s="745"/>
      <c r="KM6" s="745"/>
      <c r="KN6" s="744"/>
      <c r="KO6" s="745"/>
      <c r="KP6" s="746"/>
      <c r="KQ6" s="751"/>
      <c r="KR6" s="751"/>
      <c r="KS6" s="751"/>
      <c r="KT6" s="749"/>
      <c r="KU6" s="749"/>
    </row>
    <row r="7" spans="1:308" ht="15" customHeight="1">
      <c r="A7" s="730"/>
      <c r="B7" s="733"/>
      <c r="C7" s="733"/>
      <c r="D7" s="739"/>
      <c r="E7" s="736"/>
      <c r="F7" s="747" t="s">
        <v>148</v>
      </c>
      <c r="G7" s="748"/>
      <c r="H7" s="527" t="s">
        <v>358</v>
      </c>
      <c r="I7" s="747" t="s">
        <v>148</v>
      </c>
      <c r="J7" s="748"/>
      <c r="K7" s="527" t="s">
        <v>358</v>
      </c>
      <c r="L7" s="747" t="s">
        <v>148</v>
      </c>
      <c r="M7" s="748"/>
      <c r="N7" s="527" t="s">
        <v>358</v>
      </c>
      <c r="O7" s="747" t="s">
        <v>148</v>
      </c>
      <c r="P7" s="748"/>
      <c r="Q7" s="527" t="s">
        <v>358</v>
      </c>
      <c r="R7" s="747" t="s">
        <v>148</v>
      </c>
      <c r="S7" s="748"/>
      <c r="T7" s="527" t="s">
        <v>358</v>
      </c>
      <c r="U7" s="747" t="s">
        <v>148</v>
      </c>
      <c r="V7" s="748"/>
      <c r="W7" s="527" t="s">
        <v>358</v>
      </c>
      <c r="X7" s="747" t="s">
        <v>148</v>
      </c>
      <c r="Y7" s="748"/>
      <c r="Z7" s="527" t="s">
        <v>358</v>
      </c>
      <c r="AA7" s="747" t="s">
        <v>148</v>
      </c>
      <c r="AB7" s="748"/>
      <c r="AC7" s="527" t="s">
        <v>358</v>
      </c>
      <c r="AD7" s="747" t="s">
        <v>148</v>
      </c>
      <c r="AE7" s="748"/>
      <c r="AF7" s="527" t="s">
        <v>358</v>
      </c>
      <c r="AG7" s="747" t="s">
        <v>148</v>
      </c>
      <c r="AH7" s="748"/>
      <c r="AI7" s="527" t="s">
        <v>358</v>
      </c>
      <c r="AJ7" s="747" t="s">
        <v>148</v>
      </c>
      <c r="AK7" s="748"/>
      <c r="AL7" s="527" t="s">
        <v>358</v>
      </c>
      <c r="AM7" s="747" t="s">
        <v>148</v>
      </c>
      <c r="AN7" s="748"/>
      <c r="AO7" s="527" t="s">
        <v>358</v>
      </c>
      <c r="AP7" s="747" t="s">
        <v>148</v>
      </c>
      <c r="AQ7" s="748"/>
      <c r="AR7" s="527" t="s">
        <v>358</v>
      </c>
      <c r="AS7" s="747" t="s">
        <v>148</v>
      </c>
      <c r="AT7" s="748"/>
      <c r="AU7" s="527" t="s">
        <v>358</v>
      </c>
      <c r="AV7" s="747" t="s">
        <v>148</v>
      </c>
      <c r="AW7" s="748"/>
      <c r="AX7" s="527" t="s">
        <v>358</v>
      </c>
      <c r="AY7" s="747" t="s">
        <v>148</v>
      </c>
      <c r="AZ7" s="748"/>
      <c r="BA7" s="527" t="s">
        <v>358</v>
      </c>
      <c r="BB7" s="747" t="s">
        <v>148</v>
      </c>
      <c r="BC7" s="748"/>
      <c r="BD7" s="527" t="s">
        <v>358</v>
      </c>
      <c r="BE7" s="747" t="s">
        <v>148</v>
      </c>
      <c r="BF7" s="748"/>
      <c r="BG7" s="527" t="s">
        <v>358</v>
      </c>
      <c r="BH7" s="747" t="s">
        <v>148</v>
      </c>
      <c r="BI7" s="748"/>
      <c r="BJ7" s="527" t="s">
        <v>358</v>
      </c>
      <c r="BK7" s="747" t="s">
        <v>148</v>
      </c>
      <c r="BL7" s="748"/>
      <c r="BM7" s="527" t="s">
        <v>358</v>
      </c>
      <c r="BN7" s="747" t="s">
        <v>148</v>
      </c>
      <c r="BO7" s="748"/>
      <c r="BP7" s="527" t="s">
        <v>358</v>
      </c>
      <c r="BQ7" s="747" t="s">
        <v>148</v>
      </c>
      <c r="BR7" s="748"/>
      <c r="BS7" s="527" t="s">
        <v>358</v>
      </c>
      <c r="BT7" s="747" t="s">
        <v>148</v>
      </c>
      <c r="BU7" s="748"/>
      <c r="BV7" s="527" t="s">
        <v>358</v>
      </c>
      <c r="BW7" s="747" t="s">
        <v>148</v>
      </c>
      <c r="BX7" s="748"/>
      <c r="BY7" s="527" t="s">
        <v>358</v>
      </c>
      <c r="BZ7" s="747" t="s">
        <v>148</v>
      </c>
      <c r="CA7" s="748"/>
      <c r="CB7" s="527" t="s">
        <v>358</v>
      </c>
      <c r="CC7" s="747" t="s">
        <v>148</v>
      </c>
      <c r="CD7" s="748"/>
      <c r="CE7" s="527" t="s">
        <v>358</v>
      </c>
      <c r="CF7" s="747" t="s">
        <v>148</v>
      </c>
      <c r="CG7" s="748"/>
      <c r="CH7" s="527" t="s">
        <v>358</v>
      </c>
      <c r="CI7" s="747" t="s">
        <v>148</v>
      </c>
      <c r="CJ7" s="748"/>
      <c r="CK7" s="527" t="s">
        <v>358</v>
      </c>
      <c r="CL7" s="747" t="s">
        <v>148</v>
      </c>
      <c r="CM7" s="748"/>
      <c r="CN7" s="527" t="s">
        <v>358</v>
      </c>
      <c r="CO7" s="747" t="s">
        <v>148</v>
      </c>
      <c r="CP7" s="748"/>
      <c r="CQ7" s="527" t="s">
        <v>358</v>
      </c>
      <c r="CR7" s="747" t="s">
        <v>148</v>
      </c>
      <c r="CS7" s="748"/>
      <c r="CT7" s="527" t="s">
        <v>358</v>
      </c>
      <c r="CU7" s="747" t="s">
        <v>148</v>
      </c>
      <c r="CV7" s="748"/>
      <c r="CW7" s="527" t="s">
        <v>358</v>
      </c>
      <c r="CX7" s="747" t="s">
        <v>148</v>
      </c>
      <c r="CY7" s="748"/>
      <c r="CZ7" s="527" t="s">
        <v>358</v>
      </c>
      <c r="DA7" s="747" t="s">
        <v>148</v>
      </c>
      <c r="DB7" s="748"/>
      <c r="DC7" s="527" t="s">
        <v>358</v>
      </c>
      <c r="DD7" s="747" t="s">
        <v>148</v>
      </c>
      <c r="DE7" s="748"/>
      <c r="DF7" s="527" t="s">
        <v>358</v>
      </c>
      <c r="DG7" s="747" t="s">
        <v>148</v>
      </c>
      <c r="DH7" s="748"/>
      <c r="DI7" s="527" t="s">
        <v>358</v>
      </c>
      <c r="DJ7" s="747" t="s">
        <v>148</v>
      </c>
      <c r="DK7" s="748"/>
      <c r="DL7" s="527" t="s">
        <v>358</v>
      </c>
      <c r="DM7" s="747" t="s">
        <v>148</v>
      </c>
      <c r="DN7" s="748"/>
      <c r="DO7" s="527" t="s">
        <v>358</v>
      </c>
      <c r="DP7" s="747" t="s">
        <v>148</v>
      </c>
      <c r="DQ7" s="748"/>
      <c r="DR7" s="527" t="s">
        <v>358</v>
      </c>
      <c r="DS7" s="747" t="s">
        <v>148</v>
      </c>
      <c r="DT7" s="748"/>
      <c r="DU7" s="527" t="s">
        <v>358</v>
      </c>
      <c r="DV7" s="747" t="s">
        <v>148</v>
      </c>
      <c r="DW7" s="748"/>
      <c r="DX7" s="527" t="s">
        <v>358</v>
      </c>
      <c r="DY7" s="747" t="s">
        <v>148</v>
      </c>
      <c r="DZ7" s="748"/>
      <c r="EA7" s="527" t="s">
        <v>358</v>
      </c>
      <c r="EB7" s="747" t="s">
        <v>148</v>
      </c>
      <c r="EC7" s="748"/>
      <c r="ED7" s="527" t="s">
        <v>358</v>
      </c>
      <c r="EE7" s="747" t="s">
        <v>148</v>
      </c>
      <c r="EF7" s="748"/>
      <c r="EG7" s="527" t="s">
        <v>358</v>
      </c>
      <c r="EH7" s="747" t="s">
        <v>148</v>
      </c>
      <c r="EI7" s="748"/>
      <c r="EJ7" s="527" t="s">
        <v>358</v>
      </c>
      <c r="EK7" s="747" t="s">
        <v>148</v>
      </c>
      <c r="EL7" s="748"/>
      <c r="EM7" s="527" t="s">
        <v>358</v>
      </c>
      <c r="EN7" s="747" t="s">
        <v>148</v>
      </c>
      <c r="EO7" s="748"/>
      <c r="EP7" s="527" t="s">
        <v>358</v>
      </c>
      <c r="EQ7" s="747" t="s">
        <v>148</v>
      </c>
      <c r="ER7" s="748"/>
      <c r="ES7" s="527" t="s">
        <v>358</v>
      </c>
      <c r="ET7" s="747" t="s">
        <v>148</v>
      </c>
      <c r="EU7" s="748"/>
      <c r="EV7" s="527" t="s">
        <v>358</v>
      </c>
      <c r="EW7" s="747" t="s">
        <v>148</v>
      </c>
      <c r="EX7" s="748"/>
      <c r="EY7" s="527" t="s">
        <v>358</v>
      </c>
      <c r="EZ7" s="747" t="s">
        <v>148</v>
      </c>
      <c r="FA7" s="748"/>
      <c r="FB7" s="527" t="s">
        <v>358</v>
      </c>
      <c r="FC7" s="747" t="s">
        <v>148</v>
      </c>
      <c r="FD7" s="748"/>
      <c r="FE7" s="527" t="s">
        <v>358</v>
      </c>
      <c r="FF7" s="747" t="s">
        <v>148</v>
      </c>
      <c r="FG7" s="748"/>
      <c r="FH7" s="527" t="s">
        <v>358</v>
      </c>
      <c r="FI7" s="747" t="s">
        <v>148</v>
      </c>
      <c r="FJ7" s="748"/>
      <c r="FK7" s="527" t="s">
        <v>358</v>
      </c>
      <c r="FL7" s="747" t="s">
        <v>148</v>
      </c>
      <c r="FM7" s="748"/>
      <c r="FN7" s="527" t="s">
        <v>358</v>
      </c>
      <c r="FO7" s="747" t="s">
        <v>148</v>
      </c>
      <c r="FP7" s="748"/>
      <c r="FQ7" s="527" t="s">
        <v>358</v>
      </c>
      <c r="FR7" s="747" t="s">
        <v>148</v>
      </c>
      <c r="FS7" s="748"/>
      <c r="FT7" s="527" t="s">
        <v>358</v>
      </c>
      <c r="FU7" s="747" t="s">
        <v>148</v>
      </c>
      <c r="FV7" s="748"/>
      <c r="FW7" s="527" t="s">
        <v>358</v>
      </c>
      <c r="FX7" s="747" t="s">
        <v>148</v>
      </c>
      <c r="FY7" s="748"/>
      <c r="FZ7" s="527" t="s">
        <v>358</v>
      </c>
      <c r="GA7" s="747" t="s">
        <v>148</v>
      </c>
      <c r="GB7" s="748"/>
      <c r="GC7" s="527" t="s">
        <v>358</v>
      </c>
      <c r="GD7" s="747" t="s">
        <v>148</v>
      </c>
      <c r="GE7" s="748"/>
      <c r="GF7" s="527" t="s">
        <v>358</v>
      </c>
      <c r="GG7" s="747" t="s">
        <v>148</v>
      </c>
      <c r="GH7" s="748"/>
      <c r="GI7" s="527" t="s">
        <v>358</v>
      </c>
      <c r="GJ7" s="747" t="s">
        <v>148</v>
      </c>
      <c r="GK7" s="748"/>
      <c r="GL7" s="527" t="s">
        <v>358</v>
      </c>
      <c r="GM7" s="747" t="s">
        <v>148</v>
      </c>
      <c r="GN7" s="748"/>
      <c r="GO7" s="527" t="s">
        <v>358</v>
      </c>
      <c r="GP7" s="747" t="s">
        <v>148</v>
      </c>
      <c r="GQ7" s="748"/>
      <c r="GR7" s="527" t="s">
        <v>358</v>
      </c>
      <c r="GS7" s="747" t="s">
        <v>148</v>
      </c>
      <c r="GT7" s="748"/>
      <c r="GU7" s="527" t="s">
        <v>358</v>
      </c>
      <c r="GV7" s="747" t="s">
        <v>148</v>
      </c>
      <c r="GW7" s="748"/>
      <c r="GX7" s="527" t="s">
        <v>358</v>
      </c>
      <c r="GY7" s="747" t="s">
        <v>148</v>
      </c>
      <c r="GZ7" s="748"/>
      <c r="HA7" s="527" t="s">
        <v>358</v>
      </c>
      <c r="HB7" s="747" t="s">
        <v>148</v>
      </c>
      <c r="HC7" s="748"/>
      <c r="HD7" s="527" t="s">
        <v>358</v>
      </c>
      <c r="HE7" s="747" t="s">
        <v>148</v>
      </c>
      <c r="HF7" s="748"/>
      <c r="HG7" s="527" t="s">
        <v>358</v>
      </c>
      <c r="HH7" s="747" t="s">
        <v>148</v>
      </c>
      <c r="HI7" s="748"/>
      <c r="HJ7" s="527" t="s">
        <v>358</v>
      </c>
      <c r="HK7" s="747" t="s">
        <v>148</v>
      </c>
      <c r="HL7" s="748"/>
      <c r="HM7" s="527" t="s">
        <v>358</v>
      </c>
      <c r="HN7" s="747" t="s">
        <v>148</v>
      </c>
      <c r="HO7" s="748"/>
      <c r="HP7" s="527" t="s">
        <v>358</v>
      </c>
      <c r="HQ7" s="747" t="s">
        <v>148</v>
      </c>
      <c r="HR7" s="748"/>
      <c r="HS7" s="527" t="s">
        <v>358</v>
      </c>
      <c r="HT7" s="747" t="s">
        <v>148</v>
      </c>
      <c r="HU7" s="748"/>
      <c r="HV7" s="527" t="s">
        <v>358</v>
      </c>
      <c r="HW7" s="747" t="s">
        <v>148</v>
      </c>
      <c r="HX7" s="748"/>
      <c r="HY7" s="527" t="s">
        <v>358</v>
      </c>
      <c r="HZ7" s="747" t="s">
        <v>148</v>
      </c>
      <c r="IA7" s="748"/>
      <c r="IB7" s="527" t="s">
        <v>358</v>
      </c>
      <c r="IC7" s="747" t="s">
        <v>148</v>
      </c>
      <c r="ID7" s="748"/>
      <c r="IE7" s="527" t="s">
        <v>358</v>
      </c>
      <c r="IF7" s="747" t="s">
        <v>148</v>
      </c>
      <c r="IG7" s="748"/>
      <c r="IH7" s="527" t="s">
        <v>358</v>
      </c>
      <c r="II7" s="751" t="s">
        <v>148</v>
      </c>
      <c r="IJ7" s="751"/>
      <c r="IK7" s="528" t="s">
        <v>358</v>
      </c>
      <c r="IL7" s="747" t="s">
        <v>148</v>
      </c>
      <c r="IM7" s="748"/>
      <c r="IN7" s="527" t="s">
        <v>358</v>
      </c>
      <c r="IO7" s="747" t="s">
        <v>148</v>
      </c>
      <c r="IP7" s="748"/>
      <c r="IQ7" s="527" t="s">
        <v>358</v>
      </c>
      <c r="IR7" s="747" t="s">
        <v>148</v>
      </c>
      <c r="IS7" s="748"/>
      <c r="IT7" s="527" t="s">
        <v>358</v>
      </c>
      <c r="IU7" s="747" t="s">
        <v>148</v>
      </c>
      <c r="IV7" s="748"/>
      <c r="IW7" s="527" t="s">
        <v>358</v>
      </c>
      <c r="IX7" s="747" t="s">
        <v>148</v>
      </c>
      <c r="IY7" s="748"/>
      <c r="IZ7" s="527" t="s">
        <v>358</v>
      </c>
      <c r="JA7" s="747" t="s">
        <v>148</v>
      </c>
      <c r="JB7" s="748"/>
      <c r="JC7" s="527" t="s">
        <v>358</v>
      </c>
      <c r="JD7" s="747" t="s">
        <v>148</v>
      </c>
      <c r="JE7" s="748"/>
      <c r="JF7" s="527" t="s">
        <v>358</v>
      </c>
      <c r="JG7" s="747" t="s">
        <v>148</v>
      </c>
      <c r="JH7" s="748"/>
      <c r="JI7" s="527" t="s">
        <v>358</v>
      </c>
      <c r="JJ7" s="747" t="s">
        <v>148</v>
      </c>
      <c r="JK7" s="748"/>
      <c r="JL7" s="527" t="s">
        <v>358</v>
      </c>
      <c r="JM7" s="747" t="s">
        <v>148</v>
      </c>
      <c r="JN7" s="748"/>
      <c r="JO7" s="527" t="s">
        <v>358</v>
      </c>
      <c r="JP7" s="747" t="s">
        <v>148</v>
      </c>
      <c r="JQ7" s="748"/>
      <c r="JR7" s="527" t="s">
        <v>358</v>
      </c>
      <c r="JS7" s="747" t="s">
        <v>148</v>
      </c>
      <c r="JT7" s="748"/>
      <c r="JU7" s="527" t="s">
        <v>358</v>
      </c>
      <c r="JV7" s="747" t="s">
        <v>148</v>
      </c>
      <c r="JW7" s="748"/>
      <c r="JX7" s="527" t="s">
        <v>358</v>
      </c>
      <c r="JY7" s="747" t="s">
        <v>148</v>
      </c>
      <c r="JZ7" s="748"/>
      <c r="KA7" s="527" t="s">
        <v>358</v>
      </c>
      <c r="KB7" s="747" t="s">
        <v>148</v>
      </c>
      <c r="KC7" s="748"/>
      <c r="KD7" s="527" t="s">
        <v>358</v>
      </c>
      <c r="KE7" s="747" t="s">
        <v>148</v>
      </c>
      <c r="KF7" s="748"/>
      <c r="KG7" s="527" t="s">
        <v>358</v>
      </c>
      <c r="KH7" s="747" t="s">
        <v>148</v>
      </c>
      <c r="KI7" s="748"/>
      <c r="KJ7" s="527" t="s">
        <v>358</v>
      </c>
      <c r="KK7" s="747" t="s">
        <v>148</v>
      </c>
      <c r="KL7" s="748"/>
      <c r="KM7" s="527" t="s">
        <v>358</v>
      </c>
      <c r="KN7" s="747" t="s">
        <v>148</v>
      </c>
      <c r="KO7" s="748"/>
      <c r="KP7" s="527" t="s">
        <v>358</v>
      </c>
      <c r="KQ7" s="751" t="s">
        <v>148</v>
      </c>
      <c r="KR7" s="751"/>
      <c r="KS7" s="528" t="s">
        <v>358</v>
      </c>
      <c r="KT7" s="749"/>
      <c r="KU7" s="749"/>
    </row>
    <row r="8" spans="1:308" ht="15" customHeight="1" thickBot="1">
      <c r="A8" s="731"/>
      <c r="B8" s="734"/>
      <c r="C8" s="734"/>
      <c r="D8" s="740"/>
      <c r="E8" s="737"/>
      <c r="F8" s="529" t="s">
        <v>149</v>
      </c>
      <c r="G8" s="529" t="s">
        <v>44</v>
      </c>
      <c r="H8" s="530"/>
      <c r="I8" s="529" t="s">
        <v>149</v>
      </c>
      <c r="J8" s="529" t="s">
        <v>44</v>
      </c>
      <c r="K8" s="530"/>
      <c r="L8" s="529" t="s">
        <v>149</v>
      </c>
      <c r="M8" s="529" t="s">
        <v>44</v>
      </c>
      <c r="N8" s="530"/>
      <c r="O8" s="529" t="s">
        <v>149</v>
      </c>
      <c r="P8" s="529" t="s">
        <v>44</v>
      </c>
      <c r="Q8" s="530"/>
      <c r="R8" s="529" t="s">
        <v>149</v>
      </c>
      <c r="S8" s="529" t="s">
        <v>44</v>
      </c>
      <c r="T8" s="530"/>
      <c r="U8" s="529" t="s">
        <v>149</v>
      </c>
      <c r="V8" s="529" t="s">
        <v>44</v>
      </c>
      <c r="W8" s="530"/>
      <c r="X8" s="529" t="s">
        <v>149</v>
      </c>
      <c r="Y8" s="529" t="s">
        <v>44</v>
      </c>
      <c r="Z8" s="530"/>
      <c r="AA8" s="529" t="s">
        <v>149</v>
      </c>
      <c r="AB8" s="529" t="s">
        <v>44</v>
      </c>
      <c r="AC8" s="530"/>
      <c r="AD8" s="529" t="s">
        <v>149</v>
      </c>
      <c r="AE8" s="529" t="s">
        <v>44</v>
      </c>
      <c r="AF8" s="530"/>
      <c r="AG8" s="529" t="s">
        <v>149</v>
      </c>
      <c r="AH8" s="529" t="s">
        <v>44</v>
      </c>
      <c r="AI8" s="530"/>
      <c r="AJ8" s="529" t="s">
        <v>149</v>
      </c>
      <c r="AK8" s="529" t="s">
        <v>44</v>
      </c>
      <c r="AL8" s="530"/>
      <c r="AM8" s="529" t="s">
        <v>149</v>
      </c>
      <c r="AN8" s="529" t="s">
        <v>44</v>
      </c>
      <c r="AO8" s="530"/>
      <c r="AP8" s="529" t="s">
        <v>149</v>
      </c>
      <c r="AQ8" s="529" t="s">
        <v>44</v>
      </c>
      <c r="AR8" s="530"/>
      <c r="AS8" s="529" t="s">
        <v>149</v>
      </c>
      <c r="AT8" s="529" t="s">
        <v>44</v>
      </c>
      <c r="AU8" s="530"/>
      <c r="AV8" s="529" t="s">
        <v>149</v>
      </c>
      <c r="AW8" s="529" t="s">
        <v>44</v>
      </c>
      <c r="AX8" s="530"/>
      <c r="AY8" s="529" t="s">
        <v>149</v>
      </c>
      <c r="AZ8" s="529" t="s">
        <v>44</v>
      </c>
      <c r="BA8" s="530"/>
      <c r="BB8" s="529" t="s">
        <v>149</v>
      </c>
      <c r="BC8" s="529" t="s">
        <v>44</v>
      </c>
      <c r="BD8" s="530"/>
      <c r="BE8" s="529" t="s">
        <v>149</v>
      </c>
      <c r="BF8" s="529" t="s">
        <v>44</v>
      </c>
      <c r="BG8" s="530"/>
      <c r="BH8" s="529" t="s">
        <v>149</v>
      </c>
      <c r="BI8" s="529" t="s">
        <v>44</v>
      </c>
      <c r="BJ8" s="530"/>
      <c r="BK8" s="529" t="s">
        <v>149</v>
      </c>
      <c r="BL8" s="529" t="s">
        <v>44</v>
      </c>
      <c r="BM8" s="530"/>
      <c r="BN8" s="529" t="s">
        <v>149</v>
      </c>
      <c r="BO8" s="529" t="s">
        <v>44</v>
      </c>
      <c r="BP8" s="530"/>
      <c r="BQ8" s="529" t="s">
        <v>149</v>
      </c>
      <c r="BR8" s="529" t="s">
        <v>44</v>
      </c>
      <c r="BS8" s="530"/>
      <c r="BT8" s="529" t="s">
        <v>149</v>
      </c>
      <c r="BU8" s="529" t="s">
        <v>44</v>
      </c>
      <c r="BV8" s="530"/>
      <c r="BW8" s="529" t="s">
        <v>149</v>
      </c>
      <c r="BX8" s="529" t="s">
        <v>44</v>
      </c>
      <c r="BY8" s="530"/>
      <c r="BZ8" s="529" t="s">
        <v>149</v>
      </c>
      <c r="CA8" s="529" t="s">
        <v>44</v>
      </c>
      <c r="CB8" s="530"/>
      <c r="CC8" s="529" t="s">
        <v>149</v>
      </c>
      <c r="CD8" s="529" t="s">
        <v>44</v>
      </c>
      <c r="CE8" s="530"/>
      <c r="CF8" s="529" t="s">
        <v>149</v>
      </c>
      <c r="CG8" s="529" t="s">
        <v>44</v>
      </c>
      <c r="CH8" s="530"/>
      <c r="CI8" s="529" t="s">
        <v>149</v>
      </c>
      <c r="CJ8" s="529" t="s">
        <v>44</v>
      </c>
      <c r="CK8" s="530"/>
      <c r="CL8" s="529" t="s">
        <v>149</v>
      </c>
      <c r="CM8" s="529" t="s">
        <v>44</v>
      </c>
      <c r="CN8" s="530"/>
      <c r="CO8" s="529" t="s">
        <v>149</v>
      </c>
      <c r="CP8" s="529" t="s">
        <v>44</v>
      </c>
      <c r="CQ8" s="530"/>
      <c r="CR8" s="529" t="s">
        <v>149</v>
      </c>
      <c r="CS8" s="529" t="s">
        <v>44</v>
      </c>
      <c r="CT8" s="530"/>
      <c r="CU8" s="529" t="s">
        <v>149</v>
      </c>
      <c r="CV8" s="529" t="s">
        <v>44</v>
      </c>
      <c r="CW8" s="530"/>
      <c r="CX8" s="529" t="s">
        <v>149</v>
      </c>
      <c r="CY8" s="529" t="s">
        <v>44</v>
      </c>
      <c r="CZ8" s="530"/>
      <c r="DA8" s="529" t="s">
        <v>149</v>
      </c>
      <c r="DB8" s="529" t="s">
        <v>44</v>
      </c>
      <c r="DC8" s="530"/>
      <c r="DD8" s="529" t="s">
        <v>149</v>
      </c>
      <c r="DE8" s="529" t="s">
        <v>44</v>
      </c>
      <c r="DF8" s="530"/>
      <c r="DG8" s="529" t="s">
        <v>149</v>
      </c>
      <c r="DH8" s="529" t="s">
        <v>44</v>
      </c>
      <c r="DI8" s="530"/>
      <c r="DJ8" s="529" t="s">
        <v>149</v>
      </c>
      <c r="DK8" s="529" t="s">
        <v>44</v>
      </c>
      <c r="DL8" s="530"/>
      <c r="DM8" s="529" t="s">
        <v>149</v>
      </c>
      <c r="DN8" s="529" t="s">
        <v>44</v>
      </c>
      <c r="DO8" s="530"/>
      <c r="DP8" s="529" t="s">
        <v>149</v>
      </c>
      <c r="DQ8" s="529" t="s">
        <v>44</v>
      </c>
      <c r="DR8" s="530"/>
      <c r="DS8" s="529" t="s">
        <v>149</v>
      </c>
      <c r="DT8" s="529" t="s">
        <v>44</v>
      </c>
      <c r="DU8" s="530"/>
      <c r="DV8" s="529" t="s">
        <v>149</v>
      </c>
      <c r="DW8" s="529" t="s">
        <v>44</v>
      </c>
      <c r="DX8" s="530"/>
      <c r="DY8" s="529" t="s">
        <v>149</v>
      </c>
      <c r="DZ8" s="529" t="s">
        <v>44</v>
      </c>
      <c r="EA8" s="530"/>
      <c r="EB8" s="529" t="s">
        <v>149</v>
      </c>
      <c r="EC8" s="529" t="s">
        <v>44</v>
      </c>
      <c r="ED8" s="527"/>
      <c r="EE8" s="529" t="s">
        <v>149</v>
      </c>
      <c r="EF8" s="529" t="s">
        <v>44</v>
      </c>
      <c r="EG8" s="530"/>
      <c r="EH8" s="529" t="s">
        <v>149</v>
      </c>
      <c r="EI8" s="529" t="s">
        <v>44</v>
      </c>
      <c r="EJ8" s="530"/>
      <c r="EK8" s="529" t="s">
        <v>149</v>
      </c>
      <c r="EL8" s="529" t="s">
        <v>44</v>
      </c>
      <c r="EM8" s="530"/>
      <c r="EN8" s="529" t="s">
        <v>149</v>
      </c>
      <c r="EO8" s="529" t="s">
        <v>44</v>
      </c>
      <c r="EP8" s="530"/>
      <c r="EQ8" s="529" t="s">
        <v>149</v>
      </c>
      <c r="ER8" s="529" t="s">
        <v>44</v>
      </c>
      <c r="ES8" s="530"/>
      <c r="ET8" s="529" t="s">
        <v>149</v>
      </c>
      <c r="EU8" s="529" t="s">
        <v>44</v>
      </c>
      <c r="EV8" s="530"/>
      <c r="EW8" s="529" t="s">
        <v>149</v>
      </c>
      <c r="EX8" s="529" t="s">
        <v>44</v>
      </c>
      <c r="EY8" s="530"/>
      <c r="EZ8" s="529" t="s">
        <v>149</v>
      </c>
      <c r="FA8" s="529" t="s">
        <v>44</v>
      </c>
      <c r="FB8" s="530"/>
      <c r="FC8" s="529" t="s">
        <v>149</v>
      </c>
      <c r="FD8" s="529" t="s">
        <v>44</v>
      </c>
      <c r="FE8" s="530"/>
      <c r="FF8" s="529" t="s">
        <v>149</v>
      </c>
      <c r="FG8" s="529" t="s">
        <v>44</v>
      </c>
      <c r="FH8" s="530"/>
      <c r="FI8" s="529" t="s">
        <v>149</v>
      </c>
      <c r="FJ8" s="529" t="s">
        <v>44</v>
      </c>
      <c r="FK8" s="530"/>
      <c r="FL8" s="529" t="s">
        <v>149</v>
      </c>
      <c r="FM8" s="529" t="s">
        <v>44</v>
      </c>
      <c r="FN8" s="530"/>
      <c r="FO8" s="529" t="s">
        <v>149</v>
      </c>
      <c r="FP8" s="529" t="s">
        <v>44</v>
      </c>
      <c r="FQ8" s="530"/>
      <c r="FR8" s="529" t="s">
        <v>149</v>
      </c>
      <c r="FS8" s="529" t="s">
        <v>44</v>
      </c>
      <c r="FT8" s="530"/>
      <c r="FU8" s="529" t="s">
        <v>149</v>
      </c>
      <c r="FV8" s="529" t="s">
        <v>44</v>
      </c>
      <c r="FW8" s="530"/>
      <c r="FX8" s="529" t="s">
        <v>149</v>
      </c>
      <c r="FY8" s="529" t="s">
        <v>44</v>
      </c>
      <c r="FZ8" s="530"/>
      <c r="GA8" s="529" t="s">
        <v>149</v>
      </c>
      <c r="GB8" s="529" t="s">
        <v>44</v>
      </c>
      <c r="GC8" s="530"/>
      <c r="GD8" s="529" t="s">
        <v>149</v>
      </c>
      <c r="GE8" s="529" t="s">
        <v>44</v>
      </c>
      <c r="GF8" s="530"/>
      <c r="GG8" s="529" t="s">
        <v>149</v>
      </c>
      <c r="GH8" s="529" t="s">
        <v>44</v>
      </c>
      <c r="GI8" s="530"/>
      <c r="GJ8" s="529" t="s">
        <v>149</v>
      </c>
      <c r="GK8" s="529" t="s">
        <v>44</v>
      </c>
      <c r="GL8" s="530"/>
      <c r="GM8" s="529" t="s">
        <v>149</v>
      </c>
      <c r="GN8" s="529" t="s">
        <v>44</v>
      </c>
      <c r="GO8" s="530"/>
      <c r="GP8" s="529" t="s">
        <v>149</v>
      </c>
      <c r="GQ8" s="529" t="s">
        <v>44</v>
      </c>
      <c r="GR8" s="530"/>
      <c r="GS8" s="529" t="s">
        <v>149</v>
      </c>
      <c r="GT8" s="529" t="s">
        <v>44</v>
      </c>
      <c r="GU8" s="530"/>
      <c r="GV8" s="529" t="s">
        <v>149</v>
      </c>
      <c r="GW8" s="529" t="s">
        <v>44</v>
      </c>
      <c r="GX8" s="530"/>
      <c r="GY8" s="529" t="s">
        <v>149</v>
      </c>
      <c r="GZ8" s="529" t="s">
        <v>44</v>
      </c>
      <c r="HA8" s="530"/>
      <c r="HB8" s="529" t="s">
        <v>149</v>
      </c>
      <c r="HC8" s="529" t="s">
        <v>44</v>
      </c>
      <c r="HD8" s="530"/>
      <c r="HE8" s="529" t="s">
        <v>149</v>
      </c>
      <c r="HF8" s="529" t="s">
        <v>44</v>
      </c>
      <c r="HG8" s="530"/>
      <c r="HH8" s="529" t="s">
        <v>149</v>
      </c>
      <c r="HI8" s="529" t="s">
        <v>44</v>
      </c>
      <c r="HJ8" s="530"/>
      <c r="HK8" s="529" t="s">
        <v>149</v>
      </c>
      <c r="HL8" s="529" t="s">
        <v>44</v>
      </c>
      <c r="HM8" s="530"/>
      <c r="HN8" s="529" t="s">
        <v>149</v>
      </c>
      <c r="HO8" s="529" t="s">
        <v>44</v>
      </c>
      <c r="HP8" s="530"/>
      <c r="HQ8" s="529" t="s">
        <v>149</v>
      </c>
      <c r="HR8" s="529" t="s">
        <v>44</v>
      </c>
      <c r="HS8" s="530"/>
      <c r="HT8" s="529" t="s">
        <v>149</v>
      </c>
      <c r="HU8" s="529" t="s">
        <v>44</v>
      </c>
      <c r="HV8" s="530"/>
      <c r="HW8" s="529" t="s">
        <v>149</v>
      </c>
      <c r="HX8" s="529" t="s">
        <v>44</v>
      </c>
      <c r="HY8" s="530"/>
      <c r="HZ8" s="529" t="s">
        <v>149</v>
      </c>
      <c r="IA8" s="529" t="s">
        <v>44</v>
      </c>
      <c r="IB8" s="530"/>
      <c r="IC8" s="529" t="s">
        <v>149</v>
      </c>
      <c r="ID8" s="529" t="s">
        <v>44</v>
      </c>
      <c r="IE8" s="530"/>
      <c r="IF8" s="529" t="s">
        <v>149</v>
      </c>
      <c r="IG8" s="529" t="s">
        <v>44</v>
      </c>
      <c r="IH8" s="530"/>
      <c r="II8" s="529" t="s">
        <v>149</v>
      </c>
      <c r="IJ8" s="529" t="s">
        <v>44</v>
      </c>
      <c r="IK8" s="530"/>
      <c r="IL8" s="529" t="s">
        <v>149</v>
      </c>
      <c r="IM8" s="529" t="s">
        <v>44</v>
      </c>
      <c r="IN8" s="530"/>
      <c r="IO8" s="529" t="s">
        <v>149</v>
      </c>
      <c r="IP8" s="529" t="s">
        <v>44</v>
      </c>
      <c r="IQ8" s="530"/>
      <c r="IR8" s="529" t="s">
        <v>149</v>
      </c>
      <c r="IS8" s="529" t="s">
        <v>44</v>
      </c>
      <c r="IT8" s="530"/>
      <c r="IU8" s="529" t="s">
        <v>149</v>
      </c>
      <c r="IV8" s="529" t="s">
        <v>44</v>
      </c>
      <c r="IW8" s="530"/>
      <c r="IX8" s="529" t="s">
        <v>149</v>
      </c>
      <c r="IY8" s="529" t="s">
        <v>44</v>
      </c>
      <c r="IZ8" s="530"/>
      <c r="JA8" s="529" t="s">
        <v>149</v>
      </c>
      <c r="JB8" s="529" t="s">
        <v>44</v>
      </c>
      <c r="JC8" s="530"/>
      <c r="JD8" s="529" t="s">
        <v>149</v>
      </c>
      <c r="JE8" s="529" t="s">
        <v>44</v>
      </c>
      <c r="JF8" s="530"/>
      <c r="JG8" s="529" t="s">
        <v>149</v>
      </c>
      <c r="JH8" s="529" t="s">
        <v>44</v>
      </c>
      <c r="JI8" s="530"/>
      <c r="JJ8" s="529" t="s">
        <v>149</v>
      </c>
      <c r="JK8" s="529" t="s">
        <v>44</v>
      </c>
      <c r="JL8" s="530" t="s">
        <v>393</v>
      </c>
      <c r="JM8" s="529" t="s">
        <v>149</v>
      </c>
      <c r="JN8" s="529" t="s">
        <v>44</v>
      </c>
      <c r="JO8" s="530" t="s">
        <v>393</v>
      </c>
      <c r="JP8" s="529" t="s">
        <v>149</v>
      </c>
      <c r="JQ8" s="529" t="s">
        <v>44</v>
      </c>
      <c r="JR8" s="530" t="s">
        <v>393</v>
      </c>
      <c r="JS8" s="529" t="s">
        <v>149</v>
      </c>
      <c r="JT8" s="529" t="s">
        <v>44</v>
      </c>
      <c r="JU8" s="530" t="s">
        <v>393</v>
      </c>
      <c r="JV8" s="529" t="s">
        <v>149</v>
      </c>
      <c r="JW8" s="529" t="s">
        <v>44</v>
      </c>
      <c r="JX8" s="530" t="s">
        <v>393</v>
      </c>
      <c r="JY8" s="529" t="s">
        <v>149</v>
      </c>
      <c r="JZ8" s="529" t="s">
        <v>44</v>
      </c>
      <c r="KA8" s="530" t="s">
        <v>393</v>
      </c>
      <c r="KB8" s="529" t="s">
        <v>149</v>
      </c>
      <c r="KC8" s="529" t="s">
        <v>44</v>
      </c>
      <c r="KD8" s="530" t="s">
        <v>393</v>
      </c>
      <c r="KE8" s="529" t="s">
        <v>149</v>
      </c>
      <c r="KF8" s="529" t="s">
        <v>44</v>
      </c>
      <c r="KG8" s="530" t="s">
        <v>393</v>
      </c>
      <c r="KH8" s="529" t="s">
        <v>149</v>
      </c>
      <c r="KI8" s="529" t="s">
        <v>44</v>
      </c>
      <c r="KJ8" s="530" t="s">
        <v>393</v>
      </c>
      <c r="KK8" s="529" t="s">
        <v>149</v>
      </c>
      <c r="KL8" s="529" t="s">
        <v>44</v>
      </c>
      <c r="KM8" s="530" t="s">
        <v>393</v>
      </c>
      <c r="KN8" s="529" t="s">
        <v>149</v>
      </c>
      <c r="KO8" s="529" t="s">
        <v>44</v>
      </c>
      <c r="KP8" s="530" t="s">
        <v>393</v>
      </c>
      <c r="KQ8" s="529" t="s">
        <v>149</v>
      </c>
      <c r="KR8" s="529" t="s">
        <v>44</v>
      </c>
      <c r="KS8" s="530" t="s">
        <v>393</v>
      </c>
      <c r="KT8" s="749"/>
      <c r="KU8" s="749"/>
    </row>
    <row r="9" spans="1:308" ht="15" customHeight="1">
      <c r="A9" s="273">
        <f>+Report1!A9</f>
        <v>46023</v>
      </c>
      <c r="B9" s="274" t="str">
        <f>+Report1!B9</f>
        <v>Toilet</v>
      </c>
      <c r="C9" s="274" t="str">
        <f>+Report1!C9</f>
        <v>13,5</v>
      </c>
      <c r="D9" s="275">
        <f>+Report1!P9</f>
        <v>44.625</v>
      </c>
      <c r="E9" s="276">
        <f>+Report1!R9</f>
        <v>44.228000000000002</v>
      </c>
      <c r="F9" s="531"/>
      <c r="G9" s="532">
        <f t="shared" ref="G9:G39" si="0">+F9/$E9</f>
        <v>0</v>
      </c>
      <c r="H9" s="533">
        <f>+F9*$H$8</f>
        <v>0</v>
      </c>
      <c r="I9" s="531"/>
      <c r="J9" s="532">
        <f t="shared" ref="J9:J39" si="1">+I9/$E9</f>
        <v>0</v>
      </c>
      <c r="K9" s="533">
        <f>+I9*$H$8</f>
        <v>0</v>
      </c>
      <c r="L9" s="531"/>
      <c r="M9" s="532">
        <f t="shared" ref="M9:M39" si="2">+L9/$E9</f>
        <v>0</v>
      </c>
      <c r="N9" s="533">
        <f>+L9*$H$8</f>
        <v>0</v>
      </c>
      <c r="O9" s="531">
        <v>9</v>
      </c>
      <c r="P9" s="532">
        <f t="shared" ref="P9:P39" si="3">+O9/$E9</f>
        <v>0.20349100117572577</v>
      </c>
      <c r="Q9" s="533">
        <f>+O9*$H$8</f>
        <v>0</v>
      </c>
      <c r="R9" s="531"/>
      <c r="S9" s="532">
        <f t="shared" ref="S9:S39" si="4">+R9/$E9</f>
        <v>0</v>
      </c>
      <c r="T9" s="533">
        <f>+R9*$H$8</f>
        <v>0</v>
      </c>
      <c r="U9" s="531">
        <v>7.6875</v>
      </c>
      <c r="V9" s="532">
        <f t="shared" ref="V9:V39" si="5">+U9/$E9</f>
        <v>0.17381523017093242</v>
      </c>
      <c r="W9" s="533">
        <f>+U9*$H$8</f>
        <v>0</v>
      </c>
      <c r="X9" s="531"/>
      <c r="Y9" s="532">
        <f t="shared" ref="Y9:Y39" si="6">+X9/$E9</f>
        <v>0</v>
      </c>
      <c r="Z9" s="533">
        <f>+X9*$H$8</f>
        <v>0</v>
      </c>
      <c r="AA9" s="531"/>
      <c r="AB9" s="532">
        <f t="shared" ref="AB9:AB39" si="7">+AA9/$E9</f>
        <v>0</v>
      </c>
      <c r="AC9" s="533">
        <f>+AA9*$H$8</f>
        <v>0</v>
      </c>
      <c r="AD9" s="531"/>
      <c r="AE9" s="532">
        <f t="shared" ref="AE9:AE39" si="8">+AD9/$E9</f>
        <v>0</v>
      </c>
      <c r="AF9" s="533">
        <f>+AD9*$H$8</f>
        <v>0</v>
      </c>
      <c r="AG9" s="531"/>
      <c r="AH9" s="532">
        <f t="shared" ref="AH9:AH39" si="9">+AG9/$E9</f>
        <v>0</v>
      </c>
      <c r="AI9" s="533">
        <f>+AG9*$H$8</f>
        <v>0</v>
      </c>
      <c r="AJ9" s="531">
        <v>58.75</v>
      </c>
      <c r="AK9" s="532">
        <f t="shared" ref="AK9:AK39" si="10">+AJ9/$E9</f>
        <v>1.3283440354526543</v>
      </c>
      <c r="AL9" s="533">
        <f>+AJ9*$H$8</f>
        <v>0</v>
      </c>
      <c r="AM9" s="531"/>
      <c r="AN9" s="532">
        <f t="shared" ref="AN9:AN39" si="11">+AM9/$E9</f>
        <v>0</v>
      </c>
      <c r="AO9" s="533">
        <f>+AM9*$H$8</f>
        <v>0</v>
      </c>
      <c r="AP9" s="531"/>
      <c r="AQ9" s="532">
        <f t="shared" ref="AQ9:AQ39" si="12">+AP9/$E9</f>
        <v>0</v>
      </c>
      <c r="AR9" s="533">
        <f>+AP9*$H$8</f>
        <v>0</v>
      </c>
      <c r="AS9" s="531"/>
      <c r="AT9" s="532">
        <f t="shared" ref="AT9:AT39" si="13">+AS9/$E9</f>
        <v>0</v>
      </c>
      <c r="AU9" s="533">
        <f>+AS9*$H$8</f>
        <v>0</v>
      </c>
      <c r="AV9" s="531"/>
      <c r="AW9" s="532">
        <f t="shared" ref="AW9:AW39" si="14">+AV9/$E9</f>
        <v>0</v>
      </c>
      <c r="AX9" s="533">
        <f>+AV9*$H$8</f>
        <v>0</v>
      </c>
      <c r="AY9" s="531">
        <v>37.333333333333314</v>
      </c>
      <c r="AZ9" s="532">
        <f t="shared" ref="AZ9:AZ39" si="15">+AY9/$E9</f>
        <v>0.84411081969189905</v>
      </c>
      <c r="BA9" s="533">
        <f>+AY9*$H$8</f>
        <v>0</v>
      </c>
      <c r="BB9" s="531"/>
      <c r="BC9" s="532">
        <f t="shared" ref="BC9:BC39" si="16">+BB9/$E9</f>
        <v>0</v>
      </c>
      <c r="BD9" s="533">
        <f>+BB9*$H$8</f>
        <v>0</v>
      </c>
      <c r="BE9" s="531"/>
      <c r="BF9" s="532">
        <f t="shared" ref="BF9:BF39" si="17">+BE9/$E9</f>
        <v>0</v>
      </c>
      <c r="BG9" s="533">
        <f>+BE9*$H$8</f>
        <v>0</v>
      </c>
      <c r="BH9" s="531"/>
      <c r="BI9" s="532">
        <f t="shared" ref="BI9:BI39" si="18">+BH9/$E9</f>
        <v>0</v>
      </c>
      <c r="BJ9" s="533">
        <f>+BH9*$H$8</f>
        <v>0</v>
      </c>
      <c r="BK9" s="531"/>
      <c r="BL9" s="532">
        <f t="shared" ref="BL9:BL39" si="19">+BK9/$E9</f>
        <v>0</v>
      </c>
      <c r="BM9" s="533">
        <f>+BK9*$H$8</f>
        <v>0</v>
      </c>
      <c r="BN9" s="531"/>
      <c r="BO9" s="532">
        <f t="shared" ref="BO9:BO39" si="20">+BN9/$E9</f>
        <v>0</v>
      </c>
      <c r="BP9" s="533">
        <f>+BN9*$H$8</f>
        <v>0</v>
      </c>
      <c r="BQ9" s="531"/>
      <c r="BR9" s="532">
        <f t="shared" ref="BR9:BR39" si="21">+BQ9/$E9</f>
        <v>0</v>
      </c>
      <c r="BS9" s="533">
        <f>+BQ9*$H$8</f>
        <v>0</v>
      </c>
      <c r="BT9" s="531"/>
      <c r="BU9" s="532">
        <f t="shared" ref="BU9:BU39" si="22">+BT9/$E9</f>
        <v>0</v>
      </c>
      <c r="BV9" s="533">
        <f>+BT9*$H$8</f>
        <v>0</v>
      </c>
      <c r="BW9" s="531"/>
      <c r="BX9" s="532">
        <f t="shared" ref="BX9:BX39" si="23">+BW9/$E9</f>
        <v>0</v>
      </c>
      <c r="BY9" s="533">
        <f>+BW9*$H$8</f>
        <v>0</v>
      </c>
      <c r="BZ9" s="531"/>
      <c r="CA9" s="532">
        <f t="shared" ref="CA9:CA39" si="24">+BZ9/$E9</f>
        <v>0</v>
      </c>
      <c r="CB9" s="533">
        <f>+BZ9*$H$8</f>
        <v>0</v>
      </c>
      <c r="CC9" s="531"/>
      <c r="CD9" s="532">
        <f t="shared" ref="CD9:CD39" si="25">+CC9/$E9</f>
        <v>0</v>
      </c>
      <c r="CE9" s="533">
        <f>+CC9*$H$8</f>
        <v>0</v>
      </c>
      <c r="CF9" s="531">
        <v>6.5</v>
      </c>
      <c r="CG9" s="532">
        <f t="shared" ref="CG9:CG39" si="26">+CF9/$E9</f>
        <v>0.1469657230713575</v>
      </c>
      <c r="CH9" s="533">
        <f>+CF9*$H$8</f>
        <v>0</v>
      </c>
      <c r="CI9" s="531"/>
      <c r="CJ9" s="532">
        <f t="shared" ref="CJ9:CJ39" si="27">+CI9/$E9</f>
        <v>0</v>
      </c>
      <c r="CK9" s="533">
        <f>+CI9*$H$8</f>
        <v>0</v>
      </c>
      <c r="CL9" s="531"/>
      <c r="CM9" s="532">
        <f t="shared" ref="CM9:CM39" si="28">+CL9/$E9</f>
        <v>0</v>
      </c>
      <c r="CN9" s="533">
        <f>+CL9*$H$8</f>
        <v>0</v>
      </c>
      <c r="CO9" s="531"/>
      <c r="CP9" s="532">
        <f t="shared" ref="CP9:CP39" si="29">+CO9/$E9</f>
        <v>0</v>
      </c>
      <c r="CQ9" s="533">
        <f>+CO9*$H$8</f>
        <v>0</v>
      </c>
      <c r="CR9" s="531"/>
      <c r="CS9" s="532">
        <f t="shared" ref="CS9:CS39" si="30">+CR9/$E9</f>
        <v>0</v>
      </c>
      <c r="CT9" s="533">
        <f>+CR9*$H$8</f>
        <v>0</v>
      </c>
      <c r="CU9" s="531"/>
      <c r="CV9" s="532">
        <f t="shared" ref="CV9:CV39" si="31">+CU9/$E9</f>
        <v>0</v>
      </c>
      <c r="CW9" s="533">
        <f>+CU9*$H$8</f>
        <v>0</v>
      </c>
      <c r="CX9" s="531"/>
      <c r="CY9" s="532">
        <f t="shared" ref="CY9:CY39" si="32">+CX9/$E9</f>
        <v>0</v>
      </c>
      <c r="CZ9" s="533">
        <f>+CX9*$H$8</f>
        <v>0</v>
      </c>
      <c r="DA9" s="531">
        <v>174.4186046511627</v>
      </c>
      <c r="DB9" s="532">
        <f t="shared" ref="DB9:DB39" si="33">+DA9/$E9</f>
        <v>3.9436240537931329</v>
      </c>
      <c r="DC9" s="533">
        <f>+DA9*$H$8</f>
        <v>0</v>
      </c>
      <c r="DD9" s="531"/>
      <c r="DE9" s="532">
        <f t="shared" ref="DE9:DE39" si="34">+DD9/$E9</f>
        <v>0</v>
      </c>
      <c r="DF9" s="533">
        <f>+DD9*$H$8</f>
        <v>0</v>
      </c>
      <c r="DG9" s="531"/>
      <c r="DH9" s="532">
        <f t="shared" ref="DH9:DH39" si="35">+DG9/$E9</f>
        <v>0</v>
      </c>
      <c r="DI9" s="533">
        <v>0</v>
      </c>
      <c r="DJ9" s="531"/>
      <c r="DK9" s="532">
        <f t="shared" ref="DK9:DK39" si="36">+DJ9/$E9</f>
        <v>0</v>
      </c>
      <c r="DL9" s="533">
        <f>+DJ9*$H$8</f>
        <v>0</v>
      </c>
      <c r="DM9" s="531"/>
      <c r="DN9" s="532">
        <f t="shared" ref="DN9:DN39" si="37">+DM9/$E9</f>
        <v>0</v>
      </c>
      <c r="DO9" s="533">
        <f>+DM9*$H$8</f>
        <v>0</v>
      </c>
      <c r="DP9" s="531"/>
      <c r="DQ9" s="532">
        <f t="shared" ref="DQ9:DQ39" si="38">+DP9/$E9</f>
        <v>0</v>
      </c>
      <c r="DR9" s="533">
        <f>+DP9*$H$8</f>
        <v>0</v>
      </c>
      <c r="DS9" s="531"/>
      <c r="DT9" s="532">
        <f t="shared" ref="DT9:DT39" si="39">+DS9/$E9</f>
        <v>0</v>
      </c>
      <c r="DU9" s="533">
        <f>+DS9*$H$8</f>
        <v>0</v>
      </c>
      <c r="DV9" s="531"/>
      <c r="DW9" s="532">
        <f t="shared" ref="DW9:DW39" si="40">+DV9/$E9</f>
        <v>0</v>
      </c>
      <c r="DX9" s="533">
        <f>+DV9*$H$8</f>
        <v>0</v>
      </c>
      <c r="DY9" s="531"/>
      <c r="DZ9" s="532">
        <f t="shared" ref="DZ9:DZ39" si="41">+DY9/$E9</f>
        <v>0</v>
      </c>
      <c r="EA9" s="533">
        <f>+DY9*$H$8</f>
        <v>0</v>
      </c>
      <c r="EB9" s="531"/>
      <c r="EC9" s="532">
        <f t="shared" ref="EC9:EC39" si="42">+EB9/$E9</f>
        <v>0</v>
      </c>
      <c r="ED9" s="533">
        <f>+EB9*$H$8</f>
        <v>0</v>
      </c>
      <c r="EE9" s="531">
        <v>152.63529411764711</v>
      </c>
      <c r="EF9" s="532">
        <f t="shared" ref="EF9:EF39" si="43">+EE9/$E9</f>
        <v>3.4511009794168195</v>
      </c>
      <c r="EG9" s="533">
        <f>+EE9*$H$8</f>
        <v>0</v>
      </c>
      <c r="EH9" s="531">
        <v>5</v>
      </c>
      <c r="EI9" s="532">
        <f t="shared" ref="EI9:EI39" si="44">+EH9/$E9</f>
        <v>0.11305055620873654</v>
      </c>
      <c r="EJ9" s="533">
        <f>+EH9*$H$8</f>
        <v>0</v>
      </c>
      <c r="EK9" s="531">
        <v>85.365853658536594</v>
      </c>
      <c r="EL9" s="532">
        <f t="shared" ref="EL9:EL39" si="45">+EK9/$E9</f>
        <v>1.9301314474662339</v>
      </c>
      <c r="EM9" s="533">
        <f>+EK9*$H$8</f>
        <v>0</v>
      </c>
      <c r="EN9" s="531"/>
      <c r="EO9" s="532">
        <f t="shared" ref="EO9:EO39" si="46">+EN9/$E9</f>
        <v>0</v>
      </c>
      <c r="EP9" s="533">
        <f>+EN9*$H$8</f>
        <v>0</v>
      </c>
      <c r="EQ9" s="531"/>
      <c r="ER9" s="532">
        <f t="shared" ref="ER9:ER39" si="47">+EQ9/$E9</f>
        <v>0</v>
      </c>
      <c r="ES9" s="533">
        <f>+EQ9*$H$8</f>
        <v>0</v>
      </c>
      <c r="ET9" s="531"/>
      <c r="EU9" s="532">
        <f t="shared" ref="EU9:EU39" si="48">+ET9/$E9</f>
        <v>0</v>
      </c>
      <c r="EV9" s="533">
        <f>+ET9*$H$8</f>
        <v>0</v>
      </c>
      <c r="EW9" s="531"/>
      <c r="EX9" s="532">
        <f t="shared" ref="EX9:EX39" si="49">+EW9/$E9</f>
        <v>0</v>
      </c>
      <c r="EY9" s="533">
        <f>+EW9*$H$8</f>
        <v>0</v>
      </c>
      <c r="EZ9" s="531"/>
      <c r="FA9" s="532">
        <f t="shared" ref="FA9:FA39" si="50">+EZ9/$E9</f>
        <v>0</v>
      </c>
      <c r="FB9" s="533">
        <f>+EZ9*$H$8</f>
        <v>0</v>
      </c>
      <c r="FC9" s="531"/>
      <c r="FD9" s="532">
        <f t="shared" ref="FD9:FD39" si="51">+FC9/$E9</f>
        <v>0</v>
      </c>
      <c r="FE9" s="533">
        <f>+FC9*$H$8</f>
        <v>0</v>
      </c>
      <c r="FF9" s="531"/>
      <c r="FG9" s="532">
        <f t="shared" ref="FG9:FG39" si="52">+FF9/$E9</f>
        <v>0</v>
      </c>
      <c r="FH9" s="533">
        <f>+FF9*$H$8</f>
        <v>0</v>
      </c>
      <c r="FI9" s="531"/>
      <c r="FJ9" s="532">
        <f t="shared" ref="FJ9:FJ39" si="53">+FI9/$E9</f>
        <v>0</v>
      </c>
      <c r="FK9" s="533">
        <f>+FI9*$H$8</f>
        <v>0</v>
      </c>
      <c r="FL9" s="531"/>
      <c r="FM9" s="532">
        <f t="shared" ref="FM9:FM39" si="54">+FL9/$E9</f>
        <v>0</v>
      </c>
      <c r="FN9" s="533">
        <f>+FL9*$H$8</f>
        <v>0</v>
      </c>
      <c r="FO9" s="531"/>
      <c r="FP9" s="532">
        <f t="shared" ref="FP9:FP39" si="55">+FO9/$E9</f>
        <v>0</v>
      </c>
      <c r="FQ9" s="533">
        <f>+FO9*$H$8</f>
        <v>0</v>
      </c>
      <c r="FR9" s="531"/>
      <c r="FS9" s="532">
        <f t="shared" ref="FS9:FS39" si="56">+FR9/$E9</f>
        <v>0</v>
      </c>
      <c r="FT9" s="533">
        <f>+FR9*$H$8</f>
        <v>0</v>
      </c>
      <c r="FU9" s="531"/>
      <c r="FV9" s="532">
        <f t="shared" ref="FV9:FV39" si="57">+FU9/$E9</f>
        <v>0</v>
      </c>
      <c r="FW9" s="533">
        <f>+FU9*$H$8</f>
        <v>0</v>
      </c>
      <c r="FX9" s="531"/>
      <c r="FY9" s="532">
        <f t="shared" ref="FY9:FY39" si="58">+FX9/$E9</f>
        <v>0</v>
      </c>
      <c r="FZ9" s="533">
        <f>+FX9*$H$8</f>
        <v>0</v>
      </c>
      <c r="GA9" s="531"/>
      <c r="GB9" s="532">
        <f t="shared" ref="GB9:GB39" si="59">+GA9/$E9</f>
        <v>0</v>
      </c>
      <c r="GC9" s="533">
        <f>+GA9*$H$8</f>
        <v>0</v>
      </c>
      <c r="GD9" s="531"/>
      <c r="GE9" s="532">
        <f t="shared" ref="GE9:GE39" si="60">+GD9/$E9</f>
        <v>0</v>
      </c>
      <c r="GF9" s="533">
        <f>+GD9*$H$8</f>
        <v>0</v>
      </c>
      <c r="GG9" s="531">
        <v>30</v>
      </c>
      <c r="GH9" s="532">
        <f t="shared" ref="GH9:GH39" si="61">+GG9/$E9</f>
        <v>0.67830333725241931</v>
      </c>
      <c r="GI9" s="533">
        <f>+GG9*$H$8</f>
        <v>0</v>
      </c>
      <c r="GJ9" s="531">
        <v>30</v>
      </c>
      <c r="GK9" s="532">
        <f t="shared" ref="GK9:GK29" si="62">+GJ9/$E9</f>
        <v>0.67830333725241931</v>
      </c>
      <c r="GL9" s="533">
        <f>+GJ9*$H$8</f>
        <v>0</v>
      </c>
      <c r="GM9" s="531"/>
      <c r="GN9" s="532">
        <f t="shared" ref="GN9:GN25" si="63">+GM9/$E9</f>
        <v>0</v>
      </c>
      <c r="GO9" s="533">
        <f>+GM9*$H$8</f>
        <v>0</v>
      </c>
      <c r="GP9" s="531">
        <v>35</v>
      </c>
      <c r="GQ9" s="532">
        <f t="shared" ref="GQ9:GQ25" si="64">+GP9/$E9</f>
        <v>0.79135389346115581</v>
      </c>
      <c r="GR9" s="533">
        <f>+GP9*$H$8</f>
        <v>0</v>
      </c>
      <c r="GS9" s="531">
        <v>200</v>
      </c>
      <c r="GT9" s="532">
        <f t="shared" ref="GT9:GT25" si="65">+GS9/$E9</f>
        <v>4.5220222483494616</v>
      </c>
      <c r="GU9" s="533">
        <f>+GS9*$H$8</f>
        <v>0</v>
      </c>
      <c r="GV9" s="531">
        <v>60</v>
      </c>
      <c r="GW9" s="532">
        <f t="shared" ref="GW9:GW28" si="66">+GV9/$E9</f>
        <v>1.3566066745048386</v>
      </c>
      <c r="GX9" s="533">
        <f>+GV9*$H$8</f>
        <v>0</v>
      </c>
      <c r="GY9" s="531"/>
      <c r="GZ9" s="532">
        <f t="shared" ref="GZ9:GZ39" si="67">+GY9/$E9</f>
        <v>0</v>
      </c>
      <c r="HA9" s="533">
        <f>+GY9*$H$8</f>
        <v>0</v>
      </c>
      <c r="HB9" s="531"/>
      <c r="HC9" s="532">
        <f t="shared" ref="HC9:HC39" si="68">+HB9/$E9</f>
        <v>0</v>
      </c>
      <c r="HD9" s="533">
        <f>+HB9*$H$8</f>
        <v>0</v>
      </c>
      <c r="HE9" s="531"/>
      <c r="HF9" s="532">
        <f t="shared" ref="HF9:HF39" si="69">+HE9/$E9</f>
        <v>0</v>
      </c>
      <c r="HG9" s="533">
        <f>+HE9*$H$8</f>
        <v>0</v>
      </c>
      <c r="HH9" s="531"/>
      <c r="HI9" s="532">
        <f t="shared" ref="HI9:HI39" si="70">+HH9/$E9</f>
        <v>0</v>
      </c>
      <c r="HJ9" s="533">
        <f>+HH9*$H$8</f>
        <v>0</v>
      </c>
      <c r="HK9" s="531"/>
      <c r="HL9" s="532">
        <f t="shared" ref="HL9:HL39" si="71">+HK9/$E9</f>
        <v>0</v>
      </c>
      <c r="HM9" s="533">
        <f>+HK9*$H$8</f>
        <v>0</v>
      </c>
      <c r="HN9" s="531">
        <v>1128</v>
      </c>
      <c r="HO9" s="532">
        <f t="shared" ref="HO9:HO39" si="72">+HN9/$E9</f>
        <v>25.504205480690963</v>
      </c>
      <c r="HP9" s="533">
        <f>+HN9*$H$8</f>
        <v>0</v>
      </c>
      <c r="HQ9" s="531"/>
      <c r="HR9" s="532">
        <f t="shared" ref="HR9:HR39" si="73">+HQ9/$E9</f>
        <v>0</v>
      </c>
      <c r="HS9" s="533">
        <f>+HQ9*$H$8</f>
        <v>0</v>
      </c>
      <c r="HT9" s="531"/>
      <c r="HU9" s="532">
        <f t="shared" ref="HU9:HU39" si="74">+HT9/$E9</f>
        <v>0</v>
      </c>
      <c r="HV9" s="533">
        <f>+HT9*$H$8</f>
        <v>0</v>
      </c>
      <c r="HW9" s="531"/>
      <c r="HX9" s="532">
        <f t="shared" ref="HX9:HX39" si="75">+HW9/$E9</f>
        <v>0</v>
      </c>
      <c r="HY9" s="533">
        <f>+HW9*$H$8</f>
        <v>0</v>
      </c>
      <c r="HZ9" s="531"/>
      <c r="IA9" s="532">
        <f t="shared" ref="IA9:IA39" si="76">+HZ9/$E9</f>
        <v>0</v>
      </c>
      <c r="IB9" s="533">
        <f>+HZ9*$H$8</f>
        <v>0</v>
      </c>
      <c r="IC9" s="531"/>
      <c r="ID9" s="532">
        <f t="shared" ref="ID9:ID39" si="77">+IC9/$E9</f>
        <v>0</v>
      </c>
      <c r="IE9" s="533">
        <f>+IC9*$H$8</f>
        <v>0</v>
      </c>
      <c r="IF9" s="531"/>
      <c r="IG9" s="532">
        <f t="shared" ref="IG9:IG39" si="78">+IF9/$E9</f>
        <v>0</v>
      </c>
      <c r="IH9" s="533">
        <f>+IF9*$H$8</f>
        <v>0</v>
      </c>
      <c r="II9" s="531">
        <v>40</v>
      </c>
      <c r="IJ9" s="532">
        <f t="shared" ref="IJ9:IJ39" si="79">+II9/$E9</f>
        <v>0.90440444966989231</v>
      </c>
      <c r="IK9" s="533">
        <f>+II9*$H$8</f>
        <v>0</v>
      </c>
      <c r="IL9" s="531"/>
      <c r="IM9" s="532">
        <f t="shared" ref="IM9:IM39" si="80">+IL9/$E9</f>
        <v>0</v>
      </c>
      <c r="IN9" s="533">
        <f>+IL9*$H$8</f>
        <v>0</v>
      </c>
      <c r="IO9" s="531"/>
      <c r="IP9" s="532">
        <f t="shared" ref="IP9:IP39" si="81">+IO9/$E9</f>
        <v>0</v>
      </c>
      <c r="IQ9" s="533">
        <f>+IO9*$H$8</f>
        <v>0</v>
      </c>
      <c r="IR9" s="531">
        <v>50</v>
      </c>
      <c r="IS9" s="532">
        <f t="shared" ref="IS9:IS39" si="82">+IR9/$E9</f>
        <v>1.1305055620873654</v>
      </c>
      <c r="IT9" s="533">
        <f>+IR9*$H$8</f>
        <v>0</v>
      </c>
      <c r="IU9" s="531"/>
      <c r="IV9" s="532">
        <f t="shared" ref="IV9:IV39" si="83">+IU9/$E9</f>
        <v>0</v>
      </c>
      <c r="IW9" s="533">
        <f>+IU9*$H$8</f>
        <v>0</v>
      </c>
      <c r="IX9" s="531"/>
      <c r="IY9" s="532">
        <f t="shared" ref="IY9:IY39" si="84">+IX9/$E9</f>
        <v>0</v>
      </c>
      <c r="IZ9" s="533">
        <f>+IX9*$H$8</f>
        <v>0</v>
      </c>
      <c r="JA9" s="531"/>
      <c r="JB9" s="532">
        <f t="shared" ref="JB9:JB39" si="85">+JA9/$E9</f>
        <v>0</v>
      </c>
      <c r="JC9" s="533">
        <f>+JA9*$H$8</f>
        <v>0</v>
      </c>
      <c r="JD9" s="531"/>
      <c r="JE9" s="532">
        <f t="shared" ref="JE9:JE39" si="86">+JD9/$E9</f>
        <v>0</v>
      </c>
      <c r="JF9" s="533">
        <f>+JD9*$H$8</f>
        <v>0</v>
      </c>
      <c r="JG9" s="531"/>
      <c r="JH9" s="532">
        <f t="shared" ref="JH9:JH39" si="87">+JG9/$E9</f>
        <v>0</v>
      </c>
      <c r="JI9" s="533">
        <f>+JG9*$H$8</f>
        <v>0</v>
      </c>
      <c r="JJ9" s="531">
        <v>40</v>
      </c>
      <c r="JK9" s="533" t="str">
        <f t="shared" ref="JK9:JK39" si="88">IFERROR((JJ9/$L9),"0")</f>
        <v>0</v>
      </c>
      <c r="JL9" s="533" t="str">
        <f t="shared" ref="JL9:JL39" si="89">IFERROR(((JJ9*JL$8)/$L9),"0")</f>
        <v>0</v>
      </c>
      <c r="JM9" s="531"/>
      <c r="JN9" s="533" t="str">
        <f t="shared" ref="JN9:JN39" si="90">IFERROR((JM9/$L9),"0")</f>
        <v>0</v>
      </c>
      <c r="JO9" s="533" t="str">
        <f t="shared" ref="JO9:JO39" si="91">IFERROR(((JM9*JO$8)/$L9),"0")</f>
        <v>0</v>
      </c>
      <c r="JP9" s="531"/>
      <c r="JQ9" s="533" t="str">
        <f t="shared" ref="JQ9:JQ39" si="92">IFERROR((JP9/$L9),"0")</f>
        <v>0</v>
      </c>
      <c r="JR9" s="533" t="str">
        <f t="shared" ref="JR9:JR39" si="93">IFERROR(((JP9*JR$8)/$L9),"0")</f>
        <v>0</v>
      </c>
      <c r="JS9" s="531"/>
      <c r="JT9" s="533" t="str">
        <f t="shared" ref="JT9:JT39" si="94">IFERROR((JS9/$L9),"0")</f>
        <v>0</v>
      </c>
      <c r="JU9" s="533" t="str">
        <f t="shared" ref="JU9:JU39" si="95">IFERROR(((JS9*JU$8)/$L9),"0")</f>
        <v>0</v>
      </c>
      <c r="JV9" s="531"/>
      <c r="JW9" s="533" t="str">
        <f t="shared" ref="JW9:JW39" si="96">IFERROR((JV9/$L9),"0")</f>
        <v>0</v>
      </c>
      <c r="JX9" s="533" t="str">
        <f t="shared" ref="JX9:JX39" si="97">IFERROR(((JV9*JX$8)/$L9),"0")</f>
        <v>0</v>
      </c>
      <c r="JY9" s="531"/>
      <c r="JZ9" s="533" t="str">
        <f t="shared" ref="JZ9:JZ39" si="98">IFERROR((JY9/$L9),"0")</f>
        <v>0</v>
      </c>
      <c r="KA9" s="533" t="str">
        <f t="shared" ref="KA9:KA39" si="99">IFERROR(((JY9*KA$8)/$L9),"0")</f>
        <v>0</v>
      </c>
      <c r="KB9" s="531"/>
      <c r="KC9" s="533" t="str">
        <f t="shared" ref="KC9:KC39" si="100">IFERROR((KB9/$L9),"0")</f>
        <v>0</v>
      </c>
      <c r="KD9" s="533" t="str">
        <f t="shared" ref="KD9:KD39" si="101">IFERROR(((KB9*KD$8)/$L9),"0")</f>
        <v>0</v>
      </c>
      <c r="KE9" s="531"/>
      <c r="KF9" s="533" t="str">
        <f t="shared" ref="KF9:KF39" si="102">IFERROR((KE9/$L9),"0")</f>
        <v>0</v>
      </c>
      <c r="KG9" s="533" t="str">
        <f t="shared" ref="KG9:KG39" si="103">IFERROR(((KE9*KG$8)/$L9),"0")</f>
        <v>0</v>
      </c>
      <c r="KH9" s="531"/>
      <c r="KI9" s="533" t="str">
        <f t="shared" ref="KI9:KI39" si="104">IFERROR((KH9/$L9),"0")</f>
        <v>0</v>
      </c>
      <c r="KJ9" s="533" t="str">
        <f t="shared" ref="KJ9:KJ39" si="105">IFERROR(((KH9*KJ$8)/$L9),"0")</f>
        <v>0</v>
      </c>
      <c r="KK9" s="531"/>
      <c r="KL9" s="533" t="str">
        <f t="shared" ref="KL9:KL39" si="106">IFERROR((KK9/$L9),"0")</f>
        <v>0</v>
      </c>
      <c r="KM9" s="533" t="str">
        <f t="shared" ref="KM9:KM39" si="107">IFERROR(((KK9*KM$8)/$L9),"0")</f>
        <v>0</v>
      </c>
      <c r="KN9" s="531"/>
      <c r="KO9" s="533" t="str">
        <f t="shared" ref="KO9:KO39" si="108">IFERROR((KN9/$L9),"0")</f>
        <v>0</v>
      </c>
      <c r="KP9" s="533" t="str">
        <f t="shared" ref="KP9:KP39" si="109">IFERROR(((KN9*KP$8)/$L9),"0")</f>
        <v>0</v>
      </c>
      <c r="KQ9" s="531"/>
      <c r="KR9" s="533" t="str">
        <f t="shared" ref="KR9:KR39" si="110">IFERROR((KQ9/$L9),"0")</f>
        <v>0</v>
      </c>
      <c r="KS9" s="533" t="str">
        <f t="shared" ref="KS9:KS39" si="111">IFERROR(((KQ9*KS$8)/$L9),"0")</f>
        <v>0</v>
      </c>
      <c r="KT9" s="533">
        <f>H9+K9+N9+Q9+T9+W9+Z9+AC9+AF9+AI9+AL9+AO9+AR9+AU9+AX9+BA9+BD9+BG9+BJ9+BM9+BP9+BS9+BV9+BY9+CB9+CE9+CH9+CK9+CN9+CQ9+CT9+CW9+CZ9+DC9+DF9+DI9+DL9+DO9+DR9+DU9+DX9+EA9+ED9+EG9+EJ9+EM9+EP9+ES9+EV9+EY9+FB9+FE9+FH9+FK9+FN9+FQ9+FT9+FW9+FZ9+GC9</f>
        <v>0</v>
      </c>
      <c r="KU9" s="533">
        <f>GF9+GI9+GL9+GO9+GR9+GU9+GX9+HA9+HD9+HG9+HJ9+HM9+HP9+HS9+HV9+HY9+IB9+IE9+IH9+IK9+IN9+IQ9+IT9+IW9+IZ9+JC9+JF9+JI9+JL9+JO9+JR9+JU9+JX9++KA9+KD9+KG9+KJ9++KM9+KP9+KS9</f>
        <v>0</v>
      </c>
      <c r="KV9" s="271">
        <f t="shared" ref="KV9:KV29" si="112">+F9+I9+L9+O9+R9+U9+X9+AA9+AD9+AG9+AJ9+AM9+AP9+AS9+AV9+AY9+BB9+BE9+BH9+BK9+BN9+BQ9+BT9+BW9+BZ9+CC9+CF9+CI9+CL9+CO9+CR9+CU9+CX9+DA9+DD9+DJ9+DM9+DP9+DS9+DV9+DY9+EB9+GG9+GJ9+GM9+GP9+GS9+HN9+II9+IR9+GV9+IU9++HT9+HW9+HZ9+IC9+JA9+JJ9+JM9+HB9+EE9+GD9+EH9++EK9+JG9++EQ9+ET9</f>
        <v>2149.6905857606798</v>
      </c>
    </row>
    <row r="10" spans="1:308" ht="15" customHeight="1">
      <c r="A10" s="273">
        <f>+A9+1</f>
        <v>46024</v>
      </c>
      <c r="B10" s="274" t="str">
        <f>+Report1!B10</f>
        <v>Toilet</v>
      </c>
      <c r="C10" s="274" t="str">
        <f>+Report1!C10</f>
        <v>13,5</v>
      </c>
      <c r="D10" s="275">
        <f>+Report1!P10</f>
        <v>49.712000000000003</v>
      </c>
      <c r="E10" s="276">
        <f>+Report1!R10</f>
        <v>46.393999999999998</v>
      </c>
      <c r="F10" s="531"/>
      <c r="G10" s="532">
        <f t="shared" si="0"/>
        <v>0</v>
      </c>
      <c r="H10" s="533">
        <f t="shared" ref="H10:H39" si="113">+F10*$H$8</f>
        <v>0</v>
      </c>
      <c r="I10" s="531"/>
      <c r="J10" s="532">
        <f t="shared" si="1"/>
        <v>0</v>
      </c>
      <c r="K10" s="533">
        <f t="shared" ref="K10:K39" si="114">+I10*$H$8</f>
        <v>0</v>
      </c>
      <c r="L10" s="531"/>
      <c r="M10" s="532">
        <f t="shared" si="2"/>
        <v>0</v>
      </c>
      <c r="N10" s="533">
        <f t="shared" ref="N10:N39" si="115">+L10*$H$8</f>
        <v>0</v>
      </c>
      <c r="O10" s="531">
        <v>9</v>
      </c>
      <c r="P10" s="532">
        <f t="shared" si="3"/>
        <v>0.19399060223304737</v>
      </c>
      <c r="Q10" s="533">
        <f t="shared" ref="Q10:Q39" si="116">+O10*$H$8</f>
        <v>0</v>
      </c>
      <c r="R10" s="531"/>
      <c r="S10" s="532">
        <f t="shared" si="4"/>
        <v>0</v>
      </c>
      <c r="T10" s="533">
        <f t="shared" ref="T10:T39" si="117">+R10*$H$8</f>
        <v>0</v>
      </c>
      <c r="U10" s="531">
        <v>7.6874999999999716</v>
      </c>
      <c r="V10" s="532">
        <f t="shared" si="5"/>
        <v>0.16570030607406069</v>
      </c>
      <c r="W10" s="533">
        <f t="shared" ref="W10:W39" si="118">+U10*$H$8</f>
        <v>0</v>
      </c>
      <c r="X10" s="531"/>
      <c r="Y10" s="532">
        <f t="shared" si="6"/>
        <v>0</v>
      </c>
      <c r="Z10" s="533">
        <f t="shared" ref="Z10:Z39" si="119">+X10*$H$8</f>
        <v>0</v>
      </c>
      <c r="AA10" s="531"/>
      <c r="AB10" s="532">
        <f t="shared" si="7"/>
        <v>0</v>
      </c>
      <c r="AC10" s="533">
        <f t="shared" ref="AC10:AC39" si="120">+AA10*$H$8</f>
        <v>0</v>
      </c>
      <c r="AD10" s="531"/>
      <c r="AE10" s="532">
        <f t="shared" si="8"/>
        <v>0</v>
      </c>
      <c r="AF10" s="533">
        <f t="shared" ref="AF10:AF39" si="121">+AD10*$H$8</f>
        <v>0</v>
      </c>
      <c r="AG10" s="531"/>
      <c r="AH10" s="532">
        <f t="shared" si="9"/>
        <v>0</v>
      </c>
      <c r="AI10" s="533">
        <f t="shared" ref="AI10:AI39" si="122">+AG10*$H$8</f>
        <v>0</v>
      </c>
      <c r="AJ10" s="531">
        <v>41.125</v>
      </c>
      <c r="AK10" s="532">
        <f t="shared" si="10"/>
        <v>0.88642927964823037</v>
      </c>
      <c r="AL10" s="533">
        <f t="shared" ref="AL10:AL39" si="123">+AJ10*$H$8</f>
        <v>0</v>
      </c>
      <c r="AM10" s="531"/>
      <c r="AN10" s="532">
        <f t="shared" si="11"/>
        <v>0</v>
      </c>
      <c r="AO10" s="533">
        <f t="shared" ref="AO10:AO39" si="124">+AM10*$H$8</f>
        <v>0</v>
      </c>
      <c r="AP10" s="531"/>
      <c r="AQ10" s="532">
        <f t="shared" si="12"/>
        <v>0</v>
      </c>
      <c r="AR10" s="533">
        <f t="shared" ref="AR10:AR39" si="125">+AP10*$H$8</f>
        <v>0</v>
      </c>
      <c r="AS10" s="531"/>
      <c r="AT10" s="532">
        <f t="shared" si="13"/>
        <v>0</v>
      </c>
      <c r="AU10" s="533">
        <f t="shared" ref="AU10:AU39" si="126">+AS10*$H$8</f>
        <v>0</v>
      </c>
      <c r="AV10" s="531"/>
      <c r="AW10" s="532">
        <f t="shared" si="14"/>
        <v>0</v>
      </c>
      <c r="AX10" s="533">
        <f t="shared" ref="AX10:AX39" si="127">+AV10*$H$8</f>
        <v>0</v>
      </c>
      <c r="AY10" s="531">
        <v>44.333333333333343</v>
      </c>
      <c r="AZ10" s="532">
        <f t="shared" si="15"/>
        <v>0.95558333692575215</v>
      </c>
      <c r="BA10" s="533">
        <f t="shared" ref="BA10:BA39" si="128">+AY10*$H$8</f>
        <v>0</v>
      </c>
      <c r="BB10" s="531"/>
      <c r="BC10" s="532">
        <f t="shared" si="16"/>
        <v>0</v>
      </c>
      <c r="BD10" s="533">
        <f t="shared" ref="BD10:BD39" si="129">+BB10*$H$8</f>
        <v>0</v>
      </c>
      <c r="BE10" s="531"/>
      <c r="BF10" s="532">
        <f t="shared" si="17"/>
        <v>0</v>
      </c>
      <c r="BG10" s="533">
        <f t="shared" ref="BG10:BG39" si="130">+BE10*$H$8</f>
        <v>0</v>
      </c>
      <c r="BH10" s="531"/>
      <c r="BI10" s="532">
        <f t="shared" si="18"/>
        <v>0</v>
      </c>
      <c r="BJ10" s="533">
        <f t="shared" ref="BJ10:BJ39" si="131">+BH10*$H$8</f>
        <v>0</v>
      </c>
      <c r="BK10" s="531"/>
      <c r="BL10" s="532">
        <f t="shared" si="19"/>
        <v>0</v>
      </c>
      <c r="BM10" s="533">
        <f t="shared" ref="BM10:BM39" si="132">+BK10*$H$8</f>
        <v>0</v>
      </c>
      <c r="BN10" s="531"/>
      <c r="BO10" s="532">
        <f t="shared" si="20"/>
        <v>0</v>
      </c>
      <c r="BP10" s="533">
        <f t="shared" ref="BP10:BP39" si="133">+BN10*$H$8</f>
        <v>0</v>
      </c>
      <c r="BQ10" s="531"/>
      <c r="BR10" s="532">
        <f t="shared" si="21"/>
        <v>0</v>
      </c>
      <c r="BS10" s="533">
        <f t="shared" ref="BS10:BS39" si="134">+BQ10*$H$8</f>
        <v>0</v>
      </c>
      <c r="BT10" s="531"/>
      <c r="BU10" s="532">
        <f t="shared" si="22"/>
        <v>0</v>
      </c>
      <c r="BV10" s="533">
        <f t="shared" ref="BV10:BV39" si="135">+BT10*$H$8</f>
        <v>0</v>
      </c>
      <c r="BW10" s="531"/>
      <c r="BX10" s="532">
        <f t="shared" si="23"/>
        <v>0</v>
      </c>
      <c r="BY10" s="533">
        <f t="shared" ref="BY10:BY39" si="136">+BW10*$H$8</f>
        <v>0</v>
      </c>
      <c r="BZ10" s="531"/>
      <c r="CA10" s="532">
        <f t="shared" si="24"/>
        <v>0</v>
      </c>
      <c r="CB10" s="533">
        <f t="shared" ref="CB10:CB39" si="137">+BZ10*$H$8</f>
        <v>0</v>
      </c>
      <c r="CC10" s="531"/>
      <c r="CD10" s="532">
        <f t="shared" si="25"/>
        <v>0</v>
      </c>
      <c r="CE10" s="533">
        <f t="shared" ref="CE10:CE39" si="138">+CC10*$H$8</f>
        <v>0</v>
      </c>
      <c r="CF10" s="531">
        <v>6.5</v>
      </c>
      <c r="CG10" s="532">
        <f t="shared" si="26"/>
        <v>0.14010432383497867</v>
      </c>
      <c r="CH10" s="533">
        <f t="shared" ref="CH10:CH39" si="139">+CF10*$H$8</f>
        <v>0</v>
      </c>
      <c r="CI10" s="531"/>
      <c r="CJ10" s="532">
        <f t="shared" si="27"/>
        <v>0</v>
      </c>
      <c r="CK10" s="533">
        <f t="shared" ref="CK10:CK39" si="140">+CI10*$H$8</f>
        <v>0</v>
      </c>
      <c r="CL10" s="531"/>
      <c r="CM10" s="532">
        <f t="shared" si="28"/>
        <v>0</v>
      </c>
      <c r="CN10" s="533">
        <f t="shared" ref="CN10:CN39" si="141">+CL10*$H$8</f>
        <v>0</v>
      </c>
      <c r="CO10" s="531"/>
      <c r="CP10" s="532">
        <f t="shared" si="29"/>
        <v>0</v>
      </c>
      <c r="CQ10" s="533">
        <f t="shared" ref="CQ10:CQ39" si="142">+CO10*$H$8</f>
        <v>0</v>
      </c>
      <c r="CR10" s="531"/>
      <c r="CS10" s="532">
        <f t="shared" si="30"/>
        <v>0</v>
      </c>
      <c r="CT10" s="533">
        <f t="shared" ref="CT10:CT39" si="143">+CR10*$H$8</f>
        <v>0</v>
      </c>
      <c r="CU10" s="531"/>
      <c r="CV10" s="532">
        <f t="shared" si="31"/>
        <v>0</v>
      </c>
      <c r="CW10" s="533">
        <f t="shared" ref="CW10:CW39" si="144">+CU10*$H$8</f>
        <v>0</v>
      </c>
      <c r="CX10" s="531"/>
      <c r="CY10" s="532">
        <f t="shared" si="32"/>
        <v>0</v>
      </c>
      <c r="CZ10" s="533">
        <f t="shared" ref="CZ10:CZ39" si="145">+CX10*$H$8</f>
        <v>0</v>
      </c>
      <c r="DA10" s="531">
        <v>188.95348837209303</v>
      </c>
      <c r="DB10" s="532">
        <f t="shared" si="33"/>
        <v>4.0728001114819383</v>
      </c>
      <c r="DC10" s="533">
        <f t="shared" ref="DC10:DC39" si="146">+DA10*$H$8</f>
        <v>0</v>
      </c>
      <c r="DD10" s="531"/>
      <c r="DE10" s="532">
        <f t="shared" si="34"/>
        <v>0</v>
      </c>
      <c r="DF10" s="533">
        <f t="shared" ref="DF10:DF39" si="147">+DD10*$H$8</f>
        <v>0</v>
      </c>
      <c r="DG10" s="531"/>
      <c r="DH10" s="532">
        <f t="shared" si="35"/>
        <v>0</v>
      </c>
      <c r="DI10" s="533">
        <v>0</v>
      </c>
      <c r="DJ10" s="531"/>
      <c r="DK10" s="532">
        <f t="shared" si="36"/>
        <v>0</v>
      </c>
      <c r="DL10" s="533">
        <f t="shared" ref="DL10:DL39" si="148">+DJ10*$H$8</f>
        <v>0</v>
      </c>
      <c r="DM10" s="531"/>
      <c r="DN10" s="532">
        <f t="shared" si="37"/>
        <v>0</v>
      </c>
      <c r="DO10" s="533">
        <f t="shared" ref="DO10:DO39" si="149">+DM10*$H$8</f>
        <v>0</v>
      </c>
      <c r="DP10" s="531"/>
      <c r="DQ10" s="532">
        <f t="shared" si="38"/>
        <v>0</v>
      </c>
      <c r="DR10" s="533">
        <f t="shared" ref="DR10:DR39" si="150">+DP10*$H$8</f>
        <v>0</v>
      </c>
      <c r="DS10" s="531"/>
      <c r="DT10" s="532">
        <f t="shared" si="39"/>
        <v>0</v>
      </c>
      <c r="DU10" s="533">
        <f t="shared" ref="DU10:DU39" si="151">+DS10*$H$8</f>
        <v>0</v>
      </c>
      <c r="DV10" s="531"/>
      <c r="DW10" s="532">
        <f t="shared" si="40"/>
        <v>0</v>
      </c>
      <c r="DX10" s="533">
        <f t="shared" ref="DX10:DX39" si="152">+DV10*$H$8</f>
        <v>0</v>
      </c>
      <c r="DY10" s="531"/>
      <c r="DZ10" s="532">
        <f t="shared" si="41"/>
        <v>0</v>
      </c>
      <c r="EA10" s="533">
        <f t="shared" ref="EA10:EA39" si="153">+DY10*$H$8</f>
        <v>0</v>
      </c>
      <c r="EB10" s="531"/>
      <c r="EC10" s="532">
        <f t="shared" si="42"/>
        <v>0</v>
      </c>
      <c r="ED10" s="533">
        <f t="shared" ref="ED10:ED39" si="154">+EB10*$H$8</f>
        <v>0</v>
      </c>
      <c r="EE10" s="531">
        <v>246.56470588235288</v>
      </c>
      <c r="EF10" s="532">
        <f t="shared" si="43"/>
        <v>5.3145817537257596</v>
      </c>
      <c r="EG10" s="533">
        <f t="shared" ref="EG10:EG39" si="155">+EE10*$H$8</f>
        <v>0</v>
      </c>
      <c r="EH10" s="531">
        <v>5</v>
      </c>
      <c r="EI10" s="532">
        <f t="shared" si="44"/>
        <v>0.10777255679613744</v>
      </c>
      <c r="EJ10" s="533">
        <f t="shared" ref="EJ10:EJ39" si="156">+EH10*$H$8</f>
        <v>0</v>
      </c>
      <c r="EK10" s="531">
        <v>60.975609756097583</v>
      </c>
      <c r="EL10" s="532">
        <f t="shared" si="45"/>
        <v>1.3142994731236277</v>
      </c>
      <c r="EM10" s="533">
        <f t="shared" ref="EM10:EM39" si="157">+EK10*$H$8</f>
        <v>0</v>
      </c>
      <c r="EN10" s="531"/>
      <c r="EO10" s="532">
        <f t="shared" si="46"/>
        <v>0</v>
      </c>
      <c r="EP10" s="533">
        <f t="shared" ref="EP10:EP39" si="158">+EN10*$H$8</f>
        <v>0</v>
      </c>
      <c r="EQ10" s="531"/>
      <c r="ER10" s="532">
        <f t="shared" si="47"/>
        <v>0</v>
      </c>
      <c r="ES10" s="533">
        <f t="shared" ref="ES10:ES39" si="159">+EQ10*$H$8</f>
        <v>0</v>
      </c>
      <c r="ET10" s="531"/>
      <c r="EU10" s="532">
        <f t="shared" si="48"/>
        <v>0</v>
      </c>
      <c r="EV10" s="533">
        <f t="shared" ref="EV10:EV39" si="160">+ET10*$H$8</f>
        <v>0</v>
      </c>
      <c r="EW10" s="531"/>
      <c r="EX10" s="532">
        <f t="shared" si="49"/>
        <v>0</v>
      </c>
      <c r="EY10" s="533">
        <f t="shared" ref="EY10:EY39" si="161">+EW10*$H$8</f>
        <v>0</v>
      </c>
      <c r="EZ10" s="531"/>
      <c r="FA10" s="532">
        <f t="shared" si="50"/>
        <v>0</v>
      </c>
      <c r="FB10" s="533">
        <f t="shared" ref="FB10:FB39" si="162">+EZ10*$H$8</f>
        <v>0</v>
      </c>
      <c r="FC10" s="531"/>
      <c r="FD10" s="532">
        <f t="shared" si="51"/>
        <v>0</v>
      </c>
      <c r="FE10" s="533">
        <f t="shared" ref="FE10:FE39" si="163">+FC10*$H$8</f>
        <v>0</v>
      </c>
      <c r="FF10" s="531"/>
      <c r="FG10" s="532">
        <f t="shared" si="52"/>
        <v>0</v>
      </c>
      <c r="FH10" s="533">
        <f t="shared" ref="FH10:FH39" si="164">+FF10*$H$8</f>
        <v>0</v>
      </c>
      <c r="FI10" s="531"/>
      <c r="FJ10" s="532">
        <f t="shared" si="53"/>
        <v>0</v>
      </c>
      <c r="FK10" s="533">
        <f t="shared" ref="FK10:FK39" si="165">+FI10*$H$8</f>
        <v>0</v>
      </c>
      <c r="FL10" s="531"/>
      <c r="FM10" s="532">
        <f t="shared" si="54"/>
        <v>0</v>
      </c>
      <c r="FN10" s="533">
        <f t="shared" ref="FN10:FN39" si="166">+FL10*$H$8</f>
        <v>0</v>
      </c>
      <c r="FO10" s="531"/>
      <c r="FP10" s="532">
        <f t="shared" si="55"/>
        <v>0</v>
      </c>
      <c r="FQ10" s="533">
        <f t="shared" ref="FQ10:FQ39" si="167">+FO10*$H$8</f>
        <v>0</v>
      </c>
      <c r="FR10" s="531"/>
      <c r="FS10" s="532">
        <f t="shared" si="56"/>
        <v>0</v>
      </c>
      <c r="FT10" s="533">
        <f t="shared" ref="FT10:FT39" si="168">+FR10*$H$8</f>
        <v>0</v>
      </c>
      <c r="FU10" s="531"/>
      <c r="FV10" s="532">
        <f t="shared" si="57"/>
        <v>0</v>
      </c>
      <c r="FW10" s="533">
        <f t="shared" ref="FW10:FW39" si="169">+FU10*$H$8</f>
        <v>0</v>
      </c>
      <c r="FX10" s="531"/>
      <c r="FY10" s="532">
        <f t="shared" si="58"/>
        <v>0</v>
      </c>
      <c r="FZ10" s="533">
        <f t="shared" ref="FZ10:FZ39" si="170">+FX10*$H$8</f>
        <v>0</v>
      </c>
      <c r="GA10" s="531"/>
      <c r="GB10" s="532">
        <f t="shared" si="59"/>
        <v>0</v>
      </c>
      <c r="GC10" s="533">
        <f t="shared" ref="GC10:GC39" si="171">+GA10*$H$8</f>
        <v>0</v>
      </c>
      <c r="GD10" s="531"/>
      <c r="GE10" s="532">
        <f t="shared" si="60"/>
        <v>0</v>
      </c>
      <c r="GF10" s="533">
        <f t="shared" ref="GF10:GF39" si="172">+GD10*$H$8</f>
        <v>0</v>
      </c>
      <c r="GG10" s="531">
        <v>25</v>
      </c>
      <c r="GH10" s="532">
        <f t="shared" si="61"/>
        <v>0.53886278398068721</v>
      </c>
      <c r="GI10" s="533">
        <f t="shared" ref="GI10:GI39" si="173">+GG10*$H$8</f>
        <v>0</v>
      </c>
      <c r="GJ10" s="531">
        <v>25</v>
      </c>
      <c r="GK10" s="532">
        <f t="shared" si="62"/>
        <v>0.53886278398068721</v>
      </c>
      <c r="GL10" s="533">
        <f t="shared" ref="GL10:GL29" si="174">+GJ10*$H$8</f>
        <v>0</v>
      </c>
      <c r="GM10" s="531"/>
      <c r="GN10" s="532">
        <f t="shared" si="63"/>
        <v>0</v>
      </c>
      <c r="GO10" s="533">
        <f t="shared" ref="GO10:GO25" si="175">+GM10*$H$8</f>
        <v>0</v>
      </c>
      <c r="GP10" s="531">
        <v>35</v>
      </c>
      <c r="GQ10" s="532">
        <f t="shared" si="64"/>
        <v>0.75440789757296201</v>
      </c>
      <c r="GR10" s="533">
        <f t="shared" ref="GR10:GR25" si="176">+GP10*$H$8</f>
        <v>0</v>
      </c>
      <c r="GS10" s="531">
        <v>190</v>
      </c>
      <c r="GT10" s="532">
        <f t="shared" si="65"/>
        <v>4.0953571582532229</v>
      </c>
      <c r="GU10" s="533">
        <f t="shared" ref="GU10:GU25" si="177">+GS10*$H$8</f>
        <v>0</v>
      </c>
      <c r="GV10" s="531">
        <v>50</v>
      </c>
      <c r="GW10" s="532">
        <f t="shared" si="66"/>
        <v>1.0777255679613744</v>
      </c>
      <c r="GX10" s="533">
        <f t="shared" ref="GX10:GX28" si="178">+GV10*$H$8</f>
        <v>0</v>
      </c>
      <c r="GY10" s="531"/>
      <c r="GZ10" s="532">
        <f t="shared" si="67"/>
        <v>0</v>
      </c>
      <c r="HA10" s="533">
        <f t="shared" ref="HA10:HA39" si="179">+GY10*$H$8</f>
        <v>0</v>
      </c>
      <c r="HB10" s="531"/>
      <c r="HC10" s="532">
        <f t="shared" si="68"/>
        <v>0</v>
      </c>
      <c r="HD10" s="533">
        <f t="shared" ref="HD10:HD39" si="180">+HB10*$H$8</f>
        <v>0</v>
      </c>
      <c r="HE10" s="531"/>
      <c r="HF10" s="532">
        <f t="shared" si="69"/>
        <v>0</v>
      </c>
      <c r="HG10" s="533">
        <f t="shared" ref="HG10:HG39" si="181">+HE10*$H$8</f>
        <v>0</v>
      </c>
      <c r="HH10" s="531"/>
      <c r="HI10" s="532">
        <f t="shared" si="70"/>
        <v>0</v>
      </c>
      <c r="HJ10" s="533">
        <f t="shared" ref="HJ10:HJ39" si="182">+HH10*$H$8</f>
        <v>0</v>
      </c>
      <c r="HK10" s="531"/>
      <c r="HL10" s="532">
        <f t="shared" si="71"/>
        <v>0</v>
      </c>
      <c r="HM10" s="533">
        <f t="shared" ref="HM10:HM39" si="183">+HK10*$H$8</f>
        <v>0</v>
      </c>
      <c r="HN10" s="531">
        <v>1234</v>
      </c>
      <c r="HO10" s="532">
        <f t="shared" si="72"/>
        <v>26.598267017286719</v>
      </c>
      <c r="HP10" s="533">
        <f t="shared" ref="HP10:HP39" si="184">+HN10*$H$8</f>
        <v>0</v>
      </c>
      <c r="HQ10" s="531"/>
      <c r="HR10" s="532">
        <f t="shared" si="73"/>
        <v>0</v>
      </c>
      <c r="HS10" s="533">
        <f t="shared" ref="HS10:HS39" si="185">+HQ10*$H$8</f>
        <v>0</v>
      </c>
      <c r="HT10" s="531"/>
      <c r="HU10" s="532">
        <f t="shared" si="74"/>
        <v>0</v>
      </c>
      <c r="HV10" s="533">
        <f t="shared" ref="HV10:HV39" si="186">+HT10*$H$8</f>
        <v>0</v>
      </c>
      <c r="HW10" s="531"/>
      <c r="HX10" s="532">
        <f t="shared" si="75"/>
        <v>0</v>
      </c>
      <c r="HY10" s="533">
        <f t="shared" ref="HY10:HY39" si="187">+HW10*$H$8</f>
        <v>0</v>
      </c>
      <c r="HZ10" s="531"/>
      <c r="IA10" s="532">
        <f t="shared" si="76"/>
        <v>0</v>
      </c>
      <c r="IB10" s="533">
        <f t="shared" ref="IB10:IB39" si="188">+HZ10*$H$8</f>
        <v>0</v>
      </c>
      <c r="IC10" s="531"/>
      <c r="ID10" s="532">
        <f t="shared" si="77"/>
        <v>0</v>
      </c>
      <c r="IE10" s="533">
        <f t="shared" ref="IE10:IE39" si="189">+IC10*$H$8</f>
        <v>0</v>
      </c>
      <c r="IF10" s="531"/>
      <c r="IG10" s="532">
        <f t="shared" si="78"/>
        <v>0</v>
      </c>
      <c r="IH10" s="533">
        <f t="shared" ref="IH10:IH39" si="190">+IF10*$H$8</f>
        <v>0</v>
      </c>
      <c r="II10" s="531">
        <v>40</v>
      </c>
      <c r="IJ10" s="532">
        <f t="shared" si="79"/>
        <v>0.86218045436909951</v>
      </c>
      <c r="IK10" s="533">
        <f t="shared" ref="IK10:IK39" si="191">+II10*$H$8</f>
        <v>0</v>
      </c>
      <c r="IL10" s="531"/>
      <c r="IM10" s="532">
        <f t="shared" si="80"/>
        <v>0</v>
      </c>
      <c r="IN10" s="533">
        <f t="shared" ref="IN10:IN39" si="192">+IL10*$H$8</f>
        <v>0</v>
      </c>
      <c r="IO10" s="531"/>
      <c r="IP10" s="532">
        <f t="shared" si="81"/>
        <v>0</v>
      </c>
      <c r="IQ10" s="533">
        <f t="shared" ref="IQ10:IQ39" si="193">+IO10*$H$8</f>
        <v>0</v>
      </c>
      <c r="IR10" s="531">
        <v>50</v>
      </c>
      <c r="IS10" s="532">
        <f t="shared" si="82"/>
        <v>1.0777255679613744</v>
      </c>
      <c r="IT10" s="533">
        <f t="shared" ref="IT10:IT39" si="194">+IR10*$H$8</f>
        <v>0</v>
      </c>
      <c r="IU10" s="531"/>
      <c r="IV10" s="532">
        <f t="shared" si="83"/>
        <v>0</v>
      </c>
      <c r="IW10" s="533">
        <f t="shared" ref="IW10:IW39" si="195">+IU10*$H$8</f>
        <v>0</v>
      </c>
      <c r="IX10" s="531"/>
      <c r="IY10" s="532">
        <f t="shared" si="84"/>
        <v>0</v>
      </c>
      <c r="IZ10" s="533">
        <f t="shared" ref="IZ10:IZ39" si="196">+IX10*$H$8</f>
        <v>0</v>
      </c>
      <c r="JA10" s="531"/>
      <c r="JB10" s="532">
        <f t="shared" si="85"/>
        <v>0</v>
      </c>
      <c r="JC10" s="533">
        <f t="shared" ref="JC10:JC39" si="197">+JA10*$H$8</f>
        <v>0</v>
      </c>
      <c r="JD10" s="531"/>
      <c r="JE10" s="532">
        <f t="shared" si="86"/>
        <v>0</v>
      </c>
      <c r="JF10" s="533">
        <f t="shared" ref="JF10:JF39" si="198">+JD10*$H$8</f>
        <v>0</v>
      </c>
      <c r="JG10" s="531"/>
      <c r="JH10" s="532">
        <f t="shared" si="87"/>
        <v>0</v>
      </c>
      <c r="JI10" s="533">
        <f t="shared" ref="JI10:JI39" si="199">+JG10*$H$8</f>
        <v>0</v>
      </c>
      <c r="JJ10" s="531">
        <v>40</v>
      </c>
      <c r="JK10" s="533" t="str">
        <f t="shared" si="88"/>
        <v>0</v>
      </c>
      <c r="JL10" s="533" t="str">
        <f t="shared" si="89"/>
        <v>0</v>
      </c>
      <c r="JM10" s="531"/>
      <c r="JN10" s="533" t="str">
        <f t="shared" si="90"/>
        <v>0</v>
      </c>
      <c r="JO10" s="533" t="str">
        <f t="shared" si="91"/>
        <v>0</v>
      </c>
      <c r="JP10" s="531"/>
      <c r="JQ10" s="533" t="str">
        <f t="shared" si="92"/>
        <v>0</v>
      </c>
      <c r="JR10" s="533" t="str">
        <f t="shared" si="93"/>
        <v>0</v>
      </c>
      <c r="JS10" s="531"/>
      <c r="JT10" s="533" t="str">
        <f t="shared" si="94"/>
        <v>0</v>
      </c>
      <c r="JU10" s="533" t="str">
        <f t="shared" si="95"/>
        <v>0</v>
      </c>
      <c r="JV10" s="531"/>
      <c r="JW10" s="533" t="str">
        <f t="shared" si="96"/>
        <v>0</v>
      </c>
      <c r="JX10" s="533" t="str">
        <f t="shared" si="97"/>
        <v>0</v>
      </c>
      <c r="JY10" s="531"/>
      <c r="JZ10" s="533" t="str">
        <f t="shared" si="98"/>
        <v>0</v>
      </c>
      <c r="KA10" s="533" t="str">
        <f t="shared" si="99"/>
        <v>0</v>
      </c>
      <c r="KB10" s="531"/>
      <c r="KC10" s="533" t="str">
        <f t="shared" si="100"/>
        <v>0</v>
      </c>
      <c r="KD10" s="533" t="str">
        <f t="shared" si="101"/>
        <v>0</v>
      </c>
      <c r="KE10" s="531"/>
      <c r="KF10" s="533" t="str">
        <f t="shared" si="102"/>
        <v>0</v>
      </c>
      <c r="KG10" s="533" t="str">
        <f t="shared" si="103"/>
        <v>0</v>
      </c>
      <c r="KH10" s="531"/>
      <c r="KI10" s="533" t="str">
        <f t="shared" si="104"/>
        <v>0</v>
      </c>
      <c r="KJ10" s="533" t="str">
        <f t="shared" si="105"/>
        <v>0</v>
      </c>
      <c r="KK10" s="531"/>
      <c r="KL10" s="533" t="str">
        <f t="shared" si="106"/>
        <v>0</v>
      </c>
      <c r="KM10" s="533" t="str">
        <f t="shared" si="107"/>
        <v>0</v>
      </c>
      <c r="KN10" s="531"/>
      <c r="KO10" s="533" t="str">
        <f t="shared" si="108"/>
        <v>0</v>
      </c>
      <c r="KP10" s="533" t="str">
        <f t="shared" si="109"/>
        <v>0</v>
      </c>
      <c r="KQ10" s="531"/>
      <c r="KR10" s="533" t="str">
        <f t="shared" si="110"/>
        <v>0</v>
      </c>
      <c r="KS10" s="533" t="str">
        <f t="shared" si="111"/>
        <v>0</v>
      </c>
      <c r="KT10" s="533">
        <f>H10+K10+N10+Q10+T10+W10+Z10+AC10+AF10+AI10+AL10+AO10+AR10+AU10+AX10+BA10+BD10+BG10+BJ10+BM10+BP10+BS10+BV10+BY10+CB10+CE10+CH10+CK10+CN10+CQ10+CT10+CW10+CZ10+DC10+DF10+DI10+DL10+DO10+DR10+DU10+DX10+EA10+ED10+EG10+EJ10+EM10+EP10+ES10+EV10+EY10+FB10+FE10+FH10+FK10+FN10+FQ10+FT10+FW10+FZ10+GC10</f>
        <v>0</v>
      </c>
      <c r="KU10" s="533">
        <f>GF10+GI10+GL10+GO10+GR10+GU10+GX10+HA10+HD10+HG10+HJ10+HM10+HP10+HS10+HV10+HY10+IB10+IE10+IH10+IK10+IN10+IQ10+IT10+IW10+IZ10+JC10+JF10+JI10+JL10+JO10+JR10+JU10+JX10++KA10+KD10+KG10+KJ10++KM10+KP10+KS10</f>
        <v>0</v>
      </c>
      <c r="KV10" s="271">
        <f t="shared" si="112"/>
        <v>2299.1396373438765</v>
      </c>
    </row>
    <row r="11" spans="1:308" ht="15" customHeight="1">
      <c r="A11" s="273">
        <f t="shared" ref="A11:A39" si="200">+A10+1</f>
        <v>46025</v>
      </c>
      <c r="B11" s="274" t="str">
        <f>+Report1!B11</f>
        <v>Toilet</v>
      </c>
      <c r="C11" s="274" t="str">
        <f>+Report1!C11</f>
        <v>13,5</v>
      </c>
      <c r="D11" s="275">
        <f>+Report1!P11</f>
        <v>42.899000000000001</v>
      </c>
      <c r="E11" s="276">
        <f>+Report1!R11</f>
        <v>43.02</v>
      </c>
      <c r="F11" s="531"/>
      <c r="G11" s="532">
        <f t="shared" si="0"/>
        <v>0</v>
      </c>
      <c r="H11" s="533">
        <f t="shared" si="113"/>
        <v>0</v>
      </c>
      <c r="I11" s="531"/>
      <c r="J11" s="532">
        <f t="shared" si="1"/>
        <v>0</v>
      </c>
      <c r="K11" s="533">
        <f t="shared" si="114"/>
        <v>0</v>
      </c>
      <c r="L11" s="531"/>
      <c r="M11" s="532">
        <f t="shared" si="2"/>
        <v>0</v>
      </c>
      <c r="N11" s="533">
        <f t="shared" si="115"/>
        <v>0</v>
      </c>
      <c r="O11" s="531">
        <v>8.6211999999999875</v>
      </c>
      <c r="P11" s="532">
        <f t="shared" si="3"/>
        <v>0.20039981403998111</v>
      </c>
      <c r="Q11" s="533">
        <f t="shared" si="116"/>
        <v>0</v>
      </c>
      <c r="R11" s="531"/>
      <c r="S11" s="532">
        <f t="shared" si="4"/>
        <v>0</v>
      </c>
      <c r="T11" s="533">
        <f t="shared" si="117"/>
        <v>0</v>
      </c>
      <c r="U11" s="531">
        <v>7.364200000000011</v>
      </c>
      <c r="V11" s="532">
        <f t="shared" si="5"/>
        <v>0.17118084611808485</v>
      </c>
      <c r="W11" s="533">
        <f t="shared" si="118"/>
        <v>0</v>
      </c>
      <c r="X11" s="531"/>
      <c r="Y11" s="532">
        <f t="shared" si="6"/>
        <v>0</v>
      </c>
      <c r="Z11" s="533">
        <f t="shared" si="119"/>
        <v>0</v>
      </c>
      <c r="AA11" s="531"/>
      <c r="AB11" s="532">
        <f t="shared" si="7"/>
        <v>0</v>
      </c>
      <c r="AC11" s="533">
        <f t="shared" si="120"/>
        <v>0</v>
      </c>
      <c r="AD11" s="531"/>
      <c r="AE11" s="532">
        <f t="shared" si="8"/>
        <v>0</v>
      </c>
      <c r="AF11" s="533">
        <f t="shared" si="121"/>
        <v>0</v>
      </c>
      <c r="AG11" s="531"/>
      <c r="AH11" s="532">
        <f t="shared" si="9"/>
        <v>0</v>
      </c>
      <c r="AI11" s="533">
        <f t="shared" si="122"/>
        <v>0</v>
      </c>
      <c r="AJ11" s="531">
        <v>47.805900000000008</v>
      </c>
      <c r="AK11" s="532">
        <f t="shared" si="10"/>
        <v>1.1112482566248258</v>
      </c>
      <c r="AL11" s="533">
        <f t="shared" si="123"/>
        <v>0</v>
      </c>
      <c r="AM11" s="531"/>
      <c r="AN11" s="532">
        <f t="shared" si="11"/>
        <v>0</v>
      </c>
      <c r="AO11" s="533">
        <f t="shared" si="124"/>
        <v>0</v>
      </c>
      <c r="AP11" s="531"/>
      <c r="AQ11" s="532">
        <f t="shared" si="12"/>
        <v>0</v>
      </c>
      <c r="AR11" s="533">
        <f t="shared" si="125"/>
        <v>0</v>
      </c>
      <c r="AS11" s="531"/>
      <c r="AT11" s="532">
        <f t="shared" si="13"/>
        <v>0</v>
      </c>
      <c r="AU11" s="533">
        <f t="shared" si="126"/>
        <v>0</v>
      </c>
      <c r="AV11" s="531"/>
      <c r="AW11" s="532">
        <f t="shared" si="14"/>
        <v>0</v>
      </c>
      <c r="AX11" s="533">
        <f t="shared" si="127"/>
        <v>0</v>
      </c>
      <c r="AY11" s="531">
        <v>35.743866666666634</v>
      </c>
      <c r="AZ11" s="532">
        <f t="shared" si="15"/>
        <v>0.8308662637532922</v>
      </c>
      <c r="BA11" s="533">
        <f t="shared" si="128"/>
        <v>0</v>
      </c>
      <c r="BB11" s="531"/>
      <c r="BC11" s="532">
        <f t="shared" si="16"/>
        <v>0</v>
      </c>
      <c r="BD11" s="533">
        <f t="shared" si="129"/>
        <v>0</v>
      </c>
      <c r="BE11" s="531"/>
      <c r="BF11" s="532">
        <f t="shared" si="17"/>
        <v>0</v>
      </c>
      <c r="BG11" s="533">
        <f t="shared" si="130"/>
        <v>0</v>
      </c>
      <c r="BH11" s="531"/>
      <c r="BI11" s="532">
        <f t="shared" si="18"/>
        <v>0</v>
      </c>
      <c r="BJ11" s="533">
        <f t="shared" si="131"/>
        <v>0</v>
      </c>
      <c r="BK11" s="531"/>
      <c r="BL11" s="532">
        <f t="shared" si="19"/>
        <v>0</v>
      </c>
      <c r="BM11" s="533">
        <f t="shared" si="132"/>
        <v>0</v>
      </c>
      <c r="BN11" s="531"/>
      <c r="BO11" s="532">
        <f t="shared" si="20"/>
        <v>0</v>
      </c>
      <c r="BP11" s="533">
        <f t="shared" si="133"/>
        <v>0</v>
      </c>
      <c r="BQ11" s="531"/>
      <c r="BR11" s="532">
        <f t="shared" si="21"/>
        <v>0</v>
      </c>
      <c r="BS11" s="533">
        <f t="shared" si="134"/>
        <v>0</v>
      </c>
      <c r="BT11" s="531"/>
      <c r="BU11" s="532">
        <f t="shared" si="22"/>
        <v>0</v>
      </c>
      <c r="BV11" s="533">
        <f t="shared" si="135"/>
        <v>0</v>
      </c>
      <c r="BW11" s="531"/>
      <c r="BX11" s="532">
        <f t="shared" si="23"/>
        <v>0</v>
      </c>
      <c r="BY11" s="533">
        <f t="shared" si="136"/>
        <v>0</v>
      </c>
      <c r="BZ11" s="531"/>
      <c r="CA11" s="532">
        <f t="shared" si="24"/>
        <v>0</v>
      </c>
      <c r="CB11" s="533">
        <f t="shared" si="137"/>
        <v>0</v>
      </c>
      <c r="CC11" s="531"/>
      <c r="CD11" s="532">
        <f t="shared" si="25"/>
        <v>0</v>
      </c>
      <c r="CE11" s="533">
        <f t="shared" si="138"/>
        <v>0</v>
      </c>
      <c r="CF11" s="531">
        <v>6.4</v>
      </c>
      <c r="CG11" s="532">
        <f t="shared" si="26"/>
        <v>0.1487680148768015</v>
      </c>
      <c r="CH11" s="533">
        <f t="shared" si="139"/>
        <v>0</v>
      </c>
      <c r="CI11" s="531"/>
      <c r="CJ11" s="532">
        <f t="shared" si="27"/>
        <v>0</v>
      </c>
      <c r="CK11" s="533">
        <f t="shared" si="140"/>
        <v>0</v>
      </c>
      <c r="CL11" s="531"/>
      <c r="CM11" s="532">
        <f t="shared" si="28"/>
        <v>0</v>
      </c>
      <c r="CN11" s="533">
        <f t="shared" si="141"/>
        <v>0</v>
      </c>
      <c r="CO11" s="531"/>
      <c r="CP11" s="532">
        <f t="shared" si="29"/>
        <v>0</v>
      </c>
      <c r="CQ11" s="533">
        <f t="shared" si="142"/>
        <v>0</v>
      </c>
      <c r="CR11" s="531"/>
      <c r="CS11" s="532">
        <f t="shared" si="30"/>
        <v>0</v>
      </c>
      <c r="CT11" s="533">
        <f t="shared" si="143"/>
        <v>0</v>
      </c>
      <c r="CU11" s="531"/>
      <c r="CV11" s="532">
        <f t="shared" si="31"/>
        <v>0</v>
      </c>
      <c r="CW11" s="533">
        <f t="shared" si="144"/>
        <v>0</v>
      </c>
      <c r="CX11" s="531"/>
      <c r="CY11" s="532">
        <f t="shared" si="32"/>
        <v>0</v>
      </c>
      <c r="CZ11" s="533">
        <f t="shared" si="145"/>
        <v>0</v>
      </c>
      <c r="DA11" s="531">
        <v>208.70920930232569</v>
      </c>
      <c r="DB11" s="532">
        <f t="shared" si="33"/>
        <v>4.8514460553771661</v>
      </c>
      <c r="DC11" s="533">
        <f t="shared" si="146"/>
        <v>0</v>
      </c>
      <c r="DD11" s="531"/>
      <c r="DE11" s="532">
        <f t="shared" si="34"/>
        <v>0</v>
      </c>
      <c r="DF11" s="533">
        <f t="shared" si="147"/>
        <v>0</v>
      </c>
      <c r="DG11" s="531"/>
      <c r="DH11" s="532">
        <f t="shared" si="35"/>
        <v>0</v>
      </c>
      <c r="DI11" s="533">
        <v>0</v>
      </c>
      <c r="DJ11" s="531"/>
      <c r="DK11" s="532">
        <f t="shared" si="36"/>
        <v>0</v>
      </c>
      <c r="DL11" s="533">
        <f t="shared" si="148"/>
        <v>0</v>
      </c>
      <c r="DM11" s="531"/>
      <c r="DN11" s="532">
        <f t="shared" si="37"/>
        <v>0</v>
      </c>
      <c r="DO11" s="533">
        <f t="shared" si="149"/>
        <v>0</v>
      </c>
      <c r="DP11" s="531"/>
      <c r="DQ11" s="532">
        <f t="shared" si="38"/>
        <v>0</v>
      </c>
      <c r="DR11" s="533">
        <f t="shared" si="150"/>
        <v>0</v>
      </c>
      <c r="DS11" s="531"/>
      <c r="DT11" s="532">
        <f t="shared" si="39"/>
        <v>0</v>
      </c>
      <c r="DU11" s="533">
        <f t="shared" si="151"/>
        <v>0</v>
      </c>
      <c r="DV11" s="531"/>
      <c r="DW11" s="532">
        <f t="shared" si="40"/>
        <v>0</v>
      </c>
      <c r="DX11" s="533">
        <f t="shared" si="152"/>
        <v>0</v>
      </c>
      <c r="DY11" s="531"/>
      <c r="DZ11" s="532">
        <f t="shared" si="41"/>
        <v>0</v>
      </c>
      <c r="EA11" s="533">
        <f t="shared" si="153"/>
        <v>0</v>
      </c>
      <c r="EB11" s="531"/>
      <c r="EC11" s="532">
        <f t="shared" si="42"/>
        <v>0</v>
      </c>
      <c r="ED11" s="533">
        <f t="shared" si="154"/>
        <v>0</v>
      </c>
      <c r="EE11" s="531">
        <v>78.674705882352782</v>
      </c>
      <c r="EF11" s="532">
        <f t="shared" si="43"/>
        <v>1.8287937211146623</v>
      </c>
      <c r="EG11" s="533">
        <f t="shared" si="155"/>
        <v>0</v>
      </c>
      <c r="EH11" s="531">
        <v>3.5</v>
      </c>
      <c r="EI11" s="532">
        <f t="shared" si="44"/>
        <v>8.1357508135750808E-2</v>
      </c>
      <c r="EJ11" s="533">
        <f t="shared" si="156"/>
        <v>0</v>
      </c>
      <c r="EK11" s="531">
        <v>35.019378658536539</v>
      </c>
      <c r="EL11" s="532">
        <f t="shared" si="45"/>
        <v>0.81402553832023561</v>
      </c>
      <c r="EM11" s="533">
        <f t="shared" si="157"/>
        <v>0</v>
      </c>
      <c r="EN11" s="531"/>
      <c r="EO11" s="532">
        <f t="shared" si="46"/>
        <v>0</v>
      </c>
      <c r="EP11" s="533">
        <f t="shared" si="158"/>
        <v>0</v>
      </c>
      <c r="EQ11" s="531"/>
      <c r="ER11" s="532">
        <f t="shared" si="47"/>
        <v>0</v>
      </c>
      <c r="ES11" s="533">
        <f t="shared" si="159"/>
        <v>0</v>
      </c>
      <c r="ET11" s="531"/>
      <c r="EU11" s="532">
        <f t="shared" si="48"/>
        <v>0</v>
      </c>
      <c r="EV11" s="533">
        <f t="shared" si="160"/>
        <v>0</v>
      </c>
      <c r="EW11" s="531"/>
      <c r="EX11" s="532">
        <f t="shared" si="49"/>
        <v>0</v>
      </c>
      <c r="EY11" s="533">
        <f t="shared" si="161"/>
        <v>0</v>
      </c>
      <c r="EZ11" s="531"/>
      <c r="FA11" s="532">
        <f t="shared" si="50"/>
        <v>0</v>
      </c>
      <c r="FB11" s="533">
        <f t="shared" si="162"/>
        <v>0</v>
      </c>
      <c r="FC11" s="531"/>
      <c r="FD11" s="532">
        <f t="shared" si="51"/>
        <v>0</v>
      </c>
      <c r="FE11" s="533">
        <f t="shared" si="163"/>
        <v>0</v>
      </c>
      <c r="FF11" s="531"/>
      <c r="FG11" s="532">
        <f t="shared" si="52"/>
        <v>0</v>
      </c>
      <c r="FH11" s="533">
        <f t="shared" si="164"/>
        <v>0</v>
      </c>
      <c r="FI11" s="531"/>
      <c r="FJ11" s="532">
        <f t="shared" si="53"/>
        <v>0</v>
      </c>
      <c r="FK11" s="533">
        <f t="shared" si="165"/>
        <v>0</v>
      </c>
      <c r="FL11" s="531"/>
      <c r="FM11" s="532">
        <f t="shared" si="54"/>
        <v>0</v>
      </c>
      <c r="FN11" s="533">
        <f t="shared" si="166"/>
        <v>0</v>
      </c>
      <c r="FO11" s="531"/>
      <c r="FP11" s="532">
        <f t="shared" si="55"/>
        <v>0</v>
      </c>
      <c r="FQ11" s="533">
        <f t="shared" si="167"/>
        <v>0</v>
      </c>
      <c r="FR11" s="531"/>
      <c r="FS11" s="532">
        <f t="shared" si="56"/>
        <v>0</v>
      </c>
      <c r="FT11" s="533">
        <f t="shared" si="168"/>
        <v>0</v>
      </c>
      <c r="FU11" s="531"/>
      <c r="FV11" s="532">
        <f t="shared" si="57"/>
        <v>0</v>
      </c>
      <c r="FW11" s="533">
        <f t="shared" si="169"/>
        <v>0</v>
      </c>
      <c r="FX11" s="531"/>
      <c r="FY11" s="532">
        <f t="shared" si="58"/>
        <v>0</v>
      </c>
      <c r="FZ11" s="533">
        <f t="shared" si="170"/>
        <v>0</v>
      </c>
      <c r="GA11" s="531"/>
      <c r="GB11" s="532">
        <f t="shared" si="59"/>
        <v>0</v>
      </c>
      <c r="GC11" s="533">
        <f t="shared" si="171"/>
        <v>0</v>
      </c>
      <c r="GD11" s="531"/>
      <c r="GE11" s="532">
        <f t="shared" si="60"/>
        <v>0</v>
      </c>
      <c r="GF11" s="533">
        <f t="shared" si="172"/>
        <v>0</v>
      </c>
      <c r="GG11" s="531">
        <v>15</v>
      </c>
      <c r="GH11" s="532">
        <f t="shared" si="61"/>
        <v>0.34867503486750345</v>
      </c>
      <c r="GI11" s="533">
        <f t="shared" si="173"/>
        <v>0</v>
      </c>
      <c r="GJ11" s="531">
        <v>20</v>
      </c>
      <c r="GK11" s="532">
        <f t="shared" si="62"/>
        <v>0.4649000464900046</v>
      </c>
      <c r="GL11" s="533">
        <f t="shared" si="174"/>
        <v>0</v>
      </c>
      <c r="GM11" s="531"/>
      <c r="GN11" s="532">
        <f t="shared" si="63"/>
        <v>0</v>
      </c>
      <c r="GO11" s="533">
        <f t="shared" si="175"/>
        <v>0</v>
      </c>
      <c r="GP11" s="531">
        <v>35</v>
      </c>
      <c r="GQ11" s="532">
        <f t="shared" si="64"/>
        <v>0.81357508135750811</v>
      </c>
      <c r="GR11" s="533">
        <f t="shared" si="176"/>
        <v>0</v>
      </c>
      <c r="GS11" s="531">
        <v>200</v>
      </c>
      <c r="GT11" s="532">
        <f t="shared" si="65"/>
        <v>4.6490004649000465</v>
      </c>
      <c r="GU11" s="533">
        <f t="shared" si="177"/>
        <v>0</v>
      </c>
      <c r="GV11" s="531">
        <v>50</v>
      </c>
      <c r="GW11" s="532">
        <f t="shared" si="66"/>
        <v>1.1622501162250116</v>
      </c>
      <c r="GX11" s="533">
        <f t="shared" si="178"/>
        <v>0</v>
      </c>
      <c r="GY11" s="531"/>
      <c r="GZ11" s="532">
        <f t="shared" si="67"/>
        <v>0</v>
      </c>
      <c r="HA11" s="533">
        <f t="shared" si="179"/>
        <v>0</v>
      </c>
      <c r="HB11" s="531"/>
      <c r="HC11" s="532">
        <f t="shared" si="68"/>
        <v>0</v>
      </c>
      <c r="HD11" s="533">
        <f t="shared" si="180"/>
        <v>0</v>
      </c>
      <c r="HE11" s="531"/>
      <c r="HF11" s="532">
        <f t="shared" si="69"/>
        <v>0</v>
      </c>
      <c r="HG11" s="533">
        <f t="shared" si="181"/>
        <v>0</v>
      </c>
      <c r="HH11" s="531"/>
      <c r="HI11" s="532">
        <f t="shared" si="70"/>
        <v>0</v>
      </c>
      <c r="HJ11" s="533">
        <f t="shared" si="182"/>
        <v>0</v>
      </c>
      <c r="HK11" s="531"/>
      <c r="HL11" s="532">
        <f t="shared" si="71"/>
        <v>0</v>
      </c>
      <c r="HM11" s="533">
        <f t="shared" si="183"/>
        <v>0</v>
      </c>
      <c r="HN11" s="531">
        <v>1234</v>
      </c>
      <c r="HO11" s="532">
        <f t="shared" si="72"/>
        <v>28.684332868433284</v>
      </c>
      <c r="HP11" s="533">
        <f t="shared" si="184"/>
        <v>0</v>
      </c>
      <c r="HQ11" s="531"/>
      <c r="HR11" s="532">
        <f t="shared" si="73"/>
        <v>0</v>
      </c>
      <c r="HS11" s="533">
        <f t="shared" si="185"/>
        <v>0</v>
      </c>
      <c r="HT11" s="531"/>
      <c r="HU11" s="532">
        <f t="shared" si="74"/>
        <v>0</v>
      </c>
      <c r="HV11" s="533">
        <f t="shared" si="186"/>
        <v>0</v>
      </c>
      <c r="HW11" s="531"/>
      <c r="HX11" s="532">
        <f t="shared" si="75"/>
        <v>0</v>
      </c>
      <c r="HY11" s="533">
        <f t="shared" si="187"/>
        <v>0</v>
      </c>
      <c r="HZ11" s="531"/>
      <c r="IA11" s="532">
        <f t="shared" si="76"/>
        <v>0</v>
      </c>
      <c r="IB11" s="533">
        <f t="shared" si="188"/>
        <v>0</v>
      </c>
      <c r="IC11" s="531"/>
      <c r="ID11" s="532">
        <f t="shared" si="77"/>
        <v>0</v>
      </c>
      <c r="IE11" s="533">
        <f t="shared" si="189"/>
        <v>0</v>
      </c>
      <c r="IF11" s="531"/>
      <c r="IG11" s="532">
        <f t="shared" si="78"/>
        <v>0</v>
      </c>
      <c r="IH11" s="533">
        <f t="shared" si="190"/>
        <v>0</v>
      </c>
      <c r="II11" s="531">
        <v>35</v>
      </c>
      <c r="IJ11" s="532">
        <f t="shared" si="79"/>
        <v>0.81357508135750811</v>
      </c>
      <c r="IK11" s="533">
        <f t="shared" si="191"/>
        <v>0</v>
      </c>
      <c r="IL11" s="531"/>
      <c r="IM11" s="532">
        <f t="shared" si="80"/>
        <v>0</v>
      </c>
      <c r="IN11" s="533">
        <f t="shared" si="192"/>
        <v>0</v>
      </c>
      <c r="IO11" s="531"/>
      <c r="IP11" s="532">
        <f t="shared" si="81"/>
        <v>0</v>
      </c>
      <c r="IQ11" s="533">
        <f t="shared" si="193"/>
        <v>0</v>
      </c>
      <c r="IR11" s="531">
        <v>45</v>
      </c>
      <c r="IS11" s="532">
        <f t="shared" si="82"/>
        <v>1.0460251046025104</v>
      </c>
      <c r="IT11" s="533">
        <f t="shared" si="194"/>
        <v>0</v>
      </c>
      <c r="IU11" s="531"/>
      <c r="IV11" s="532">
        <f t="shared" si="83"/>
        <v>0</v>
      </c>
      <c r="IW11" s="533">
        <f t="shared" si="195"/>
        <v>0</v>
      </c>
      <c r="IX11" s="531"/>
      <c r="IY11" s="532">
        <f t="shared" si="84"/>
        <v>0</v>
      </c>
      <c r="IZ11" s="533">
        <f t="shared" si="196"/>
        <v>0</v>
      </c>
      <c r="JA11" s="531"/>
      <c r="JB11" s="532">
        <f t="shared" si="85"/>
        <v>0</v>
      </c>
      <c r="JC11" s="533">
        <f t="shared" si="197"/>
        <v>0</v>
      </c>
      <c r="JD11" s="531"/>
      <c r="JE11" s="532">
        <f t="shared" si="86"/>
        <v>0</v>
      </c>
      <c r="JF11" s="533">
        <f t="shared" si="198"/>
        <v>0</v>
      </c>
      <c r="JG11" s="531"/>
      <c r="JH11" s="532">
        <f t="shared" si="87"/>
        <v>0</v>
      </c>
      <c r="JI11" s="533">
        <f t="shared" si="199"/>
        <v>0</v>
      </c>
      <c r="JJ11" s="531">
        <v>35</v>
      </c>
      <c r="JK11" s="533" t="str">
        <f t="shared" si="88"/>
        <v>0</v>
      </c>
      <c r="JL11" s="533" t="str">
        <f t="shared" si="89"/>
        <v>0</v>
      </c>
      <c r="JM11" s="531"/>
      <c r="JN11" s="533" t="str">
        <f t="shared" si="90"/>
        <v>0</v>
      </c>
      <c r="JO11" s="533" t="str">
        <f t="shared" si="91"/>
        <v>0</v>
      </c>
      <c r="JP11" s="531"/>
      <c r="JQ11" s="533" t="str">
        <f t="shared" si="92"/>
        <v>0</v>
      </c>
      <c r="JR11" s="533" t="str">
        <f t="shared" si="93"/>
        <v>0</v>
      </c>
      <c r="JS11" s="531"/>
      <c r="JT11" s="533" t="str">
        <f t="shared" si="94"/>
        <v>0</v>
      </c>
      <c r="JU11" s="533" t="str">
        <f t="shared" si="95"/>
        <v>0</v>
      </c>
      <c r="JV11" s="531"/>
      <c r="JW11" s="533" t="str">
        <f t="shared" si="96"/>
        <v>0</v>
      </c>
      <c r="JX11" s="533" t="str">
        <f t="shared" si="97"/>
        <v>0</v>
      </c>
      <c r="JY11" s="531"/>
      <c r="JZ11" s="533" t="str">
        <f t="shared" si="98"/>
        <v>0</v>
      </c>
      <c r="KA11" s="533" t="str">
        <f t="shared" si="99"/>
        <v>0</v>
      </c>
      <c r="KB11" s="531"/>
      <c r="KC11" s="533" t="str">
        <f t="shared" si="100"/>
        <v>0</v>
      </c>
      <c r="KD11" s="533" t="str">
        <f t="shared" si="101"/>
        <v>0</v>
      </c>
      <c r="KE11" s="531"/>
      <c r="KF11" s="533" t="str">
        <f t="shared" si="102"/>
        <v>0</v>
      </c>
      <c r="KG11" s="533" t="str">
        <f t="shared" si="103"/>
        <v>0</v>
      </c>
      <c r="KH11" s="531"/>
      <c r="KI11" s="533" t="str">
        <f t="shared" si="104"/>
        <v>0</v>
      </c>
      <c r="KJ11" s="533" t="str">
        <f t="shared" si="105"/>
        <v>0</v>
      </c>
      <c r="KK11" s="531"/>
      <c r="KL11" s="533" t="str">
        <f t="shared" si="106"/>
        <v>0</v>
      </c>
      <c r="KM11" s="533" t="str">
        <f t="shared" si="107"/>
        <v>0</v>
      </c>
      <c r="KN11" s="531"/>
      <c r="KO11" s="533" t="str">
        <f t="shared" si="108"/>
        <v>0</v>
      </c>
      <c r="KP11" s="533" t="str">
        <f t="shared" si="109"/>
        <v>0</v>
      </c>
      <c r="KQ11" s="531"/>
      <c r="KR11" s="533" t="str">
        <f t="shared" si="110"/>
        <v>0</v>
      </c>
      <c r="KS11" s="533" t="str">
        <f t="shared" si="111"/>
        <v>0</v>
      </c>
      <c r="KT11" s="533">
        <f t="shared" ref="KT11:KT41" si="201">H11+K11+N11+Q11+T11+W11+Z11+AC11+AF11+AI11+AL11+AO11+AR11+AU11+AX11+BA11+BD11+BG11+BJ11+BM11+BP11+BS11+BV11+BY11+CB11+CE11+CH11+CK11+CN11+CQ11+CT11+CW11+CZ11+DC11+DF11+DI11+DL11+DO11+DR11+DU11+DX11+EA11+ED11+EG11+EJ11+EM11+EP11+ES11+EV11+EY11+FB11+FE11+FH11+FK11+FN11+FQ11+FT11+FW11+FZ11+GC11</f>
        <v>0</v>
      </c>
      <c r="KU11" s="533">
        <f t="shared" ref="KU11:KU41" si="202">GF11+GI11+GL11+GO11+GR11+GU11+GX11+HA11+HD11+HG11+HJ11+HM11+HP11+HS11+HV11+HY11+IB11+IE11+IH11+IK11+IN11+IQ11+IT11+IW11+IZ11+JC11+JF11+JI11+JL11+JO11+JR11+JU11+JX11++KA11+KD11+KG11+KJ11++KM11+KP11+KS11</f>
        <v>0</v>
      </c>
      <c r="KV11" s="271">
        <f t="shared" si="112"/>
        <v>2100.8384605098813</v>
      </c>
    </row>
    <row r="12" spans="1:308" ht="15" customHeight="1">
      <c r="A12" s="273">
        <f t="shared" si="200"/>
        <v>46026</v>
      </c>
      <c r="B12" s="274" t="str">
        <f>+Report1!B12</f>
        <v>Toilet</v>
      </c>
      <c r="C12" s="274" t="str">
        <f>+Report1!C12</f>
        <v>13,5/14,5</v>
      </c>
      <c r="D12" s="275">
        <f>+Report1!P12</f>
        <v>46.727000000000004</v>
      </c>
      <c r="E12" s="276">
        <f>+Report1!R12</f>
        <v>47.914000000000001</v>
      </c>
      <c r="F12" s="531"/>
      <c r="G12" s="532">
        <f t="shared" si="0"/>
        <v>0</v>
      </c>
      <c r="H12" s="533">
        <f t="shared" si="113"/>
        <v>0</v>
      </c>
      <c r="I12" s="531"/>
      <c r="J12" s="532">
        <f t="shared" si="1"/>
        <v>0</v>
      </c>
      <c r="K12" s="533">
        <f t="shared" si="114"/>
        <v>0</v>
      </c>
      <c r="L12" s="531"/>
      <c r="M12" s="532">
        <f t="shared" si="2"/>
        <v>0</v>
      </c>
      <c r="N12" s="533">
        <f t="shared" si="115"/>
        <v>0</v>
      </c>
      <c r="O12" s="531">
        <v>9.3844000000000278</v>
      </c>
      <c r="P12" s="532">
        <f t="shared" si="3"/>
        <v>0.19585924781900962</v>
      </c>
      <c r="Q12" s="533">
        <f t="shared" si="116"/>
        <v>0</v>
      </c>
      <c r="R12" s="531"/>
      <c r="S12" s="532">
        <f t="shared" si="4"/>
        <v>0</v>
      </c>
      <c r="T12" s="533">
        <f t="shared" si="117"/>
        <v>0</v>
      </c>
      <c r="U12" s="531">
        <v>8.0133999999999901</v>
      </c>
      <c r="V12" s="532">
        <f t="shared" si="5"/>
        <v>0.16724548148766519</v>
      </c>
      <c r="W12" s="533">
        <f t="shared" si="118"/>
        <v>0</v>
      </c>
      <c r="X12" s="531"/>
      <c r="Y12" s="532">
        <f t="shared" si="6"/>
        <v>0</v>
      </c>
      <c r="Z12" s="533">
        <f t="shared" si="119"/>
        <v>0</v>
      </c>
      <c r="AA12" s="531"/>
      <c r="AB12" s="532">
        <f t="shared" si="7"/>
        <v>0</v>
      </c>
      <c r="AC12" s="533">
        <f t="shared" si="120"/>
        <v>0</v>
      </c>
      <c r="AD12" s="531"/>
      <c r="AE12" s="532">
        <f t="shared" si="8"/>
        <v>0</v>
      </c>
      <c r="AF12" s="533">
        <f t="shared" si="121"/>
        <v>0</v>
      </c>
      <c r="AG12" s="531"/>
      <c r="AH12" s="532">
        <f t="shared" si="9"/>
        <v>0</v>
      </c>
      <c r="AI12" s="533">
        <f t="shared" si="122"/>
        <v>0</v>
      </c>
      <c r="AJ12" s="531">
        <v>52.065899999999985</v>
      </c>
      <c r="AK12" s="532">
        <f t="shared" si="10"/>
        <v>1.0866531702633881</v>
      </c>
      <c r="AL12" s="533">
        <f t="shared" si="123"/>
        <v>0</v>
      </c>
      <c r="AM12" s="531"/>
      <c r="AN12" s="532">
        <f t="shared" si="11"/>
        <v>0</v>
      </c>
      <c r="AO12" s="533">
        <f t="shared" si="124"/>
        <v>0</v>
      </c>
      <c r="AP12" s="531"/>
      <c r="AQ12" s="532">
        <f t="shared" si="12"/>
        <v>0</v>
      </c>
      <c r="AR12" s="533">
        <f t="shared" si="125"/>
        <v>0</v>
      </c>
      <c r="AS12" s="531"/>
      <c r="AT12" s="532">
        <f t="shared" si="13"/>
        <v>0</v>
      </c>
      <c r="AU12" s="533">
        <f t="shared" si="126"/>
        <v>0</v>
      </c>
      <c r="AV12" s="531"/>
      <c r="AW12" s="532">
        <f t="shared" si="14"/>
        <v>0</v>
      </c>
      <c r="AX12" s="533">
        <f t="shared" si="127"/>
        <v>0</v>
      </c>
      <c r="AY12" s="531">
        <v>38.925200000000018</v>
      </c>
      <c r="AZ12" s="532">
        <f t="shared" si="15"/>
        <v>0.81239721167091072</v>
      </c>
      <c r="BA12" s="533">
        <f t="shared" si="128"/>
        <v>0</v>
      </c>
      <c r="BB12" s="531"/>
      <c r="BC12" s="532">
        <f t="shared" si="16"/>
        <v>0</v>
      </c>
      <c r="BD12" s="533">
        <f t="shared" si="129"/>
        <v>0</v>
      </c>
      <c r="BE12" s="531"/>
      <c r="BF12" s="532">
        <f t="shared" si="17"/>
        <v>0</v>
      </c>
      <c r="BG12" s="533">
        <f t="shared" si="130"/>
        <v>0</v>
      </c>
      <c r="BH12" s="531"/>
      <c r="BI12" s="532">
        <f t="shared" si="18"/>
        <v>0</v>
      </c>
      <c r="BJ12" s="533">
        <f t="shared" si="131"/>
        <v>0</v>
      </c>
      <c r="BK12" s="531"/>
      <c r="BL12" s="532">
        <f t="shared" si="19"/>
        <v>0</v>
      </c>
      <c r="BM12" s="533">
        <f t="shared" si="132"/>
        <v>0</v>
      </c>
      <c r="BN12" s="531"/>
      <c r="BO12" s="532">
        <f t="shared" si="20"/>
        <v>0</v>
      </c>
      <c r="BP12" s="533">
        <f t="shared" si="133"/>
        <v>0</v>
      </c>
      <c r="BQ12" s="531"/>
      <c r="BR12" s="532">
        <f t="shared" si="21"/>
        <v>0</v>
      </c>
      <c r="BS12" s="533">
        <f t="shared" si="134"/>
        <v>0</v>
      </c>
      <c r="BT12" s="531"/>
      <c r="BU12" s="532">
        <f t="shared" si="22"/>
        <v>0</v>
      </c>
      <c r="BV12" s="533">
        <f t="shared" si="135"/>
        <v>0</v>
      </c>
      <c r="BW12" s="531"/>
      <c r="BX12" s="532">
        <f t="shared" si="23"/>
        <v>0</v>
      </c>
      <c r="BY12" s="533">
        <f t="shared" si="136"/>
        <v>0</v>
      </c>
      <c r="BZ12" s="531"/>
      <c r="CA12" s="532">
        <f t="shared" si="24"/>
        <v>0</v>
      </c>
      <c r="CB12" s="533">
        <f t="shared" si="137"/>
        <v>0</v>
      </c>
      <c r="CC12" s="531"/>
      <c r="CD12" s="532">
        <f t="shared" si="25"/>
        <v>0</v>
      </c>
      <c r="CE12" s="533">
        <f t="shared" si="138"/>
        <v>0</v>
      </c>
      <c r="CF12" s="531">
        <v>6.4</v>
      </c>
      <c r="CG12" s="532">
        <f t="shared" si="26"/>
        <v>0.1335726509997078</v>
      </c>
      <c r="CH12" s="533">
        <f t="shared" si="139"/>
        <v>0</v>
      </c>
      <c r="CI12" s="531"/>
      <c r="CJ12" s="532">
        <f t="shared" si="27"/>
        <v>0</v>
      </c>
      <c r="CK12" s="533">
        <f t="shared" si="140"/>
        <v>0</v>
      </c>
      <c r="CL12" s="531"/>
      <c r="CM12" s="532">
        <f t="shared" si="28"/>
        <v>0</v>
      </c>
      <c r="CN12" s="533">
        <f t="shared" si="141"/>
        <v>0</v>
      </c>
      <c r="CO12" s="531"/>
      <c r="CP12" s="532">
        <f t="shared" si="29"/>
        <v>0</v>
      </c>
      <c r="CQ12" s="533">
        <f t="shared" si="142"/>
        <v>0</v>
      </c>
      <c r="CR12" s="531"/>
      <c r="CS12" s="532">
        <f t="shared" si="30"/>
        <v>0</v>
      </c>
      <c r="CT12" s="533">
        <f t="shared" si="143"/>
        <v>0</v>
      </c>
      <c r="CU12" s="531"/>
      <c r="CV12" s="532">
        <f t="shared" si="31"/>
        <v>0</v>
      </c>
      <c r="CW12" s="533">
        <f t="shared" si="144"/>
        <v>0</v>
      </c>
      <c r="CX12" s="531"/>
      <c r="CY12" s="532">
        <f t="shared" si="32"/>
        <v>0</v>
      </c>
      <c r="CZ12" s="533">
        <f t="shared" si="145"/>
        <v>0</v>
      </c>
      <c r="DA12" s="531">
        <v>227.33999999999992</v>
      </c>
      <c r="DB12" s="532">
        <f t="shared" si="33"/>
        <v>4.7447510122302443</v>
      </c>
      <c r="DC12" s="533">
        <f t="shared" si="146"/>
        <v>0</v>
      </c>
      <c r="DD12" s="531"/>
      <c r="DE12" s="532">
        <f t="shared" si="34"/>
        <v>0</v>
      </c>
      <c r="DF12" s="533">
        <f t="shared" si="147"/>
        <v>0</v>
      </c>
      <c r="DG12" s="531"/>
      <c r="DH12" s="532">
        <f t="shared" si="35"/>
        <v>0</v>
      </c>
      <c r="DI12" s="533">
        <v>0</v>
      </c>
      <c r="DJ12" s="531"/>
      <c r="DK12" s="532">
        <f t="shared" si="36"/>
        <v>0</v>
      </c>
      <c r="DL12" s="533">
        <f t="shared" si="148"/>
        <v>0</v>
      </c>
      <c r="DM12" s="531"/>
      <c r="DN12" s="532">
        <f t="shared" si="37"/>
        <v>0</v>
      </c>
      <c r="DO12" s="533">
        <f t="shared" si="149"/>
        <v>0</v>
      </c>
      <c r="DP12" s="531"/>
      <c r="DQ12" s="532">
        <f t="shared" si="38"/>
        <v>0</v>
      </c>
      <c r="DR12" s="533">
        <f t="shared" si="150"/>
        <v>0</v>
      </c>
      <c r="DS12" s="531"/>
      <c r="DT12" s="532">
        <f t="shared" si="39"/>
        <v>0</v>
      </c>
      <c r="DU12" s="533">
        <f t="shared" si="151"/>
        <v>0</v>
      </c>
      <c r="DV12" s="531"/>
      <c r="DW12" s="532">
        <f t="shared" si="40"/>
        <v>0</v>
      </c>
      <c r="DX12" s="533">
        <f t="shared" si="152"/>
        <v>0</v>
      </c>
      <c r="DY12" s="531"/>
      <c r="DZ12" s="532">
        <f t="shared" si="41"/>
        <v>0</v>
      </c>
      <c r="EA12" s="533">
        <f t="shared" si="153"/>
        <v>0</v>
      </c>
      <c r="EB12" s="531"/>
      <c r="EC12" s="532">
        <f t="shared" si="42"/>
        <v>0</v>
      </c>
      <c r="ED12" s="533">
        <f t="shared" si="154"/>
        <v>0</v>
      </c>
      <c r="EE12" s="531">
        <v>85.700000000000045</v>
      </c>
      <c r="EF12" s="532">
        <f t="shared" si="43"/>
        <v>1.7886212797929633</v>
      </c>
      <c r="EG12" s="533">
        <f t="shared" si="155"/>
        <v>0</v>
      </c>
      <c r="EH12" s="531">
        <v>3.5</v>
      </c>
      <c r="EI12" s="532">
        <f t="shared" si="44"/>
        <v>7.3047543515465205E-2</v>
      </c>
      <c r="EJ12" s="533">
        <f t="shared" si="156"/>
        <v>0</v>
      </c>
      <c r="EK12" s="531">
        <v>38.14618500000006</v>
      </c>
      <c r="EL12" s="532">
        <f t="shared" si="45"/>
        <v>0.7961386024961401</v>
      </c>
      <c r="EM12" s="533">
        <f t="shared" si="157"/>
        <v>0</v>
      </c>
      <c r="EN12" s="531"/>
      <c r="EO12" s="532">
        <f t="shared" si="46"/>
        <v>0</v>
      </c>
      <c r="EP12" s="533">
        <f t="shared" si="158"/>
        <v>0</v>
      </c>
      <c r="EQ12" s="531"/>
      <c r="ER12" s="532">
        <f t="shared" si="47"/>
        <v>0</v>
      </c>
      <c r="ES12" s="533">
        <f t="shared" si="159"/>
        <v>0</v>
      </c>
      <c r="ET12" s="531"/>
      <c r="EU12" s="532">
        <f t="shared" si="48"/>
        <v>0</v>
      </c>
      <c r="EV12" s="533">
        <f t="shared" si="160"/>
        <v>0</v>
      </c>
      <c r="EW12" s="531"/>
      <c r="EX12" s="532">
        <f t="shared" si="49"/>
        <v>0</v>
      </c>
      <c r="EY12" s="533">
        <f t="shared" si="161"/>
        <v>0</v>
      </c>
      <c r="EZ12" s="531"/>
      <c r="FA12" s="532">
        <f t="shared" si="50"/>
        <v>0</v>
      </c>
      <c r="FB12" s="533">
        <f t="shared" si="162"/>
        <v>0</v>
      </c>
      <c r="FC12" s="531"/>
      <c r="FD12" s="532">
        <f t="shared" si="51"/>
        <v>0</v>
      </c>
      <c r="FE12" s="533">
        <f t="shared" si="163"/>
        <v>0</v>
      </c>
      <c r="FF12" s="531"/>
      <c r="FG12" s="532">
        <f t="shared" si="52"/>
        <v>0</v>
      </c>
      <c r="FH12" s="533">
        <f t="shared" si="164"/>
        <v>0</v>
      </c>
      <c r="FI12" s="531"/>
      <c r="FJ12" s="532">
        <f t="shared" si="53"/>
        <v>0</v>
      </c>
      <c r="FK12" s="533">
        <f t="shared" si="165"/>
        <v>0</v>
      </c>
      <c r="FL12" s="531"/>
      <c r="FM12" s="532">
        <f t="shared" si="54"/>
        <v>0</v>
      </c>
      <c r="FN12" s="533">
        <f t="shared" si="166"/>
        <v>0</v>
      </c>
      <c r="FO12" s="531"/>
      <c r="FP12" s="532">
        <f t="shared" si="55"/>
        <v>0</v>
      </c>
      <c r="FQ12" s="533">
        <f t="shared" si="167"/>
        <v>0</v>
      </c>
      <c r="FR12" s="531"/>
      <c r="FS12" s="532">
        <f t="shared" si="56"/>
        <v>0</v>
      </c>
      <c r="FT12" s="533">
        <f t="shared" si="168"/>
        <v>0</v>
      </c>
      <c r="FU12" s="531"/>
      <c r="FV12" s="532">
        <f t="shared" si="57"/>
        <v>0</v>
      </c>
      <c r="FW12" s="533">
        <f t="shared" si="169"/>
        <v>0</v>
      </c>
      <c r="FX12" s="531"/>
      <c r="FY12" s="532">
        <f t="shared" si="58"/>
        <v>0</v>
      </c>
      <c r="FZ12" s="533">
        <f t="shared" si="170"/>
        <v>0</v>
      </c>
      <c r="GA12" s="531"/>
      <c r="GB12" s="532">
        <f t="shared" si="59"/>
        <v>0</v>
      </c>
      <c r="GC12" s="533">
        <f t="shared" si="171"/>
        <v>0</v>
      </c>
      <c r="GD12" s="531"/>
      <c r="GE12" s="532">
        <f t="shared" si="60"/>
        <v>0</v>
      </c>
      <c r="GF12" s="533">
        <f t="shared" si="172"/>
        <v>0</v>
      </c>
      <c r="GG12" s="531">
        <v>15</v>
      </c>
      <c r="GH12" s="532">
        <f t="shared" si="61"/>
        <v>0.31306090078056514</v>
      </c>
      <c r="GI12" s="533">
        <f t="shared" si="173"/>
        <v>0</v>
      </c>
      <c r="GJ12" s="531">
        <v>20</v>
      </c>
      <c r="GK12" s="532">
        <f t="shared" si="62"/>
        <v>0.41741453437408688</v>
      </c>
      <c r="GL12" s="533">
        <f t="shared" si="174"/>
        <v>0</v>
      </c>
      <c r="GM12" s="531"/>
      <c r="GN12" s="532">
        <f t="shared" si="63"/>
        <v>0</v>
      </c>
      <c r="GO12" s="533">
        <f t="shared" si="175"/>
        <v>0</v>
      </c>
      <c r="GP12" s="531">
        <v>35</v>
      </c>
      <c r="GQ12" s="532">
        <f t="shared" si="64"/>
        <v>0.73047543515465208</v>
      </c>
      <c r="GR12" s="533">
        <f t="shared" si="176"/>
        <v>0</v>
      </c>
      <c r="GS12" s="531">
        <v>180</v>
      </c>
      <c r="GT12" s="532">
        <f t="shared" si="65"/>
        <v>3.7567308093667822</v>
      </c>
      <c r="GU12" s="533">
        <f t="shared" si="177"/>
        <v>0</v>
      </c>
      <c r="GV12" s="531">
        <v>50</v>
      </c>
      <c r="GW12" s="532">
        <f t="shared" si="66"/>
        <v>1.0435363359352172</v>
      </c>
      <c r="GX12" s="533">
        <f t="shared" si="178"/>
        <v>0</v>
      </c>
      <c r="GY12" s="531"/>
      <c r="GZ12" s="532">
        <f t="shared" si="67"/>
        <v>0</v>
      </c>
      <c r="HA12" s="533">
        <f t="shared" si="179"/>
        <v>0</v>
      </c>
      <c r="HB12" s="531"/>
      <c r="HC12" s="532">
        <f t="shared" si="68"/>
        <v>0</v>
      </c>
      <c r="HD12" s="533">
        <f t="shared" si="180"/>
        <v>0</v>
      </c>
      <c r="HE12" s="531"/>
      <c r="HF12" s="532">
        <f t="shared" si="69"/>
        <v>0</v>
      </c>
      <c r="HG12" s="533">
        <f t="shared" si="181"/>
        <v>0</v>
      </c>
      <c r="HH12" s="531"/>
      <c r="HI12" s="532">
        <f t="shared" si="70"/>
        <v>0</v>
      </c>
      <c r="HJ12" s="533">
        <f t="shared" si="182"/>
        <v>0</v>
      </c>
      <c r="HK12" s="531"/>
      <c r="HL12" s="532">
        <f t="shared" si="71"/>
        <v>0</v>
      </c>
      <c r="HM12" s="533">
        <f t="shared" si="183"/>
        <v>0</v>
      </c>
      <c r="HN12" s="531">
        <v>1234</v>
      </c>
      <c r="HO12" s="532">
        <f t="shared" si="72"/>
        <v>25.754476770881162</v>
      </c>
      <c r="HP12" s="533">
        <f t="shared" si="184"/>
        <v>0</v>
      </c>
      <c r="HQ12" s="531"/>
      <c r="HR12" s="532">
        <f t="shared" si="73"/>
        <v>0</v>
      </c>
      <c r="HS12" s="533">
        <f t="shared" si="185"/>
        <v>0</v>
      </c>
      <c r="HT12" s="531"/>
      <c r="HU12" s="532">
        <f t="shared" si="74"/>
        <v>0</v>
      </c>
      <c r="HV12" s="533">
        <f t="shared" si="186"/>
        <v>0</v>
      </c>
      <c r="HW12" s="531"/>
      <c r="HX12" s="532">
        <f t="shared" si="75"/>
        <v>0</v>
      </c>
      <c r="HY12" s="533">
        <f t="shared" si="187"/>
        <v>0</v>
      </c>
      <c r="HZ12" s="531"/>
      <c r="IA12" s="532">
        <f t="shared" si="76"/>
        <v>0</v>
      </c>
      <c r="IB12" s="533">
        <f t="shared" si="188"/>
        <v>0</v>
      </c>
      <c r="IC12" s="531"/>
      <c r="ID12" s="532">
        <f t="shared" si="77"/>
        <v>0</v>
      </c>
      <c r="IE12" s="533">
        <f t="shared" si="189"/>
        <v>0</v>
      </c>
      <c r="IF12" s="531"/>
      <c r="IG12" s="532">
        <f t="shared" si="78"/>
        <v>0</v>
      </c>
      <c r="IH12" s="533">
        <f t="shared" si="190"/>
        <v>0</v>
      </c>
      <c r="II12" s="531">
        <v>35</v>
      </c>
      <c r="IJ12" s="532">
        <f t="shared" si="79"/>
        <v>0.73047543515465208</v>
      </c>
      <c r="IK12" s="533">
        <f t="shared" si="191"/>
        <v>0</v>
      </c>
      <c r="IL12" s="531"/>
      <c r="IM12" s="532">
        <f t="shared" si="80"/>
        <v>0</v>
      </c>
      <c r="IN12" s="533">
        <f t="shared" si="192"/>
        <v>0</v>
      </c>
      <c r="IO12" s="531"/>
      <c r="IP12" s="532">
        <f t="shared" si="81"/>
        <v>0</v>
      </c>
      <c r="IQ12" s="533">
        <f t="shared" si="193"/>
        <v>0</v>
      </c>
      <c r="IR12" s="531">
        <v>60</v>
      </c>
      <c r="IS12" s="532">
        <f t="shared" si="82"/>
        <v>1.2522436031222606</v>
      </c>
      <c r="IT12" s="533">
        <f t="shared" si="194"/>
        <v>0</v>
      </c>
      <c r="IU12" s="531"/>
      <c r="IV12" s="532">
        <f t="shared" si="83"/>
        <v>0</v>
      </c>
      <c r="IW12" s="533">
        <f t="shared" si="195"/>
        <v>0</v>
      </c>
      <c r="IX12" s="531"/>
      <c r="IY12" s="532">
        <f t="shared" si="84"/>
        <v>0</v>
      </c>
      <c r="IZ12" s="533">
        <f t="shared" si="196"/>
        <v>0</v>
      </c>
      <c r="JA12" s="531"/>
      <c r="JB12" s="532">
        <f t="shared" si="85"/>
        <v>0</v>
      </c>
      <c r="JC12" s="533">
        <f t="shared" si="197"/>
        <v>0</v>
      </c>
      <c r="JD12" s="531"/>
      <c r="JE12" s="532">
        <f t="shared" si="86"/>
        <v>0</v>
      </c>
      <c r="JF12" s="533">
        <f t="shared" si="198"/>
        <v>0</v>
      </c>
      <c r="JG12" s="531"/>
      <c r="JH12" s="532">
        <f t="shared" si="87"/>
        <v>0</v>
      </c>
      <c r="JI12" s="533">
        <f t="shared" si="199"/>
        <v>0</v>
      </c>
      <c r="JJ12" s="531">
        <v>35</v>
      </c>
      <c r="JK12" s="533" t="str">
        <f t="shared" si="88"/>
        <v>0</v>
      </c>
      <c r="JL12" s="533" t="str">
        <f t="shared" si="89"/>
        <v>0</v>
      </c>
      <c r="JM12" s="531"/>
      <c r="JN12" s="533" t="str">
        <f t="shared" si="90"/>
        <v>0</v>
      </c>
      <c r="JO12" s="533" t="str">
        <f t="shared" si="91"/>
        <v>0</v>
      </c>
      <c r="JP12" s="531"/>
      <c r="JQ12" s="533" t="str">
        <f t="shared" si="92"/>
        <v>0</v>
      </c>
      <c r="JR12" s="533" t="str">
        <f t="shared" si="93"/>
        <v>0</v>
      </c>
      <c r="JS12" s="531"/>
      <c r="JT12" s="533" t="str">
        <f t="shared" si="94"/>
        <v>0</v>
      </c>
      <c r="JU12" s="533" t="str">
        <f t="shared" si="95"/>
        <v>0</v>
      </c>
      <c r="JV12" s="531"/>
      <c r="JW12" s="533" t="str">
        <f t="shared" si="96"/>
        <v>0</v>
      </c>
      <c r="JX12" s="533" t="str">
        <f t="shared" si="97"/>
        <v>0</v>
      </c>
      <c r="JY12" s="531"/>
      <c r="JZ12" s="533" t="str">
        <f t="shared" si="98"/>
        <v>0</v>
      </c>
      <c r="KA12" s="533" t="str">
        <f t="shared" si="99"/>
        <v>0</v>
      </c>
      <c r="KB12" s="531"/>
      <c r="KC12" s="533" t="str">
        <f t="shared" si="100"/>
        <v>0</v>
      </c>
      <c r="KD12" s="533" t="str">
        <f t="shared" si="101"/>
        <v>0</v>
      </c>
      <c r="KE12" s="531"/>
      <c r="KF12" s="533" t="str">
        <f t="shared" si="102"/>
        <v>0</v>
      </c>
      <c r="KG12" s="533" t="str">
        <f t="shared" si="103"/>
        <v>0</v>
      </c>
      <c r="KH12" s="531"/>
      <c r="KI12" s="533" t="str">
        <f t="shared" si="104"/>
        <v>0</v>
      </c>
      <c r="KJ12" s="533" t="str">
        <f t="shared" si="105"/>
        <v>0</v>
      </c>
      <c r="KK12" s="531"/>
      <c r="KL12" s="533" t="str">
        <f t="shared" si="106"/>
        <v>0</v>
      </c>
      <c r="KM12" s="533" t="str">
        <f t="shared" si="107"/>
        <v>0</v>
      </c>
      <c r="KN12" s="531"/>
      <c r="KO12" s="533" t="str">
        <f t="shared" si="108"/>
        <v>0</v>
      </c>
      <c r="KP12" s="533" t="str">
        <f t="shared" si="109"/>
        <v>0</v>
      </c>
      <c r="KQ12" s="531"/>
      <c r="KR12" s="533" t="str">
        <f t="shared" si="110"/>
        <v>0</v>
      </c>
      <c r="KS12" s="533" t="str">
        <f t="shared" si="111"/>
        <v>0</v>
      </c>
      <c r="KT12" s="533">
        <f t="shared" si="201"/>
        <v>0</v>
      </c>
      <c r="KU12" s="533">
        <f t="shared" si="202"/>
        <v>0</v>
      </c>
      <c r="KV12" s="271">
        <f t="shared" si="112"/>
        <v>2133.475085</v>
      </c>
    </row>
    <row r="13" spans="1:308" ht="15" customHeight="1">
      <c r="A13" s="273">
        <f t="shared" si="200"/>
        <v>46027</v>
      </c>
      <c r="B13" s="274" t="str">
        <f>+Report1!B13</f>
        <v>Toilet</v>
      </c>
      <c r="C13" s="274" t="str">
        <f>+Report1!C13</f>
        <v>14,5</v>
      </c>
      <c r="D13" s="275">
        <f>+Report1!P13</f>
        <v>51.026000000000003</v>
      </c>
      <c r="E13" s="276">
        <f>+Report1!R13</f>
        <v>48.494999999999997</v>
      </c>
      <c r="F13" s="531"/>
      <c r="G13" s="532">
        <f t="shared" si="0"/>
        <v>0</v>
      </c>
      <c r="H13" s="533">
        <f t="shared" si="113"/>
        <v>0</v>
      </c>
      <c r="I13" s="531"/>
      <c r="J13" s="532">
        <f t="shared" si="1"/>
        <v>0</v>
      </c>
      <c r="K13" s="533">
        <f t="shared" si="114"/>
        <v>0</v>
      </c>
      <c r="L13" s="531"/>
      <c r="M13" s="532">
        <f t="shared" si="2"/>
        <v>0</v>
      </c>
      <c r="N13" s="533">
        <f t="shared" si="115"/>
        <v>0</v>
      </c>
      <c r="O13" s="531">
        <v>8.9943999999999846</v>
      </c>
      <c r="P13" s="532">
        <f t="shared" si="3"/>
        <v>0.18547066707908</v>
      </c>
      <c r="Q13" s="533">
        <f t="shared" si="116"/>
        <v>0</v>
      </c>
      <c r="R13" s="531"/>
      <c r="S13" s="532">
        <f t="shared" si="4"/>
        <v>0</v>
      </c>
      <c r="T13" s="533">
        <f t="shared" si="117"/>
        <v>0</v>
      </c>
      <c r="U13" s="531">
        <v>7.684899999999999</v>
      </c>
      <c r="V13" s="532">
        <f t="shared" si="5"/>
        <v>0.15846788328693678</v>
      </c>
      <c r="W13" s="533">
        <f t="shared" si="118"/>
        <v>0</v>
      </c>
      <c r="X13" s="531"/>
      <c r="Y13" s="532">
        <f t="shared" si="6"/>
        <v>0</v>
      </c>
      <c r="Z13" s="533">
        <f t="shared" si="119"/>
        <v>0</v>
      </c>
      <c r="AA13" s="531"/>
      <c r="AB13" s="532">
        <f t="shared" si="7"/>
        <v>0</v>
      </c>
      <c r="AC13" s="533">
        <f t="shared" si="120"/>
        <v>0</v>
      </c>
      <c r="AD13" s="531"/>
      <c r="AE13" s="532">
        <f t="shared" si="8"/>
        <v>0</v>
      </c>
      <c r="AF13" s="533">
        <f t="shared" si="121"/>
        <v>0</v>
      </c>
      <c r="AG13" s="531"/>
      <c r="AH13" s="532">
        <f t="shared" si="9"/>
        <v>0</v>
      </c>
      <c r="AI13" s="533">
        <f t="shared" si="122"/>
        <v>0</v>
      </c>
      <c r="AJ13" s="531">
        <v>32.315700000000007</v>
      </c>
      <c r="AK13" s="532">
        <f t="shared" si="10"/>
        <v>0.66637179090627918</v>
      </c>
      <c r="AL13" s="533">
        <f t="shared" si="123"/>
        <v>0</v>
      </c>
      <c r="AM13" s="531"/>
      <c r="AN13" s="532">
        <f t="shared" si="11"/>
        <v>0</v>
      </c>
      <c r="AO13" s="533">
        <f t="shared" si="124"/>
        <v>0</v>
      </c>
      <c r="AP13" s="531"/>
      <c r="AQ13" s="532">
        <f t="shared" si="12"/>
        <v>0</v>
      </c>
      <c r="AR13" s="533">
        <f t="shared" si="125"/>
        <v>0</v>
      </c>
      <c r="AS13" s="531"/>
      <c r="AT13" s="532">
        <f t="shared" si="13"/>
        <v>0</v>
      </c>
      <c r="AU13" s="533">
        <f t="shared" si="126"/>
        <v>0</v>
      </c>
      <c r="AV13" s="531"/>
      <c r="AW13" s="532">
        <f t="shared" si="14"/>
        <v>0</v>
      </c>
      <c r="AX13" s="533">
        <f t="shared" si="127"/>
        <v>0</v>
      </c>
      <c r="AY13" s="531">
        <v>32.664266666666677</v>
      </c>
      <c r="AZ13" s="532">
        <f t="shared" si="15"/>
        <v>0.67355947348523926</v>
      </c>
      <c r="BA13" s="533">
        <f t="shared" si="128"/>
        <v>0</v>
      </c>
      <c r="BB13" s="531"/>
      <c r="BC13" s="532">
        <f t="shared" si="16"/>
        <v>0</v>
      </c>
      <c r="BD13" s="533">
        <f t="shared" si="129"/>
        <v>0</v>
      </c>
      <c r="BE13" s="531"/>
      <c r="BF13" s="532">
        <f t="shared" si="17"/>
        <v>0</v>
      </c>
      <c r="BG13" s="533">
        <f t="shared" si="130"/>
        <v>0</v>
      </c>
      <c r="BH13" s="531"/>
      <c r="BI13" s="532">
        <f t="shared" si="18"/>
        <v>0</v>
      </c>
      <c r="BJ13" s="533">
        <f t="shared" si="131"/>
        <v>0</v>
      </c>
      <c r="BK13" s="531"/>
      <c r="BL13" s="532">
        <f t="shared" si="19"/>
        <v>0</v>
      </c>
      <c r="BM13" s="533">
        <f t="shared" si="132"/>
        <v>0</v>
      </c>
      <c r="BN13" s="531"/>
      <c r="BO13" s="532">
        <f t="shared" si="20"/>
        <v>0</v>
      </c>
      <c r="BP13" s="533">
        <f t="shared" si="133"/>
        <v>0</v>
      </c>
      <c r="BQ13" s="531"/>
      <c r="BR13" s="532">
        <f t="shared" si="21"/>
        <v>0</v>
      </c>
      <c r="BS13" s="533">
        <f t="shared" si="134"/>
        <v>0</v>
      </c>
      <c r="BT13" s="531"/>
      <c r="BU13" s="532">
        <f t="shared" si="22"/>
        <v>0</v>
      </c>
      <c r="BV13" s="533">
        <f t="shared" si="135"/>
        <v>0</v>
      </c>
      <c r="BW13" s="531"/>
      <c r="BX13" s="532">
        <f t="shared" si="23"/>
        <v>0</v>
      </c>
      <c r="BY13" s="533">
        <f t="shared" si="136"/>
        <v>0</v>
      </c>
      <c r="BZ13" s="531">
        <v>1038.7209302325582</v>
      </c>
      <c r="CA13" s="532">
        <f t="shared" si="24"/>
        <v>21.419134554749114</v>
      </c>
      <c r="CB13" s="533">
        <f t="shared" si="137"/>
        <v>0</v>
      </c>
      <c r="CC13" s="531"/>
      <c r="CD13" s="532">
        <f t="shared" si="25"/>
        <v>0</v>
      </c>
      <c r="CE13" s="533">
        <f t="shared" si="138"/>
        <v>0</v>
      </c>
      <c r="CF13" s="531">
        <v>8.0999999999999979</v>
      </c>
      <c r="CG13" s="532">
        <f t="shared" si="26"/>
        <v>0.16702752861119699</v>
      </c>
      <c r="CH13" s="533">
        <f t="shared" si="139"/>
        <v>0</v>
      </c>
      <c r="CI13" s="531"/>
      <c r="CJ13" s="532">
        <f t="shared" si="27"/>
        <v>0</v>
      </c>
      <c r="CK13" s="533">
        <f t="shared" si="140"/>
        <v>0</v>
      </c>
      <c r="CL13" s="531"/>
      <c r="CM13" s="532">
        <f t="shared" si="28"/>
        <v>0</v>
      </c>
      <c r="CN13" s="533">
        <f t="shared" si="141"/>
        <v>0</v>
      </c>
      <c r="CO13" s="531"/>
      <c r="CP13" s="532">
        <f t="shared" si="29"/>
        <v>0</v>
      </c>
      <c r="CQ13" s="533">
        <f t="shared" si="142"/>
        <v>0</v>
      </c>
      <c r="CR13" s="531"/>
      <c r="CS13" s="532">
        <f t="shared" si="30"/>
        <v>0</v>
      </c>
      <c r="CT13" s="533">
        <f t="shared" si="143"/>
        <v>0</v>
      </c>
      <c r="CU13" s="531"/>
      <c r="CV13" s="532">
        <f t="shared" si="31"/>
        <v>0</v>
      </c>
      <c r="CW13" s="533">
        <f t="shared" si="144"/>
        <v>0</v>
      </c>
      <c r="CX13" s="531"/>
      <c r="CY13" s="532">
        <f t="shared" si="32"/>
        <v>0</v>
      </c>
      <c r="CZ13" s="533">
        <f t="shared" si="145"/>
        <v>0</v>
      </c>
      <c r="DA13" s="531">
        <v>276.16009302325585</v>
      </c>
      <c r="DB13" s="532">
        <f t="shared" si="33"/>
        <v>5.6946096097176175</v>
      </c>
      <c r="DC13" s="533">
        <f t="shared" si="146"/>
        <v>0</v>
      </c>
      <c r="DD13" s="531"/>
      <c r="DE13" s="532">
        <f t="shared" si="34"/>
        <v>0</v>
      </c>
      <c r="DF13" s="533">
        <f t="shared" si="147"/>
        <v>0</v>
      </c>
      <c r="DG13" s="531"/>
      <c r="DH13" s="532">
        <f t="shared" si="35"/>
        <v>0</v>
      </c>
      <c r="DI13" s="533">
        <v>0</v>
      </c>
      <c r="DJ13" s="531"/>
      <c r="DK13" s="532">
        <f t="shared" si="36"/>
        <v>0</v>
      </c>
      <c r="DL13" s="533">
        <f t="shared" si="148"/>
        <v>0</v>
      </c>
      <c r="DM13" s="531"/>
      <c r="DN13" s="532">
        <f t="shared" si="37"/>
        <v>0</v>
      </c>
      <c r="DO13" s="533">
        <f t="shared" si="149"/>
        <v>0</v>
      </c>
      <c r="DP13" s="531"/>
      <c r="DQ13" s="532">
        <f t="shared" si="38"/>
        <v>0</v>
      </c>
      <c r="DR13" s="533">
        <f t="shared" si="150"/>
        <v>0</v>
      </c>
      <c r="DS13" s="531"/>
      <c r="DT13" s="532">
        <f t="shared" si="39"/>
        <v>0</v>
      </c>
      <c r="DU13" s="533">
        <f t="shared" si="151"/>
        <v>0</v>
      </c>
      <c r="DV13" s="531"/>
      <c r="DW13" s="532">
        <f t="shared" si="40"/>
        <v>0</v>
      </c>
      <c r="DX13" s="533">
        <f t="shared" si="152"/>
        <v>0</v>
      </c>
      <c r="DY13" s="531"/>
      <c r="DZ13" s="532">
        <f t="shared" si="41"/>
        <v>0</v>
      </c>
      <c r="EA13" s="533">
        <f t="shared" si="153"/>
        <v>0</v>
      </c>
      <c r="EB13" s="531"/>
      <c r="EC13" s="532">
        <f t="shared" si="42"/>
        <v>0</v>
      </c>
      <c r="ED13" s="533">
        <f t="shared" si="154"/>
        <v>0</v>
      </c>
      <c r="EE13" s="531">
        <v>152.63705882352951</v>
      </c>
      <c r="EF13" s="532">
        <f t="shared" si="43"/>
        <v>3.1474803345402522</v>
      </c>
      <c r="EG13" s="533">
        <f t="shared" si="155"/>
        <v>0</v>
      </c>
      <c r="EH13" s="531">
        <v>4</v>
      </c>
      <c r="EI13" s="532">
        <f t="shared" si="44"/>
        <v>8.2482730178368907E-2</v>
      </c>
      <c r="EJ13" s="533">
        <f t="shared" si="156"/>
        <v>0</v>
      </c>
      <c r="EK13" s="531">
        <v>48.785655853658511</v>
      </c>
      <c r="EL13" s="532">
        <f t="shared" si="45"/>
        <v>1.0059935220880196</v>
      </c>
      <c r="EM13" s="533">
        <f t="shared" si="157"/>
        <v>0</v>
      </c>
      <c r="EN13" s="531"/>
      <c r="EO13" s="532">
        <f t="shared" si="46"/>
        <v>0</v>
      </c>
      <c r="EP13" s="533">
        <f t="shared" si="158"/>
        <v>0</v>
      </c>
      <c r="EQ13" s="531"/>
      <c r="ER13" s="532">
        <f t="shared" si="47"/>
        <v>0</v>
      </c>
      <c r="ES13" s="533">
        <f t="shared" si="159"/>
        <v>0</v>
      </c>
      <c r="ET13" s="531"/>
      <c r="EU13" s="532">
        <f t="shared" si="48"/>
        <v>0</v>
      </c>
      <c r="EV13" s="533">
        <f t="shared" si="160"/>
        <v>0</v>
      </c>
      <c r="EW13" s="531"/>
      <c r="EX13" s="532">
        <f t="shared" si="49"/>
        <v>0</v>
      </c>
      <c r="EY13" s="533">
        <f t="shared" si="161"/>
        <v>0</v>
      </c>
      <c r="EZ13" s="531"/>
      <c r="FA13" s="532">
        <f t="shared" si="50"/>
        <v>0</v>
      </c>
      <c r="FB13" s="533">
        <f t="shared" si="162"/>
        <v>0</v>
      </c>
      <c r="FC13" s="531"/>
      <c r="FD13" s="532">
        <f t="shared" si="51"/>
        <v>0</v>
      </c>
      <c r="FE13" s="533">
        <f t="shared" si="163"/>
        <v>0</v>
      </c>
      <c r="FF13" s="531"/>
      <c r="FG13" s="532">
        <f t="shared" si="52"/>
        <v>0</v>
      </c>
      <c r="FH13" s="533">
        <f t="shared" si="164"/>
        <v>0</v>
      </c>
      <c r="FI13" s="531"/>
      <c r="FJ13" s="532">
        <f t="shared" si="53"/>
        <v>0</v>
      </c>
      <c r="FK13" s="533">
        <f t="shared" si="165"/>
        <v>0</v>
      </c>
      <c r="FL13" s="531"/>
      <c r="FM13" s="532">
        <f t="shared" si="54"/>
        <v>0</v>
      </c>
      <c r="FN13" s="533">
        <f t="shared" si="166"/>
        <v>0</v>
      </c>
      <c r="FO13" s="531"/>
      <c r="FP13" s="532">
        <f t="shared" si="55"/>
        <v>0</v>
      </c>
      <c r="FQ13" s="533">
        <f t="shared" si="167"/>
        <v>0</v>
      </c>
      <c r="FR13" s="531"/>
      <c r="FS13" s="532">
        <f t="shared" si="56"/>
        <v>0</v>
      </c>
      <c r="FT13" s="533">
        <f t="shared" si="168"/>
        <v>0</v>
      </c>
      <c r="FU13" s="531"/>
      <c r="FV13" s="532">
        <f t="shared" si="57"/>
        <v>0</v>
      </c>
      <c r="FW13" s="533">
        <f t="shared" si="169"/>
        <v>0</v>
      </c>
      <c r="FX13" s="531"/>
      <c r="FY13" s="532">
        <f t="shared" si="58"/>
        <v>0</v>
      </c>
      <c r="FZ13" s="533">
        <f t="shared" si="170"/>
        <v>0</v>
      </c>
      <c r="GA13" s="531"/>
      <c r="GB13" s="532">
        <f t="shared" si="59"/>
        <v>0</v>
      </c>
      <c r="GC13" s="533">
        <f t="shared" si="171"/>
        <v>0</v>
      </c>
      <c r="GD13" s="531"/>
      <c r="GE13" s="532">
        <f t="shared" si="60"/>
        <v>0</v>
      </c>
      <c r="GF13" s="533">
        <f t="shared" si="172"/>
        <v>0</v>
      </c>
      <c r="GG13" s="531">
        <v>20</v>
      </c>
      <c r="GH13" s="532">
        <f t="shared" si="61"/>
        <v>0.41241365089184456</v>
      </c>
      <c r="GI13" s="533">
        <f t="shared" si="173"/>
        <v>0</v>
      </c>
      <c r="GJ13" s="531">
        <v>30</v>
      </c>
      <c r="GK13" s="532">
        <f t="shared" si="62"/>
        <v>0.61862047633776684</v>
      </c>
      <c r="GL13" s="533">
        <f t="shared" si="174"/>
        <v>0</v>
      </c>
      <c r="GM13" s="531"/>
      <c r="GN13" s="532">
        <f t="shared" si="63"/>
        <v>0</v>
      </c>
      <c r="GO13" s="533">
        <f t="shared" si="175"/>
        <v>0</v>
      </c>
      <c r="GP13" s="531">
        <v>35</v>
      </c>
      <c r="GQ13" s="532">
        <f t="shared" si="64"/>
        <v>0.72172388906072793</v>
      </c>
      <c r="GR13" s="533">
        <f t="shared" si="176"/>
        <v>0</v>
      </c>
      <c r="GS13" s="531">
        <v>180</v>
      </c>
      <c r="GT13" s="532">
        <f t="shared" si="65"/>
        <v>3.7117228580266008</v>
      </c>
      <c r="GU13" s="533">
        <f t="shared" si="177"/>
        <v>0</v>
      </c>
      <c r="GV13" s="531">
        <v>50</v>
      </c>
      <c r="GW13" s="532">
        <f t="shared" si="66"/>
        <v>1.0310341272296113</v>
      </c>
      <c r="GX13" s="533">
        <f t="shared" si="178"/>
        <v>0</v>
      </c>
      <c r="GY13" s="531"/>
      <c r="GZ13" s="532">
        <f t="shared" si="67"/>
        <v>0</v>
      </c>
      <c r="HA13" s="533">
        <f t="shared" si="179"/>
        <v>0</v>
      </c>
      <c r="HB13" s="531"/>
      <c r="HC13" s="532">
        <f t="shared" si="68"/>
        <v>0</v>
      </c>
      <c r="HD13" s="533">
        <f t="shared" si="180"/>
        <v>0</v>
      </c>
      <c r="HE13" s="531"/>
      <c r="HF13" s="532">
        <f t="shared" si="69"/>
        <v>0</v>
      </c>
      <c r="HG13" s="533">
        <f t="shared" si="181"/>
        <v>0</v>
      </c>
      <c r="HH13" s="531"/>
      <c r="HI13" s="532">
        <f t="shared" si="70"/>
        <v>0</v>
      </c>
      <c r="HJ13" s="533">
        <f t="shared" si="182"/>
        <v>0</v>
      </c>
      <c r="HK13" s="531"/>
      <c r="HL13" s="532">
        <f t="shared" si="71"/>
        <v>0</v>
      </c>
      <c r="HM13" s="533">
        <f t="shared" si="183"/>
        <v>0</v>
      </c>
      <c r="HN13" s="531">
        <v>1234</v>
      </c>
      <c r="HO13" s="532">
        <f t="shared" si="72"/>
        <v>25.445922260026808</v>
      </c>
      <c r="HP13" s="533">
        <f t="shared" si="184"/>
        <v>0</v>
      </c>
      <c r="HQ13" s="531"/>
      <c r="HR13" s="532">
        <f t="shared" si="73"/>
        <v>0</v>
      </c>
      <c r="HS13" s="533">
        <f t="shared" si="185"/>
        <v>0</v>
      </c>
      <c r="HT13" s="531"/>
      <c r="HU13" s="532">
        <f t="shared" si="74"/>
        <v>0</v>
      </c>
      <c r="HV13" s="533">
        <f t="shared" si="186"/>
        <v>0</v>
      </c>
      <c r="HW13" s="531"/>
      <c r="HX13" s="532">
        <f t="shared" si="75"/>
        <v>0</v>
      </c>
      <c r="HY13" s="533">
        <f t="shared" si="187"/>
        <v>0</v>
      </c>
      <c r="HZ13" s="531"/>
      <c r="IA13" s="532">
        <f t="shared" si="76"/>
        <v>0</v>
      </c>
      <c r="IB13" s="533">
        <f t="shared" si="188"/>
        <v>0</v>
      </c>
      <c r="IC13" s="531"/>
      <c r="ID13" s="532">
        <f t="shared" si="77"/>
        <v>0</v>
      </c>
      <c r="IE13" s="533">
        <f t="shared" si="189"/>
        <v>0</v>
      </c>
      <c r="IF13" s="531"/>
      <c r="IG13" s="532">
        <f t="shared" si="78"/>
        <v>0</v>
      </c>
      <c r="IH13" s="533">
        <f t="shared" si="190"/>
        <v>0</v>
      </c>
      <c r="II13" s="531">
        <v>40</v>
      </c>
      <c r="IJ13" s="532">
        <f t="shared" si="79"/>
        <v>0.82482730178368913</v>
      </c>
      <c r="IK13" s="533">
        <f t="shared" si="191"/>
        <v>0</v>
      </c>
      <c r="IL13" s="531"/>
      <c r="IM13" s="532">
        <f t="shared" si="80"/>
        <v>0</v>
      </c>
      <c r="IN13" s="533">
        <f t="shared" si="192"/>
        <v>0</v>
      </c>
      <c r="IO13" s="531"/>
      <c r="IP13" s="532">
        <f t="shared" si="81"/>
        <v>0</v>
      </c>
      <c r="IQ13" s="533">
        <f t="shared" si="193"/>
        <v>0</v>
      </c>
      <c r="IR13" s="531">
        <v>60</v>
      </c>
      <c r="IS13" s="532">
        <f t="shared" si="82"/>
        <v>1.2372409526755337</v>
      </c>
      <c r="IT13" s="533">
        <f t="shared" si="194"/>
        <v>0</v>
      </c>
      <c r="IU13" s="531"/>
      <c r="IV13" s="532">
        <f t="shared" si="83"/>
        <v>0</v>
      </c>
      <c r="IW13" s="533">
        <f t="shared" si="195"/>
        <v>0</v>
      </c>
      <c r="IX13" s="531"/>
      <c r="IY13" s="532">
        <f t="shared" si="84"/>
        <v>0</v>
      </c>
      <c r="IZ13" s="533">
        <f t="shared" si="196"/>
        <v>0</v>
      </c>
      <c r="JA13" s="531"/>
      <c r="JB13" s="532">
        <f t="shared" si="85"/>
        <v>0</v>
      </c>
      <c r="JC13" s="533">
        <f t="shared" si="197"/>
        <v>0</v>
      </c>
      <c r="JD13" s="531"/>
      <c r="JE13" s="532">
        <f t="shared" si="86"/>
        <v>0</v>
      </c>
      <c r="JF13" s="533">
        <f t="shared" si="198"/>
        <v>0</v>
      </c>
      <c r="JG13" s="531"/>
      <c r="JH13" s="532">
        <f t="shared" si="87"/>
        <v>0</v>
      </c>
      <c r="JI13" s="533">
        <f t="shared" si="199"/>
        <v>0</v>
      </c>
      <c r="JJ13" s="531">
        <v>35</v>
      </c>
      <c r="JK13" s="533" t="str">
        <f t="shared" si="88"/>
        <v>0</v>
      </c>
      <c r="JL13" s="533" t="str">
        <f t="shared" si="89"/>
        <v>0</v>
      </c>
      <c r="JM13" s="531"/>
      <c r="JN13" s="533" t="str">
        <f t="shared" si="90"/>
        <v>0</v>
      </c>
      <c r="JO13" s="533" t="str">
        <f t="shared" si="91"/>
        <v>0</v>
      </c>
      <c r="JP13" s="531"/>
      <c r="JQ13" s="533" t="str">
        <f t="shared" si="92"/>
        <v>0</v>
      </c>
      <c r="JR13" s="533" t="str">
        <f t="shared" si="93"/>
        <v>0</v>
      </c>
      <c r="JS13" s="531"/>
      <c r="JT13" s="533" t="str">
        <f t="shared" si="94"/>
        <v>0</v>
      </c>
      <c r="JU13" s="533" t="str">
        <f t="shared" si="95"/>
        <v>0</v>
      </c>
      <c r="JV13" s="531"/>
      <c r="JW13" s="533" t="str">
        <f t="shared" si="96"/>
        <v>0</v>
      </c>
      <c r="JX13" s="533" t="str">
        <f t="shared" si="97"/>
        <v>0</v>
      </c>
      <c r="JY13" s="531"/>
      <c r="JZ13" s="533" t="str">
        <f t="shared" si="98"/>
        <v>0</v>
      </c>
      <c r="KA13" s="533" t="str">
        <f t="shared" si="99"/>
        <v>0</v>
      </c>
      <c r="KB13" s="531"/>
      <c r="KC13" s="533" t="str">
        <f t="shared" si="100"/>
        <v>0</v>
      </c>
      <c r="KD13" s="533" t="str">
        <f t="shared" si="101"/>
        <v>0</v>
      </c>
      <c r="KE13" s="531"/>
      <c r="KF13" s="533" t="str">
        <f t="shared" si="102"/>
        <v>0</v>
      </c>
      <c r="KG13" s="533" t="str">
        <f t="shared" si="103"/>
        <v>0</v>
      </c>
      <c r="KH13" s="531"/>
      <c r="KI13" s="533" t="str">
        <f t="shared" si="104"/>
        <v>0</v>
      </c>
      <c r="KJ13" s="533" t="str">
        <f t="shared" si="105"/>
        <v>0</v>
      </c>
      <c r="KK13" s="531"/>
      <c r="KL13" s="533" t="str">
        <f t="shared" si="106"/>
        <v>0</v>
      </c>
      <c r="KM13" s="533" t="str">
        <f t="shared" si="107"/>
        <v>0</v>
      </c>
      <c r="KN13" s="531"/>
      <c r="KO13" s="533" t="str">
        <f t="shared" si="108"/>
        <v>0</v>
      </c>
      <c r="KP13" s="533" t="str">
        <f t="shared" si="109"/>
        <v>0</v>
      </c>
      <c r="KQ13" s="531"/>
      <c r="KR13" s="533" t="str">
        <f t="shared" si="110"/>
        <v>0</v>
      </c>
      <c r="KS13" s="533" t="str">
        <f t="shared" si="111"/>
        <v>0</v>
      </c>
      <c r="KT13" s="533">
        <f t="shared" si="201"/>
        <v>0</v>
      </c>
      <c r="KU13" s="533">
        <f t="shared" si="202"/>
        <v>0</v>
      </c>
      <c r="KV13" s="271">
        <f t="shared" si="112"/>
        <v>3294.0630045996686</v>
      </c>
    </row>
    <row r="14" spans="1:308" ht="15" customHeight="1">
      <c r="A14" s="273">
        <f t="shared" si="200"/>
        <v>46028</v>
      </c>
      <c r="B14" s="274" t="str">
        <f>+Report1!B14</f>
        <v>Toilet/Towel</v>
      </c>
      <c r="C14" s="274" t="str">
        <f>+Report1!C14</f>
        <v>14,5/29/17</v>
      </c>
      <c r="D14" s="275">
        <f>+Report1!P14</f>
        <v>14.664</v>
      </c>
      <c r="E14" s="276">
        <f>+Report1!R14</f>
        <v>13.914999999999999</v>
      </c>
      <c r="F14" s="531"/>
      <c r="G14" s="532">
        <f t="shared" si="0"/>
        <v>0</v>
      </c>
      <c r="H14" s="533">
        <f t="shared" si="113"/>
        <v>0</v>
      </c>
      <c r="I14" s="531"/>
      <c r="J14" s="532">
        <f t="shared" si="1"/>
        <v>0</v>
      </c>
      <c r="K14" s="533">
        <f t="shared" si="114"/>
        <v>0</v>
      </c>
      <c r="L14" s="531"/>
      <c r="M14" s="532">
        <f t="shared" si="2"/>
        <v>0</v>
      </c>
      <c r="N14" s="533">
        <f t="shared" si="115"/>
        <v>0</v>
      </c>
      <c r="O14" s="531">
        <v>9</v>
      </c>
      <c r="P14" s="532">
        <f t="shared" si="3"/>
        <v>0.64678404599353223</v>
      </c>
      <c r="Q14" s="533">
        <f t="shared" si="116"/>
        <v>0</v>
      </c>
      <c r="R14" s="531"/>
      <c r="S14" s="532">
        <f t="shared" si="4"/>
        <v>0</v>
      </c>
      <c r="T14" s="533">
        <f t="shared" si="117"/>
        <v>0</v>
      </c>
      <c r="U14" s="531">
        <v>7.6875000000000142</v>
      </c>
      <c r="V14" s="532">
        <f t="shared" si="5"/>
        <v>0.55246137261947648</v>
      </c>
      <c r="W14" s="533">
        <f t="shared" si="118"/>
        <v>0</v>
      </c>
      <c r="X14" s="531"/>
      <c r="Y14" s="532">
        <f t="shared" si="6"/>
        <v>0</v>
      </c>
      <c r="Z14" s="533">
        <f t="shared" si="119"/>
        <v>0</v>
      </c>
      <c r="AA14" s="531"/>
      <c r="AB14" s="532">
        <f t="shared" si="7"/>
        <v>0</v>
      </c>
      <c r="AC14" s="533">
        <f t="shared" si="120"/>
        <v>0</v>
      </c>
      <c r="AD14" s="531"/>
      <c r="AE14" s="532">
        <f t="shared" si="8"/>
        <v>0</v>
      </c>
      <c r="AF14" s="533">
        <f t="shared" si="121"/>
        <v>0</v>
      </c>
      <c r="AG14" s="531"/>
      <c r="AH14" s="532">
        <f t="shared" si="9"/>
        <v>0</v>
      </c>
      <c r="AI14" s="533">
        <f t="shared" si="122"/>
        <v>0</v>
      </c>
      <c r="AJ14" s="531">
        <v>32.3125</v>
      </c>
      <c r="AK14" s="532">
        <f t="shared" si="10"/>
        <v>2.3221343873517788</v>
      </c>
      <c r="AL14" s="533">
        <f t="shared" si="123"/>
        <v>0</v>
      </c>
      <c r="AM14" s="531"/>
      <c r="AN14" s="532">
        <f t="shared" si="11"/>
        <v>0</v>
      </c>
      <c r="AO14" s="533">
        <f t="shared" si="124"/>
        <v>0</v>
      </c>
      <c r="AP14" s="531"/>
      <c r="AQ14" s="532">
        <f t="shared" si="12"/>
        <v>0</v>
      </c>
      <c r="AR14" s="533">
        <f t="shared" si="125"/>
        <v>0</v>
      </c>
      <c r="AS14" s="531"/>
      <c r="AT14" s="532">
        <f t="shared" si="13"/>
        <v>0</v>
      </c>
      <c r="AU14" s="533">
        <f t="shared" si="126"/>
        <v>0</v>
      </c>
      <c r="AV14" s="531"/>
      <c r="AW14" s="532">
        <f t="shared" si="14"/>
        <v>0</v>
      </c>
      <c r="AX14" s="533">
        <f t="shared" si="127"/>
        <v>0</v>
      </c>
      <c r="AY14" s="531">
        <v>16.333333333333343</v>
      </c>
      <c r="AZ14" s="532">
        <f t="shared" si="15"/>
        <v>1.1737932686549295</v>
      </c>
      <c r="BA14" s="533">
        <f t="shared" si="128"/>
        <v>0</v>
      </c>
      <c r="BB14" s="531"/>
      <c r="BC14" s="532">
        <f t="shared" si="16"/>
        <v>0</v>
      </c>
      <c r="BD14" s="533">
        <f t="shared" si="129"/>
        <v>0</v>
      </c>
      <c r="BE14" s="531"/>
      <c r="BF14" s="532">
        <f t="shared" si="17"/>
        <v>0</v>
      </c>
      <c r="BG14" s="533">
        <f t="shared" si="130"/>
        <v>0</v>
      </c>
      <c r="BH14" s="531"/>
      <c r="BI14" s="532">
        <f t="shared" si="18"/>
        <v>0</v>
      </c>
      <c r="BJ14" s="533">
        <f t="shared" si="131"/>
        <v>0</v>
      </c>
      <c r="BK14" s="531"/>
      <c r="BL14" s="532">
        <f t="shared" si="19"/>
        <v>0</v>
      </c>
      <c r="BM14" s="533">
        <f t="shared" si="132"/>
        <v>0</v>
      </c>
      <c r="BN14" s="531"/>
      <c r="BO14" s="532">
        <f t="shared" si="20"/>
        <v>0</v>
      </c>
      <c r="BP14" s="533">
        <f t="shared" si="133"/>
        <v>0</v>
      </c>
      <c r="BQ14" s="531"/>
      <c r="BR14" s="532">
        <f t="shared" si="21"/>
        <v>0</v>
      </c>
      <c r="BS14" s="533">
        <f t="shared" si="134"/>
        <v>0</v>
      </c>
      <c r="BT14" s="531"/>
      <c r="BU14" s="532">
        <f t="shared" si="22"/>
        <v>0</v>
      </c>
      <c r="BV14" s="533">
        <f t="shared" si="135"/>
        <v>0</v>
      </c>
      <c r="BW14" s="531"/>
      <c r="BX14" s="532">
        <f t="shared" si="23"/>
        <v>0</v>
      </c>
      <c r="BY14" s="533">
        <f t="shared" si="136"/>
        <v>0</v>
      </c>
      <c r="BZ14" s="531"/>
      <c r="CA14" s="532">
        <f t="shared" si="24"/>
        <v>0</v>
      </c>
      <c r="CB14" s="533">
        <f t="shared" si="137"/>
        <v>0</v>
      </c>
      <c r="CC14" s="531"/>
      <c r="CD14" s="532">
        <f t="shared" si="25"/>
        <v>0</v>
      </c>
      <c r="CE14" s="533">
        <f t="shared" si="138"/>
        <v>0</v>
      </c>
      <c r="CF14" s="531">
        <v>8.0999999999999979</v>
      </c>
      <c r="CG14" s="532">
        <f t="shared" si="26"/>
        <v>0.58210564139417886</v>
      </c>
      <c r="CH14" s="533">
        <f t="shared" si="139"/>
        <v>0</v>
      </c>
      <c r="CI14" s="531"/>
      <c r="CJ14" s="532">
        <f t="shared" si="27"/>
        <v>0</v>
      </c>
      <c r="CK14" s="533">
        <f t="shared" si="140"/>
        <v>0</v>
      </c>
      <c r="CL14" s="531"/>
      <c r="CM14" s="532">
        <f t="shared" si="28"/>
        <v>0</v>
      </c>
      <c r="CN14" s="533">
        <f t="shared" si="141"/>
        <v>0</v>
      </c>
      <c r="CO14" s="531"/>
      <c r="CP14" s="532">
        <f t="shared" si="29"/>
        <v>0</v>
      </c>
      <c r="CQ14" s="533">
        <f t="shared" si="142"/>
        <v>0</v>
      </c>
      <c r="CR14" s="531"/>
      <c r="CS14" s="532">
        <f t="shared" si="30"/>
        <v>0</v>
      </c>
      <c r="CT14" s="533">
        <f t="shared" si="143"/>
        <v>0</v>
      </c>
      <c r="CU14" s="531"/>
      <c r="CV14" s="532">
        <f t="shared" si="31"/>
        <v>0</v>
      </c>
      <c r="CW14" s="533">
        <f t="shared" si="144"/>
        <v>0</v>
      </c>
      <c r="CX14" s="531"/>
      <c r="CY14" s="532">
        <f t="shared" si="32"/>
        <v>0</v>
      </c>
      <c r="CZ14" s="533">
        <f t="shared" si="145"/>
        <v>0</v>
      </c>
      <c r="DA14" s="531">
        <v>203.48837209302314</v>
      </c>
      <c r="DB14" s="532">
        <f t="shared" si="33"/>
        <v>14.623670290551431</v>
      </c>
      <c r="DC14" s="533">
        <f t="shared" si="146"/>
        <v>0</v>
      </c>
      <c r="DD14" s="531"/>
      <c r="DE14" s="532">
        <f t="shared" si="34"/>
        <v>0</v>
      </c>
      <c r="DF14" s="533">
        <f t="shared" si="147"/>
        <v>0</v>
      </c>
      <c r="DG14" s="531"/>
      <c r="DH14" s="532">
        <f t="shared" si="35"/>
        <v>0</v>
      </c>
      <c r="DI14" s="533">
        <f t="shared" ref="DI14:DI39" si="203">+DG14*$H$8</f>
        <v>0</v>
      </c>
      <c r="DJ14" s="531"/>
      <c r="DK14" s="532">
        <f t="shared" si="36"/>
        <v>0</v>
      </c>
      <c r="DL14" s="533">
        <f t="shared" si="148"/>
        <v>0</v>
      </c>
      <c r="DM14" s="531"/>
      <c r="DN14" s="532">
        <f t="shared" si="37"/>
        <v>0</v>
      </c>
      <c r="DO14" s="533">
        <f t="shared" si="149"/>
        <v>0</v>
      </c>
      <c r="DP14" s="531"/>
      <c r="DQ14" s="532">
        <f t="shared" si="38"/>
        <v>0</v>
      </c>
      <c r="DR14" s="533">
        <f t="shared" si="150"/>
        <v>0</v>
      </c>
      <c r="DS14" s="531"/>
      <c r="DT14" s="532">
        <f t="shared" si="39"/>
        <v>0</v>
      </c>
      <c r="DU14" s="533">
        <f t="shared" si="151"/>
        <v>0</v>
      </c>
      <c r="DV14" s="531"/>
      <c r="DW14" s="532">
        <f t="shared" si="40"/>
        <v>0</v>
      </c>
      <c r="DX14" s="533">
        <f t="shared" si="152"/>
        <v>0</v>
      </c>
      <c r="DY14" s="531">
        <v>8.6265060240963933</v>
      </c>
      <c r="DZ14" s="532">
        <f t="shared" si="41"/>
        <v>0.61994294100584935</v>
      </c>
      <c r="EA14" s="533">
        <f t="shared" si="153"/>
        <v>0</v>
      </c>
      <c r="EB14" s="531"/>
      <c r="EC14" s="532">
        <f t="shared" si="42"/>
        <v>0</v>
      </c>
      <c r="ED14" s="533">
        <f t="shared" si="154"/>
        <v>0</v>
      </c>
      <c r="EE14" s="531">
        <v>23.482352941176487</v>
      </c>
      <c r="EF14" s="532">
        <f t="shared" si="43"/>
        <v>1.687556804971361</v>
      </c>
      <c r="EG14" s="533">
        <f t="shared" si="155"/>
        <v>0</v>
      </c>
      <c r="EH14" s="531">
        <v>4</v>
      </c>
      <c r="EI14" s="532">
        <f t="shared" si="44"/>
        <v>0.2874595759971254</v>
      </c>
      <c r="EJ14" s="533">
        <f t="shared" si="156"/>
        <v>0</v>
      </c>
      <c r="EK14" s="531">
        <v>24.390243902439067</v>
      </c>
      <c r="EL14" s="532">
        <f t="shared" si="45"/>
        <v>1.7528022926654021</v>
      </c>
      <c r="EM14" s="533">
        <f t="shared" si="157"/>
        <v>0</v>
      </c>
      <c r="EN14" s="531">
        <v>337.20930232558146</v>
      </c>
      <c r="EO14" s="532">
        <f t="shared" si="46"/>
        <v>24.233510767199533</v>
      </c>
      <c r="EP14" s="533">
        <f t="shared" si="158"/>
        <v>0</v>
      </c>
      <c r="EQ14" s="531"/>
      <c r="ER14" s="532">
        <f t="shared" si="47"/>
        <v>0</v>
      </c>
      <c r="ES14" s="533">
        <f t="shared" si="159"/>
        <v>0</v>
      </c>
      <c r="ET14" s="531"/>
      <c r="EU14" s="532">
        <f t="shared" si="48"/>
        <v>0</v>
      </c>
      <c r="EV14" s="533">
        <f t="shared" si="160"/>
        <v>0</v>
      </c>
      <c r="EW14" s="531"/>
      <c r="EX14" s="532">
        <f t="shared" si="49"/>
        <v>0</v>
      </c>
      <c r="EY14" s="533">
        <f t="shared" si="161"/>
        <v>0</v>
      </c>
      <c r="EZ14" s="531"/>
      <c r="FA14" s="532">
        <f t="shared" si="50"/>
        <v>0</v>
      </c>
      <c r="FB14" s="533">
        <f t="shared" si="162"/>
        <v>0</v>
      </c>
      <c r="FC14" s="531"/>
      <c r="FD14" s="532">
        <f t="shared" si="51"/>
        <v>0</v>
      </c>
      <c r="FE14" s="533">
        <f t="shared" si="163"/>
        <v>0</v>
      </c>
      <c r="FF14" s="531"/>
      <c r="FG14" s="532">
        <f t="shared" si="52"/>
        <v>0</v>
      </c>
      <c r="FH14" s="533">
        <f t="shared" si="164"/>
        <v>0</v>
      </c>
      <c r="FI14" s="531"/>
      <c r="FJ14" s="532">
        <f t="shared" si="53"/>
        <v>0</v>
      </c>
      <c r="FK14" s="533">
        <f t="shared" si="165"/>
        <v>0</v>
      </c>
      <c r="FL14" s="531"/>
      <c r="FM14" s="532">
        <f t="shared" si="54"/>
        <v>0</v>
      </c>
      <c r="FN14" s="533">
        <f t="shared" si="166"/>
        <v>0</v>
      </c>
      <c r="FO14" s="531"/>
      <c r="FP14" s="532">
        <f t="shared" si="55"/>
        <v>0</v>
      </c>
      <c r="FQ14" s="533">
        <f t="shared" si="167"/>
        <v>0</v>
      </c>
      <c r="FR14" s="531"/>
      <c r="FS14" s="532">
        <f t="shared" si="56"/>
        <v>0</v>
      </c>
      <c r="FT14" s="533">
        <f t="shared" si="168"/>
        <v>0</v>
      </c>
      <c r="FU14" s="531"/>
      <c r="FV14" s="532">
        <f t="shared" si="57"/>
        <v>0</v>
      </c>
      <c r="FW14" s="533">
        <f t="shared" si="169"/>
        <v>0</v>
      </c>
      <c r="FX14" s="531"/>
      <c r="FY14" s="532">
        <f t="shared" si="58"/>
        <v>0</v>
      </c>
      <c r="FZ14" s="533">
        <f t="shared" si="170"/>
        <v>0</v>
      </c>
      <c r="GA14" s="531"/>
      <c r="GB14" s="532">
        <f t="shared" si="59"/>
        <v>0</v>
      </c>
      <c r="GC14" s="533">
        <f t="shared" si="171"/>
        <v>0</v>
      </c>
      <c r="GD14" s="531"/>
      <c r="GE14" s="532">
        <f t="shared" si="60"/>
        <v>0</v>
      </c>
      <c r="GF14" s="533">
        <f t="shared" si="172"/>
        <v>0</v>
      </c>
      <c r="GG14" s="531">
        <v>20</v>
      </c>
      <c r="GH14" s="532">
        <f t="shared" si="61"/>
        <v>1.4372978799856271</v>
      </c>
      <c r="GI14" s="533">
        <f t="shared" si="173"/>
        <v>0</v>
      </c>
      <c r="GJ14" s="531">
        <v>20</v>
      </c>
      <c r="GK14" s="532">
        <f t="shared" si="62"/>
        <v>1.4372978799856271</v>
      </c>
      <c r="GL14" s="533">
        <f t="shared" si="174"/>
        <v>0</v>
      </c>
      <c r="GM14" s="531"/>
      <c r="GN14" s="532">
        <f t="shared" si="63"/>
        <v>0</v>
      </c>
      <c r="GO14" s="533">
        <f t="shared" si="175"/>
        <v>0</v>
      </c>
      <c r="GP14" s="531">
        <v>30</v>
      </c>
      <c r="GQ14" s="532">
        <f t="shared" si="64"/>
        <v>2.1559468199784408</v>
      </c>
      <c r="GR14" s="533">
        <f t="shared" si="176"/>
        <v>0</v>
      </c>
      <c r="GS14" s="531">
        <v>120</v>
      </c>
      <c r="GT14" s="532">
        <f t="shared" si="65"/>
        <v>8.6237872799137634</v>
      </c>
      <c r="GU14" s="533">
        <f t="shared" si="177"/>
        <v>0</v>
      </c>
      <c r="GV14" s="531">
        <v>40</v>
      </c>
      <c r="GW14" s="532">
        <f t="shared" si="66"/>
        <v>2.8745957599712542</v>
      </c>
      <c r="GX14" s="533">
        <f t="shared" si="178"/>
        <v>0</v>
      </c>
      <c r="GY14" s="531"/>
      <c r="GZ14" s="532">
        <f t="shared" si="67"/>
        <v>0</v>
      </c>
      <c r="HA14" s="533">
        <f t="shared" si="179"/>
        <v>0</v>
      </c>
      <c r="HB14" s="531"/>
      <c r="HC14" s="532">
        <f t="shared" si="68"/>
        <v>0</v>
      </c>
      <c r="HD14" s="533">
        <f t="shared" si="180"/>
        <v>0</v>
      </c>
      <c r="HE14" s="531"/>
      <c r="HF14" s="532">
        <f t="shared" si="69"/>
        <v>0</v>
      </c>
      <c r="HG14" s="533">
        <f t="shared" si="181"/>
        <v>0</v>
      </c>
      <c r="HH14" s="531"/>
      <c r="HI14" s="532">
        <f t="shared" si="70"/>
        <v>0</v>
      </c>
      <c r="HJ14" s="533">
        <f t="shared" si="182"/>
        <v>0</v>
      </c>
      <c r="HK14" s="531"/>
      <c r="HL14" s="532">
        <f t="shared" si="71"/>
        <v>0</v>
      </c>
      <c r="HM14" s="533">
        <f t="shared" si="183"/>
        <v>0</v>
      </c>
      <c r="HN14" s="531">
        <v>1034</v>
      </c>
      <c r="HO14" s="532">
        <f t="shared" si="72"/>
        <v>74.308300395256921</v>
      </c>
      <c r="HP14" s="533">
        <f t="shared" si="184"/>
        <v>0</v>
      </c>
      <c r="HQ14" s="531"/>
      <c r="HR14" s="532">
        <f t="shared" si="73"/>
        <v>0</v>
      </c>
      <c r="HS14" s="533">
        <f t="shared" si="185"/>
        <v>0</v>
      </c>
      <c r="HT14" s="531"/>
      <c r="HU14" s="532">
        <f t="shared" si="74"/>
        <v>0</v>
      </c>
      <c r="HV14" s="533">
        <f t="shared" si="186"/>
        <v>0</v>
      </c>
      <c r="HW14" s="531"/>
      <c r="HX14" s="532">
        <f t="shared" si="75"/>
        <v>0</v>
      </c>
      <c r="HY14" s="533">
        <f t="shared" si="187"/>
        <v>0</v>
      </c>
      <c r="HZ14" s="531"/>
      <c r="IA14" s="532">
        <f t="shared" si="76"/>
        <v>0</v>
      </c>
      <c r="IB14" s="533">
        <f t="shared" si="188"/>
        <v>0</v>
      </c>
      <c r="IC14" s="531"/>
      <c r="ID14" s="532">
        <f t="shared" si="77"/>
        <v>0</v>
      </c>
      <c r="IE14" s="533">
        <f t="shared" si="189"/>
        <v>0</v>
      </c>
      <c r="IF14" s="531"/>
      <c r="IG14" s="532">
        <f t="shared" si="78"/>
        <v>0</v>
      </c>
      <c r="IH14" s="533">
        <f t="shared" si="190"/>
        <v>0</v>
      </c>
      <c r="II14" s="531">
        <v>25</v>
      </c>
      <c r="IJ14" s="532">
        <f t="shared" si="79"/>
        <v>1.796622349982034</v>
      </c>
      <c r="IK14" s="533">
        <f t="shared" si="191"/>
        <v>0</v>
      </c>
      <c r="IL14" s="531"/>
      <c r="IM14" s="532">
        <f t="shared" si="80"/>
        <v>0</v>
      </c>
      <c r="IN14" s="533">
        <f t="shared" si="192"/>
        <v>0</v>
      </c>
      <c r="IO14" s="531"/>
      <c r="IP14" s="532">
        <f t="shared" si="81"/>
        <v>0</v>
      </c>
      <c r="IQ14" s="533">
        <f t="shared" si="193"/>
        <v>0</v>
      </c>
      <c r="IR14" s="531">
        <v>35</v>
      </c>
      <c r="IS14" s="532">
        <f t="shared" si="82"/>
        <v>2.5152712899748475</v>
      </c>
      <c r="IT14" s="533">
        <f t="shared" si="194"/>
        <v>0</v>
      </c>
      <c r="IU14" s="531"/>
      <c r="IV14" s="532">
        <f t="shared" si="83"/>
        <v>0</v>
      </c>
      <c r="IW14" s="533">
        <f t="shared" si="195"/>
        <v>0</v>
      </c>
      <c r="IX14" s="531"/>
      <c r="IY14" s="532">
        <f t="shared" si="84"/>
        <v>0</v>
      </c>
      <c r="IZ14" s="533">
        <f t="shared" si="196"/>
        <v>0</v>
      </c>
      <c r="JA14" s="531"/>
      <c r="JB14" s="532">
        <f t="shared" si="85"/>
        <v>0</v>
      </c>
      <c r="JC14" s="533">
        <f t="shared" si="197"/>
        <v>0</v>
      </c>
      <c r="JD14" s="531"/>
      <c r="JE14" s="532">
        <f t="shared" si="86"/>
        <v>0</v>
      </c>
      <c r="JF14" s="533">
        <f t="shared" si="198"/>
        <v>0</v>
      </c>
      <c r="JG14" s="531"/>
      <c r="JH14" s="532">
        <f t="shared" si="87"/>
        <v>0</v>
      </c>
      <c r="JI14" s="533">
        <f t="shared" si="199"/>
        <v>0</v>
      </c>
      <c r="JJ14" s="531">
        <v>25</v>
      </c>
      <c r="JK14" s="533" t="str">
        <f t="shared" si="88"/>
        <v>0</v>
      </c>
      <c r="JL14" s="533" t="str">
        <f t="shared" si="89"/>
        <v>0</v>
      </c>
      <c r="JM14" s="531"/>
      <c r="JN14" s="533" t="str">
        <f t="shared" si="90"/>
        <v>0</v>
      </c>
      <c r="JO14" s="533" t="str">
        <f t="shared" si="91"/>
        <v>0</v>
      </c>
      <c r="JP14" s="531"/>
      <c r="JQ14" s="533" t="str">
        <f t="shared" si="92"/>
        <v>0</v>
      </c>
      <c r="JR14" s="533" t="str">
        <f t="shared" si="93"/>
        <v>0</v>
      </c>
      <c r="JS14" s="531"/>
      <c r="JT14" s="533" t="str">
        <f t="shared" si="94"/>
        <v>0</v>
      </c>
      <c r="JU14" s="533" t="str">
        <f t="shared" si="95"/>
        <v>0</v>
      </c>
      <c r="JV14" s="531"/>
      <c r="JW14" s="533" t="str">
        <f t="shared" si="96"/>
        <v>0</v>
      </c>
      <c r="JX14" s="533" t="str">
        <f t="shared" si="97"/>
        <v>0</v>
      </c>
      <c r="JY14" s="531"/>
      <c r="JZ14" s="533" t="str">
        <f t="shared" si="98"/>
        <v>0</v>
      </c>
      <c r="KA14" s="533" t="str">
        <f t="shared" si="99"/>
        <v>0</v>
      </c>
      <c r="KB14" s="531"/>
      <c r="KC14" s="533" t="str">
        <f t="shared" si="100"/>
        <v>0</v>
      </c>
      <c r="KD14" s="533" t="str">
        <f t="shared" si="101"/>
        <v>0</v>
      </c>
      <c r="KE14" s="531"/>
      <c r="KF14" s="533" t="str">
        <f t="shared" si="102"/>
        <v>0</v>
      </c>
      <c r="KG14" s="533" t="str">
        <f t="shared" si="103"/>
        <v>0</v>
      </c>
      <c r="KH14" s="531"/>
      <c r="KI14" s="533" t="str">
        <f t="shared" si="104"/>
        <v>0</v>
      </c>
      <c r="KJ14" s="533" t="str">
        <f t="shared" si="105"/>
        <v>0</v>
      </c>
      <c r="KK14" s="531"/>
      <c r="KL14" s="533" t="str">
        <f t="shared" si="106"/>
        <v>0</v>
      </c>
      <c r="KM14" s="533" t="str">
        <f t="shared" si="107"/>
        <v>0</v>
      </c>
      <c r="KN14" s="531"/>
      <c r="KO14" s="533" t="str">
        <f t="shared" si="108"/>
        <v>0</v>
      </c>
      <c r="KP14" s="533" t="str">
        <f t="shared" si="109"/>
        <v>0</v>
      </c>
      <c r="KQ14" s="531"/>
      <c r="KR14" s="533" t="str">
        <f t="shared" si="110"/>
        <v>0</v>
      </c>
      <c r="KS14" s="533" t="str">
        <f t="shared" si="111"/>
        <v>0</v>
      </c>
      <c r="KT14" s="533">
        <f t="shared" si="201"/>
        <v>0</v>
      </c>
      <c r="KU14" s="533">
        <f t="shared" si="202"/>
        <v>0</v>
      </c>
      <c r="KV14" s="271">
        <f t="shared" si="112"/>
        <v>1686.4208082940686</v>
      </c>
    </row>
    <row r="15" spans="1:308" ht="15" customHeight="1">
      <c r="A15" s="273">
        <f t="shared" si="200"/>
        <v>46029</v>
      </c>
      <c r="B15" s="274" t="str">
        <f>+Report1!B15</f>
        <v>Towel</v>
      </c>
      <c r="C15" s="274" t="str">
        <f>+Report1!C15</f>
        <v>17/35,5/22/14</v>
      </c>
      <c r="D15" s="275">
        <f>+Report1!P15</f>
        <v>45.86</v>
      </c>
      <c r="E15" s="276">
        <f>+Report1!R15</f>
        <v>38.475000000000001</v>
      </c>
      <c r="F15" s="531"/>
      <c r="G15" s="532">
        <f t="shared" si="0"/>
        <v>0</v>
      </c>
      <c r="H15" s="533">
        <f t="shared" si="113"/>
        <v>0</v>
      </c>
      <c r="I15" s="531"/>
      <c r="J15" s="532">
        <f t="shared" si="1"/>
        <v>0</v>
      </c>
      <c r="K15" s="533">
        <f t="shared" si="114"/>
        <v>0</v>
      </c>
      <c r="L15" s="531"/>
      <c r="M15" s="532">
        <f t="shared" si="2"/>
        <v>0</v>
      </c>
      <c r="N15" s="533">
        <f t="shared" si="115"/>
        <v>0</v>
      </c>
      <c r="O15" s="531">
        <v>9</v>
      </c>
      <c r="P15" s="532">
        <f t="shared" si="3"/>
        <v>0.23391812865497075</v>
      </c>
      <c r="Q15" s="533">
        <f t="shared" si="116"/>
        <v>0</v>
      </c>
      <c r="R15" s="531"/>
      <c r="S15" s="532">
        <f t="shared" si="4"/>
        <v>0</v>
      </c>
      <c r="T15" s="533">
        <f t="shared" si="117"/>
        <v>0</v>
      </c>
      <c r="U15" s="531">
        <v>7.6875</v>
      </c>
      <c r="V15" s="532">
        <f t="shared" si="5"/>
        <v>0.19980506822612085</v>
      </c>
      <c r="W15" s="533">
        <f t="shared" si="118"/>
        <v>0</v>
      </c>
      <c r="X15" s="531"/>
      <c r="Y15" s="532">
        <f t="shared" si="6"/>
        <v>0</v>
      </c>
      <c r="Z15" s="533">
        <f t="shared" si="119"/>
        <v>0</v>
      </c>
      <c r="AA15" s="531"/>
      <c r="AB15" s="532">
        <f t="shared" si="7"/>
        <v>0</v>
      </c>
      <c r="AC15" s="533">
        <f t="shared" si="120"/>
        <v>0</v>
      </c>
      <c r="AD15" s="531"/>
      <c r="AE15" s="532">
        <f t="shared" si="8"/>
        <v>0</v>
      </c>
      <c r="AF15" s="533">
        <f t="shared" si="121"/>
        <v>0</v>
      </c>
      <c r="AG15" s="531"/>
      <c r="AH15" s="532">
        <f t="shared" si="9"/>
        <v>0</v>
      </c>
      <c r="AI15" s="533">
        <f t="shared" si="122"/>
        <v>0</v>
      </c>
      <c r="AJ15" s="531"/>
      <c r="AK15" s="532">
        <f t="shared" si="10"/>
        <v>0</v>
      </c>
      <c r="AL15" s="533">
        <f t="shared" si="123"/>
        <v>0</v>
      </c>
      <c r="AM15" s="531"/>
      <c r="AN15" s="532">
        <f t="shared" si="11"/>
        <v>0</v>
      </c>
      <c r="AO15" s="533">
        <f t="shared" si="124"/>
        <v>0</v>
      </c>
      <c r="AP15" s="531"/>
      <c r="AQ15" s="532">
        <f t="shared" si="12"/>
        <v>0</v>
      </c>
      <c r="AR15" s="533">
        <f t="shared" si="125"/>
        <v>0</v>
      </c>
      <c r="AS15" s="531"/>
      <c r="AT15" s="532">
        <f t="shared" si="13"/>
        <v>0</v>
      </c>
      <c r="AU15" s="533">
        <f t="shared" si="126"/>
        <v>0</v>
      </c>
      <c r="AV15" s="531"/>
      <c r="AW15" s="532">
        <f t="shared" si="14"/>
        <v>0</v>
      </c>
      <c r="AX15" s="533">
        <f t="shared" si="127"/>
        <v>0</v>
      </c>
      <c r="AY15" s="531">
        <v>32.666666666666657</v>
      </c>
      <c r="AZ15" s="532">
        <f t="shared" si="15"/>
        <v>0.84903617067359727</v>
      </c>
      <c r="BA15" s="533">
        <f t="shared" si="128"/>
        <v>0</v>
      </c>
      <c r="BB15" s="531"/>
      <c r="BC15" s="532">
        <f t="shared" si="16"/>
        <v>0</v>
      </c>
      <c r="BD15" s="533">
        <f t="shared" si="129"/>
        <v>0</v>
      </c>
      <c r="BE15" s="531"/>
      <c r="BF15" s="532">
        <f t="shared" si="17"/>
        <v>0</v>
      </c>
      <c r="BG15" s="533">
        <f t="shared" si="130"/>
        <v>0</v>
      </c>
      <c r="BH15" s="531"/>
      <c r="BI15" s="532">
        <f t="shared" si="18"/>
        <v>0</v>
      </c>
      <c r="BJ15" s="533">
        <f t="shared" si="131"/>
        <v>0</v>
      </c>
      <c r="BK15" s="531"/>
      <c r="BL15" s="532">
        <f t="shared" si="19"/>
        <v>0</v>
      </c>
      <c r="BM15" s="533">
        <f t="shared" si="132"/>
        <v>0</v>
      </c>
      <c r="BN15" s="531"/>
      <c r="BO15" s="532">
        <f t="shared" si="20"/>
        <v>0</v>
      </c>
      <c r="BP15" s="533">
        <f t="shared" si="133"/>
        <v>0</v>
      </c>
      <c r="BQ15" s="531"/>
      <c r="BR15" s="532">
        <f t="shared" si="21"/>
        <v>0</v>
      </c>
      <c r="BS15" s="533">
        <f t="shared" si="134"/>
        <v>0</v>
      </c>
      <c r="BT15" s="531"/>
      <c r="BU15" s="532">
        <f t="shared" si="22"/>
        <v>0</v>
      </c>
      <c r="BV15" s="533">
        <f t="shared" si="135"/>
        <v>0</v>
      </c>
      <c r="BW15" s="531"/>
      <c r="BX15" s="532">
        <f t="shared" si="23"/>
        <v>0</v>
      </c>
      <c r="BY15" s="533">
        <f t="shared" si="136"/>
        <v>0</v>
      </c>
      <c r="BZ15" s="531"/>
      <c r="CA15" s="532">
        <f t="shared" si="24"/>
        <v>0</v>
      </c>
      <c r="CB15" s="533">
        <f t="shared" si="137"/>
        <v>0</v>
      </c>
      <c r="CC15" s="531"/>
      <c r="CD15" s="532">
        <f t="shared" si="25"/>
        <v>0</v>
      </c>
      <c r="CE15" s="533">
        <f t="shared" si="138"/>
        <v>0</v>
      </c>
      <c r="CF15" s="531">
        <v>8.1</v>
      </c>
      <c r="CG15" s="532">
        <f t="shared" si="26"/>
        <v>0.21052631578947367</v>
      </c>
      <c r="CH15" s="533">
        <f t="shared" si="139"/>
        <v>0</v>
      </c>
      <c r="CI15" s="531"/>
      <c r="CJ15" s="532">
        <f t="shared" si="27"/>
        <v>0</v>
      </c>
      <c r="CK15" s="533">
        <f t="shared" si="140"/>
        <v>0</v>
      </c>
      <c r="CL15" s="531"/>
      <c r="CM15" s="532">
        <f t="shared" si="28"/>
        <v>0</v>
      </c>
      <c r="CN15" s="533">
        <f t="shared" si="141"/>
        <v>0</v>
      </c>
      <c r="CO15" s="531"/>
      <c r="CP15" s="532">
        <f t="shared" si="29"/>
        <v>0</v>
      </c>
      <c r="CQ15" s="533">
        <f t="shared" si="142"/>
        <v>0</v>
      </c>
      <c r="CR15" s="531"/>
      <c r="CS15" s="532">
        <f t="shared" si="30"/>
        <v>0</v>
      </c>
      <c r="CT15" s="533">
        <f t="shared" si="143"/>
        <v>0</v>
      </c>
      <c r="CU15" s="531"/>
      <c r="CV15" s="532">
        <f t="shared" si="31"/>
        <v>0</v>
      </c>
      <c r="CW15" s="533">
        <f t="shared" si="144"/>
        <v>0</v>
      </c>
      <c r="CX15" s="531"/>
      <c r="CY15" s="532">
        <f t="shared" si="32"/>
        <v>0</v>
      </c>
      <c r="CZ15" s="533">
        <f t="shared" si="145"/>
        <v>0</v>
      </c>
      <c r="DA15" s="531">
        <v>276.1627906976745</v>
      </c>
      <c r="DB15" s="532">
        <f t="shared" si="33"/>
        <v>7.1777203560149312</v>
      </c>
      <c r="DC15" s="533">
        <f t="shared" si="146"/>
        <v>0</v>
      </c>
      <c r="DD15" s="531"/>
      <c r="DE15" s="532">
        <f t="shared" si="34"/>
        <v>0</v>
      </c>
      <c r="DF15" s="533">
        <f t="shared" si="147"/>
        <v>0</v>
      </c>
      <c r="DG15" s="531"/>
      <c r="DH15" s="532">
        <f t="shared" si="35"/>
        <v>0</v>
      </c>
      <c r="DI15" s="533">
        <f t="shared" si="203"/>
        <v>0</v>
      </c>
      <c r="DJ15" s="531"/>
      <c r="DK15" s="532">
        <f t="shared" si="36"/>
        <v>0</v>
      </c>
      <c r="DL15" s="533">
        <f t="shared" si="148"/>
        <v>0</v>
      </c>
      <c r="DM15" s="531"/>
      <c r="DN15" s="532">
        <f t="shared" si="37"/>
        <v>0</v>
      </c>
      <c r="DO15" s="533">
        <f t="shared" si="149"/>
        <v>0</v>
      </c>
      <c r="DP15" s="531"/>
      <c r="DQ15" s="532">
        <f t="shared" si="38"/>
        <v>0</v>
      </c>
      <c r="DR15" s="533">
        <f t="shared" si="150"/>
        <v>0</v>
      </c>
      <c r="DS15" s="531"/>
      <c r="DT15" s="532">
        <f t="shared" si="39"/>
        <v>0</v>
      </c>
      <c r="DU15" s="533">
        <f t="shared" si="151"/>
        <v>0</v>
      </c>
      <c r="DV15" s="531"/>
      <c r="DW15" s="532">
        <f t="shared" si="40"/>
        <v>0</v>
      </c>
      <c r="DX15" s="533">
        <f t="shared" si="152"/>
        <v>0</v>
      </c>
      <c r="DY15" s="531">
        <v>2.1566265060240966</v>
      </c>
      <c r="DZ15" s="532">
        <f t="shared" si="41"/>
        <v>5.6052670721873851E-2</v>
      </c>
      <c r="EA15" s="533">
        <f t="shared" si="153"/>
        <v>0</v>
      </c>
      <c r="EB15" s="531"/>
      <c r="EC15" s="532">
        <f t="shared" si="42"/>
        <v>0</v>
      </c>
      <c r="ED15" s="533">
        <f t="shared" si="154"/>
        <v>0</v>
      </c>
      <c r="EE15" s="531">
        <v>23.482352941176487</v>
      </c>
      <c r="EF15" s="532">
        <f t="shared" si="43"/>
        <v>0.6103275618239502</v>
      </c>
      <c r="EG15" s="533">
        <f t="shared" si="155"/>
        <v>0</v>
      </c>
      <c r="EH15" s="531">
        <v>4</v>
      </c>
      <c r="EI15" s="532">
        <f t="shared" si="44"/>
        <v>0.10396361273554255</v>
      </c>
      <c r="EJ15" s="533">
        <f t="shared" si="156"/>
        <v>0</v>
      </c>
      <c r="EK15" s="531">
        <v>34.741917212195176</v>
      </c>
      <c r="EL15" s="532">
        <f t="shared" si="45"/>
        <v>0.90297380668473493</v>
      </c>
      <c r="EM15" s="533">
        <f t="shared" si="157"/>
        <v>0</v>
      </c>
      <c r="EN15" s="531">
        <v>581.39534883720921</v>
      </c>
      <c r="EO15" s="532">
        <f t="shared" si="46"/>
        <v>15.110990223189322</v>
      </c>
      <c r="EP15" s="533">
        <f t="shared" si="158"/>
        <v>0</v>
      </c>
      <c r="EQ15" s="531"/>
      <c r="ER15" s="532">
        <f t="shared" si="47"/>
        <v>0</v>
      </c>
      <c r="ES15" s="533">
        <f t="shared" si="159"/>
        <v>0</v>
      </c>
      <c r="ET15" s="531"/>
      <c r="EU15" s="532">
        <f t="shared" si="48"/>
        <v>0</v>
      </c>
      <c r="EV15" s="533">
        <f t="shared" si="160"/>
        <v>0</v>
      </c>
      <c r="EW15" s="531"/>
      <c r="EX15" s="532">
        <f t="shared" si="49"/>
        <v>0</v>
      </c>
      <c r="EY15" s="533">
        <f t="shared" si="161"/>
        <v>0</v>
      </c>
      <c r="EZ15" s="531"/>
      <c r="FA15" s="532">
        <f t="shared" si="50"/>
        <v>0</v>
      </c>
      <c r="FB15" s="533">
        <f t="shared" si="162"/>
        <v>0</v>
      </c>
      <c r="FC15" s="531"/>
      <c r="FD15" s="532">
        <f t="shared" si="51"/>
        <v>0</v>
      </c>
      <c r="FE15" s="533">
        <f t="shared" si="163"/>
        <v>0</v>
      </c>
      <c r="FF15" s="531"/>
      <c r="FG15" s="532">
        <f t="shared" si="52"/>
        <v>0</v>
      </c>
      <c r="FH15" s="533">
        <f t="shared" si="164"/>
        <v>0</v>
      </c>
      <c r="FI15" s="531"/>
      <c r="FJ15" s="532">
        <f t="shared" si="53"/>
        <v>0</v>
      </c>
      <c r="FK15" s="533">
        <f t="shared" si="165"/>
        <v>0</v>
      </c>
      <c r="FL15" s="531"/>
      <c r="FM15" s="532">
        <f t="shared" si="54"/>
        <v>0</v>
      </c>
      <c r="FN15" s="533">
        <f t="shared" si="166"/>
        <v>0</v>
      </c>
      <c r="FO15" s="531"/>
      <c r="FP15" s="532">
        <f t="shared" si="55"/>
        <v>0</v>
      </c>
      <c r="FQ15" s="533">
        <f t="shared" si="167"/>
        <v>0</v>
      </c>
      <c r="FR15" s="531"/>
      <c r="FS15" s="532">
        <f t="shared" si="56"/>
        <v>0</v>
      </c>
      <c r="FT15" s="533">
        <f t="shared" si="168"/>
        <v>0</v>
      </c>
      <c r="FU15" s="531"/>
      <c r="FV15" s="532">
        <f t="shared" si="57"/>
        <v>0</v>
      </c>
      <c r="FW15" s="533">
        <f t="shared" si="169"/>
        <v>0</v>
      </c>
      <c r="FX15" s="531"/>
      <c r="FY15" s="532">
        <f t="shared" si="58"/>
        <v>0</v>
      </c>
      <c r="FZ15" s="533">
        <f t="shared" si="170"/>
        <v>0</v>
      </c>
      <c r="GA15" s="531"/>
      <c r="GB15" s="532">
        <f t="shared" si="59"/>
        <v>0</v>
      </c>
      <c r="GC15" s="533">
        <f t="shared" si="171"/>
        <v>0</v>
      </c>
      <c r="GD15" s="531"/>
      <c r="GE15" s="532">
        <f t="shared" si="60"/>
        <v>0</v>
      </c>
      <c r="GF15" s="533">
        <f t="shared" si="172"/>
        <v>0</v>
      </c>
      <c r="GG15" s="531">
        <v>20</v>
      </c>
      <c r="GH15" s="532">
        <f t="shared" si="61"/>
        <v>0.51981806367771277</v>
      </c>
      <c r="GI15" s="533">
        <f t="shared" si="173"/>
        <v>0</v>
      </c>
      <c r="GJ15" s="531">
        <v>30</v>
      </c>
      <c r="GK15" s="532">
        <f t="shared" si="62"/>
        <v>0.77972709551656916</v>
      </c>
      <c r="GL15" s="533">
        <f t="shared" si="174"/>
        <v>0</v>
      </c>
      <c r="GM15" s="531"/>
      <c r="GN15" s="532">
        <f t="shared" si="63"/>
        <v>0</v>
      </c>
      <c r="GO15" s="533">
        <f t="shared" si="175"/>
        <v>0</v>
      </c>
      <c r="GP15" s="531">
        <v>30</v>
      </c>
      <c r="GQ15" s="532">
        <f t="shared" si="64"/>
        <v>0.77972709551656916</v>
      </c>
      <c r="GR15" s="533">
        <f t="shared" si="176"/>
        <v>0</v>
      </c>
      <c r="GS15" s="531">
        <v>170</v>
      </c>
      <c r="GT15" s="532">
        <f t="shared" si="65"/>
        <v>4.4184535412605586</v>
      </c>
      <c r="GU15" s="533">
        <f t="shared" si="177"/>
        <v>0</v>
      </c>
      <c r="GV15" s="531">
        <v>50</v>
      </c>
      <c r="GW15" s="532">
        <f t="shared" si="66"/>
        <v>1.2995451591942819</v>
      </c>
      <c r="GX15" s="533">
        <f t="shared" si="178"/>
        <v>0</v>
      </c>
      <c r="GY15" s="531"/>
      <c r="GZ15" s="532">
        <f t="shared" si="67"/>
        <v>0</v>
      </c>
      <c r="HA15" s="533">
        <f t="shared" si="179"/>
        <v>0</v>
      </c>
      <c r="HB15" s="531"/>
      <c r="HC15" s="532">
        <f t="shared" si="68"/>
        <v>0</v>
      </c>
      <c r="HD15" s="533">
        <f t="shared" si="180"/>
        <v>0</v>
      </c>
      <c r="HE15" s="531"/>
      <c r="HF15" s="532">
        <f t="shared" si="69"/>
        <v>0</v>
      </c>
      <c r="HG15" s="533">
        <f t="shared" si="181"/>
        <v>0</v>
      </c>
      <c r="HH15" s="531"/>
      <c r="HI15" s="532">
        <f t="shared" si="70"/>
        <v>0</v>
      </c>
      <c r="HJ15" s="533">
        <f t="shared" si="182"/>
        <v>0</v>
      </c>
      <c r="HK15" s="531"/>
      <c r="HL15" s="532">
        <f t="shared" si="71"/>
        <v>0</v>
      </c>
      <c r="HM15" s="533">
        <f t="shared" si="183"/>
        <v>0</v>
      </c>
      <c r="HN15" s="531">
        <v>1234</v>
      </c>
      <c r="HO15" s="532">
        <f t="shared" si="72"/>
        <v>32.072774528914877</v>
      </c>
      <c r="HP15" s="533">
        <f t="shared" si="184"/>
        <v>0</v>
      </c>
      <c r="HQ15" s="531"/>
      <c r="HR15" s="532">
        <f t="shared" si="73"/>
        <v>0</v>
      </c>
      <c r="HS15" s="533">
        <f t="shared" si="185"/>
        <v>0</v>
      </c>
      <c r="HT15" s="531"/>
      <c r="HU15" s="532">
        <f t="shared" si="74"/>
        <v>0</v>
      </c>
      <c r="HV15" s="533">
        <f t="shared" si="186"/>
        <v>0</v>
      </c>
      <c r="HW15" s="531"/>
      <c r="HX15" s="532">
        <f t="shared" si="75"/>
        <v>0</v>
      </c>
      <c r="HY15" s="533">
        <f t="shared" si="187"/>
        <v>0</v>
      </c>
      <c r="HZ15" s="531"/>
      <c r="IA15" s="532">
        <f t="shared" si="76"/>
        <v>0</v>
      </c>
      <c r="IB15" s="533">
        <f t="shared" si="188"/>
        <v>0</v>
      </c>
      <c r="IC15" s="531"/>
      <c r="ID15" s="532">
        <f t="shared" si="77"/>
        <v>0</v>
      </c>
      <c r="IE15" s="533">
        <f t="shared" si="189"/>
        <v>0</v>
      </c>
      <c r="IF15" s="531"/>
      <c r="IG15" s="532">
        <f t="shared" si="78"/>
        <v>0</v>
      </c>
      <c r="IH15" s="533">
        <f t="shared" si="190"/>
        <v>0</v>
      </c>
      <c r="II15" s="531">
        <v>35</v>
      </c>
      <c r="IJ15" s="532">
        <f t="shared" si="79"/>
        <v>0.90968161143599735</v>
      </c>
      <c r="IK15" s="533">
        <f t="shared" si="191"/>
        <v>0</v>
      </c>
      <c r="IL15" s="531"/>
      <c r="IM15" s="532">
        <f t="shared" si="80"/>
        <v>0</v>
      </c>
      <c r="IN15" s="533">
        <f t="shared" si="192"/>
        <v>0</v>
      </c>
      <c r="IO15" s="531"/>
      <c r="IP15" s="532">
        <f t="shared" si="81"/>
        <v>0</v>
      </c>
      <c r="IQ15" s="533">
        <f t="shared" si="193"/>
        <v>0</v>
      </c>
      <c r="IR15" s="531">
        <v>55</v>
      </c>
      <c r="IS15" s="532">
        <f t="shared" si="82"/>
        <v>1.4294996751137101</v>
      </c>
      <c r="IT15" s="533">
        <f t="shared" si="194"/>
        <v>0</v>
      </c>
      <c r="IU15" s="531"/>
      <c r="IV15" s="532">
        <f t="shared" si="83"/>
        <v>0</v>
      </c>
      <c r="IW15" s="533">
        <f t="shared" si="195"/>
        <v>0</v>
      </c>
      <c r="IX15" s="531"/>
      <c r="IY15" s="532">
        <f t="shared" si="84"/>
        <v>0</v>
      </c>
      <c r="IZ15" s="533">
        <f t="shared" si="196"/>
        <v>0</v>
      </c>
      <c r="JA15" s="531"/>
      <c r="JB15" s="532">
        <f t="shared" si="85"/>
        <v>0</v>
      </c>
      <c r="JC15" s="533">
        <f t="shared" si="197"/>
        <v>0</v>
      </c>
      <c r="JD15" s="531"/>
      <c r="JE15" s="532">
        <f t="shared" si="86"/>
        <v>0</v>
      </c>
      <c r="JF15" s="533">
        <f t="shared" si="198"/>
        <v>0</v>
      </c>
      <c r="JG15" s="531"/>
      <c r="JH15" s="532">
        <f t="shared" si="87"/>
        <v>0</v>
      </c>
      <c r="JI15" s="533">
        <f t="shared" si="199"/>
        <v>0</v>
      </c>
      <c r="JJ15" s="531">
        <v>30</v>
      </c>
      <c r="JK15" s="533" t="str">
        <f t="shared" si="88"/>
        <v>0</v>
      </c>
      <c r="JL15" s="533" t="str">
        <f t="shared" si="89"/>
        <v>0</v>
      </c>
      <c r="JM15" s="531"/>
      <c r="JN15" s="533" t="str">
        <f t="shared" si="90"/>
        <v>0</v>
      </c>
      <c r="JO15" s="533" t="str">
        <f t="shared" si="91"/>
        <v>0</v>
      </c>
      <c r="JP15" s="531"/>
      <c r="JQ15" s="533" t="str">
        <f t="shared" si="92"/>
        <v>0</v>
      </c>
      <c r="JR15" s="533" t="str">
        <f t="shared" si="93"/>
        <v>0</v>
      </c>
      <c r="JS15" s="531"/>
      <c r="JT15" s="533" t="str">
        <f t="shared" si="94"/>
        <v>0</v>
      </c>
      <c r="JU15" s="533" t="str">
        <f t="shared" si="95"/>
        <v>0</v>
      </c>
      <c r="JV15" s="531"/>
      <c r="JW15" s="533" t="str">
        <f t="shared" si="96"/>
        <v>0</v>
      </c>
      <c r="JX15" s="533" t="str">
        <f t="shared" si="97"/>
        <v>0</v>
      </c>
      <c r="JY15" s="531"/>
      <c r="JZ15" s="533" t="str">
        <f t="shared" si="98"/>
        <v>0</v>
      </c>
      <c r="KA15" s="533" t="str">
        <f t="shared" si="99"/>
        <v>0</v>
      </c>
      <c r="KB15" s="531"/>
      <c r="KC15" s="533" t="str">
        <f t="shared" si="100"/>
        <v>0</v>
      </c>
      <c r="KD15" s="533" t="str">
        <f t="shared" si="101"/>
        <v>0</v>
      </c>
      <c r="KE15" s="531"/>
      <c r="KF15" s="533" t="str">
        <f t="shared" si="102"/>
        <v>0</v>
      </c>
      <c r="KG15" s="533" t="str">
        <f t="shared" si="103"/>
        <v>0</v>
      </c>
      <c r="KH15" s="531"/>
      <c r="KI15" s="533" t="str">
        <f t="shared" si="104"/>
        <v>0</v>
      </c>
      <c r="KJ15" s="533" t="str">
        <f t="shared" si="105"/>
        <v>0</v>
      </c>
      <c r="KK15" s="531"/>
      <c r="KL15" s="533" t="str">
        <f t="shared" si="106"/>
        <v>0</v>
      </c>
      <c r="KM15" s="533" t="str">
        <f t="shared" si="107"/>
        <v>0</v>
      </c>
      <c r="KN15" s="531"/>
      <c r="KO15" s="533" t="str">
        <f t="shared" si="108"/>
        <v>0</v>
      </c>
      <c r="KP15" s="533" t="str">
        <f t="shared" si="109"/>
        <v>0</v>
      </c>
      <c r="KQ15" s="531"/>
      <c r="KR15" s="533" t="str">
        <f t="shared" si="110"/>
        <v>0</v>
      </c>
      <c r="KS15" s="533" t="str">
        <f t="shared" si="111"/>
        <v>0</v>
      </c>
      <c r="KT15" s="533">
        <f t="shared" si="201"/>
        <v>0</v>
      </c>
      <c r="KU15" s="533">
        <f t="shared" si="202"/>
        <v>0</v>
      </c>
      <c r="KV15" s="271">
        <f t="shared" si="112"/>
        <v>2051.9978540237371</v>
      </c>
    </row>
    <row r="16" spans="1:308" ht="15" customHeight="1">
      <c r="A16" s="273">
        <f t="shared" si="200"/>
        <v>46030</v>
      </c>
      <c r="B16" s="274" t="str">
        <f>+Report1!B16</f>
        <v>Towel/Napkin</v>
      </c>
      <c r="C16" s="274" t="str">
        <f>+Report1!C16</f>
        <v>14/35,5/29/15,5</v>
      </c>
      <c r="D16" s="275">
        <f>+Report1!P16</f>
        <v>50.231000000000002</v>
      </c>
      <c r="E16" s="276">
        <f>+Report1!R16</f>
        <v>43.527000000000001</v>
      </c>
      <c r="F16" s="531"/>
      <c r="G16" s="532">
        <f t="shared" si="0"/>
        <v>0</v>
      </c>
      <c r="H16" s="533">
        <f t="shared" si="113"/>
        <v>0</v>
      </c>
      <c r="I16" s="531"/>
      <c r="J16" s="532">
        <f t="shared" si="1"/>
        <v>0</v>
      </c>
      <c r="K16" s="533">
        <f t="shared" si="114"/>
        <v>0</v>
      </c>
      <c r="L16" s="531"/>
      <c r="M16" s="532">
        <f t="shared" si="2"/>
        <v>0</v>
      </c>
      <c r="N16" s="533">
        <f t="shared" si="115"/>
        <v>0</v>
      </c>
      <c r="O16" s="531">
        <v>9</v>
      </c>
      <c r="P16" s="532">
        <f t="shared" si="3"/>
        <v>0.20676821283341373</v>
      </c>
      <c r="Q16" s="533">
        <f t="shared" si="116"/>
        <v>0</v>
      </c>
      <c r="R16" s="531"/>
      <c r="S16" s="532">
        <f t="shared" si="4"/>
        <v>0</v>
      </c>
      <c r="T16" s="533">
        <f t="shared" si="117"/>
        <v>0</v>
      </c>
      <c r="U16" s="531">
        <v>7.6875000000000142</v>
      </c>
      <c r="V16" s="532">
        <f t="shared" si="5"/>
        <v>0.17661451512854123</v>
      </c>
      <c r="W16" s="533">
        <f t="shared" si="118"/>
        <v>0</v>
      </c>
      <c r="X16" s="531"/>
      <c r="Y16" s="532">
        <f t="shared" si="6"/>
        <v>0</v>
      </c>
      <c r="Z16" s="533">
        <f t="shared" si="119"/>
        <v>0</v>
      </c>
      <c r="AA16" s="531"/>
      <c r="AB16" s="532">
        <f t="shared" si="7"/>
        <v>0</v>
      </c>
      <c r="AC16" s="533">
        <f t="shared" si="120"/>
        <v>0</v>
      </c>
      <c r="AD16" s="531"/>
      <c r="AE16" s="532">
        <f t="shared" si="8"/>
        <v>0</v>
      </c>
      <c r="AF16" s="533">
        <f t="shared" si="121"/>
        <v>0</v>
      </c>
      <c r="AG16" s="531"/>
      <c r="AH16" s="532">
        <f t="shared" si="9"/>
        <v>0</v>
      </c>
      <c r="AI16" s="533">
        <f t="shared" si="122"/>
        <v>0</v>
      </c>
      <c r="AJ16" s="531">
        <v>44.0625</v>
      </c>
      <c r="AK16" s="532">
        <f t="shared" si="10"/>
        <v>1.0123027086635881</v>
      </c>
      <c r="AL16" s="533">
        <f t="shared" si="123"/>
        <v>0</v>
      </c>
      <c r="AM16" s="531"/>
      <c r="AN16" s="532">
        <f t="shared" si="11"/>
        <v>0</v>
      </c>
      <c r="AO16" s="533">
        <f t="shared" si="124"/>
        <v>0</v>
      </c>
      <c r="AP16" s="531"/>
      <c r="AQ16" s="532">
        <f t="shared" si="12"/>
        <v>0</v>
      </c>
      <c r="AR16" s="533">
        <f t="shared" si="125"/>
        <v>0</v>
      </c>
      <c r="AS16" s="531"/>
      <c r="AT16" s="532">
        <f t="shared" si="13"/>
        <v>0</v>
      </c>
      <c r="AU16" s="533">
        <f t="shared" si="126"/>
        <v>0</v>
      </c>
      <c r="AV16" s="531"/>
      <c r="AW16" s="532">
        <f t="shared" si="14"/>
        <v>0</v>
      </c>
      <c r="AX16" s="533">
        <f t="shared" si="127"/>
        <v>0</v>
      </c>
      <c r="AY16" s="531">
        <v>28</v>
      </c>
      <c r="AZ16" s="532">
        <f t="shared" si="15"/>
        <v>0.64327888437062053</v>
      </c>
      <c r="BA16" s="533">
        <f t="shared" si="128"/>
        <v>0</v>
      </c>
      <c r="BB16" s="531"/>
      <c r="BC16" s="532">
        <f t="shared" si="16"/>
        <v>0</v>
      </c>
      <c r="BD16" s="533">
        <f t="shared" si="129"/>
        <v>0</v>
      </c>
      <c r="BE16" s="531"/>
      <c r="BF16" s="532">
        <f t="shared" si="17"/>
        <v>0</v>
      </c>
      <c r="BG16" s="533">
        <f t="shared" si="130"/>
        <v>0</v>
      </c>
      <c r="BH16" s="531"/>
      <c r="BI16" s="532">
        <f t="shared" si="18"/>
        <v>0</v>
      </c>
      <c r="BJ16" s="533">
        <f t="shared" si="131"/>
        <v>0</v>
      </c>
      <c r="BK16" s="531"/>
      <c r="BL16" s="532">
        <f t="shared" si="19"/>
        <v>0</v>
      </c>
      <c r="BM16" s="533">
        <f t="shared" si="132"/>
        <v>0</v>
      </c>
      <c r="BN16" s="531"/>
      <c r="BO16" s="532">
        <f t="shared" si="20"/>
        <v>0</v>
      </c>
      <c r="BP16" s="533">
        <f t="shared" si="133"/>
        <v>0</v>
      </c>
      <c r="BQ16" s="531"/>
      <c r="BR16" s="532">
        <f t="shared" si="21"/>
        <v>0</v>
      </c>
      <c r="BS16" s="533">
        <f t="shared" si="134"/>
        <v>0</v>
      </c>
      <c r="BT16" s="531"/>
      <c r="BU16" s="532">
        <f t="shared" si="22"/>
        <v>0</v>
      </c>
      <c r="BV16" s="533">
        <f t="shared" si="135"/>
        <v>0</v>
      </c>
      <c r="BW16" s="531"/>
      <c r="BX16" s="532">
        <f t="shared" si="23"/>
        <v>0</v>
      </c>
      <c r="BY16" s="533">
        <f t="shared" si="136"/>
        <v>0</v>
      </c>
      <c r="BZ16" s="531"/>
      <c r="CA16" s="532">
        <f t="shared" si="24"/>
        <v>0</v>
      </c>
      <c r="CB16" s="533">
        <f t="shared" si="137"/>
        <v>0</v>
      </c>
      <c r="CC16" s="531"/>
      <c r="CD16" s="532">
        <f t="shared" si="25"/>
        <v>0</v>
      </c>
      <c r="CE16" s="533">
        <f t="shared" si="138"/>
        <v>0</v>
      </c>
      <c r="CF16" s="531">
        <v>8.1</v>
      </c>
      <c r="CG16" s="532">
        <f t="shared" si="26"/>
        <v>0.18609139155007234</v>
      </c>
      <c r="CH16" s="533">
        <f t="shared" si="139"/>
        <v>0</v>
      </c>
      <c r="CI16" s="531"/>
      <c r="CJ16" s="532">
        <f t="shared" si="27"/>
        <v>0</v>
      </c>
      <c r="CK16" s="533">
        <f t="shared" si="140"/>
        <v>0</v>
      </c>
      <c r="CL16" s="531"/>
      <c r="CM16" s="532">
        <f t="shared" si="28"/>
        <v>0</v>
      </c>
      <c r="CN16" s="533">
        <f t="shared" si="141"/>
        <v>0</v>
      </c>
      <c r="CO16" s="531"/>
      <c r="CP16" s="532">
        <f t="shared" si="29"/>
        <v>0</v>
      </c>
      <c r="CQ16" s="533">
        <f t="shared" si="142"/>
        <v>0</v>
      </c>
      <c r="CR16" s="531"/>
      <c r="CS16" s="532">
        <f t="shared" si="30"/>
        <v>0</v>
      </c>
      <c r="CT16" s="533">
        <f t="shared" si="143"/>
        <v>0</v>
      </c>
      <c r="CU16" s="531"/>
      <c r="CV16" s="532">
        <f t="shared" si="31"/>
        <v>0</v>
      </c>
      <c r="CW16" s="533">
        <f t="shared" si="144"/>
        <v>0</v>
      </c>
      <c r="CX16" s="531"/>
      <c r="CY16" s="532">
        <f t="shared" si="32"/>
        <v>0</v>
      </c>
      <c r="CZ16" s="533">
        <f t="shared" si="145"/>
        <v>0</v>
      </c>
      <c r="DA16" s="531"/>
      <c r="DB16" s="532">
        <f t="shared" si="33"/>
        <v>0</v>
      </c>
      <c r="DC16" s="533">
        <f t="shared" si="146"/>
        <v>0</v>
      </c>
      <c r="DD16" s="531"/>
      <c r="DE16" s="532">
        <f t="shared" si="34"/>
        <v>0</v>
      </c>
      <c r="DF16" s="533">
        <f t="shared" si="147"/>
        <v>0</v>
      </c>
      <c r="DG16" s="531"/>
      <c r="DH16" s="532">
        <f t="shared" si="35"/>
        <v>0</v>
      </c>
      <c r="DI16" s="533">
        <f t="shared" si="203"/>
        <v>0</v>
      </c>
      <c r="DJ16" s="531"/>
      <c r="DK16" s="532">
        <f t="shared" si="36"/>
        <v>0</v>
      </c>
      <c r="DL16" s="533">
        <f t="shared" si="148"/>
        <v>0</v>
      </c>
      <c r="DM16" s="531"/>
      <c r="DN16" s="532">
        <f t="shared" si="37"/>
        <v>0</v>
      </c>
      <c r="DO16" s="533">
        <f t="shared" si="149"/>
        <v>0</v>
      </c>
      <c r="DP16" s="531"/>
      <c r="DQ16" s="532">
        <f t="shared" si="38"/>
        <v>0</v>
      </c>
      <c r="DR16" s="533">
        <f t="shared" si="150"/>
        <v>0</v>
      </c>
      <c r="DS16" s="531"/>
      <c r="DT16" s="532">
        <f t="shared" si="39"/>
        <v>0</v>
      </c>
      <c r="DU16" s="533">
        <f t="shared" si="151"/>
        <v>0</v>
      </c>
      <c r="DV16" s="531"/>
      <c r="DW16" s="532">
        <f t="shared" si="40"/>
        <v>0</v>
      </c>
      <c r="DX16" s="533">
        <f t="shared" si="152"/>
        <v>0</v>
      </c>
      <c r="DY16" s="531"/>
      <c r="DZ16" s="532">
        <f t="shared" si="41"/>
        <v>0</v>
      </c>
      <c r="EA16" s="533">
        <f t="shared" si="153"/>
        <v>0</v>
      </c>
      <c r="EB16" s="531"/>
      <c r="EC16" s="532">
        <f t="shared" si="42"/>
        <v>0</v>
      </c>
      <c r="ED16" s="533">
        <f t="shared" si="154"/>
        <v>0</v>
      </c>
      <c r="EE16" s="531">
        <v>105.67058823529408</v>
      </c>
      <c r="EF16" s="532">
        <f t="shared" si="43"/>
        <v>2.4277020753852567</v>
      </c>
      <c r="EG16" s="533">
        <f t="shared" si="155"/>
        <v>0</v>
      </c>
      <c r="EH16" s="531">
        <v>4</v>
      </c>
      <c r="EI16" s="532">
        <f t="shared" si="44"/>
        <v>9.1896983481517217E-2</v>
      </c>
      <c r="EJ16" s="533">
        <f t="shared" si="156"/>
        <v>0</v>
      </c>
      <c r="EK16" s="531">
        <v>60.975609756097583</v>
      </c>
      <c r="EL16" s="532">
        <f t="shared" si="45"/>
        <v>1.4008686506328849</v>
      </c>
      <c r="EM16" s="533">
        <f t="shared" si="157"/>
        <v>0</v>
      </c>
      <c r="EN16" s="531">
        <v>686.04651162790708</v>
      </c>
      <c r="EO16" s="532">
        <f t="shared" si="46"/>
        <v>15.761401236655571</v>
      </c>
      <c r="EP16" s="533">
        <f t="shared" si="158"/>
        <v>0</v>
      </c>
      <c r="EQ16" s="531"/>
      <c r="ER16" s="532">
        <f t="shared" si="47"/>
        <v>0</v>
      </c>
      <c r="ES16" s="533">
        <f t="shared" si="159"/>
        <v>0</v>
      </c>
      <c r="ET16" s="531"/>
      <c r="EU16" s="532">
        <f t="shared" si="48"/>
        <v>0</v>
      </c>
      <c r="EV16" s="533">
        <f t="shared" si="160"/>
        <v>0</v>
      </c>
      <c r="EW16" s="531"/>
      <c r="EX16" s="532">
        <f t="shared" si="49"/>
        <v>0</v>
      </c>
      <c r="EY16" s="533">
        <f t="shared" si="161"/>
        <v>0</v>
      </c>
      <c r="EZ16" s="531"/>
      <c r="FA16" s="532">
        <f t="shared" si="50"/>
        <v>0</v>
      </c>
      <c r="FB16" s="533">
        <f t="shared" si="162"/>
        <v>0</v>
      </c>
      <c r="FC16" s="531"/>
      <c r="FD16" s="532">
        <f t="shared" si="51"/>
        <v>0</v>
      </c>
      <c r="FE16" s="533">
        <f t="shared" si="163"/>
        <v>0</v>
      </c>
      <c r="FF16" s="531"/>
      <c r="FG16" s="532">
        <f t="shared" si="52"/>
        <v>0</v>
      </c>
      <c r="FH16" s="533">
        <f t="shared" si="164"/>
        <v>0</v>
      </c>
      <c r="FI16" s="531"/>
      <c r="FJ16" s="532">
        <f t="shared" si="53"/>
        <v>0</v>
      </c>
      <c r="FK16" s="533">
        <f t="shared" si="165"/>
        <v>0</v>
      </c>
      <c r="FL16" s="531"/>
      <c r="FM16" s="532">
        <f t="shared" si="54"/>
        <v>0</v>
      </c>
      <c r="FN16" s="533">
        <f t="shared" si="166"/>
        <v>0</v>
      </c>
      <c r="FO16" s="531"/>
      <c r="FP16" s="532">
        <f t="shared" si="55"/>
        <v>0</v>
      </c>
      <c r="FQ16" s="533">
        <f t="shared" si="167"/>
        <v>0</v>
      </c>
      <c r="FR16" s="531"/>
      <c r="FS16" s="532">
        <f t="shared" si="56"/>
        <v>0</v>
      </c>
      <c r="FT16" s="533">
        <f t="shared" si="168"/>
        <v>0</v>
      </c>
      <c r="FU16" s="531"/>
      <c r="FV16" s="532">
        <f t="shared" si="57"/>
        <v>0</v>
      </c>
      <c r="FW16" s="533">
        <f t="shared" si="169"/>
        <v>0</v>
      </c>
      <c r="FX16" s="531"/>
      <c r="FY16" s="532">
        <f t="shared" si="58"/>
        <v>0</v>
      </c>
      <c r="FZ16" s="533">
        <f t="shared" si="170"/>
        <v>0</v>
      </c>
      <c r="GA16" s="531"/>
      <c r="GB16" s="532">
        <f t="shared" si="59"/>
        <v>0</v>
      </c>
      <c r="GC16" s="533">
        <f t="shared" si="171"/>
        <v>0</v>
      </c>
      <c r="GD16" s="531"/>
      <c r="GE16" s="532">
        <f t="shared" si="60"/>
        <v>0</v>
      </c>
      <c r="GF16" s="533">
        <f t="shared" si="172"/>
        <v>0</v>
      </c>
      <c r="GG16" s="531">
        <v>20</v>
      </c>
      <c r="GH16" s="532">
        <f t="shared" si="61"/>
        <v>0.45948491740758607</v>
      </c>
      <c r="GI16" s="533">
        <f t="shared" si="173"/>
        <v>0</v>
      </c>
      <c r="GJ16" s="531">
        <v>30</v>
      </c>
      <c r="GK16" s="532">
        <f t="shared" si="62"/>
        <v>0.68922737611137908</v>
      </c>
      <c r="GL16" s="533">
        <f t="shared" si="174"/>
        <v>0</v>
      </c>
      <c r="GM16" s="531"/>
      <c r="GN16" s="532">
        <f t="shared" si="63"/>
        <v>0</v>
      </c>
      <c r="GO16" s="533">
        <f t="shared" si="175"/>
        <v>0</v>
      </c>
      <c r="GP16" s="531">
        <v>30</v>
      </c>
      <c r="GQ16" s="532">
        <f t="shared" si="64"/>
        <v>0.68922737611137908</v>
      </c>
      <c r="GR16" s="533">
        <f t="shared" si="176"/>
        <v>0</v>
      </c>
      <c r="GS16" s="531">
        <v>180</v>
      </c>
      <c r="GT16" s="532">
        <f t="shared" si="65"/>
        <v>4.1353642566682751</v>
      </c>
      <c r="GU16" s="533">
        <f t="shared" si="177"/>
        <v>0</v>
      </c>
      <c r="GV16" s="531">
        <v>50</v>
      </c>
      <c r="GW16" s="532">
        <f t="shared" si="66"/>
        <v>1.1487122935189653</v>
      </c>
      <c r="GX16" s="533">
        <f t="shared" si="178"/>
        <v>0</v>
      </c>
      <c r="GY16" s="531"/>
      <c r="GZ16" s="532">
        <f t="shared" si="67"/>
        <v>0</v>
      </c>
      <c r="HA16" s="533">
        <f t="shared" si="179"/>
        <v>0</v>
      </c>
      <c r="HB16" s="531"/>
      <c r="HC16" s="532">
        <f t="shared" si="68"/>
        <v>0</v>
      </c>
      <c r="HD16" s="533">
        <f t="shared" si="180"/>
        <v>0</v>
      </c>
      <c r="HE16" s="531"/>
      <c r="HF16" s="532">
        <f t="shared" si="69"/>
        <v>0</v>
      </c>
      <c r="HG16" s="533">
        <f t="shared" si="181"/>
        <v>0</v>
      </c>
      <c r="HH16" s="531"/>
      <c r="HI16" s="532">
        <f t="shared" si="70"/>
        <v>0</v>
      </c>
      <c r="HJ16" s="533">
        <f t="shared" si="182"/>
        <v>0</v>
      </c>
      <c r="HK16" s="531"/>
      <c r="HL16" s="532">
        <f t="shared" si="71"/>
        <v>0</v>
      </c>
      <c r="HM16" s="533">
        <f t="shared" si="183"/>
        <v>0</v>
      </c>
      <c r="HN16" s="531">
        <v>1234</v>
      </c>
      <c r="HO16" s="532">
        <f t="shared" si="72"/>
        <v>28.350219404048062</v>
      </c>
      <c r="HP16" s="533">
        <f t="shared" si="184"/>
        <v>0</v>
      </c>
      <c r="HQ16" s="531"/>
      <c r="HR16" s="532">
        <f t="shared" si="73"/>
        <v>0</v>
      </c>
      <c r="HS16" s="533">
        <f t="shared" si="185"/>
        <v>0</v>
      </c>
      <c r="HT16" s="531"/>
      <c r="HU16" s="532">
        <f t="shared" si="74"/>
        <v>0</v>
      </c>
      <c r="HV16" s="533">
        <f t="shared" si="186"/>
        <v>0</v>
      </c>
      <c r="HW16" s="531"/>
      <c r="HX16" s="532">
        <f t="shared" si="75"/>
        <v>0</v>
      </c>
      <c r="HY16" s="533">
        <f t="shared" si="187"/>
        <v>0</v>
      </c>
      <c r="HZ16" s="531"/>
      <c r="IA16" s="532">
        <f t="shared" si="76"/>
        <v>0</v>
      </c>
      <c r="IB16" s="533">
        <f t="shared" si="188"/>
        <v>0</v>
      </c>
      <c r="IC16" s="531"/>
      <c r="ID16" s="532">
        <f t="shared" si="77"/>
        <v>0</v>
      </c>
      <c r="IE16" s="533">
        <f t="shared" si="189"/>
        <v>0</v>
      </c>
      <c r="IF16" s="531"/>
      <c r="IG16" s="532">
        <f t="shared" si="78"/>
        <v>0</v>
      </c>
      <c r="IH16" s="533">
        <f t="shared" si="190"/>
        <v>0</v>
      </c>
      <c r="II16" s="531">
        <v>35</v>
      </c>
      <c r="IJ16" s="532">
        <f t="shared" si="79"/>
        <v>0.80409860546327561</v>
      </c>
      <c r="IK16" s="533">
        <f t="shared" si="191"/>
        <v>0</v>
      </c>
      <c r="IL16" s="531"/>
      <c r="IM16" s="532">
        <f t="shared" si="80"/>
        <v>0</v>
      </c>
      <c r="IN16" s="533">
        <f t="shared" si="192"/>
        <v>0</v>
      </c>
      <c r="IO16" s="531"/>
      <c r="IP16" s="532">
        <f t="shared" si="81"/>
        <v>0</v>
      </c>
      <c r="IQ16" s="533">
        <f t="shared" si="193"/>
        <v>0</v>
      </c>
      <c r="IR16" s="531">
        <v>55</v>
      </c>
      <c r="IS16" s="532">
        <f t="shared" si="82"/>
        <v>1.2635835228708618</v>
      </c>
      <c r="IT16" s="533">
        <f t="shared" si="194"/>
        <v>0</v>
      </c>
      <c r="IU16" s="531"/>
      <c r="IV16" s="532">
        <f t="shared" si="83"/>
        <v>0</v>
      </c>
      <c r="IW16" s="533">
        <f t="shared" si="195"/>
        <v>0</v>
      </c>
      <c r="IX16" s="531"/>
      <c r="IY16" s="532">
        <f t="shared" si="84"/>
        <v>0</v>
      </c>
      <c r="IZ16" s="533">
        <f t="shared" si="196"/>
        <v>0</v>
      </c>
      <c r="JA16" s="531"/>
      <c r="JB16" s="532">
        <f t="shared" si="85"/>
        <v>0</v>
      </c>
      <c r="JC16" s="533">
        <f t="shared" si="197"/>
        <v>0</v>
      </c>
      <c r="JD16" s="531"/>
      <c r="JE16" s="532">
        <f t="shared" si="86"/>
        <v>0</v>
      </c>
      <c r="JF16" s="533">
        <f t="shared" si="198"/>
        <v>0</v>
      </c>
      <c r="JG16" s="531"/>
      <c r="JH16" s="532">
        <f t="shared" si="87"/>
        <v>0</v>
      </c>
      <c r="JI16" s="533">
        <f t="shared" si="199"/>
        <v>0</v>
      </c>
      <c r="JJ16" s="531">
        <v>30</v>
      </c>
      <c r="JK16" s="533" t="str">
        <f t="shared" si="88"/>
        <v>0</v>
      </c>
      <c r="JL16" s="533" t="str">
        <f t="shared" si="89"/>
        <v>0</v>
      </c>
      <c r="JM16" s="531"/>
      <c r="JN16" s="533" t="str">
        <f t="shared" si="90"/>
        <v>0</v>
      </c>
      <c r="JO16" s="533" t="str">
        <f t="shared" si="91"/>
        <v>0</v>
      </c>
      <c r="JP16" s="531"/>
      <c r="JQ16" s="533" t="str">
        <f t="shared" si="92"/>
        <v>0</v>
      </c>
      <c r="JR16" s="533" t="str">
        <f t="shared" si="93"/>
        <v>0</v>
      </c>
      <c r="JS16" s="531"/>
      <c r="JT16" s="533" t="str">
        <f t="shared" si="94"/>
        <v>0</v>
      </c>
      <c r="JU16" s="533" t="str">
        <f t="shared" si="95"/>
        <v>0</v>
      </c>
      <c r="JV16" s="531"/>
      <c r="JW16" s="533" t="str">
        <f t="shared" si="96"/>
        <v>0</v>
      </c>
      <c r="JX16" s="533" t="str">
        <f t="shared" si="97"/>
        <v>0</v>
      </c>
      <c r="JY16" s="531"/>
      <c r="JZ16" s="533" t="str">
        <f t="shared" si="98"/>
        <v>0</v>
      </c>
      <c r="KA16" s="533" t="str">
        <f t="shared" si="99"/>
        <v>0</v>
      </c>
      <c r="KB16" s="531"/>
      <c r="KC16" s="533" t="str">
        <f t="shared" si="100"/>
        <v>0</v>
      </c>
      <c r="KD16" s="533" t="str">
        <f t="shared" si="101"/>
        <v>0</v>
      </c>
      <c r="KE16" s="531"/>
      <c r="KF16" s="533" t="str">
        <f t="shared" si="102"/>
        <v>0</v>
      </c>
      <c r="KG16" s="533" t="str">
        <f t="shared" si="103"/>
        <v>0</v>
      </c>
      <c r="KH16" s="531"/>
      <c r="KI16" s="533" t="str">
        <f t="shared" si="104"/>
        <v>0</v>
      </c>
      <c r="KJ16" s="533" t="str">
        <f t="shared" si="105"/>
        <v>0</v>
      </c>
      <c r="KK16" s="531"/>
      <c r="KL16" s="533" t="str">
        <f t="shared" si="106"/>
        <v>0</v>
      </c>
      <c r="KM16" s="533" t="str">
        <f t="shared" si="107"/>
        <v>0</v>
      </c>
      <c r="KN16" s="531"/>
      <c r="KO16" s="533" t="str">
        <f t="shared" si="108"/>
        <v>0</v>
      </c>
      <c r="KP16" s="533" t="str">
        <f t="shared" si="109"/>
        <v>0</v>
      </c>
      <c r="KQ16" s="531"/>
      <c r="KR16" s="533" t="str">
        <f t="shared" si="110"/>
        <v>0</v>
      </c>
      <c r="KS16" s="533" t="str">
        <f t="shared" si="111"/>
        <v>0</v>
      </c>
      <c r="KT16" s="533">
        <f t="shared" si="201"/>
        <v>0</v>
      </c>
      <c r="KU16" s="533">
        <f t="shared" si="202"/>
        <v>0</v>
      </c>
      <c r="KV16" s="271">
        <f t="shared" si="112"/>
        <v>1931.4961979913915</v>
      </c>
    </row>
    <row r="17" spans="1:309" ht="15" customHeight="1">
      <c r="A17" s="273">
        <f t="shared" si="200"/>
        <v>46031</v>
      </c>
      <c r="B17" s="274" t="str">
        <f>+Report1!B17</f>
        <v>Napkin/Facial/Toilet</v>
      </c>
      <c r="C17" s="274" t="str">
        <f>+Report1!C17</f>
        <v>15,5/14/13,5</v>
      </c>
      <c r="D17" s="275">
        <f>+Report1!P17</f>
        <v>46.224000000000004</v>
      </c>
      <c r="E17" s="276">
        <f>+Report1!R17</f>
        <v>50.356000000000002</v>
      </c>
      <c r="F17" s="531"/>
      <c r="G17" s="532">
        <f t="shared" si="0"/>
        <v>0</v>
      </c>
      <c r="H17" s="533">
        <f t="shared" si="113"/>
        <v>0</v>
      </c>
      <c r="I17" s="531"/>
      <c r="J17" s="532">
        <f t="shared" si="1"/>
        <v>0</v>
      </c>
      <c r="K17" s="533">
        <f t="shared" si="114"/>
        <v>0</v>
      </c>
      <c r="L17" s="531"/>
      <c r="M17" s="532">
        <f t="shared" si="2"/>
        <v>0</v>
      </c>
      <c r="N17" s="533">
        <f t="shared" si="115"/>
        <v>0</v>
      </c>
      <c r="O17" s="531">
        <v>9</v>
      </c>
      <c r="P17" s="532">
        <f t="shared" si="3"/>
        <v>0.17872746048137261</v>
      </c>
      <c r="Q17" s="533">
        <f t="shared" si="116"/>
        <v>0</v>
      </c>
      <c r="R17" s="531"/>
      <c r="S17" s="532">
        <f t="shared" si="4"/>
        <v>0</v>
      </c>
      <c r="T17" s="533">
        <f t="shared" si="117"/>
        <v>0</v>
      </c>
      <c r="U17" s="531">
        <v>7.6875</v>
      </c>
      <c r="V17" s="532">
        <f t="shared" si="5"/>
        <v>0.15266303916117244</v>
      </c>
      <c r="W17" s="533">
        <f t="shared" si="118"/>
        <v>0</v>
      </c>
      <c r="X17" s="531"/>
      <c r="Y17" s="532">
        <f t="shared" si="6"/>
        <v>0</v>
      </c>
      <c r="Z17" s="533">
        <f t="shared" si="119"/>
        <v>0</v>
      </c>
      <c r="AA17" s="531"/>
      <c r="AB17" s="532">
        <f t="shared" si="7"/>
        <v>0</v>
      </c>
      <c r="AC17" s="533">
        <f t="shared" si="120"/>
        <v>0</v>
      </c>
      <c r="AD17" s="531"/>
      <c r="AE17" s="532">
        <f t="shared" si="8"/>
        <v>0</v>
      </c>
      <c r="AF17" s="533">
        <f t="shared" si="121"/>
        <v>0</v>
      </c>
      <c r="AG17" s="531"/>
      <c r="AH17" s="532">
        <f t="shared" si="9"/>
        <v>0</v>
      </c>
      <c r="AI17" s="533">
        <f t="shared" si="122"/>
        <v>0</v>
      </c>
      <c r="AJ17" s="531">
        <v>44.0625</v>
      </c>
      <c r="AK17" s="532">
        <f t="shared" si="10"/>
        <v>0.87501985860672016</v>
      </c>
      <c r="AL17" s="533">
        <f t="shared" si="123"/>
        <v>0</v>
      </c>
      <c r="AM17" s="531"/>
      <c r="AN17" s="532">
        <f t="shared" si="11"/>
        <v>0</v>
      </c>
      <c r="AO17" s="533">
        <f t="shared" si="124"/>
        <v>0</v>
      </c>
      <c r="AP17" s="531"/>
      <c r="AQ17" s="532">
        <f t="shared" si="12"/>
        <v>0</v>
      </c>
      <c r="AR17" s="533">
        <f t="shared" si="125"/>
        <v>0</v>
      </c>
      <c r="AS17" s="531"/>
      <c r="AT17" s="532">
        <f t="shared" si="13"/>
        <v>0</v>
      </c>
      <c r="AU17" s="533">
        <f t="shared" si="126"/>
        <v>0</v>
      </c>
      <c r="AV17" s="531"/>
      <c r="AW17" s="532">
        <f t="shared" si="14"/>
        <v>0</v>
      </c>
      <c r="AX17" s="533">
        <f t="shared" si="127"/>
        <v>0</v>
      </c>
      <c r="AY17" s="531">
        <v>35</v>
      </c>
      <c r="AZ17" s="532">
        <f t="shared" si="15"/>
        <v>0.69505123520533796</v>
      </c>
      <c r="BA17" s="533">
        <f t="shared" si="128"/>
        <v>0</v>
      </c>
      <c r="BB17" s="531"/>
      <c r="BC17" s="532">
        <f t="shared" si="16"/>
        <v>0</v>
      </c>
      <c r="BD17" s="533">
        <f t="shared" si="129"/>
        <v>0</v>
      </c>
      <c r="BE17" s="531"/>
      <c r="BF17" s="532">
        <f t="shared" si="17"/>
        <v>0</v>
      </c>
      <c r="BG17" s="533">
        <f t="shared" si="130"/>
        <v>0</v>
      </c>
      <c r="BH17" s="531"/>
      <c r="BI17" s="532">
        <f t="shared" si="18"/>
        <v>0</v>
      </c>
      <c r="BJ17" s="533">
        <f t="shared" si="131"/>
        <v>0</v>
      </c>
      <c r="BK17" s="531"/>
      <c r="BL17" s="532">
        <f t="shared" si="19"/>
        <v>0</v>
      </c>
      <c r="BM17" s="533">
        <f t="shared" si="132"/>
        <v>0</v>
      </c>
      <c r="BN17" s="531"/>
      <c r="BO17" s="532">
        <f t="shared" si="20"/>
        <v>0</v>
      </c>
      <c r="BP17" s="533">
        <f t="shared" si="133"/>
        <v>0</v>
      </c>
      <c r="BQ17" s="531"/>
      <c r="BR17" s="532">
        <f t="shared" si="21"/>
        <v>0</v>
      </c>
      <c r="BS17" s="533">
        <f t="shared" si="134"/>
        <v>0</v>
      </c>
      <c r="BT17" s="531"/>
      <c r="BU17" s="532">
        <f t="shared" si="22"/>
        <v>0</v>
      </c>
      <c r="BV17" s="533">
        <f t="shared" si="135"/>
        <v>0</v>
      </c>
      <c r="BW17" s="531"/>
      <c r="BX17" s="532">
        <f t="shared" si="23"/>
        <v>0</v>
      </c>
      <c r="BY17" s="533">
        <f t="shared" si="136"/>
        <v>0</v>
      </c>
      <c r="BZ17" s="531"/>
      <c r="CA17" s="532">
        <f t="shared" si="24"/>
        <v>0</v>
      </c>
      <c r="CB17" s="533">
        <f t="shared" si="137"/>
        <v>0</v>
      </c>
      <c r="CC17" s="531"/>
      <c r="CD17" s="532">
        <f t="shared" si="25"/>
        <v>0</v>
      </c>
      <c r="CE17" s="533">
        <f t="shared" si="138"/>
        <v>0</v>
      </c>
      <c r="CF17" s="531">
        <v>0.44999999999998219</v>
      </c>
      <c r="CG17" s="532">
        <f t="shared" si="26"/>
        <v>8.9363730240682778E-3</v>
      </c>
      <c r="CH17" s="533">
        <f t="shared" si="139"/>
        <v>0</v>
      </c>
      <c r="CI17" s="531"/>
      <c r="CJ17" s="532">
        <f t="shared" si="27"/>
        <v>0</v>
      </c>
      <c r="CK17" s="533">
        <f t="shared" si="140"/>
        <v>0</v>
      </c>
      <c r="CL17" s="531"/>
      <c r="CM17" s="532">
        <f t="shared" si="28"/>
        <v>0</v>
      </c>
      <c r="CN17" s="533">
        <f t="shared" si="141"/>
        <v>0</v>
      </c>
      <c r="CO17" s="531"/>
      <c r="CP17" s="532">
        <f t="shared" si="29"/>
        <v>0</v>
      </c>
      <c r="CQ17" s="533">
        <f t="shared" si="142"/>
        <v>0</v>
      </c>
      <c r="CR17" s="531"/>
      <c r="CS17" s="532">
        <f t="shared" si="30"/>
        <v>0</v>
      </c>
      <c r="CT17" s="533">
        <f t="shared" si="143"/>
        <v>0</v>
      </c>
      <c r="CU17" s="531"/>
      <c r="CV17" s="532">
        <f t="shared" si="31"/>
        <v>0</v>
      </c>
      <c r="CW17" s="533">
        <f t="shared" si="144"/>
        <v>0</v>
      </c>
      <c r="CX17" s="531"/>
      <c r="CY17" s="532">
        <f t="shared" si="32"/>
        <v>0</v>
      </c>
      <c r="CZ17" s="533">
        <f t="shared" si="145"/>
        <v>0</v>
      </c>
      <c r="DA17" s="531"/>
      <c r="DB17" s="532">
        <f t="shared" si="33"/>
        <v>0</v>
      </c>
      <c r="DC17" s="533">
        <f t="shared" si="146"/>
        <v>0</v>
      </c>
      <c r="DD17" s="531"/>
      <c r="DE17" s="532">
        <f t="shared" si="34"/>
        <v>0</v>
      </c>
      <c r="DF17" s="533">
        <f t="shared" si="147"/>
        <v>0</v>
      </c>
      <c r="DG17" s="531"/>
      <c r="DH17" s="532">
        <f t="shared" si="35"/>
        <v>0</v>
      </c>
      <c r="DI17" s="533">
        <f t="shared" si="203"/>
        <v>0</v>
      </c>
      <c r="DJ17" s="531"/>
      <c r="DK17" s="532">
        <f t="shared" si="36"/>
        <v>0</v>
      </c>
      <c r="DL17" s="533">
        <f t="shared" si="148"/>
        <v>0</v>
      </c>
      <c r="DM17" s="531"/>
      <c r="DN17" s="532">
        <f t="shared" si="37"/>
        <v>0</v>
      </c>
      <c r="DO17" s="533">
        <f t="shared" si="149"/>
        <v>0</v>
      </c>
      <c r="DP17" s="531"/>
      <c r="DQ17" s="532">
        <f t="shared" si="38"/>
        <v>0</v>
      </c>
      <c r="DR17" s="533">
        <f t="shared" si="150"/>
        <v>0</v>
      </c>
      <c r="DS17" s="531"/>
      <c r="DT17" s="532">
        <f t="shared" si="39"/>
        <v>0</v>
      </c>
      <c r="DU17" s="533">
        <f t="shared" si="151"/>
        <v>0</v>
      </c>
      <c r="DV17" s="531"/>
      <c r="DW17" s="532">
        <f t="shared" si="40"/>
        <v>0</v>
      </c>
      <c r="DX17" s="533">
        <f t="shared" si="152"/>
        <v>0</v>
      </c>
      <c r="DY17" s="531"/>
      <c r="DZ17" s="532">
        <f t="shared" si="41"/>
        <v>0</v>
      </c>
      <c r="EA17" s="533">
        <f t="shared" si="153"/>
        <v>0</v>
      </c>
      <c r="EB17" s="531"/>
      <c r="EC17" s="532">
        <f t="shared" si="42"/>
        <v>0</v>
      </c>
      <c r="ED17" s="533">
        <f t="shared" si="154"/>
        <v>0</v>
      </c>
      <c r="EE17" s="531">
        <v>140.89411764705881</v>
      </c>
      <c r="EF17" s="532">
        <f t="shared" si="43"/>
        <v>2.7979608715358411</v>
      </c>
      <c r="EG17" s="533">
        <f t="shared" si="155"/>
        <v>0</v>
      </c>
      <c r="EH17" s="531">
        <v>3</v>
      </c>
      <c r="EI17" s="532">
        <f t="shared" si="44"/>
        <v>5.9575820160457538E-2</v>
      </c>
      <c r="EJ17" s="533">
        <f t="shared" si="156"/>
        <v>0</v>
      </c>
      <c r="EK17" s="531">
        <v>85.36585365853648</v>
      </c>
      <c r="EL17" s="532">
        <f t="shared" si="45"/>
        <v>1.6952469151349685</v>
      </c>
      <c r="EM17" s="533">
        <f t="shared" si="157"/>
        <v>0</v>
      </c>
      <c r="EN17" s="531">
        <v>302.32558139534876</v>
      </c>
      <c r="EO17" s="532">
        <f t="shared" si="46"/>
        <v>6.0037648223716884</v>
      </c>
      <c r="EP17" s="533">
        <f t="shared" si="158"/>
        <v>0</v>
      </c>
      <c r="EQ17" s="531"/>
      <c r="ER17" s="532">
        <f t="shared" si="47"/>
        <v>0</v>
      </c>
      <c r="ES17" s="533">
        <f t="shared" si="159"/>
        <v>0</v>
      </c>
      <c r="ET17" s="531"/>
      <c r="EU17" s="532">
        <f t="shared" si="48"/>
        <v>0</v>
      </c>
      <c r="EV17" s="533">
        <f t="shared" si="160"/>
        <v>0</v>
      </c>
      <c r="EW17" s="531"/>
      <c r="EX17" s="532">
        <f t="shared" si="49"/>
        <v>0</v>
      </c>
      <c r="EY17" s="533">
        <f t="shared" si="161"/>
        <v>0</v>
      </c>
      <c r="EZ17" s="531"/>
      <c r="FA17" s="532">
        <f t="shared" si="50"/>
        <v>0</v>
      </c>
      <c r="FB17" s="533">
        <f t="shared" si="162"/>
        <v>0</v>
      </c>
      <c r="FC17" s="531"/>
      <c r="FD17" s="532">
        <f t="shared" si="51"/>
        <v>0</v>
      </c>
      <c r="FE17" s="533">
        <f t="shared" si="163"/>
        <v>0</v>
      </c>
      <c r="FF17" s="531"/>
      <c r="FG17" s="532">
        <f t="shared" si="52"/>
        <v>0</v>
      </c>
      <c r="FH17" s="533">
        <f t="shared" si="164"/>
        <v>0</v>
      </c>
      <c r="FI17" s="531"/>
      <c r="FJ17" s="532">
        <f t="shared" si="53"/>
        <v>0</v>
      </c>
      <c r="FK17" s="533">
        <f t="shared" si="165"/>
        <v>0</v>
      </c>
      <c r="FL17" s="531"/>
      <c r="FM17" s="532">
        <f t="shared" si="54"/>
        <v>0</v>
      </c>
      <c r="FN17" s="533">
        <f t="shared" si="166"/>
        <v>0</v>
      </c>
      <c r="FO17" s="531"/>
      <c r="FP17" s="532">
        <f t="shared" si="55"/>
        <v>0</v>
      </c>
      <c r="FQ17" s="533">
        <f t="shared" si="167"/>
        <v>0</v>
      </c>
      <c r="FR17" s="531"/>
      <c r="FS17" s="532">
        <f t="shared" si="56"/>
        <v>0</v>
      </c>
      <c r="FT17" s="533">
        <f t="shared" si="168"/>
        <v>0</v>
      </c>
      <c r="FU17" s="531"/>
      <c r="FV17" s="532">
        <f t="shared" si="57"/>
        <v>0</v>
      </c>
      <c r="FW17" s="533">
        <f t="shared" si="169"/>
        <v>0</v>
      </c>
      <c r="FX17" s="531"/>
      <c r="FY17" s="532">
        <f t="shared" si="58"/>
        <v>0</v>
      </c>
      <c r="FZ17" s="533">
        <f t="shared" si="170"/>
        <v>0</v>
      </c>
      <c r="GA17" s="531"/>
      <c r="GB17" s="532">
        <f t="shared" si="59"/>
        <v>0</v>
      </c>
      <c r="GC17" s="533">
        <f t="shared" si="171"/>
        <v>0</v>
      </c>
      <c r="GD17" s="531"/>
      <c r="GE17" s="532">
        <f t="shared" si="60"/>
        <v>0</v>
      </c>
      <c r="GF17" s="533">
        <f t="shared" si="172"/>
        <v>0</v>
      </c>
      <c r="GG17" s="531">
        <v>30</v>
      </c>
      <c r="GH17" s="532">
        <f t="shared" si="61"/>
        <v>0.59575820160457538</v>
      </c>
      <c r="GI17" s="533">
        <f t="shared" si="173"/>
        <v>0</v>
      </c>
      <c r="GJ17" s="531">
        <v>25</v>
      </c>
      <c r="GK17" s="532">
        <f t="shared" si="62"/>
        <v>0.49646516800381285</v>
      </c>
      <c r="GL17" s="533">
        <f t="shared" si="174"/>
        <v>0</v>
      </c>
      <c r="GM17" s="531"/>
      <c r="GN17" s="532">
        <f t="shared" si="63"/>
        <v>0</v>
      </c>
      <c r="GO17" s="533">
        <f t="shared" si="175"/>
        <v>0</v>
      </c>
      <c r="GP17" s="531">
        <v>30</v>
      </c>
      <c r="GQ17" s="532">
        <f t="shared" si="64"/>
        <v>0.59575820160457538</v>
      </c>
      <c r="GR17" s="533">
        <f t="shared" si="176"/>
        <v>0</v>
      </c>
      <c r="GS17" s="531">
        <v>180</v>
      </c>
      <c r="GT17" s="532">
        <f t="shared" si="65"/>
        <v>3.5745492096274525</v>
      </c>
      <c r="GU17" s="533">
        <f t="shared" si="177"/>
        <v>0</v>
      </c>
      <c r="GV17" s="531">
        <v>50</v>
      </c>
      <c r="GW17" s="532">
        <f t="shared" si="66"/>
        <v>0.9929303360076257</v>
      </c>
      <c r="GX17" s="533">
        <f t="shared" si="178"/>
        <v>0</v>
      </c>
      <c r="GY17" s="531"/>
      <c r="GZ17" s="532">
        <f t="shared" si="67"/>
        <v>0</v>
      </c>
      <c r="HA17" s="533">
        <f t="shared" si="179"/>
        <v>0</v>
      </c>
      <c r="HB17" s="531"/>
      <c r="HC17" s="532">
        <f t="shared" si="68"/>
        <v>0</v>
      </c>
      <c r="HD17" s="533">
        <f t="shared" si="180"/>
        <v>0</v>
      </c>
      <c r="HE17" s="531"/>
      <c r="HF17" s="532">
        <f t="shared" si="69"/>
        <v>0</v>
      </c>
      <c r="HG17" s="533">
        <f t="shared" si="181"/>
        <v>0</v>
      </c>
      <c r="HH17" s="531"/>
      <c r="HI17" s="532">
        <f t="shared" si="70"/>
        <v>0</v>
      </c>
      <c r="HJ17" s="533">
        <f t="shared" si="182"/>
        <v>0</v>
      </c>
      <c r="HK17" s="531"/>
      <c r="HL17" s="532">
        <f t="shared" si="71"/>
        <v>0</v>
      </c>
      <c r="HM17" s="533">
        <f t="shared" si="183"/>
        <v>0</v>
      </c>
      <c r="HN17" s="531">
        <v>1281</v>
      </c>
      <c r="HO17" s="532">
        <f t="shared" si="72"/>
        <v>25.43887520851537</v>
      </c>
      <c r="HP17" s="533">
        <f t="shared" si="184"/>
        <v>0</v>
      </c>
      <c r="HQ17" s="531"/>
      <c r="HR17" s="532">
        <f t="shared" si="73"/>
        <v>0</v>
      </c>
      <c r="HS17" s="533">
        <f t="shared" si="185"/>
        <v>0</v>
      </c>
      <c r="HT17" s="531"/>
      <c r="HU17" s="532">
        <f t="shared" si="74"/>
        <v>0</v>
      </c>
      <c r="HV17" s="533">
        <f t="shared" si="186"/>
        <v>0</v>
      </c>
      <c r="HW17" s="531"/>
      <c r="HX17" s="532">
        <f t="shared" si="75"/>
        <v>0</v>
      </c>
      <c r="HY17" s="533">
        <f t="shared" si="187"/>
        <v>0</v>
      </c>
      <c r="HZ17" s="531"/>
      <c r="IA17" s="532">
        <f t="shared" si="76"/>
        <v>0</v>
      </c>
      <c r="IB17" s="533">
        <f t="shared" si="188"/>
        <v>0</v>
      </c>
      <c r="IC17" s="531"/>
      <c r="ID17" s="532">
        <f t="shared" si="77"/>
        <v>0</v>
      </c>
      <c r="IE17" s="533">
        <f t="shared" si="189"/>
        <v>0</v>
      </c>
      <c r="IF17" s="531"/>
      <c r="IG17" s="532">
        <f t="shared" si="78"/>
        <v>0</v>
      </c>
      <c r="IH17" s="533">
        <f t="shared" si="190"/>
        <v>0</v>
      </c>
      <c r="II17" s="531">
        <v>30</v>
      </c>
      <c r="IJ17" s="532">
        <f t="shared" si="79"/>
        <v>0.59575820160457538</v>
      </c>
      <c r="IK17" s="533">
        <f t="shared" si="191"/>
        <v>0</v>
      </c>
      <c r="IL17" s="531"/>
      <c r="IM17" s="532">
        <f t="shared" si="80"/>
        <v>0</v>
      </c>
      <c r="IN17" s="533">
        <f t="shared" si="192"/>
        <v>0</v>
      </c>
      <c r="IO17" s="531"/>
      <c r="IP17" s="532">
        <f t="shared" si="81"/>
        <v>0</v>
      </c>
      <c r="IQ17" s="533">
        <f t="shared" si="193"/>
        <v>0</v>
      </c>
      <c r="IR17" s="531">
        <v>60</v>
      </c>
      <c r="IS17" s="532">
        <f t="shared" si="82"/>
        <v>1.1915164032091508</v>
      </c>
      <c r="IT17" s="533">
        <f t="shared" si="194"/>
        <v>0</v>
      </c>
      <c r="IU17" s="531"/>
      <c r="IV17" s="532">
        <f t="shared" si="83"/>
        <v>0</v>
      </c>
      <c r="IW17" s="533">
        <f t="shared" si="195"/>
        <v>0</v>
      </c>
      <c r="IX17" s="531"/>
      <c r="IY17" s="532">
        <f t="shared" si="84"/>
        <v>0</v>
      </c>
      <c r="IZ17" s="533">
        <f t="shared" si="196"/>
        <v>0</v>
      </c>
      <c r="JA17" s="531"/>
      <c r="JB17" s="532">
        <f t="shared" si="85"/>
        <v>0</v>
      </c>
      <c r="JC17" s="533">
        <f t="shared" si="197"/>
        <v>0</v>
      </c>
      <c r="JD17" s="531"/>
      <c r="JE17" s="532">
        <f t="shared" si="86"/>
        <v>0</v>
      </c>
      <c r="JF17" s="533">
        <f t="shared" si="198"/>
        <v>0</v>
      </c>
      <c r="JG17" s="531"/>
      <c r="JH17" s="532">
        <f t="shared" si="87"/>
        <v>0</v>
      </c>
      <c r="JI17" s="533">
        <f t="shared" si="199"/>
        <v>0</v>
      </c>
      <c r="JJ17" s="531">
        <v>30</v>
      </c>
      <c r="JK17" s="533" t="str">
        <f t="shared" si="88"/>
        <v>0</v>
      </c>
      <c r="JL17" s="533" t="str">
        <f t="shared" si="89"/>
        <v>0</v>
      </c>
      <c r="JM17" s="531"/>
      <c r="JN17" s="533" t="str">
        <f t="shared" si="90"/>
        <v>0</v>
      </c>
      <c r="JO17" s="533" t="str">
        <f t="shared" si="91"/>
        <v>0</v>
      </c>
      <c r="JP17" s="531"/>
      <c r="JQ17" s="533" t="str">
        <f t="shared" si="92"/>
        <v>0</v>
      </c>
      <c r="JR17" s="533" t="str">
        <f t="shared" si="93"/>
        <v>0</v>
      </c>
      <c r="JS17" s="531"/>
      <c r="JT17" s="533" t="str">
        <f t="shared" si="94"/>
        <v>0</v>
      </c>
      <c r="JU17" s="533" t="str">
        <f t="shared" si="95"/>
        <v>0</v>
      </c>
      <c r="JV17" s="531"/>
      <c r="JW17" s="533" t="str">
        <f t="shared" si="96"/>
        <v>0</v>
      </c>
      <c r="JX17" s="533" t="str">
        <f t="shared" si="97"/>
        <v>0</v>
      </c>
      <c r="JY17" s="531"/>
      <c r="JZ17" s="533" t="str">
        <f t="shared" si="98"/>
        <v>0</v>
      </c>
      <c r="KA17" s="533" t="str">
        <f t="shared" si="99"/>
        <v>0</v>
      </c>
      <c r="KB17" s="531"/>
      <c r="KC17" s="533" t="str">
        <f t="shared" si="100"/>
        <v>0</v>
      </c>
      <c r="KD17" s="533" t="str">
        <f t="shared" si="101"/>
        <v>0</v>
      </c>
      <c r="KE17" s="531"/>
      <c r="KF17" s="533" t="str">
        <f t="shared" si="102"/>
        <v>0</v>
      </c>
      <c r="KG17" s="533" t="str">
        <f t="shared" si="103"/>
        <v>0</v>
      </c>
      <c r="KH17" s="531"/>
      <c r="KI17" s="533" t="str">
        <f t="shared" si="104"/>
        <v>0</v>
      </c>
      <c r="KJ17" s="533" t="str">
        <f t="shared" si="105"/>
        <v>0</v>
      </c>
      <c r="KK17" s="531"/>
      <c r="KL17" s="533" t="str">
        <f t="shared" si="106"/>
        <v>0</v>
      </c>
      <c r="KM17" s="533" t="str">
        <f t="shared" si="107"/>
        <v>0</v>
      </c>
      <c r="KN17" s="531"/>
      <c r="KO17" s="533" t="str">
        <f t="shared" si="108"/>
        <v>0</v>
      </c>
      <c r="KP17" s="533" t="str">
        <f t="shared" si="109"/>
        <v>0</v>
      </c>
      <c r="KQ17" s="531"/>
      <c r="KR17" s="533" t="str">
        <f t="shared" si="110"/>
        <v>0</v>
      </c>
      <c r="KS17" s="533" t="str">
        <f t="shared" si="111"/>
        <v>0</v>
      </c>
      <c r="KT17" s="533">
        <f t="shared" si="201"/>
        <v>0</v>
      </c>
      <c r="KU17" s="533">
        <f t="shared" si="202"/>
        <v>0</v>
      </c>
      <c r="KV17" s="271">
        <f t="shared" si="112"/>
        <v>2041.4599713055952</v>
      </c>
    </row>
    <row r="18" spans="1:309" ht="15" customHeight="1">
      <c r="A18" s="273">
        <f t="shared" si="200"/>
        <v>46032</v>
      </c>
      <c r="B18" s="274" t="str">
        <f>+Report1!B18</f>
        <v>Toilet</v>
      </c>
      <c r="C18" s="274" t="str">
        <f>+Report1!C18</f>
        <v>13,5/15</v>
      </c>
      <c r="D18" s="275">
        <f>+Report1!P18</f>
        <v>36.938000000000002</v>
      </c>
      <c r="E18" s="276">
        <f>+Report1!R18</f>
        <v>35.656999999999996</v>
      </c>
      <c r="F18" s="531"/>
      <c r="G18" s="532">
        <f t="shared" si="0"/>
        <v>0</v>
      </c>
      <c r="H18" s="533">
        <f t="shared" si="113"/>
        <v>0</v>
      </c>
      <c r="I18" s="531"/>
      <c r="J18" s="532">
        <f t="shared" si="1"/>
        <v>0</v>
      </c>
      <c r="K18" s="533">
        <f t="shared" si="114"/>
        <v>0</v>
      </c>
      <c r="L18" s="531"/>
      <c r="M18" s="532">
        <f t="shared" si="2"/>
        <v>0</v>
      </c>
      <c r="N18" s="533">
        <f t="shared" si="115"/>
        <v>0</v>
      </c>
      <c r="O18" s="531">
        <v>3.6212000000000444</v>
      </c>
      <c r="P18" s="532">
        <f t="shared" si="3"/>
        <v>0.10155649662058067</v>
      </c>
      <c r="Q18" s="533">
        <f t="shared" si="116"/>
        <v>0</v>
      </c>
      <c r="R18" s="531"/>
      <c r="S18" s="532">
        <f t="shared" si="4"/>
        <v>0</v>
      </c>
      <c r="T18" s="533">
        <f t="shared" si="117"/>
        <v>0</v>
      </c>
      <c r="U18" s="531">
        <v>3.0947000000000031</v>
      </c>
      <c r="V18" s="532">
        <f t="shared" si="5"/>
        <v>8.679081246319105E-2</v>
      </c>
      <c r="W18" s="533">
        <f t="shared" si="118"/>
        <v>0</v>
      </c>
      <c r="X18" s="531"/>
      <c r="Y18" s="532">
        <f t="shared" si="6"/>
        <v>0</v>
      </c>
      <c r="Z18" s="533">
        <f t="shared" si="119"/>
        <v>0</v>
      </c>
      <c r="AA18" s="531"/>
      <c r="AB18" s="532">
        <f t="shared" si="7"/>
        <v>0</v>
      </c>
      <c r="AC18" s="533">
        <f t="shared" si="120"/>
        <v>0</v>
      </c>
      <c r="AD18" s="531"/>
      <c r="AE18" s="532">
        <f t="shared" si="8"/>
        <v>0</v>
      </c>
      <c r="AF18" s="533">
        <f t="shared" si="121"/>
        <v>0</v>
      </c>
      <c r="AG18" s="531"/>
      <c r="AH18" s="532">
        <f t="shared" si="9"/>
        <v>0</v>
      </c>
      <c r="AI18" s="533">
        <f t="shared" si="122"/>
        <v>0</v>
      </c>
      <c r="AJ18" s="531">
        <v>44.0625</v>
      </c>
      <c r="AK18" s="532">
        <f t="shared" si="10"/>
        <v>1.2357321143113555</v>
      </c>
      <c r="AL18" s="533">
        <f t="shared" si="123"/>
        <v>0</v>
      </c>
      <c r="AM18" s="531"/>
      <c r="AN18" s="532">
        <f t="shared" si="11"/>
        <v>0</v>
      </c>
      <c r="AO18" s="533">
        <f t="shared" si="124"/>
        <v>0</v>
      </c>
      <c r="AP18" s="531"/>
      <c r="AQ18" s="532">
        <f t="shared" si="12"/>
        <v>0</v>
      </c>
      <c r="AR18" s="533">
        <f t="shared" si="125"/>
        <v>0</v>
      </c>
      <c r="AS18" s="531"/>
      <c r="AT18" s="532">
        <f t="shared" si="13"/>
        <v>0</v>
      </c>
      <c r="AU18" s="533">
        <f t="shared" si="126"/>
        <v>0</v>
      </c>
      <c r="AV18" s="531"/>
      <c r="AW18" s="532">
        <f t="shared" si="14"/>
        <v>0</v>
      </c>
      <c r="AX18" s="533">
        <f t="shared" si="127"/>
        <v>0</v>
      </c>
      <c r="AY18" s="531">
        <v>33.793733333333307</v>
      </c>
      <c r="AZ18" s="532">
        <f t="shared" si="15"/>
        <v>0.94774471585756825</v>
      </c>
      <c r="BA18" s="533">
        <f t="shared" si="128"/>
        <v>0</v>
      </c>
      <c r="BB18" s="531"/>
      <c r="BC18" s="532">
        <f t="shared" si="16"/>
        <v>0</v>
      </c>
      <c r="BD18" s="533">
        <f t="shared" si="129"/>
        <v>0</v>
      </c>
      <c r="BE18" s="531"/>
      <c r="BF18" s="532">
        <f t="shared" si="17"/>
        <v>0</v>
      </c>
      <c r="BG18" s="533">
        <f t="shared" si="130"/>
        <v>0</v>
      </c>
      <c r="BH18" s="531"/>
      <c r="BI18" s="532">
        <f t="shared" si="18"/>
        <v>0</v>
      </c>
      <c r="BJ18" s="533">
        <f t="shared" si="131"/>
        <v>0</v>
      </c>
      <c r="BK18" s="531"/>
      <c r="BL18" s="532">
        <f t="shared" si="19"/>
        <v>0</v>
      </c>
      <c r="BM18" s="533">
        <f t="shared" si="132"/>
        <v>0</v>
      </c>
      <c r="BN18" s="531"/>
      <c r="BO18" s="532">
        <f t="shared" si="20"/>
        <v>0</v>
      </c>
      <c r="BP18" s="533">
        <f t="shared" si="133"/>
        <v>0</v>
      </c>
      <c r="BQ18" s="531"/>
      <c r="BR18" s="532">
        <f t="shared" si="21"/>
        <v>0</v>
      </c>
      <c r="BS18" s="533">
        <f t="shared" si="134"/>
        <v>0</v>
      </c>
      <c r="BT18" s="531"/>
      <c r="BU18" s="532">
        <f t="shared" si="22"/>
        <v>0</v>
      </c>
      <c r="BV18" s="533">
        <f t="shared" si="135"/>
        <v>0</v>
      </c>
      <c r="BW18" s="531"/>
      <c r="BX18" s="532">
        <f t="shared" si="23"/>
        <v>0</v>
      </c>
      <c r="BY18" s="533">
        <f t="shared" si="136"/>
        <v>0</v>
      </c>
      <c r="BZ18" s="531"/>
      <c r="CA18" s="532">
        <f t="shared" si="24"/>
        <v>0</v>
      </c>
      <c r="CB18" s="533">
        <f t="shared" si="137"/>
        <v>0</v>
      </c>
      <c r="CC18" s="531"/>
      <c r="CD18" s="532">
        <f t="shared" si="25"/>
        <v>0</v>
      </c>
      <c r="CE18" s="533">
        <f t="shared" si="138"/>
        <v>0</v>
      </c>
      <c r="CF18" s="531"/>
      <c r="CG18" s="532">
        <f t="shared" si="26"/>
        <v>0</v>
      </c>
      <c r="CH18" s="533">
        <f t="shared" si="139"/>
        <v>0</v>
      </c>
      <c r="CI18" s="531"/>
      <c r="CJ18" s="532">
        <f t="shared" si="27"/>
        <v>0</v>
      </c>
      <c r="CK18" s="533">
        <f t="shared" si="140"/>
        <v>0</v>
      </c>
      <c r="CL18" s="531"/>
      <c r="CM18" s="532">
        <f t="shared" si="28"/>
        <v>0</v>
      </c>
      <c r="CN18" s="533">
        <f t="shared" si="141"/>
        <v>0</v>
      </c>
      <c r="CO18" s="531"/>
      <c r="CP18" s="532">
        <f t="shared" si="29"/>
        <v>0</v>
      </c>
      <c r="CQ18" s="533">
        <f t="shared" si="142"/>
        <v>0</v>
      </c>
      <c r="CR18" s="531"/>
      <c r="CS18" s="532">
        <f t="shared" si="30"/>
        <v>0</v>
      </c>
      <c r="CT18" s="533">
        <f t="shared" si="143"/>
        <v>0</v>
      </c>
      <c r="CU18" s="531"/>
      <c r="CV18" s="532">
        <f t="shared" si="31"/>
        <v>0</v>
      </c>
      <c r="CW18" s="533">
        <f t="shared" si="144"/>
        <v>0</v>
      </c>
      <c r="CX18" s="531"/>
      <c r="CY18" s="532">
        <f t="shared" si="32"/>
        <v>0</v>
      </c>
      <c r="CZ18" s="533">
        <f t="shared" si="145"/>
        <v>0</v>
      </c>
      <c r="DA18" s="531">
        <v>245.59674418604641</v>
      </c>
      <c r="DB18" s="532">
        <f t="shared" si="33"/>
        <v>6.8877567991150803</v>
      </c>
      <c r="DC18" s="533">
        <f t="shared" si="146"/>
        <v>0</v>
      </c>
      <c r="DD18" s="531"/>
      <c r="DE18" s="532">
        <f t="shared" si="34"/>
        <v>0</v>
      </c>
      <c r="DF18" s="533">
        <f t="shared" si="147"/>
        <v>0</v>
      </c>
      <c r="DG18" s="531"/>
      <c r="DH18" s="532">
        <f t="shared" si="35"/>
        <v>0</v>
      </c>
      <c r="DI18" s="533">
        <f t="shared" si="203"/>
        <v>0</v>
      </c>
      <c r="DJ18" s="531"/>
      <c r="DK18" s="532">
        <f t="shared" si="36"/>
        <v>0</v>
      </c>
      <c r="DL18" s="533">
        <f t="shared" si="148"/>
        <v>0</v>
      </c>
      <c r="DM18" s="531"/>
      <c r="DN18" s="532">
        <f t="shared" si="37"/>
        <v>0</v>
      </c>
      <c r="DO18" s="533">
        <f t="shared" si="149"/>
        <v>0</v>
      </c>
      <c r="DP18" s="531"/>
      <c r="DQ18" s="532">
        <f t="shared" si="38"/>
        <v>0</v>
      </c>
      <c r="DR18" s="533">
        <f t="shared" si="150"/>
        <v>0</v>
      </c>
      <c r="DS18" s="531"/>
      <c r="DT18" s="532">
        <f t="shared" si="39"/>
        <v>0</v>
      </c>
      <c r="DU18" s="533">
        <f t="shared" si="151"/>
        <v>0</v>
      </c>
      <c r="DV18" s="531"/>
      <c r="DW18" s="532">
        <f t="shared" si="40"/>
        <v>0</v>
      </c>
      <c r="DX18" s="533">
        <f t="shared" si="152"/>
        <v>0</v>
      </c>
      <c r="DY18" s="531"/>
      <c r="DZ18" s="532">
        <f t="shared" si="41"/>
        <v>0</v>
      </c>
      <c r="EA18" s="533">
        <f t="shared" si="153"/>
        <v>0</v>
      </c>
      <c r="EB18" s="531"/>
      <c r="EC18" s="532">
        <f t="shared" si="42"/>
        <v>0</v>
      </c>
      <c r="ED18" s="533">
        <f t="shared" si="154"/>
        <v>0</v>
      </c>
      <c r="EE18" s="531">
        <v>113.36352941176472</v>
      </c>
      <c r="EF18" s="532">
        <f t="shared" si="43"/>
        <v>3.1792783860606537</v>
      </c>
      <c r="EG18" s="533">
        <f t="shared" si="155"/>
        <v>0</v>
      </c>
      <c r="EH18" s="531">
        <v>3</v>
      </c>
      <c r="EI18" s="532">
        <f t="shared" si="44"/>
        <v>8.4134952463751869E-2</v>
      </c>
      <c r="EJ18" s="533">
        <f t="shared" si="156"/>
        <v>0</v>
      </c>
      <c r="EK18" s="531">
        <v>34.342327317073341</v>
      </c>
      <c r="EL18" s="532">
        <f t="shared" si="45"/>
        <v>0.96313002543885762</v>
      </c>
      <c r="EM18" s="533">
        <f t="shared" si="157"/>
        <v>0</v>
      </c>
      <c r="EN18" s="531"/>
      <c r="EO18" s="532">
        <f t="shared" si="46"/>
        <v>0</v>
      </c>
      <c r="EP18" s="533">
        <f t="shared" si="158"/>
        <v>0</v>
      </c>
      <c r="EQ18" s="531"/>
      <c r="ER18" s="532">
        <f t="shared" si="47"/>
        <v>0</v>
      </c>
      <c r="ES18" s="533">
        <f t="shared" si="159"/>
        <v>0</v>
      </c>
      <c r="ET18" s="531"/>
      <c r="EU18" s="532">
        <f t="shared" si="48"/>
        <v>0</v>
      </c>
      <c r="EV18" s="533">
        <f t="shared" si="160"/>
        <v>0</v>
      </c>
      <c r="EW18" s="531"/>
      <c r="EX18" s="532">
        <f t="shared" si="49"/>
        <v>0</v>
      </c>
      <c r="EY18" s="533">
        <f t="shared" si="161"/>
        <v>0</v>
      </c>
      <c r="EZ18" s="531"/>
      <c r="FA18" s="532">
        <f t="shared" si="50"/>
        <v>0</v>
      </c>
      <c r="FB18" s="533">
        <f t="shared" si="162"/>
        <v>0</v>
      </c>
      <c r="FC18" s="531"/>
      <c r="FD18" s="532">
        <f t="shared" si="51"/>
        <v>0</v>
      </c>
      <c r="FE18" s="533">
        <f t="shared" si="163"/>
        <v>0</v>
      </c>
      <c r="FF18" s="531"/>
      <c r="FG18" s="532">
        <f t="shared" si="52"/>
        <v>0</v>
      </c>
      <c r="FH18" s="533">
        <f t="shared" si="164"/>
        <v>0</v>
      </c>
      <c r="FI18" s="531"/>
      <c r="FJ18" s="532">
        <f t="shared" si="53"/>
        <v>0</v>
      </c>
      <c r="FK18" s="533">
        <f t="shared" si="165"/>
        <v>0</v>
      </c>
      <c r="FL18" s="531"/>
      <c r="FM18" s="532">
        <f t="shared" si="54"/>
        <v>0</v>
      </c>
      <c r="FN18" s="533">
        <f t="shared" si="166"/>
        <v>0</v>
      </c>
      <c r="FO18" s="531"/>
      <c r="FP18" s="532">
        <f t="shared" si="55"/>
        <v>0</v>
      </c>
      <c r="FQ18" s="533">
        <f t="shared" si="167"/>
        <v>0</v>
      </c>
      <c r="FR18" s="531"/>
      <c r="FS18" s="532">
        <f t="shared" si="56"/>
        <v>0</v>
      </c>
      <c r="FT18" s="533">
        <f t="shared" si="168"/>
        <v>0</v>
      </c>
      <c r="FU18" s="531"/>
      <c r="FV18" s="532">
        <f t="shared" si="57"/>
        <v>0</v>
      </c>
      <c r="FW18" s="533">
        <f t="shared" si="169"/>
        <v>0</v>
      </c>
      <c r="FX18" s="531"/>
      <c r="FY18" s="532">
        <f t="shared" si="58"/>
        <v>0</v>
      </c>
      <c r="FZ18" s="533">
        <f t="shared" si="170"/>
        <v>0</v>
      </c>
      <c r="GA18" s="531"/>
      <c r="GB18" s="532">
        <f t="shared" si="59"/>
        <v>0</v>
      </c>
      <c r="GC18" s="533">
        <f t="shared" si="171"/>
        <v>0</v>
      </c>
      <c r="GD18" s="531"/>
      <c r="GE18" s="532">
        <f t="shared" si="60"/>
        <v>0</v>
      </c>
      <c r="GF18" s="533">
        <f t="shared" si="172"/>
        <v>0</v>
      </c>
      <c r="GG18" s="531">
        <v>20</v>
      </c>
      <c r="GH18" s="532">
        <f t="shared" si="61"/>
        <v>0.56089968309167915</v>
      </c>
      <c r="GI18" s="533">
        <f t="shared" si="173"/>
        <v>0</v>
      </c>
      <c r="GJ18" s="531">
        <v>30</v>
      </c>
      <c r="GK18" s="532">
        <f t="shared" si="62"/>
        <v>0.84134952463751866</v>
      </c>
      <c r="GL18" s="533">
        <f t="shared" si="174"/>
        <v>0</v>
      </c>
      <c r="GM18" s="531"/>
      <c r="GN18" s="532">
        <f t="shared" si="63"/>
        <v>0</v>
      </c>
      <c r="GO18" s="533">
        <f t="shared" si="175"/>
        <v>0</v>
      </c>
      <c r="GP18" s="531">
        <v>30</v>
      </c>
      <c r="GQ18" s="532">
        <f t="shared" si="64"/>
        <v>0.84134952463751866</v>
      </c>
      <c r="GR18" s="533">
        <f t="shared" si="176"/>
        <v>0</v>
      </c>
      <c r="GS18" s="531">
        <v>170</v>
      </c>
      <c r="GT18" s="532">
        <f t="shared" si="65"/>
        <v>4.7676473062792724</v>
      </c>
      <c r="GU18" s="533">
        <f t="shared" si="177"/>
        <v>0</v>
      </c>
      <c r="GV18" s="531">
        <v>50</v>
      </c>
      <c r="GW18" s="532">
        <f t="shared" si="66"/>
        <v>1.4022492077291977</v>
      </c>
      <c r="GX18" s="533">
        <f t="shared" si="178"/>
        <v>0</v>
      </c>
      <c r="GY18" s="531"/>
      <c r="GZ18" s="532">
        <f t="shared" si="67"/>
        <v>0</v>
      </c>
      <c r="HA18" s="533">
        <f t="shared" si="179"/>
        <v>0</v>
      </c>
      <c r="HB18" s="531"/>
      <c r="HC18" s="532">
        <f t="shared" si="68"/>
        <v>0</v>
      </c>
      <c r="HD18" s="533">
        <f t="shared" si="180"/>
        <v>0</v>
      </c>
      <c r="HE18" s="531"/>
      <c r="HF18" s="532">
        <f t="shared" si="69"/>
        <v>0</v>
      </c>
      <c r="HG18" s="533">
        <f t="shared" si="181"/>
        <v>0</v>
      </c>
      <c r="HH18" s="531"/>
      <c r="HI18" s="532">
        <f t="shared" si="70"/>
        <v>0</v>
      </c>
      <c r="HJ18" s="533">
        <f t="shared" si="182"/>
        <v>0</v>
      </c>
      <c r="HK18" s="531"/>
      <c r="HL18" s="532">
        <f t="shared" si="71"/>
        <v>0</v>
      </c>
      <c r="HM18" s="533">
        <f t="shared" si="183"/>
        <v>0</v>
      </c>
      <c r="HN18" s="531">
        <v>1281</v>
      </c>
      <c r="HO18" s="532">
        <f t="shared" si="72"/>
        <v>35.925624702022048</v>
      </c>
      <c r="HP18" s="533">
        <f t="shared" si="184"/>
        <v>0</v>
      </c>
      <c r="HQ18" s="531"/>
      <c r="HR18" s="532">
        <f t="shared" si="73"/>
        <v>0</v>
      </c>
      <c r="HS18" s="533">
        <f t="shared" si="185"/>
        <v>0</v>
      </c>
      <c r="HT18" s="531"/>
      <c r="HU18" s="532">
        <f t="shared" si="74"/>
        <v>0</v>
      </c>
      <c r="HV18" s="533">
        <f t="shared" si="186"/>
        <v>0</v>
      </c>
      <c r="HW18" s="531"/>
      <c r="HX18" s="532">
        <f t="shared" si="75"/>
        <v>0</v>
      </c>
      <c r="HY18" s="533">
        <f t="shared" si="187"/>
        <v>0</v>
      </c>
      <c r="HZ18" s="531"/>
      <c r="IA18" s="532">
        <f t="shared" si="76"/>
        <v>0</v>
      </c>
      <c r="IB18" s="533">
        <f t="shared" si="188"/>
        <v>0</v>
      </c>
      <c r="IC18" s="531"/>
      <c r="ID18" s="532">
        <f t="shared" si="77"/>
        <v>0</v>
      </c>
      <c r="IE18" s="533">
        <f t="shared" si="189"/>
        <v>0</v>
      </c>
      <c r="IF18" s="531"/>
      <c r="IG18" s="532">
        <f t="shared" si="78"/>
        <v>0</v>
      </c>
      <c r="IH18" s="533">
        <f t="shared" si="190"/>
        <v>0</v>
      </c>
      <c r="II18" s="531">
        <v>45</v>
      </c>
      <c r="IJ18" s="532">
        <f t="shared" si="79"/>
        <v>1.2620242869562779</v>
      </c>
      <c r="IK18" s="533">
        <f t="shared" si="191"/>
        <v>0</v>
      </c>
      <c r="IL18" s="531"/>
      <c r="IM18" s="532">
        <f t="shared" si="80"/>
        <v>0</v>
      </c>
      <c r="IN18" s="533">
        <f t="shared" si="192"/>
        <v>0</v>
      </c>
      <c r="IO18" s="531"/>
      <c r="IP18" s="532">
        <f t="shared" si="81"/>
        <v>0</v>
      </c>
      <c r="IQ18" s="533">
        <f t="shared" si="193"/>
        <v>0</v>
      </c>
      <c r="IR18" s="531">
        <v>50</v>
      </c>
      <c r="IS18" s="532">
        <f t="shared" si="82"/>
        <v>1.4022492077291977</v>
      </c>
      <c r="IT18" s="533">
        <f t="shared" si="194"/>
        <v>0</v>
      </c>
      <c r="IU18" s="531">
        <v>20</v>
      </c>
      <c r="IV18" s="532">
        <f t="shared" si="83"/>
        <v>0.56089968309167915</v>
      </c>
      <c r="IW18" s="533">
        <f t="shared" si="195"/>
        <v>0</v>
      </c>
      <c r="IX18" s="531"/>
      <c r="IY18" s="532">
        <f t="shared" si="84"/>
        <v>0</v>
      </c>
      <c r="IZ18" s="533">
        <f t="shared" si="196"/>
        <v>0</v>
      </c>
      <c r="JA18" s="531">
        <v>15</v>
      </c>
      <c r="JB18" s="532">
        <f t="shared" si="85"/>
        <v>0.42067476231875933</v>
      </c>
      <c r="JC18" s="533">
        <f t="shared" si="197"/>
        <v>0</v>
      </c>
      <c r="JD18" s="531"/>
      <c r="JE18" s="532">
        <f t="shared" si="86"/>
        <v>0</v>
      </c>
      <c r="JF18" s="533">
        <f t="shared" si="198"/>
        <v>0</v>
      </c>
      <c r="JG18" s="531"/>
      <c r="JH18" s="532">
        <f t="shared" si="87"/>
        <v>0</v>
      </c>
      <c r="JI18" s="533">
        <f t="shared" si="199"/>
        <v>0</v>
      </c>
      <c r="JJ18" s="531">
        <v>35</v>
      </c>
      <c r="JK18" s="533" t="str">
        <f t="shared" si="88"/>
        <v>0</v>
      </c>
      <c r="JL18" s="533" t="str">
        <f t="shared" si="89"/>
        <v>0</v>
      </c>
      <c r="JM18" s="531"/>
      <c r="JN18" s="533" t="str">
        <f t="shared" si="90"/>
        <v>0</v>
      </c>
      <c r="JO18" s="533" t="str">
        <f t="shared" si="91"/>
        <v>0</v>
      </c>
      <c r="JP18" s="531"/>
      <c r="JQ18" s="533" t="str">
        <f t="shared" si="92"/>
        <v>0</v>
      </c>
      <c r="JR18" s="533" t="str">
        <f t="shared" si="93"/>
        <v>0</v>
      </c>
      <c r="JS18" s="531"/>
      <c r="JT18" s="533" t="str">
        <f t="shared" si="94"/>
        <v>0</v>
      </c>
      <c r="JU18" s="533" t="str">
        <f t="shared" si="95"/>
        <v>0</v>
      </c>
      <c r="JV18" s="531"/>
      <c r="JW18" s="533" t="str">
        <f t="shared" si="96"/>
        <v>0</v>
      </c>
      <c r="JX18" s="533" t="str">
        <f t="shared" si="97"/>
        <v>0</v>
      </c>
      <c r="JY18" s="531"/>
      <c r="JZ18" s="533" t="str">
        <f t="shared" si="98"/>
        <v>0</v>
      </c>
      <c r="KA18" s="533" t="str">
        <f t="shared" si="99"/>
        <v>0</v>
      </c>
      <c r="KB18" s="531"/>
      <c r="KC18" s="533" t="str">
        <f t="shared" si="100"/>
        <v>0</v>
      </c>
      <c r="KD18" s="533" t="str">
        <f t="shared" si="101"/>
        <v>0</v>
      </c>
      <c r="KE18" s="531"/>
      <c r="KF18" s="533" t="str">
        <f t="shared" si="102"/>
        <v>0</v>
      </c>
      <c r="KG18" s="533" t="str">
        <f t="shared" si="103"/>
        <v>0</v>
      </c>
      <c r="KH18" s="531"/>
      <c r="KI18" s="533" t="str">
        <f t="shared" si="104"/>
        <v>0</v>
      </c>
      <c r="KJ18" s="533" t="str">
        <f t="shared" si="105"/>
        <v>0</v>
      </c>
      <c r="KK18" s="531"/>
      <c r="KL18" s="533" t="str">
        <f t="shared" si="106"/>
        <v>0</v>
      </c>
      <c r="KM18" s="533" t="str">
        <f t="shared" si="107"/>
        <v>0</v>
      </c>
      <c r="KN18" s="531"/>
      <c r="KO18" s="533" t="str">
        <f t="shared" si="108"/>
        <v>0</v>
      </c>
      <c r="KP18" s="533" t="str">
        <f t="shared" si="109"/>
        <v>0</v>
      </c>
      <c r="KQ18" s="531"/>
      <c r="KR18" s="533" t="str">
        <f t="shared" si="110"/>
        <v>0</v>
      </c>
      <c r="KS18" s="533" t="str">
        <f t="shared" si="111"/>
        <v>0</v>
      </c>
      <c r="KT18" s="533">
        <f t="shared" si="201"/>
        <v>0</v>
      </c>
      <c r="KU18" s="533">
        <f t="shared" si="202"/>
        <v>0</v>
      </c>
      <c r="KV18" s="271">
        <f t="shared" si="112"/>
        <v>2226.8747342482179</v>
      </c>
    </row>
    <row r="19" spans="1:309" ht="15" customHeight="1">
      <c r="A19" s="273">
        <f t="shared" si="200"/>
        <v>46033</v>
      </c>
      <c r="B19" s="274" t="str">
        <f>+Report1!B19</f>
        <v>Toilet</v>
      </c>
      <c r="C19" s="274" t="str">
        <f>+Report1!C19</f>
        <v>15</v>
      </c>
      <c r="D19" s="275">
        <f>+Report1!P19</f>
        <v>54.876000000000005</v>
      </c>
      <c r="E19" s="276">
        <f>+Report1!R19</f>
        <v>52.124000000000002</v>
      </c>
      <c r="F19" s="531"/>
      <c r="G19" s="532">
        <f t="shared" si="0"/>
        <v>0</v>
      </c>
      <c r="H19" s="533">
        <f t="shared" si="113"/>
        <v>0</v>
      </c>
      <c r="I19" s="531"/>
      <c r="J19" s="532">
        <f t="shared" si="1"/>
        <v>0</v>
      </c>
      <c r="K19" s="533">
        <f t="shared" si="114"/>
        <v>0</v>
      </c>
      <c r="L19" s="531"/>
      <c r="M19" s="532">
        <f t="shared" si="2"/>
        <v>0</v>
      </c>
      <c r="N19" s="533">
        <f t="shared" si="115"/>
        <v>0</v>
      </c>
      <c r="O19" s="531">
        <v>5.3823999999999899</v>
      </c>
      <c r="P19" s="532">
        <f t="shared" si="3"/>
        <v>0.10326145345714047</v>
      </c>
      <c r="Q19" s="533">
        <f t="shared" si="116"/>
        <v>0</v>
      </c>
      <c r="R19" s="531"/>
      <c r="S19" s="532">
        <f t="shared" si="4"/>
        <v>0</v>
      </c>
      <c r="T19" s="533">
        <f t="shared" si="117"/>
        <v>0</v>
      </c>
      <c r="U19" s="531">
        <v>4.5938000000000017</v>
      </c>
      <c r="V19" s="532">
        <f t="shared" si="5"/>
        <v>8.8132146420075233E-2</v>
      </c>
      <c r="W19" s="533">
        <f t="shared" si="118"/>
        <v>0</v>
      </c>
      <c r="X19" s="531"/>
      <c r="Y19" s="532">
        <f t="shared" si="6"/>
        <v>0</v>
      </c>
      <c r="Z19" s="533">
        <f t="shared" si="119"/>
        <v>0</v>
      </c>
      <c r="AA19" s="531"/>
      <c r="AB19" s="532">
        <f t="shared" si="7"/>
        <v>0</v>
      </c>
      <c r="AC19" s="533">
        <f t="shared" si="120"/>
        <v>0</v>
      </c>
      <c r="AD19" s="531"/>
      <c r="AE19" s="532">
        <f t="shared" si="8"/>
        <v>0</v>
      </c>
      <c r="AF19" s="533">
        <f t="shared" si="121"/>
        <v>0</v>
      </c>
      <c r="AG19" s="531"/>
      <c r="AH19" s="532">
        <f t="shared" si="9"/>
        <v>0</v>
      </c>
      <c r="AI19" s="533">
        <f t="shared" si="122"/>
        <v>0</v>
      </c>
      <c r="AJ19" s="531">
        <v>44.0625</v>
      </c>
      <c r="AK19" s="532">
        <f t="shared" si="10"/>
        <v>0.84533995856035604</v>
      </c>
      <c r="AL19" s="533">
        <f t="shared" si="123"/>
        <v>0</v>
      </c>
      <c r="AM19" s="531"/>
      <c r="AN19" s="532">
        <f t="shared" si="11"/>
        <v>0</v>
      </c>
      <c r="AO19" s="533">
        <f t="shared" si="124"/>
        <v>0</v>
      </c>
      <c r="AP19" s="531"/>
      <c r="AQ19" s="532">
        <f t="shared" si="12"/>
        <v>0</v>
      </c>
      <c r="AR19" s="533">
        <f t="shared" si="125"/>
        <v>0</v>
      </c>
      <c r="AS19" s="531"/>
      <c r="AT19" s="532">
        <f t="shared" si="13"/>
        <v>0</v>
      </c>
      <c r="AU19" s="533">
        <f t="shared" si="126"/>
        <v>0</v>
      </c>
      <c r="AV19" s="531"/>
      <c r="AW19" s="532">
        <f t="shared" si="14"/>
        <v>0</v>
      </c>
      <c r="AX19" s="533">
        <f t="shared" si="127"/>
        <v>0</v>
      </c>
      <c r="AY19" s="531">
        <v>50.204400000000007</v>
      </c>
      <c r="AZ19" s="532">
        <f t="shared" si="15"/>
        <v>0.96317243496278115</v>
      </c>
      <c r="BA19" s="533">
        <f t="shared" si="128"/>
        <v>0</v>
      </c>
      <c r="BB19" s="531"/>
      <c r="BC19" s="532">
        <f t="shared" si="16"/>
        <v>0</v>
      </c>
      <c r="BD19" s="533">
        <f t="shared" si="129"/>
        <v>0</v>
      </c>
      <c r="BE19" s="531"/>
      <c r="BF19" s="532">
        <f t="shared" si="17"/>
        <v>0</v>
      </c>
      <c r="BG19" s="533">
        <f t="shared" si="130"/>
        <v>0</v>
      </c>
      <c r="BH19" s="531"/>
      <c r="BI19" s="532">
        <f t="shared" si="18"/>
        <v>0</v>
      </c>
      <c r="BJ19" s="533">
        <f t="shared" si="131"/>
        <v>0</v>
      </c>
      <c r="BK19" s="531"/>
      <c r="BL19" s="532">
        <f t="shared" si="19"/>
        <v>0</v>
      </c>
      <c r="BM19" s="533">
        <f t="shared" si="132"/>
        <v>0</v>
      </c>
      <c r="BN19" s="531"/>
      <c r="BO19" s="532">
        <f t="shared" si="20"/>
        <v>0</v>
      </c>
      <c r="BP19" s="533">
        <f t="shared" si="133"/>
        <v>0</v>
      </c>
      <c r="BQ19" s="531"/>
      <c r="BR19" s="532">
        <f t="shared" si="21"/>
        <v>0</v>
      </c>
      <c r="BS19" s="533">
        <f t="shared" si="134"/>
        <v>0</v>
      </c>
      <c r="BT19" s="531"/>
      <c r="BU19" s="532">
        <f t="shared" si="22"/>
        <v>0</v>
      </c>
      <c r="BV19" s="533">
        <f t="shared" si="135"/>
        <v>0</v>
      </c>
      <c r="BW19" s="531"/>
      <c r="BX19" s="532">
        <f t="shared" si="23"/>
        <v>0</v>
      </c>
      <c r="BY19" s="533">
        <f t="shared" si="136"/>
        <v>0</v>
      </c>
      <c r="BZ19" s="531"/>
      <c r="CA19" s="532">
        <f t="shared" si="24"/>
        <v>0</v>
      </c>
      <c r="CB19" s="533">
        <f t="shared" si="137"/>
        <v>0</v>
      </c>
      <c r="CC19" s="531"/>
      <c r="CD19" s="532">
        <f t="shared" si="25"/>
        <v>0</v>
      </c>
      <c r="CE19" s="533">
        <f t="shared" si="138"/>
        <v>0</v>
      </c>
      <c r="CF19" s="531"/>
      <c r="CG19" s="532">
        <f t="shared" si="26"/>
        <v>0</v>
      </c>
      <c r="CH19" s="533">
        <f t="shared" si="139"/>
        <v>0</v>
      </c>
      <c r="CI19" s="531"/>
      <c r="CJ19" s="532">
        <f t="shared" si="27"/>
        <v>0</v>
      </c>
      <c r="CK19" s="533">
        <f t="shared" si="140"/>
        <v>0</v>
      </c>
      <c r="CL19" s="531"/>
      <c r="CM19" s="532">
        <f t="shared" si="28"/>
        <v>0</v>
      </c>
      <c r="CN19" s="533">
        <f t="shared" si="141"/>
        <v>0</v>
      </c>
      <c r="CO19" s="531"/>
      <c r="CP19" s="532">
        <f t="shared" si="29"/>
        <v>0</v>
      </c>
      <c r="CQ19" s="533">
        <f t="shared" si="142"/>
        <v>0</v>
      </c>
      <c r="CR19" s="531"/>
      <c r="CS19" s="532">
        <f t="shared" si="30"/>
        <v>0</v>
      </c>
      <c r="CT19" s="533">
        <f t="shared" si="143"/>
        <v>0</v>
      </c>
      <c r="CU19" s="531"/>
      <c r="CV19" s="532">
        <f t="shared" si="31"/>
        <v>0</v>
      </c>
      <c r="CW19" s="533">
        <f t="shared" si="144"/>
        <v>0</v>
      </c>
      <c r="CX19" s="531"/>
      <c r="CY19" s="532">
        <f t="shared" si="32"/>
        <v>0</v>
      </c>
      <c r="CZ19" s="533">
        <f t="shared" si="145"/>
        <v>0</v>
      </c>
      <c r="DA19" s="531">
        <v>364.87200000000007</v>
      </c>
      <c r="DB19" s="532">
        <f t="shared" si="33"/>
        <v>7.0000767400813455</v>
      </c>
      <c r="DC19" s="533">
        <f t="shared" si="146"/>
        <v>0</v>
      </c>
      <c r="DD19" s="531"/>
      <c r="DE19" s="532">
        <f t="shared" si="34"/>
        <v>0</v>
      </c>
      <c r="DF19" s="533">
        <f t="shared" si="147"/>
        <v>0</v>
      </c>
      <c r="DG19" s="531"/>
      <c r="DH19" s="532">
        <f t="shared" si="35"/>
        <v>0</v>
      </c>
      <c r="DI19" s="533">
        <f t="shared" si="203"/>
        <v>0</v>
      </c>
      <c r="DJ19" s="531"/>
      <c r="DK19" s="532">
        <f t="shared" si="36"/>
        <v>0</v>
      </c>
      <c r="DL19" s="533">
        <f t="shared" si="148"/>
        <v>0</v>
      </c>
      <c r="DM19" s="531"/>
      <c r="DN19" s="532">
        <f t="shared" si="37"/>
        <v>0</v>
      </c>
      <c r="DO19" s="533">
        <f t="shared" si="149"/>
        <v>0</v>
      </c>
      <c r="DP19" s="531"/>
      <c r="DQ19" s="532">
        <f t="shared" si="38"/>
        <v>0</v>
      </c>
      <c r="DR19" s="533">
        <f t="shared" si="150"/>
        <v>0</v>
      </c>
      <c r="DS19" s="531"/>
      <c r="DT19" s="532">
        <f t="shared" si="39"/>
        <v>0</v>
      </c>
      <c r="DU19" s="533">
        <f t="shared" si="151"/>
        <v>0</v>
      </c>
      <c r="DV19" s="531"/>
      <c r="DW19" s="532">
        <f t="shared" si="40"/>
        <v>0</v>
      </c>
      <c r="DX19" s="533">
        <f t="shared" si="152"/>
        <v>0</v>
      </c>
      <c r="DY19" s="531"/>
      <c r="DZ19" s="532">
        <f t="shared" si="41"/>
        <v>0</v>
      </c>
      <c r="EA19" s="533">
        <f t="shared" si="153"/>
        <v>0</v>
      </c>
      <c r="EB19" s="531"/>
      <c r="EC19" s="532">
        <f t="shared" si="42"/>
        <v>0</v>
      </c>
      <c r="ED19" s="533">
        <f t="shared" si="154"/>
        <v>0</v>
      </c>
      <c r="EE19" s="531">
        <v>168.41999999999996</v>
      </c>
      <c r="EF19" s="532">
        <f t="shared" si="43"/>
        <v>3.2311411250095916</v>
      </c>
      <c r="EG19" s="533">
        <f t="shared" si="155"/>
        <v>0</v>
      </c>
      <c r="EH19" s="531">
        <v>3</v>
      </c>
      <c r="EI19" s="532">
        <f t="shared" si="44"/>
        <v>5.7555061008364668E-2</v>
      </c>
      <c r="EJ19" s="533">
        <f t="shared" si="156"/>
        <v>0</v>
      </c>
      <c r="EK19" s="531">
        <v>51.020654999999806</v>
      </c>
      <c r="EL19" s="532">
        <f t="shared" si="45"/>
        <v>0.97883230373723817</v>
      </c>
      <c r="EM19" s="533">
        <f t="shared" si="157"/>
        <v>0</v>
      </c>
      <c r="EN19" s="531"/>
      <c r="EO19" s="532">
        <f t="shared" si="46"/>
        <v>0</v>
      </c>
      <c r="EP19" s="533">
        <f t="shared" si="158"/>
        <v>0</v>
      </c>
      <c r="EQ19" s="531"/>
      <c r="ER19" s="532">
        <f t="shared" si="47"/>
        <v>0</v>
      </c>
      <c r="ES19" s="533">
        <f t="shared" si="159"/>
        <v>0</v>
      </c>
      <c r="ET19" s="531"/>
      <c r="EU19" s="532">
        <f t="shared" si="48"/>
        <v>0</v>
      </c>
      <c r="EV19" s="533">
        <f t="shared" si="160"/>
        <v>0</v>
      </c>
      <c r="EW19" s="531"/>
      <c r="EX19" s="532">
        <f t="shared" si="49"/>
        <v>0</v>
      </c>
      <c r="EY19" s="533">
        <f t="shared" si="161"/>
        <v>0</v>
      </c>
      <c r="EZ19" s="531"/>
      <c r="FA19" s="532">
        <f t="shared" si="50"/>
        <v>0</v>
      </c>
      <c r="FB19" s="533">
        <f t="shared" si="162"/>
        <v>0</v>
      </c>
      <c r="FC19" s="531"/>
      <c r="FD19" s="532">
        <f t="shared" si="51"/>
        <v>0</v>
      </c>
      <c r="FE19" s="533">
        <f t="shared" si="163"/>
        <v>0</v>
      </c>
      <c r="FF19" s="531"/>
      <c r="FG19" s="532">
        <f t="shared" si="52"/>
        <v>0</v>
      </c>
      <c r="FH19" s="533">
        <f t="shared" si="164"/>
        <v>0</v>
      </c>
      <c r="FI19" s="531"/>
      <c r="FJ19" s="532">
        <f t="shared" si="53"/>
        <v>0</v>
      </c>
      <c r="FK19" s="533">
        <f t="shared" si="165"/>
        <v>0</v>
      </c>
      <c r="FL19" s="531"/>
      <c r="FM19" s="532">
        <f t="shared" si="54"/>
        <v>0</v>
      </c>
      <c r="FN19" s="533">
        <f t="shared" si="166"/>
        <v>0</v>
      </c>
      <c r="FO19" s="531"/>
      <c r="FP19" s="532">
        <f t="shared" si="55"/>
        <v>0</v>
      </c>
      <c r="FQ19" s="533">
        <f t="shared" si="167"/>
        <v>0</v>
      </c>
      <c r="FR19" s="531"/>
      <c r="FS19" s="532">
        <f t="shared" si="56"/>
        <v>0</v>
      </c>
      <c r="FT19" s="533">
        <f t="shared" si="168"/>
        <v>0</v>
      </c>
      <c r="FU19" s="531"/>
      <c r="FV19" s="532">
        <f t="shared" si="57"/>
        <v>0</v>
      </c>
      <c r="FW19" s="533">
        <f t="shared" si="169"/>
        <v>0</v>
      </c>
      <c r="FX19" s="531"/>
      <c r="FY19" s="532">
        <f t="shared" si="58"/>
        <v>0</v>
      </c>
      <c r="FZ19" s="533">
        <f t="shared" si="170"/>
        <v>0</v>
      </c>
      <c r="GA19" s="531"/>
      <c r="GB19" s="532">
        <f t="shared" si="59"/>
        <v>0</v>
      </c>
      <c r="GC19" s="533">
        <f t="shared" si="171"/>
        <v>0</v>
      </c>
      <c r="GD19" s="531"/>
      <c r="GE19" s="532">
        <f t="shared" si="60"/>
        <v>0</v>
      </c>
      <c r="GF19" s="533">
        <f t="shared" si="172"/>
        <v>0</v>
      </c>
      <c r="GG19" s="531">
        <v>20</v>
      </c>
      <c r="GH19" s="532">
        <f t="shared" si="61"/>
        <v>0.38370040672243111</v>
      </c>
      <c r="GI19" s="533">
        <f t="shared" si="173"/>
        <v>0</v>
      </c>
      <c r="GJ19" s="531">
        <v>30</v>
      </c>
      <c r="GK19" s="532">
        <f t="shared" si="62"/>
        <v>0.57555061008364661</v>
      </c>
      <c r="GL19" s="533">
        <f t="shared" si="174"/>
        <v>0</v>
      </c>
      <c r="GM19" s="531"/>
      <c r="GN19" s="532">
        <f t="shared" si="63"/>
        <v>0</v>
      </c>
      <c r="GO19" s="533">
        <f t="shared" si="175"/>
        <v>0</v>
      </c>
      <c r="GP19" s="531">
        <v>35</v>
      </c>
      <c r="GQ19" s="532">
        <f t="shared" si="64"/>
        <v>0.67147571176425447</v>
      </c>
      <c r="GR19" s="533">
        <f t="shared" si="176"/>
        <v>0</v>
      </c>
      <c r="GS19" s="531">
        <v>180</v>
      </c>
      <c r="GT19" s="532">
        <f t="shared" si="65"/>
        <v>3.4533036605018799</v>
      </c>
      <c r="GU19" s="533">
        <f t="shared" si="177"/>
        <v>0</v>
      </c>
      <c r="GV19" s="531">
        <v>50</v>
      </c>
      <c r="GW19" s="532">
        <f t="shared" si="66"/>
        <v>0.95925101680607772</v>
      </c>
      <c r="GX19" s="533">
        <f t="shared" si="178"/>
        <v>0</v>
      </c>
      <c r="GY19" s="531"/>
      <c r="GZ19" s="532">
        <f t="shared" si="67"/>
        <v>0</v>
      </c>
      <c r="HA19" s="533">
        <f t="shared" si="179"/>
        <v>0</v>
      </c>
      <c r="HB19" s="531"/>
      <c r="HC19" s="532">
        <f t="shared" si="68"/>
        <v>0</v>
      </c>
      <c r="HD19" s="533">
        <f t="shared" si="180"/>
        <v>0</v>
      </c>
      <c r="HE19" s="531"/>
      <c r="HF19" s="532">
        <f t="shared" si="69"/>
        <v>0</v>
      </c>
      <c r="HG19" s="533">
        <f t="shared" si="181"/>
        <v>0</v>
      </c>
      <c r="HH19" s="531"/>
      <c r="HI19" s="532">
        <f t="shared" si="70"/>
        <v>0</v>
      </c>
      <c r="HJ19" s="533">
        <f t="shared" si="182"/>
        <v>0</v>
      </c>
      <c r="HK19" s="531"/>
      <c r="HL19" s="532">
        <f t="shared" si="71"/>
        <v>0</v>
      </c>
      <c r="HM19" s="533">
        <f t="shared" si="183"/>
        <v>0</v>
      </c>
      <c r="HN19" s="531">
        <v>1281</v>
      </c>
      <c r="HO19" s="532">
        <f t="shared" si="72"/>
        <v>24.576011050571712</v>
      </c>
      <c r="HP19" s="533">
        <f t="shared" si="184"/>
        <v>0</v>
      </c>
      <c r="HQ19" s="531"/>
      <c r="HR19" s="532">
        <f t="shared" si="73"/>
        <v>0</v>
      </c>
      <c r="HS19" s="533">
        <f t="shared" si="185"/>
        <v>0</v>
      </c>
      <c r="HT19" s="531"/>
      <c r="HU19" s="532">
        <f t="shared" si="74"/>
        <v>0</v>
      </c>
      <c r="HV19" s="533">
        <f t="shared" si="186"/>
        <v>0</v>
      </c>
      <c r="HW19" s="531"/>
      <c r="HX19" s="532">
        <f t="shared" si="75"/>
        <v>0</v>
      </c>
      <c r="HY19" s="533">
        <f t="shared" si="187"/>
        <v>0</v>
      </c>
      <c r="HZ19" s="531"/>
      <c r="IA19" s="532">
        <f t="shared" si="76"/>
        <v>0</v>
      </c>
      <c r="IB19" s="533">
        <f t="shared" si="188"/>
        <v>0</v>
      </c>
      <c r="IC19" s="531"/>
      <c r="ID19" s="532">
        <f t="shared" si="77"/>
        <v>0</v>
      </c>
      <c r="IE19" s="533">
        <f t="shared" si="189"/>
        <v>0</v>
      </c>
      <c r="IF19" s="531"/>
      <c r="IG19" s="532">
        <f t="shared" si="78"/>
        <v>0</v>
      </c>
      <c r="IH19" s="533">
        <f t="shared" si="190"/>
        <v>0</v>
      </c>
      <c r="II19" s="531">
        <v>15</v>
      </c>
      <c r="IJ19" s="532">
        <f t="shared" si="79"/>
        <v>0.2877753050418233</v>
      </c>
      <c r="IK19" s="533">
        <f t="shared" si="191"/>
        <v>0</v>
      </c>
      <c r="IL19" s="531"/>
      <c r="IM19" s="532">
        <f t="shared" si="80"/>
        <v>0</v>
      </c>
      <c r="IN19" s="533">
        <f t="shared" si="192"/>
        <v>0</v>
      </c>
      <c r="IO19" s="531"/>
      <c r="IP19" s="532">
        <f t="shared" si="81"/>
        <v>0</v>
      </c>
      <c r="IQ19" s="533">
        <f t="shared" si="193"/>
        <v>0</v>
      </c>
      <c r="IR19" s="531">
        <v>50</v>
      </c>
      <c r="IS19" s="532">
        <f t="shared" si="82"/>
        <v>0.95925101680607772</v>
      </c>
      <c r="IT19" s="533">
        <f t="shared" si="194"/>
        <v>0</v>
      </c>
      <c r="IU19" s="531"/>
      <c r="IV19" s="532">
        <f t="shared" si="83"/>
        <v>0</v>
      </c>
      <c r="IW19" s="533">
        <f t="shared" si="195"/>
        <v>0</v>
      </c>
      <c r="IX19" s="531"/>
      <c r="IY19" s="532">
        <f t="shared" si="84"/>
        <v>0</v>
      </c>
      <c r="IZ19" s="533">
        <f t="shared" si="196"/>
        <v>0</v>
      </c>
      <c r="JA19" s="531"/>
      <c r="JB19" s="532">
        <f t="shared" si="85"/>
        <v>0</v>
      </c>
      <c r="JC19" s="533">
        <f t="shared" si="197"/>
        <v>0</v>
      </c>
      <c r="JD19" s="531"/>
      <c r="JE19" s="532">
        <f t="shared" si="86"/>
        <v>0</v>
      </c>
      <c r="JF19" s="533">
        <f t="shared" si="198"/>
        <v>0</v>
      </c>
      <c r="JG19" s="531">
        <v>10</v>
      </c>
      <c r="JH19" s="532">
        <f t="shared" si="87"/>
        <v>0.19185020336121555</v>
      </c>
      <c r="JI19" s="533">
        <f t="shared" si="199"/>
        <v>0</v>
      </c>
      <c r="JJ19" s="531">
        <v>35</v>
      </c>
      <c r="JK19" s="533" t="str">
        <f t="shared" si="88"/>
        <v>0</v>
      </c>
      <c r="JL19" s="533" t="str">
        <f t="shared" si="89"/>
        <v>0</v>
      </c>
      <c r="JM19" s="531"/>
      <c r="JN19" s="533" t="str">
        <f t="shared" si="90"/>
        <v>0</v>
      </c>
      <c r="JO19" s="533" t="str">
        <f t="shared" si="91"/>
        <v>0</v>
      </c>
      <c r="JP19" s="531"/>
      <c r="JQ19" s="533" t="str">
        <f t="shared" si="92"/>
        <v>0</v>
      </c>
      <c r="JR19" s="533" t="str">
        <f t="shared" si="93"/>
        <v>0</v>
      </c>
      <c r="JS19" s="531"/>
      <c r="JT19" s="533" t="str">
        <f t="shared" si="94"/>
        <v>0</v>
      </c>
      <c r="JU19" s="533" t="str">
        <f t="shared" si="95"/>
        <v>0</v>
      </c>
      <c r="JV19" s="531"/>
      <c r="JW19" s="533" t="str">
        <f t="shared" si="96"/>
        <v>0</v>
      </c>
      <c r="JX19" s="533" t="str">
        <f t="shared" si="97"/>
        <v>0</v>
      </c>
      <c r="JY19" s="531"/>
      <c r="JZ19" s="533" t="str">
        <f t="shared" si="98"/>
        <v>0</v>
      </c>
      <c r="KA19" s="533" t="str">
        <f t="shared" si="99"/>
        <v>0</v>
      </c>
      <c r="KB19" s="531"/>
      <c r="KC19" s="533" t="str">
        <f t="shared" si="100"/>
        <v>0</v>
      </c>
      <c r="KD19" s="533" t="str">
        <f t="shared" si="101"/>
        <v>0</v>
      </c>
      <c r="KE19" s="531"/>
      <c r="KF19" s="533" t="str">
        <f t="shared" si="102"/>
        <v>0</v>
      </c>
      <c r="KG19" s="533" t="str">
        <f t="shared" si="103"/>
        <v>0</v>
      </c>
      <c r="KH19" s="531"/>
      <c r="KI19" s="533" t="str">
        <f t="shared" si="104"/>
        <v>0</v>
      </c>
      <c r="KJ19" s="533" t="str">
        <f t="shared" si="105"/>
        <v>0</v>
      </c>
      <c r="KK19" s="531"/>
      <c r="KL19" s="533" t="str">
        <f t="shared" si="106"/>
        <v>0</v>
      </c>
      <c r="KM19" s="533" t="str">
        <f t="shared" si="107"/>
        <v>0</v>
      </c>
      <c r="KN19" s="531"/>
      <c r="KO19" s="533" t="str">
        <f t="shared" si="108"/>
        <v>0</v>
      </c>
      <c r="KP19" s="533" t="str">
        <f t="shared" si="109"/>
        <v>0</v>
      </c>
      <c r="KQ19" s="531"/>
      <c r="KR19" s="533" t="str">
        <f t="shared" si="110"/>
        <v>0</v>
      </c>
      <c r="KS19" s="533" t="str">
        <f t="shared" si="111"/>
        <v>0</v>
      </c>
      <c r="KT19" s="533">
        <f t="shared" si="201"/>
        <v>0</v>
      </c>
      <c r="KU19" s="533">
        <f t="shared" si="202"/>
        <v>0</v>
      </c>
      <c r="KV19" s="271">
        <f t="shared" si="112"/>
        <v>2397.5557549999999</v>
      </c>
    </row>
    <row r="20" spans="1:309" ht="15" customHeight="1">
      <c r="A20" s="273">
        <f t="shared" si="200"/>
        <v>46034</v>
      </c>
      <c r="B20" s="274" t="str">
        <f>+Report1!B20</f>
        <v>Toilet</v>
      </c>
      <c r="C20" s="274" t="str">
        <f>+Report1!C20</f>
        <v>15/14</v>
      </c>
      <c r="D20" s="275">
        <f>+Report1!P20</f>
        <v>51.634</v>
      </c>
      <c r="E20" s="276">
        <f>+Report1!R20</f>
        <v>52.847999999999999</v>
      </c>
      <c r="F20" s="531"/>
      <c r="G20" s="532">
        <f t="shared" si="0"/>
        <v>0</v>
      </c>
      <c r="H20" s="533">
        <f t="shared" si="113"/>
        <v>0</v>
      </c>
      <c r="I20" s="531"/>
      <c r="J20" s="532">
        <f t="shared" si="1"/>
        <v>0</v>
      </c>
      <c r="K20" s="533">
        <f t="shared" si="114"/>
        <v>0</v>
      </c>
      <c r="L20" s="531"/>
      <c r="M20" s="532">
        <f t="shared" si="2"/>
        <v>0</v>
      </c>
      <c r="N20" s="533">
        <f t="shared" si="115"/>
        <v>0</v>
      </c>
      <c r="O20" s="531">
        <v>8.9963999999999658</v>
      </c>
      <c r="P20" s="532">
        <f t="shared" si="3"/>
        <v>0.17023160762942716</v>
      </c>
      <c r="Q20" s="533">
        <f t="shared" si="116"/>
        <v>0</v>
      </c>
      <c r="R20" s="531"/>
      <c r="S20" s="532">
        <f t="shared" si="4"/>
        <v>0</v>
      </c>
      <c r="T20" s="533">
        <f t="shared" si="117"/>
        <v>0</v>
      </c>
      <c r="U20" s="531">
        <v>7.686499999999981</v>
      </c>
      <c r="V20" s="532">
        <f t="shared" si="5"/>
        <v>0.14544542839842531</v>
      </c>
      <c r="W20" s="533">
        <f t="shared" si="118"/>
        <v>0</v>
      </c>
      <c r="X20" s="531"/>
      <c r="Y20" s="532">
        <f t="shared" si="6"/>
        <v>0</v>
      </c>
      <c r="Z20" s="533">
        <f t="shared" si="119"/>
        <v>0</v>
      </c>
      <c r="AA20" s="531"/>
      <c r="AB20" s="532">
        <f t="shared" si="7"/>
        <v>0</v>
      </c>
      <c r="AC20" s="533">
        <f t="shared" si="120"/>
        <v>0</v>
      </c>
      <c r="AD20" s="531"/>
      <c r="AE20" s="532">
        <f t="shared" si="8"/>
        <v>0</v>
      </c>
      <c r="AF20" s="533">
        <f t="shared" si="121"/>
        <v>0</v>
      </c>
      <c r="AG20" s="531"/>
      <c r="AH20" s="532">
        <f t="shared" si="9"/>
        <v>0</v>
      </c>
      <c r="AI20" s="533">
        <f t="shared" si="122"/>
        <v>0</v>
      </c>
      <c r="AJ20" s="531">
        <v>47</v>
      </c>
      <c r="AK20" s="532">
        <f t="shared" si="10"/>
        <v>0.88934302149561006</v>
      </c>
      <c r="AL20" s="533">
        <f t="shared" si="123"/>
        <v>0</v>
      </c>
      <c r="AM20" s="531"/>
      <c r="AN20" s="532">
        <f t="shared" si="11"/>
        <v>0</v>
      </c>
      <c r="AO20" s="533">
        <f t="shared" si="124"/>
        <v>0</v>
      </c>
      <c r="AP20" s="531"/>
      <c r="AQ20" s="532">
        <f t="shared" si="12"/>
        <v>0</v>
      </c>
      <c r="AR20" s="533">
        <f t="shared" si="125"/>
        <v>0</v>
      </c>
      <c r="AS20" s="531"/>
      <c r="AT20" s="532">
        <f t="shared" si="13"/>
        <v>0</v>
      </c>
      <c r="AU20" s="533">
        <f t="shared" si="126"/>
        <v>0</v>
      </c>
      <c r="AV20" s="531"/>
      <c r="AW20" s="532">
        <f t="shared" si="14"/>
        <v>0</v>
      </c>
      <c r="AX20" s="533">
        <f t="shared" si="127"/>
        <v>0</v>
      </c>
      <c r="AY20" s="531">
        <v>56.001866666666672</v>
      </c>
      <c r="AZ20" s="532">
        <f t="shared" si="15"/>
        <v>1.0596780704410134</v>
      </c>
      <c r="BA20" s="533">
        <f t="shared" si="128"/>
        <v>0</v>
      </c>
      <c r="BB20" s="531"/>
      <c r="BC20" s="532">
        <f t="shared" si="16"/>
        <v>0</v>
      </c>
      <c r="BD20" s="533">
        <f t="shared" si="129"/>
        <v>0</v>
      </c>
      <c r="BE20" s="531"/>
      <c r="BF20" s="532">
        <f t="shared" si="17"/>
        <v>0</v>
      </c>
      <c r="BG20" s="533">
        <f t="shared" si="130"/>
        <v>0</v>
      </c>
      <c r="BH20" s="531"/>
      <c r="BI20" s="532">
        <f t="shared" si="18"/>
        <v>0</v>
      </c>
      <c r="BJ20" s="533">
        <f t="shared" si="131"/>
        <v>0</v>
      </c>
      <c r="BK20" s="531"/>
      <c r="BL20" s="532">
        <f t="shared" si="19"/>
        <v>0</v>
      </c>
      <c r="BM20" s="533">
        <f t="shared" si="132"/>
        <v>0</v>
      </c>
      <c r="BN20" s="531"/>
      <c r="BO20" s="532">
        <f t="shared" si="20"/>
        <v>0</v>
      </c>
      <c r="BP20" s="533">
        <f t="shared" si="133"/>
        <v>0</v>
      </c>
      <c r="BQ20" s="531"/>
      <c r="BR20" s="532">
        <f t="shared" si="21"/>
        <v>0</v>
      </c>
      <c r="BS20" s="533">
        <f t="shared" si="134"/>
        <v>0</v>
      </c>
      <c r="BT20" s="531"/>
      <c r="BU20" s="532">
        <f t="shared" si="22"/>
        <v>0</v>
      </c>
      <c r="BV20" s="533">
        <f t="shared" si="135"/>
        <v>0</v>
      </c>
      <c r="BW20" s="531"/>
      <c r="BX20" s="532">
        <f t="shared" si="23"/>
        <v>0</v>
      </c>
      <c r="BY20" s="533">
        <f t="shared" si="136"/>
        <v>0</v>
      </c>
      <c r="BZ20" s="531"/>
      <c r="CA20" s="532">
        <f t="shared" si="24"/>
        <v>0</v>
      </c>
      <c r="CB20" s="533">
        <f t="shared" si="137"/>
        <v>0</v>
      </c>
      <c r="CC20" s="531"/>
      <c r="CD20" s="532">
        <f t="shared" si="25"/>
        <v>0</v>
      </c>
      <c r="CE20" s="533">
        <f t="shared" si="138"/>
        <v>0</v>
      </c>
      <c r="CF20" s="531">
        <v>2.8</v>
      </c>
      <c r="CG20" s="532">
        <f t="shared" si="26"/>
        <v>5.2982137450802297E-2</v>
      </c>
      <c r="CH20" s="533">
        <f t="shared" si="139"/>
        <v>0</v>
      </c>
      <c r="CI20" s="531"/>
      <c r="CJ20" s="532">
        <f t="shared" si="27"/>
        <v>0</v>
      </c>
      <c r="CK20" s="533">
        <f t="shared" si="140"/>
        <v>0</v>
      </c>
      <c r="CL20" s="531"/>
      <c r="CM20" s="532">
        <f t="shared" si="28"/>
        <v>0</v>
      </c>
      <c r="CN20" s="533">
        <f t="shared" si="141"/>
        <v>0</v>
      </c>
      <c r="CO20" s="531"/>
      <c r="CP20" s="532">
        <f t="shared" si="29"/>
        <v>0</v>
      </c>
      <c r="CQ20" s="533">
        <f t="shared" si="142"/>
        <v>0</v>
      </c>
      <c r="CR20" s="531"/>
      <c r="CS20" s="532">
        <f t="shared" si="30"/>
        <v>0</v>
      </c>
      <c r="CT20" s="533">
        <f t="shared" si="143"/>
        <v>0</v>
      </c>
      <c r="CU20" s="531"/>
      <c r="CV20" s="532">
        <f t="shared" si="31"/>
        <v>0</v>
      </c>
      <c r="CW20" s="533">
        <f t="shared" si="144"/>
        <v>0</v>
      </c>
      <c r="CX20" s="531"/>
      <c r="CY20" s="532">
        <f t="shared" si="32"/>
        <v>0</v>
      </c>
      <c r="CZ20" s="533">
        <f t="shared" si="145"/>
        <v>0</v>
      </c>
      <c r="DA20" s="531">
        <v>305.22893023255813</v>
      </c>
      <c r="DB20" s="532">
        <f t="shared" si="33"/>
        <v>5.7756004055509793</v>
      </c>
      <c r="DC20" s="533">
        <f t="shared" si="146"/>
        <v>0</v>
      </c>
      <c r="DD20" s="531"/>
      <c r="DE20" s="532">
        <f t="shared" si="34"/>
        <v>0</v>
      </c>
      <c r="DF20" s="533">
        <f t="shared" si="147"/>
        <v>0</v>
      </c>
      <c r="DG20" s="531"/>
      <c r="DH20" s="532">
        <f t="shared" si="35"/>
        <v>0</v>
      </c>
      <c r="DI20" s="533">
        <f t="shared" si="203"/>
        <v>0</v>
      </c>
      <c r="DJ20" s="531"/>
      <c r="DK20" s="532">
        <f t="shared" si="36"/>
        <v>0</v>
      </c>
      <c r="DL20" s="533">
        <f t="shared" si="148"/>
        <v>0</v>
      </c>
      <c r="DM20" s="531"/>
      <c r="DN20" s="532">
        <f t="shared" si="37"/>
        <v>0</v>
      </c>
      <c r="DO20" s="533">
        <f t="shared" si="149"/>
        <v>0</v>
      </c>
      <c r="DP20" s="531"/>
      <c r="DQ20" s="532">
        <f t="shared" si="38"/>
        <v>0</v>
      </c>
      <c r="DR20" s="533">
        <f t="shared" si="150"/>
        <v>0</v>
      </c>
      <c r="DS20" s="531"/>
      <c r="DT20" s="532">
        <f t="shared" si="39"/>
        <v>0</v>
      </c>
      <c r="DU20" s="533">
        <f t="shared" si="151"/>
        <v>0</v>
      </c>
      <c r="DV20" s="531"/>
      <c r="DW20" s="532">
        <f t="shared" si="40"/>
        <v>0</v>
      </c>
      <c r="DX20" s="533">
        <f t="shared" si="152"/>
        <v>0</v>
      </c>
      <c r="DY20" s="531"/>
      <c r="DZ20" s="532">
        <f t="shared" si="41"/>
        <v>0</v>
      </c>
      <c r="EA20" s="533">
        <f t="shared" si="153"/>
        <v>0</v>
      </c>
      <c r="EB20" s="531"/>
      <c r="EC20" s="532">
        <f t="shared" si="42"/>
        <v>0</v>
      </c>
      <c r="ED20" s="533">
        <f t="shared" si="154"/>
        <v>0</v>
      </c>
      <c r="EE20" s="531">
        <v>176.12235294117659</v>
      </c>
      <c r="EF20" s="532">
        <f t="shared" si="43"/>
        <v>3.3326209684600476</v>
      </c>
      <c r="EG20" s="533">
        <f t="shared" si="155"/>
        <v>0</v>
      </c>
      <c r="EH20" s="531">
        <v>3</v>
      </c>
      <c r="EI20" s="532">
        <f t="shared" si="44"/>
        <v>5.6766575840145321E-2</v>
      </c>
      <c r="EJ20" s="533">
        <f t="shared" si="156"/>
        <v>0</v>
      </c>
      <c r="EK20" s="531">
        <v>85.36872500000004</v>
      </c>
      <c r="EL20" s="532">
        <f t="shared" si="45"/>
        <v>1.6153634006963375</v>
      </c>
      <c r="EM20" s="533">
        <f t="shared" si="157"/>
        <v>0</v>
      </c>
      <c r="EN20" s="531"/>
      <c r="EO20" s="532">
        <f t="shared" si="46"/>
        <v>0</v>
      </c>
      <c r="EP20" s="533">
        <f t="shared" si="158"/>
        <v>0</v>
      </c>
      <c r="EQ20" s="531"/>
      <c r="ER20" s="532">
        <f t="shared" si="47"/>
        <v>0</v>
      </c>
      <c r="ES20" s="533">
        <f t="shared" si="159"/>
        <v>0</v>
      </c>
      <c r="ET20" s="531"/>
      <c r="EU20" s="532">
        <f t="shared" si="48"/>
        <v>0</v>
      </c>
      <c r="EV20" s="533">
        <f t="shared" si="160"/>
        <v>0</v>
      </c>
      <c r="EW20" s="531"/>
      <c r="EX20" s="532">
        <f t="shared" si="49"/>
        <v>0</v>
      </c>
      <c r="EY20" s="533">
        <f t="shared" si="161"/>
        <v>0</v>
      </c>
      <c r="EZ20" s="531"/>
      <c r="FA20" s="532">
        <f t="shared" si="50"/>
        <v>0</v>
      </c>
      <c r="FB20" s="533">
        <f t="shared" si="162"/>
        <v>0</v>
      </c>
      <c r="FC20" s="531"/>
      <c r="FD20" s="532">
        <f t="shared" si="51"/>
        <v>0</v>
      </c>
      <c r="FE20" s="533">
        <f t="shared" si="163"/>
        <v>0</v>
      </c>
      <c r="FF20" s="531"/>
      <c r="FG20" s="532">
        <f t="shared" si="52"/>
        <v>0</v>
      </c>
      <c r="FH20" s="533">
        <f t="shared" si="164"/>
        <v>0</v>
      </c>
      <c r="FI20" s="531"/>
      <c r="FJ20" s="532">
        <f t="shared" si="53"/>
        <v>0</v>
      </c>
      <c r="FK20" s="533">
        <f t="shared" si="165"/>
        <v>0</v>
      </c>
      <c r="FL20" s="531"/>
      <c r="FM20" s="532">
        <f t="shared" si="54"/>
        <v>0</v>
      </c>
      <c r="FN20" s="533">
        <f t="shared" si="166"/>
        <v>0</v>
      </c>
      <c r="FO20" s="531"/>
      <c r="FP20" s="532">
        <f t="shared" si="55"/>
        <v>0</v>
      </c>
      <c r="FQ20" s="533">
        <f t="shared" si="167"/>
        <v>0</v>
      </c>
      <c r="FR20" s="531"/>
      <c r="FS20" s="532">
        <f t="shared" si="56"/>
        <v>0</v>
      </c>
      <c r="FT20" s="533">
        <f t="shared" si="168"/>
        <v>0</v>
      </c>
      <c r="FU20" s="531"/>
      <c r="FV20" s="532">
        <f t="shared" si="57"/>
        <v>0</v>
      </c>
      <c r="FW20" s="533">
        <f t="shared" si="169"/>
        <v>0</v>
      </c>
      <c r="FX20" s="531"/>
      <c r="FY20" s="532">
        <f t="shared" si="58"/>
        <v>0</v>
      </c>
      <c r="FZ20" s="533">
        <f t="shared" si="170"/>
        <v>0</v>
      </c>
      <c r="GA20" s="531"/>
      <c r="GB20" s="532">
        <f t="shared" si="59"/>
        <v>0</v>
      </c>
      <c r="GC20" s="533">
        <f t="shared" si="171"/>
        <v>0</v>
      </c>
      <c r="GD20" s="531"/>
      <c r="GE20" s="532">
        <f t="shared" si="60"/>
        <v>0</v>
      </c>
      <c r="GF20" s="533">
        <f t="shared" si="172"/>
        <v>0</v>
      </c>
      <c r="GG20" s="531">
        <v>15.600652620553518</v>
      </c>
      <c r="GH20" s="532">
        <f t="shared" si="61"/>
        <v>0.29519854338013773</v>
      </c>
      <c r="GI20" s="533">
        <f t="shared" si="173"/>
        <v>0</v>
      </c>
      <c r="GJ20" s="531">
        <v>20.800870160738025</v>
      </c>
      <c r="GK20" s="532">
        <f t="shared" si="62"/>
        <v>0.39359805784018365</v>
      </c>
      <c r="GL20" s="533">
        <f t="shared" si="174"/>
        <v>0</v>
      </c>
      <c r="GM20" s="531">
        <v>5.2002175401845063</v>
      </c>
      <c r="GN20" s="532">
        <f t="shared" si="63"/>
        <v>9.8399514460045912E-2</v>
      </c>
      <c r="GO20" s="533">
        <f t="shared" si="175"/>
        <v>0</v>
      </c>
      <c r="GP20" s="531">
        <v>28.601196471014784</v>
      </c>
      <c r="GQ20" s="532">
        <f t="shared" si="64"/>
        <v>0.54119732953025257</v>
      </c>
      <c r="GR20" s="533">
        <f t="shared" si="176"/>
        <v>0</v>
      </c>
      <c r="GS20" s="531">
        <v>150.80630866535068</v>
      </c>
      <c r="GT20" s="532">
        <f t="shared" si="65"/>
        <v>2.8535859193413313</v>
      </c>
      <c r="GU20" s="533">
        <f t="shared" si="177"/>
        <v>0</v>
      </c>
      <c r="GV20" s="531">
        <v>36.401522781291547</v>
      </c>
      <c r="GW20" s="532">
        <f t="shared" si="66"/>
        <v>0.68879660122032149</v>
      </c>
      <c r="GX20" s="533">
        <f t="shared" si="178"/>
        <v>0</v>
      </c>
      <c r="GY20" s="531"/>
      <c r="GZ20" s="532">
        <f t="shared" si="67"/>
        <v>0</v>
      </c>
      <c r="HA20" s="533">
        <f t="shared" si="179"/>
        <v>0</v>
      </c>
      <c r="HB20" s="531"/>
      <c r="HC20" s="532">
        <f t="shared" si="68"/>
        <v>0</v>
      </c>
      <c r="HD20" s="533">
        <f t="shared" si="180"/>
        <v>0</v>
      </c>
      <c r="HE20" s="531"/>
      <c r="HF20" s="532">
        <f t="shared" si="69"/>
        <v>0</v>
      </c>
      <c r="HG20" s="533">
        <f t="shared" si="181"/>
        <v>0</v>
      </c>
      <c r="HH20" s="531"/>
      <c r="HI20" s="532">
        <f t="shared" si="70"/>
        <v>0</v>
      </c>
      <c r="HJ20" s="533">
        <f t="shared" si="182"/>
        <v>0</v>
      </c>
      <c r="HK20" s="531"/>
      <c r="HL20" s="532">
        <f t="shared" si="71"/>
        <v>0</v>
      </c>
      <c r="HM20" s="533">
        <f t="shared" si="183"/>
        <v>0</v>
      </c>
      <c r="HN20" s="531">
        <v>796.15330540224795</v>
      </c>
      <c r="HO20" s="532">
        <f t="shared" si="72"/>
        <v>15.06496566383303</v>
      </c>
      <c r="HP20" s="533">
        <f t="shared" si="184"/>
        <v>0</v>
      </c>
      <c r="HQ20" s="531"/>
      <c r="HR20" s="532">
        <f t="shared" si="73"/>
        <v>0</v>
      </c>
      <c r="HS20" s="533">
        <f t="shared" si="185"/>
        <v>0</v>
      </c>
      <c r="HT20" s="531"/>
      <c r="HU20" s="532">
        <f t="shared" si="74"/>
        <v>0</v>
      </c>
      <c r="HV20" s="533">
        <f t="shared" si="186"/>
        <v>0</v>
      </c>
      <c r="HW20" s="531"/>
      <c r="HX20" s="532">
        <f t="shared" si="75"/>
        <v>0</v>
      </c>
      <c r="HY20" s="533">
        <f t="shared" si="187"/>
        <v>0</v>
      </c>
      <c r="HZ20" s="531"/>
      <c r="IA20" s="532">
        <f t="shared" si="76"/>
        <v>0</v>
      </c>
      <c r="IB20" s="533">
        <f t="shared" si="188"/>
        <v>0</v>
      </c>
      <c r="IC20" s="531"/>
      <c r="ID20" s="532">
        <f t="shared" si="77"/>
        <v>0</v>
      </c>
      <c r="IE20" s="533">
        <f t="shared" si="189"/>
        <v>0</v>
      </c>
      <c r="IF20" s="531"/>
      <c r="IG20" s="532">
        <f t="shared" si="78"/>
        <v>0</v>
      </c>
      <c r="IH20" s="533">
        <f t="shared" si="190"/>
        <v>0</v>
      </c>
      <c r="II20" s="531">
        <v>20.800870160738025</v>
      </c>
      <c r="IJ20" s="532">
        <f t="shared" si="79"/>
        <v>0.39359805784018365</v>
      </c>
      <c r="IK20" s="533">
        <f t="shared" si="191"/>
        <v>0</v>
      </c>
      <c r="IL20" s="531"/>
      <c r="IM20" s="532">
        <f t="shared" si="80"/>
        <v>0</v>
      </c>
      <c r="IN20" s="533">
        <f t="shared" si="192"/>
        <v>0</v>
      </c>
      <c r="IO20" s="531"/>
      <c r="IP20" s="532">
        <f t="shared" si="81"/>
        <v>0</v>
      </c>
      <c r="IQ20" s="533">
        <f t="shared" si="193"/>
        <v>0</v>
      </c>
      <c r="IR20" s="531">
        <v>57.202392942029569</v>
      </c>
      <c r="IS20" s="532">
        <f t="shared" si="82"/>
        <v>1.0823946590605051</v>
      </c>
      <c r="IT20" s="533">
        <f t="shared" si="194"/>
        <v>0</v>
      </c>
      <c r="IU20" s="531"/>
      <c r="IV20" s="532">
        <f t="shared" si="83"/>
        <v>0</v>
      </c>
      <c r="IW20" s="533">
        <f t="shared" si="195"/>
        <v>0</v>
      </c>
      <c r="IX20" s="531"/>
      <c r="IY20" s="532">
        <f t="shared" si="84"/>
        <v>0</v>
      </c>
      <c r="IZ20" s="533">
        <f t="shared" si="196"/>
        <v>0</v>
      </c>
      <c r="JA20" s="531"/>
      <c r="JB20" s="532">
        <f t="shared" si="85"/>
        <v>0</v>
      </c>
      <c r="JC20" s="533">
        <f t="shared" si="197"/>
        <v>0</v>
      </c>
      <c r="JD20" s="531"/>
      <c r="JE20" s="532">
        <f t="shared" si="86"/>
        <v>0</v>
      </c>
      <c r="JF20" s="533">
        <f t="shared" si="198"/>
        <v>0</v>
      </c>
      <c r="JG20" s="531"/>
      <c r="JH20" s="532">
        <f t="shared" si="87"/>
        <v>0</v>
      </c>
      <c r="JI20" s="533">
        <f t="shared" si="199"/>
        <v>0</v>
      </c>
      <c r="JJ20" s="531">
        <v>18.200761390645773</v>
      </c>
      <c r="JK20" s="533" t="str">
        <f t="shared" si="88"/>
        <v>0</v>
      </c>
      <c r="JL20" s="533" t="str">
        <f t="shared" si="89"/>
        <v>0</v>
      </c>
      <c r="JM20" s="531"/>
      <c r="JN20" s="533" t="str">
        <f t="shared" si="90"/>
        <v>0</v>
      </c>
      <c r="JO20" s="533" t="str">
        <f t="shared" si="91"/>
        <v>0</v>
      </c>
      <c r="JP20" s="531"/>
      <c r="JQ20" s="533" t="str">
        <f t="shared" si="92"/>
        <v>0</v>
      </c>
      <c r="JR20" s="533" t="str">
        <f t="shared" si="93"/>
        <v>0</v>
      </c>
      <c r="JS20" s="531"/>
      <c r="JT20" s="533" t="str">
        <f t="shared" si="94"/>
        <v>0</v>
      </c>
      <c r="JU20" s="533" t="str">
        <f t="shared" si="95"/>
        <v>0</v>
      </c>
      <c r="JV20" s="531"/>
      <c r="JW20" s="533" t="str">
        <f t="shared" si="96"/>
        <v>0</v>
      </c>
      <c r="JX20" s="533" t="str">
        <f t="shared" si="97"/>
        <v>0</v>
      </c>
      <c r="JY20" s="531"/>
      <c r="JZ20" s="533" t="str">
        <f t="shared" si="98"/>
        <v>0</v>
      </c>
      <c r="KA20" s="533" t="str">
        <f t="shared" si="99"/>
        <v>0</v>
      </c>
      <c r="KB20" s="531"/>
      <c r="KC20" s="533" t="str">
        <f t="shared" si="100"/>
        <v>0</v>
      </c>
      <c r="KD20" s="533" t="str">
        <f t="shared" si="101"/>
        <v>0</v>
      </c>
      <c r="KE20" s="531"/>
      <c r="KF20" s="533" t="str">
        <f t="shared" si="102"/>
        <v>0</v>
      </c>
      <c r="KG20" s="533" t="str">
        <f t="shared" si="103"/>
        <v>0</v>
      </c>
      <c r="KH20" s="531"/>
      <c r="KI20" s="533" t="str">
        <f t="shared" si="104"/>
        <v>0</v>
      </c>
      <c r="KJ20" s="533" t="str">
        <f t="shared" si="105"/>
        <v>0</v>
      </c>
      <c r="KK20" s="531"/>
      <c r="KL20" s="533" t="str">
        <f t="shared" si="106"/>
        <v>0</v>
      </c>
      <c r="KM20" s="533" t="str">
        <f t="shared" si="107"/>
        <v>0</v>
      </c>
      <c r="KN20" s="531"/>
      <c r="KO20" s="533" t="str">
        <f t="shared" si="108"/>
        <v>0</v>
      </c>
      <c r="KP20" s="533" t="str">
        <f t="shared" si="109"/>
        <v>0</v>
      </c>
      <c r="KQ20" s="531"/>
      <c r="KR20" s="533" t="str">
        <f t="shared" si="110"/>
        <v>0</v>
      </c>
      <c r="KS20" s="533" t="str">
        <f t="shared" si="111"/>
        <v>0</v>
      </c>
      <c r="KT20" s="533">
        <f t="shared" si="201"/>
        <v>0</v>
      </c>
      <c r="KU20" s="533">
        <f t="shared" si="202"/>
        <v>0</v>
      </c>
      <c r="KV20" s="271">
        <f t="shared" si="112"/>
        <v>1841.9728729751955</v>
      </c>
    </row>
    <row r="21" spans="1:309" ht="15" customHeight="1">
      <c r="A21" s="273">
        <f t="shared" si="200"/>
        <v>46035</v>
      </c>
      <c r="B21" s="274" t="str">
        <f>+Report1!B21</f>
        <v>Toilet</v>
      </c>
      <c r="C21" s="274" t="str">
        <f>+Report1!C21</f>
        <v>14/15</v>
      </c>
      <c r="D21" s="275">
        <f>+Report1!P21</f>
        <v>43.606000000000002</v>
      </c>
      <c r="E21" s="276">
        <f>+Report1!R21</f>
        <v>42.447000000000003</v>
      </c>
      <c r="F21" s="531"/>
      <c r="G21" s="532">
        <f t="shared" si="0"/>
        <v>0</v>
      </c>
      <c r="H21" s="533">
        <f t="shared" si="113"/>
        <v>0</v>
      </c>
      <c r="I21" s="531"/>
      <c r="J21" s="532">
        <f t="shared" si="1"/>
        <v>0</v>
      </c>
      <c r="K21" s="533">
        <f t="shared" si="114"/>
        <v>0</v>
      </c>
      <c r="L21" s="531"/>
      <c r="M21" s="532">
        <f t="shared" si="2"/>
        <v>0</v>
      </c>
      <c r="N21" s="533">
        <f t="shared" si="115"/>
        <v>0</v>
      </c>
      <c r="O21" s="531">
        <v>9</v>
      </c>
      <c r="P21" s="532">
        <f t="shared" si="3"/>
        <v>0.21202911866563007</v>
      </c>
      <c r="Q21" s="533">
        <f t="shared" si="116"/>
        <v>0</v>
      </c>
      <c r="R21" s="531"/>
      <c r="S21" s="532">
        <f t="shared" si="4"/>
        <v>0</v>
      </c>
      <c r="T21" s="533">
        <f t="shared" si="117"/>
        <v>0</v>
      </c>
      <c r="U21" s="531">
        <v>7.6875</v>
      </c>
      <c r="V21" s="532">
        <f t="shared" si="5"/>
        <v>0.18110820552689236</v>
      </c>
      <c r="W21" s="533">
        <f t="shared" si="118"/>
        <v>0</v>
      </c>
      <c r="X21" s="531"/>
      <c r="Y21" s="532">
        <f t="shared" si="6"/>
        <v>0</v>
      </c>
      <c r="Z21" s="533">
        <f t="shared" si="119"/>
        <v>0</v>
      </c>
      <c r="AA21" s="531"/>
      <c r="AB21" s="532">
        <f t="shared" si="7"/>
        <v>0</v>
      </c>
      <c r="AC21" s="533">
        <f t="shared" si="120"/>
        <v>0</v>
      </c>
      <c r="AD21" s="531"/>
      <c r="AE21" s="532">
        <f t="shared" si="8"/>
        <v>0</v>
      </c>
      <c r="AF21" s="533">
        <f t="shared" si="121"/>
        <v>0</v>
      </c>
      <c r="AG21" s="531"/>
      <c r="AH21" s="532">
        <f t="shared" si="9"/>
        <v>0</v>
      </c>
      <c r="AI21" s="533">
        <f t="shared" si="122"/>
        <v>0</v>
      </c>
      <c r="AJ21" s="531">
        <v>44.0625</v>
      </c>
      <c r="AK21" s="532">
        <f t="shared" si="10"/>
        <v>1.0380592268004805</v>
      </c>
      <c r="AL21" s="533">
        <f t="shared" si="123"/>
        <v>0</v>
      </c>
      <c r="AM21" s="531"/>
      <c r="AN21" s="532">
        <f t="shared" si="11"/>
        <v>0</v>
      </c>
      <c r="AO21" s="533">
        <f t="shared" si="124"/>
        <v>0</v>
      </c>
      <c r="AP21" s="531"/>
      <c r="AQ21" s="532">
        <f t="shared" si="12"/>
        <v>0</v>
      </c>
      <c r="AR21" s="533">
        <f t="shared" si="125"/>
        <v>0</v>
      </c>
      <c r="AS21" s="531"/>
      <c r="AT21" s="532">
        <f t="shared" si="13"/>
        <v>0</v>
      </c>
      <c r="AU21" s="533">
        <f t="shared" si="126"/>
        <v>0</v>
      </c>
      <c r="AV21" s="531"/>
      <c r="AW21" s="532">
        <f t="shared" si="14"/>
        <v>0</v>
      </c>
      <c r="AX21" s="533">
        <f t="shared" si="127"/>
        <v>0</v>
      </c>
      <c r="AY21" s="531">
        <v>35</v>
      </c>
      <c r="AZ21" s="532">
        <f t="shared" si="15"/>
        <v>0.82455768369967253</v>
      </c>
      <c r="BA21" s="533">
        <f t="shared" si="128"/>
        <v>0</v>
      </c>
      <c r="BB21" s="531"/>
      <c r="BC21" s="532">
        <f t="shared" si="16"/>
        <v>0</v>
      </c>
      <c r="BD21" s="533">
        <f t="shared" si="129"/>
        <v>0</v>
      </c>
      <c r="BE21" s="531"/>
      <c r="BF21" s="532">
        <f t="shared" si="17"/>
        <v>0</v>
      </c>
      <c r="BG21" s="533">
        <f t="shared" si="130"/>
        <v>0</v>
      </c>
      <c r="BH21" s="531"/>
      <c r="BI21" s="532">
        <f t="shared" si="18"/>
        <v>0</v>
      </c>
      <c r="BJ21" s="533">
        <f t="shared" si="131"/>
        <v>0</v>
      </c>
      <c r="BK21" s="531"/>
      <c r="BL21" s="532">
        <f t="shared" si="19"/>
        <v>0</v>
      </c>
      <c r="BM21" s="533">
        <f t="shared" si="132"/>
        <v>0</v>
      </c>
      <c r="BN21" s="531"/>
      <c r="BO21" s="532">
        <f t="shared" si="20"/>
        <v>0</v>
      </c>
      <c r="BP21" s="533">
        <f t="shared" si="133"/>
        <v>0</v>
      </c>
      <c r="BQ21" s="531"/>
      <c r="BR21" s="532">
        <f t="shared" si="21"/>
        <v>0</v>
      </c>
      <c r="BS21" s="533">
        <f t="shared" si="134"/>
        <v>0</v>
      </c>
      <c r="BT21" s="531"/>
      <c r="BU21" s="532">
        <f t="shared" si="22"/>
        <v>0</v>
      </c>
      <c r="BV21" s="533">
        <f t="shared" si="135"/>
        <v>0</v>
      </c>
      <c r="BW21" s="531"/>
      <c r="BX21" s="532">
        <f t="shared" si="23"/>
        <v>0</v>
      </c>
      <c r="BY21" s="533">
        <f t="shared" si="136"/>
        <v>0</v>
      </c>
      <c r="BZ21" s="531"/>
      <c r="CA21" s="532">
        <f t="shared" si="24"/>
        <v>0</v>
      </c>
      <c r="CB21" s="533">
        <f t="shared" si="137"/>
        <v>0</v>
      </c>
      <c r="CC21" s="531"/>
      <c r="CD21" s="532">
        <f t="shared" si="25"/>
        <v>0</v>
      </c>
      <c r="CE21" s="533">
        <f t="shared" si="138"/>
        <v>0</v>
      </c>
      <c r="CF21" s="531">
        <v>2.8</v>
      </c>
      <c r="CG21" s="532">
        <f t="shared" si="26"/>
        <v>6.5964614695973797E-2</v>
      </c>
      <c r="CH21" s="533">
        <f t="shared" si="139"/>
        <v>0</v>
      </c>
      <c r="CI21" s="531"/>
      <c r="CJ21" s="532">
        <f t="shared" si="27"/>
        <v>0</v>
      </c>
      <c r="CK21" s="533">
        <f t="shared" si="140"/>
        <v>0</v>
      </c>
      <c r="CL21" s="531"/>
      <c r="CM21" s="532">
        <f t="shared" si="28"/>
        <v>0</v>
      </c>
      <c r="CN21" s="533">
        <f t="shared" si="141"/>
        <v>0</v>
      </c>
      <c r="CO21" s="531"/>
      <c r="CP21" s="532">
        <f t="shared" si="29"/>
        <v>0</v>
      </c>
      <c r="CQ21" s="533">
        <f t="shared" si="142"/>
        <v>0</v>
      </c>
      <c r="CR21" s="531"/>
      <c r="CS21" s="532">
        <f t="shared" si="30"/>
        <v>0</v>
      </c>
      <c r="CT21" s="533">
        <f t="shared" si="143"/>
        <v>0</v>
      </c>
      <c r="CU21" s="531"/>
      <c r="CV21" s="532">
        <f t="shared" si="31"/>
        <v>0</v>
      </c>
      <c r="CW21" s="533">
        <f t="shared" si="144"/>
        <v>0</v>
      </c>
      <c r="CX21" s="531"/>
      <c r="CY21" s="532">
        <f t="shared" si="32"/>
        <v>0</v>
      </c>
      <c r="CZ21" s="533">
        <f t="shared" si="145"/>
        <v>0</v>
      </c>
      <c r="DA21" s="531">
        <v>276.16279069767444</v>
      </c>
      <c r="DB21" s="532">
        <f t="shared" si="33"/>
        <v>6.506061457763197</v>
      </c>
      <c r="DC21" s="533">
        <f t="shared" si="146"/>
        <v>0</v>
      </c>
      <c r="DD21" s="531"/>
      <c r="DE21" s="532">
        <f t="shared" si="34"/>
        <v>0</v>
      </c>
      <c r="DF21" s="533">
        <f t="shared" si="147"/>
        <v>0</v>
      </c>
      <c r="DG21" s="531"/>
      <c r="DH21" s="532">
        <f t="shared" si="35"/>
        <v>0</v>
      </c>
      <c r="DI21" s="533">
        <f t="shared" si="203"/>
        <v>0</v>
      </c>
      <c r="DJ21" s="531"/>
      <c r="DK21" s="532">
        <f t="shared" si="36"/>
        <v>0</v>
      </c>
      <c r="DL21" s="533">
        <f t="shared" si="148"/>
        <v>0</v>
      </c>
      <c r="DM21" s="531"/>
      <c r="DN21" s="532">
        <f t="shared" si="37"/>
        <v>0</v>
      </c>
      <c r="DO21" s="533">
        <f t="shared" si="149"/>
        <v>0</v>
      </c>
      <c r="DP21" s="531"/>
      <c r="DQ21" s="532">
        <f t="shared" si="38"/>
        <v>0</v>
      </c>
      <c r="DR21" s="533">
        <f t="shared" si="150"/>
        <v>0</v>
      </c>
      <c r="DS21" s="531"/>
      <c r="DT21" s="532">
        <f t="shared" si="39"/>
        <v>0</v>
      </c>
      <c r="DU21" s="533">
        <f t="shared" si="151"/>
        <v>0</v>
      </c>
      <c r="DV21" s="531"/>
      <c r="DW21" s="532">
        <f t="shared" si="40"/>
        <v>0</v>
      </c>
      <c r="DX21" s="533">
        <f t="shared" si="152"/>
        <v>0</v>
      </c>
      <c r="DY21" s="531"/>
      <c r="DZ21" s="532">
        <f t="shared" si="41"/>
        <v>0</v>
      </c>
      <c r="EA21" s="533">
        <f t="shared" si="153"/>
        <v>0</v>
      </c>
      <c r="EB21" s="531"/>
      <c r="EC21" s="532">
        <f t="shared" si="42"/>
        <v>0</v>
      </c>
      <c r="ED21" s="533">
        <f t="shared" si="154"/>
        <v>0</v>
      </c>
      <c r="EE21" s="531">
        <v>105.67058823529419</v>
      </c>
      <c r="EF21" s="532">
        <f t="shared" si="43"/>
        <v>2.4894712991564583</v>
      </c>
      <c r="EG21" s="533">
        <f t="shared" si="155"/>
        <v>0</v>
      </c>
      <c r="EH21" s="531">
        <v>3</v>
      </c>
      <c r="EI21" s="532">
        <f t="shared" si="44"/>
        <v>7.0676372888543351E-2</v>
      </c>
      <c r="EJ21" s="533">
        <f t="shared" si="156"/>
        <v>0</v>
      </c>
      <c r="EK21" s="531">
        <v>73.170731707317032</v>
      </c>
      <c r="EL21" s="532">
        <f t="shared" si="45"/>
        <v>1.7238139728913005</v>
      </c>
      <c r="EM21" s="533">
        <f t="shared" si="157"/>
        <v>0</v>
      </c>
      <c r="EN21" s="531"/>
      <c r="EO21" s="532">
        <f t="shared" si="46"/>
        <v>0</v>
      </c>
      <c r="EP21" s="533">
        <f t="shared" si="158"/>
        <v>0</v>
      </c>
      <c r="EQ21" s="531"/>
      <c r="ER21" s="532">
        <f t="shared" si="47"/>
        <v>0</v>
      </c>
      <c r="ES21" s="533">
        <f t="shared" si="159"/>
        <v>0</v>
      </c>
      <c r="ET21" s="531"/>
      <c r="EU21" s="532">
        <f t="shared" si="48"/>
        <v>0</v>
      </c>
      <c r="EV21" s="533">
        <f t="shared" si="160"/>
        <v>0</v>
      </c>
      <c r="EW21" s="531"/>
      <c r="EX21" s="532">
        <f t="shared" si="49"/>
        <v>0</v>
      </c>
      <c r="EY21" s="533">
        <f t="shared" si="161"/>
        <v>0</v>
      </c>
      <c r="EZ21" s="531"/>
      <c r="FA21" s="532">
        <f t="shared" si="50"/>
        <v>0</v>
      </c>
      <c r="FB21" s="533">
        <f t="shared" si="162"/>
        <v>0</v>
      </c>
      <c r="FC21" s="531"/>
      <c r="FD21" s="532">
        <f t="shared" si="51"/>
        <v>0</v>
      </c>
      <c r="FE21" s="533">
        <f t="shared" si="163"/>
        <v>0</v>
      </c>
      <c r="FF21" s="531"/>
      <c r="FG21" s="532">
        <f t="shared" si="52"/>
        <v>0</v>
      </c>
      <c r="FH21" s="533">
        <f t="shared" si="164"/>
        <v>0</v>
      </c>
      <c r="FI21" s="531"/>
      <c r="FJ21" s="532">
        <f t="shared" si="53"/>
        <v>0</v>
      </c>
      <c r="FK21" s="533">
        <f t="shared" si="165"/>
        <v>0</v>
      </c>
      <c r="FL21" s="531"/>
      <c r="FM21" s="532">
        <f t="shared" si="54"/>
        <v>0</v>
      </c>
      <c r="FN21" s="533">
        <f t="shared" si="166"/>
        <v>0</v>
      </c>
      <c r="FO21" s="531"/>
      <c r="FP21" s="532">
        <f t="shared" si="55"/>
        <v>0</v>
      </c>
      <c r="FQ21" s="533">
        <f t="shared" si="167"/>
        <v>0</v>
      </c>
      <c r="FR21" s="531"/>
      <c r="FS21" s="532">
        <f t="shared" si="56"/>
        <v>0</v>
      </c>
      <c r="FT21" s="533">
        <f t="shared" si="168"/>
        <v>0</v>
      </c>
      <c r="FU21" s="531"/>
      <c r="FV21" s="532">
        <f t="shared" si="57"/>
        <v>0</v>
      </c>
      <c r="FW21" s="533">
        <f t="shared" si="169"/>
        <v>0</v>
      </c>
      <c r="FX21" s="531"/>
      <c r="FY21" s="532">
        <f t="shared" si="58"/>
        <v>0</v>
      </c>
      <c r="FZ21" s="533">
        <f t="shared" si="170"/>
        <v>0</v>
      </c>
      <c r="GA21" s="531"/>
      <c r="GB21" s="532">
        <f t="shared" si="59"/>
        <v>0</v>
      </c>
      <c r="GC21" s="533">
        <f t="shared" si="171"/>
        <v>0</v>
      </c>
      <c r="GD21" s="531"/>
      <c r="GE21" s="532">
        <f t="shared" si="60"/>
        <v>0</v>
      </c>
      <c r="GF21" s="533">
        <f t="shared" si="172"/>
        <v>0</v>
      </c>
      <c r="GG21" s="531">
        <v>9.0640947025993341</v>
      </c>
      <c r="GH21" s="532">
        <f t="shared" si="61"/>
        <v>0.21353911236599368</v>
      </c>
      <c r="GI21" s="533">
        <f t="shared" si="173"/>
        <v>0</v>
      </c>
      <c r="GJ21" s="531">
        <v>18.128189405198668</v>
      </c>
      <c r="GK21" s="532">
        <f t="shared" si="62"/>
        <v>0.42707822473198737</v>
      </c>
      <c r="GL21" s="533">
        <f t="shared" si="174"/>
        <v>0</v>
      </c>
      <c r="GM21" s="531">
        <v>4.5320473512996671</v>
      </c>
      <c r="GN21" s="532">
        <f t="shared" si="63"/>
        <v>0.10676955618299684</v>
      </c>
      <c r="GO21" s="533">
        <f t="shared" si="175"/>
        <v>0</v>
      </c>
      <c r="GP21" s="531">
        <v>20.394213080848502</v>
      </c>
      <c r="GQ21" s="532">
        <f t="shared" si="64"/>
        <v>0.48046300282348575</v>
      </c>
      <c r="GR21" s="533">
        <f t="shared" si="176"/>
        <v>0</v>
      </c>
      <c r="GS21" s="531">
        <v>135.96142053899001</v>
      </c>
      <c r="GT21" s="532">
        <f t="shared" si="65"/>
        <v>3.2030866854899052</v>
      </c>
      <c r="GU21" s="533">
        <f t="shared" si="177"/>
        <v>0</v>
      </c>
      <c r="GV21" s="531">
        <v>40.788426161697004</v>
      </c>
      <c r="GW21" s="532">
        <f t="shared" si="66"/>
        <v>0.9609260056469715</v>
      </c>
      <c r="GX21" s="533">
        <f t="shared" si="178"/>
        <v>0</v>
      </c>
      <c r="GY21" s="531"/>
      <c r="GZ21" s="532">
        <f t="shared" si="67"/>
        <v>0</v>
      </c>
      <c r="HA21" s="533">
        <f t="shared" si="179"/>
        <v>0</v>
      </c>
      <c r="HB21" s="531"/>
      <c r="HC21" s="532">
        <f t="shared" si="68"/>
        <v>0</v>
      </c>
      <c r="HD21" s="533">
        <f t="shared" si="180"/>
        <v>0</v>
      </c>
      <c r="HE21" s="531"/>
      <c r="HF21" s="532">
        <f t="shared" si="69"/>
        <v>0</v>
      </c>
      <c r="HG21" s="533">
        <f t="shared" si="181"/>
        <v>0</v>
      </c>
      <c r="HH21" s="531"/>
      <c r="HI21" s="532">
        <f t="shared" si="70"/>
        <v>0</v>
      </c>
      <c r="HJ21" s="533">
        <f t="shared" si="182"/>
        <v>0</v>
      </c>
      <c r="HK21" s="531"/>
      <c r="HL21" s="532">
        <f t="shared" si="71"/>
        <v>0</v>
      </c>
      <c r="HM21" s="533">
        <f t="shared" si="183"/>
        <v>0</v>
      </c>
      <c r="HN21" s="531">
        <v>852.47810677946734</v>
      </c>
      <c r="HO21" s="532">
        <f t="shared" si="72"/>
        <v>20.083353518021703</v>
      </c>
      <c r="HP21" s="533">
        <f t="shared" si="184"/>
        <v>0</v>
      </c>
      <c r="HQ21" s="531"/>
      <c r="HR21" s="532">
        <f t="shared" si="73"/>
        <v>0</v>
      </c>
      <c r="HS21" s="533">
        <f t="shared" si="185"/>
        <v>0</v>
      </c>
      <c r="HT21" s="531"/>
      <c r="HU21" s="532">
        <f t="shared" si="74"/>
        <v>0</v>
      </c>
      <c r="HV21" s="533">
        <f t="shared" si="186"/>
        <v>0</v>
      </c>
      <c r="HW21" s="531"/>
      <c r="HX21" s="532">
        <f t="shared" si="75"/>
        <v>0</v>
      </c>
      <c r="HY21" s="533">
        <f t="shared" si="187"/>
        <v>0</v>
      </c>
      <c r="HZ21" s="531"/>
      <c r="IA21" s="532">
        <f t="shared" si="76"/>
        <v>0</v>
      </c>
      <c r="IB21" s="533">
        <f t="shared" si="188"/>
        <v>0</v>
      </c>
      <c r="IC21" s="531"/>
      <c r="ID21" s="532">
        <f t="shared" si="77"/>
        <v>0</v>
      </c>
      <c r="IE21" s="533">
        <f t="shared" si="189"/>
        <v>0</v>
      </c>
      <c r="IF21" s="531"/>
      <c r="IG21" s="532">
        <f t="shared" si="78"/>
        <v>0</v>
      </c>
      <c r="IH21" s="533">
        <f t="shared" si="190"/>
        <v>0</v>
      </c>
      <c r="II21" s="531">
        <v>18.128189405198668</v>
      </c>
      <c r="IJ21" s="532">
        <f t="shared" si="79"/>
        <v>0.42707822473198737</v>
      </c>
      <c r="IK21" s="533">
        <f t="shared" si="191"/>
        <v>0</v>
      </c>
      <c r="IL21" s="531"/>
      <c r="IM21" s="532">
        <f t="shared" si="80"/>
        <v>0</v>
      </c>
      <c r="IN21" s="533">
        <f t="shared" si="192"/>
        <v>0</v>
      </c>
      <c r="IO21" s="531"/>
      <c r="IP21" s="532">
        <f t="shared" si="81"/>
        <v>0</v>
      </c>
      <c r="IQ21" s="533">
        <f t="shared" si="193"/>
        <v>0</v>
      </c>
      <c r="IR21" s="531">
        <v>54.384568215595998</v>
      </c>
      <c r="IS21" s="532">
        <f t="shared" si="82"/>
        <v>1.2812346741959619</v>
      </c>
      <c r="IT21" s="533">
        <f t="shared" si="194"/>
        <v>0</v>
      </c>
      <c r="IU21" s="531"/>
      <c r="IV21" s="532">
        <f t="shared" si="83"/>
        <v>0</v>
      </c>
      <c r="IW21" s="533">
        <f t="shared" si="195"/>
        <v>0</v>
      </c>
      <c r="IX21" s="531"/>
      <c r="IY21" s="532">
        <f t="shared" si="84"/>
        <v>0</v>
      </c>
      <c r="IZ21" s="533">
        <f t="shared" si="196"/>
        <v>0</v>
      </c>
      <c r="JA21" s="531"/>
      <c r="JB21" s="532">
        <f t="shared" si="85"/>
        <v>0</v>
      </c>
      <c r="JC21" s="533">
        <f t="shared" si="197"/>
        <v>0</v>
      </c>
      <c r="JD21" s="531"/>
      <c r="JE21" s="532">
        <f t="shared" si="86"/>
        <v>0</v>
      </c>
      <c r="JF21" s="533">
        <f t="shared" si="198"/>
        <v>0</v>
      </c>
      <c r="JG21" s="531"/>
      <c r="JH21" s="532">
        <f t="shared" si="87"/>
        <v>0</v>
      </c>
      <c r="JI21" s="533">
        <f t="shared" si="199"/>
        <v>0</v>
      </c>
      <c r="JJ21" s="531">
        <v>18.128189405198668</v>
      </c>
      <c r="JK21" s="533" t="str">
        <f t="shared" si="88"/>
        <v>0</v>
      </c>
      <c r="JL21" s="533" t="str">
        <f t="shared" si="89"/>
        <v>0</v>
      </c>
      <c r="JM21" s="531"/>
      <c r="JN21" s="533" t="str">
        <f t="shared" si="90"/>
        <v>0</v>
      </c>
      <c r="JO21" s="533" t="str">
        <f t="shared" si="91"/>
        <v>0</v>
      </c>
      <c r="JP21" s="531"/>
      <c r="JQ21" s="533" t="str">
        <f t="shared" si="92"/>
        <v>0</v>
      </c>
      <c r="JR21" s="533" t="str">
        <f t="shared" si="93"/>
        <v>0</v>
      </c>
      <c r="JS21" s="531"/>
      <c r="JT21" s="533" t="str">
        <f t="shared" si="94"/>
        <v>0</v>
      </c>
      <c r="JU21" s="533" t="str">
        <f t="shared" si="95"/>
        <v>0</v>
      </c>
      <c r="JV21" s="531"/>
      <c r="JW21" s="533" t="str">
        <f t="shared" si="96"/>
        <v>0</v>
      </c>
      <c r="JX21" s="533" t="str">
        <f t="shared" si="97"/>
        <v>0</v>
      </c>
      <c r="JY21" s="531"/>
      <c r="JZ21" s="533" t="str">
        <f t="shared" si="98"/>
        <v>0</v>
      </c>
      <c r="KA21" s="533" t="str">
        <f t="shared" si="99"/>
        <v>0</v>
      </c>
      <c r="KB21" s="531"/>
      <c r="KC21" s="533" t="str">
        <f t="shared" si="100"/>
        <v>0</v>
      </c>
      <c r="KD21" s="533" t="str">
        <f t="shared" si="101"/>
        <v>0</v>
      </c>
      <c r="KE21" s="531"/>
      <c r="KF21" s="533" t="str">
        <f t="shared" si="102"/>
        <v>0</v>
      </c>
      <c r="KG21" s="533" t="str">
        <f t="shared" si="103"/>
        <v>0</v>
      </c>
      <c r="KH21" s="531"/>
      <c r="KI21" s="533" t="str">
        <f t="shared" si="104"/>
        <v>0</v>
      </c>
      <c r="KJ21" s="533" t="str">
        <f t="shared" si="105"/>
        <v>0</v>
      </c>
      <c r="KK21" s="531"/>
      <c r="KL21" s="533" t="str">
        <f t="shared" si="106"/>
        <v>0</v>
      </c>
      <c r="KM21" s="533" t="str">
        <f t="shared" si="107"/>
        <v>0</v>
      </c>
      <c r="KN21" s="531"/>
      <c r="KO21" s="533" t="str">
        <f t="shared" si="108"/>
        <v>0</v>
      </c>
      <c r="KP21" s="533" t="str">
        <f t="shared" si="109"/>
        <v>0</v>
      </c>
      <c r="KQ21" s="531"/>
      <c r="KR21" s="533" t="str">
        <f t="shared" si="110"/>
        <v>0</v>
      </c>
      <c r="KS21" s="533" t="str">
        <f t="shared" si="111"/>
        <v>0</v>
      </c>
      <c r="KT21" s="533">
        <f t="shared" si="201"/>
        <v>0</v>
      </c>
      <c r="KU21" s="533">
        <f t="shared" si="202"/>
        <v>0</v>
      </c>
      <c r="KV21" s="271">
        <f t="shared" si="112"/>
        <v>1728.5415556863795</v>
      </c>
    </row>
    <row r="22" spans="1:309" ht="15" customHeight="1">
      <c r="A22" s="273">
        <f t="shared" si="200"/>
        <v>46036</v>
      </c>
      <c r="B22" s="274" t="str">
        <f>+Report1!B22</f>
        <v>Toilet</v>
      </c>
      <c r="C22" s="274" t="str">
        <f>+Report1!C22</f>
        <v>15</v>
      </c>
      <c r="D22" s="275">
        <f>+Report1!P22</f>
        <v>54.194000000000003</v>
      </c>
      <c r="E22" s="276">
        <f>+Report1!R22</f>
        <v>50.981000000000002</v>
      </c>
      <c r="F22" s="531"/>
      <c r="G22" s="532">
        <f t="shared" si="0"/>
        <v>0</v>
      </c>
      <c r="H22" s="533">
        <f t="shared" si="113"/>
        <v>0</v>
      </c>
      <c r="I22" s="531"/>
      <c r="J22" s="532">
        <f t="shared" si="1"/>
        <v>0</v>
      </c>
      <c r="K22" s="533">
        <f t="shared" si="114"/>
        <v>0</v>
      </c>
      <c r="L22" s="531"/>
      <c r="M22" s="532">
        <f t="shared" si="2"/>
        <v>0</v>
      </c>
      <c r="N22" s="533">
        <f t="shared" si="115"/>
        <v>0</v>
      </c>
      <c r="O22" s="531">
        <v>9</v>
      </c>
      <c r="P22" s="532">
        <f t="shared" si="3"/>
        <v>0.1765363566819011</v>
      </c>
      <c r="Q22" s="533">
        <f t="shared" si="116"/>
        <v>0</v>
      </c>
      <c r="R22" s="531"/>
      <c r="S22" s="532">
        <f t="shared" si="4"/>
        <v>0</v>
      </c>
      <c r="T22" s="533">
        <f t="shared" si="117"/>
        <v>0</v>
      </c>
      <c r="U22" s="531">
        <v>7.6875000000000142</v>
      </c>
      <c r="V22" s="532">
        <f t="shared" si="5"/>
        <v>0.15079147133245746</v>
      </c>
      <c r="W22" s="533">
        <f t="shared" si="118"/>
        <v>0</v>
      </c>
      <c r="X22" s="531"/>
      <c r="Y22" s="532">
        <f t="shared" si="6"/>
        <v>0</v>
      </c>
      <c r="Z22" s="533">
        <f t="shared" si="119"/>
        <v>0</v>
      </c>
      <c r="AA22" s="531"/>
      <c r="AB22" s="532">
        <f t="shared" si="7"/>
        <v>0</v>
      </c>
      <c r="AC22" s="533">
        <f t="shared" si="120"/>
        <v>0</v>
      </c>
      <c r="AD22" s="531"/>
      <c r="AE22" s="532">
        <f t="shared" si="8"/>
        <v>0</v>
      </c>
      <c r="AF22" s="533">
        <f t="shared" si="121"/>
        <v>0</v>
      </c>
      <c r="AG22" s="531"/>
      <c r="AH22" s="532">
        <f t="shared" si="9"/>
        <v>0</v>
      </c>
      <c r="AI22" s="533">
        <f t="shared" si="122"/>
        <v>0</v>
      </c>
      <c r="AJ22" s="531">
        <v>26.4375</v>
      </c>
      <c r="AK22" s="532">
        <f t="shared" si="10"/>
        <v>0.51857554775308445</v>
      </c>
      <c r="AL22" s="533">
        <f t="shared" si="123"/>
        <v>0</v>
      </c>
      <c r="AM22" s="531"/>
      <c r="AN22" s="532">
        <f t="shared" si="11"/>
        <v>0</v>
      </c>
      <c r="AO22" s="533">
        <f t="shared" si="124"/>
        <v>0</v>
      </c>
      <c r="AP22" s="531"/>
      <c r="AQ22" s="532">
        <f t="shared" si="12"/>
        <v>0</v>
      </c>
      <c r="AR22" s="533">
        <f t="shared" si="125"/>
        <v>0</v>
      </c>
      <c r="AS22" s="531"/>
      <c r="AT22" s="532">
        <f t="shared" si="13"/>
        <v>0</v>
      </c>
      <c r="AU22" s="533">
        <f t="shared" si="126"/>
        <v>0</v>
      </c>
      <c r="AV22" s="531"/>
      <c r="AW22" s="532">
        <f t="shared" si="14"/>
        <v>0</v>
      </c>
      <c r="AX22" s="533">
        <f t="shared" si="127"/>
        <v>0</v>
      </c>
      <c r="AY22" s="531">
        <v>9.3333333333333144</v>
      </c>
      <c r="AZ22" s="532">
        <f t="shared" si="15"/>
        <v>0.18307474026271187</v>
      </c>
      <c r="BA22" s="533">
        <f t="shared" si="128"/>
        <v>0</v>
      </c>
      <c r="BB22" s="531"/>
      <c r="BC22" s="532">
        <f t="shared" si="16"/>
        <v>0</v>
      </c>
      <c r="BD22" s="533">
        <f t="shared" si="129"/>
        <v>0</v>
      </c>
      <c r="BE22" s="531"/>
      <c r="BF22" s="532">
        <f t="shared" si="17"/>
        <v>0</v>
      </c>
      <c r="BG22" s="533">
        <f t="shared" si="130"/>
        <v>0</v>
      </c>
      <c r="BH22" s="531"/>
      <c r="BI22" s="532">
        <f t="shared" si="18"/>
        <v>0</v>
      </c>
      <c r="BJ22" s="533">
        <f t="shared" si="131"/>
        <v>0</v>
      </c>
      <c r="BK22" s="531"/>
      <c r="BL22" s="532">
        <f t="shared" si="19"/>
        <v>0</v>
      </c>
      <c r="BM22" s="533">
        <f t="shared" si="132"/>
        <v>0</v>
      </c>
      <c r="BN22" s="531"/>
      <c r="BO22" s="532">
        <f t="shared" si="20"/>
        <v>0</v>
      </c>
      <c r="BP22" s="533">
        <f t="shared" si="133"/>
        <v>0</v>
      </c>
      <c r="BQ22" s="531"/>
      <c r="BR22" s="532">
        <f t="shared" si="21"/>
        <v>0</v>
      </c>
      <c r="BS22" s="533">
        <f t="shared" si="134"/>
        <v>0</v>
      </c>
      <c r="BT22" s="531"/>
      <c r="BU22" s="532">
        <f t="shared" si="22"/>
        <v>0</v>
      </c>
      <c r="BV22" s="533">
        <f t="shared" si="135"/>
        <v>0</v>
      </c>
      <c r="BW22" s="531"/>
      <c r="BX22" s="532">
        <f t="shared" si="23"/>
        <v>0</v>
      </c>
      <c r="BY22" s="533">
        <f t="shared" si="136"/>
        <v>0</v>
      </c>
      <c r="BZ22" s="531"/>
      <c r="CA22" s="532">
        <f t="shared" si="24"/>
        <v>0</v>
      </c>
      <c r="CB22" s="533">
        <f t="shared" si="137"/>
        <v>0</v>
      </c>
      <c r="CC22" s="531"/>
      <c r="CD22" s="532">
        <f t="shared" si="25"/>
        <v>0</v>
      </c>
      <c r="CE22" s="533">
        <f t="shared" si="138"/>
        <v>0</v>
      </c>
      <c r="CF22" s="531">
        <v>8.1</v>
      </c>
      <c r="CG22" s="532">
        <f t="shared" si="26"/>
        <v>0.15888272101371098</v>
      </c>
      <c r="CH22" s="533">
        <f t="shared" si="139"/>
        <v>0</v>
      </c>
      <c r="CI22" s="531"/>
      <c r="CJ22" s="532">
        <f t="shared" si="27"/>
        <v>0</v>
      </c>
      <c r="CK22" s="533">
        <f t="shared" si="140"/>
        <v>0</v>
      </c>
      <c r="CL22" s="531"/>
      <c r="CM22" s="532">
        <f t="shared" si="28"/>
        <v>0</v>
      </c>
      <c r="CN22" s="533">
        <f t="shared" si="141"/>
        <v>0</v>
      </c>
      <c r="CO22" s="531"/>
      <c r="CP22" s="532">
        <f t="shared" si="29"/>
        <v>0</v>
      </c>
      <c r="CQ22" s="533">
        <f t="shared" si="142"/>
        <v>0</v>
      </c>
      <c r="CR22" s="531"/>
      <c r="CS22" s="532">
        <f t="shared" si="30"/>
        <v>0</v>
      </c>
      <c r="CT22" s="533">
        <f t="shared" si="143"/>
        <v>0</v>
      </c>
      <c r="CU22" s="531"/>
      <c r="CV22" s="532">
        <f t="shared" si="31"/>
        <v>0</v>
      </c>
      <c r="CW22" s="533">
        <f t="shared" si="144"/>
        <v>0</v>
      </c>
      <c r="CX22" s="531"/>
      <c r="CY22" s="532">
        <f t="shared" si="32"/>
        <v>0</v>
      </c>
      <c r="CZ22" s="533">
        <f t="shared" si="145"/>
        <v>0</v>
      </c>
      <c r="DA22" s="531">
        <v>290.69767441860472</v>
      </c>
      <c r="DB22" s="532">
        <f t="shared" si="33"/>
        <v>5.702078704195773</v>
      </c>
      <c r="DC22" s="533">
        <f t="shared" si="146"/>
        <v>0</v>
      </c>
      <c r="DD22" s="531"/>
      <c r="DE22" s="532">
        <f t="shared" si="34"/>
        <v>0</v>
      </c>
      <c r="DF22" s="533">
        <f t="shared" si="147"/>
        <v>0</v>
      </c>
      <c r="DG22" s="531"/>
      <c r="DH22" s="532">
        <f t="shared" si="35"/>
        <v>0</v>
      </c>
      <c r="DI22" s="533">
        <f t="shared" si="203"/>
        <v>0</v>
      </c>
      <c r="DJ22" s="531"/>
      <c r="DK22" s="532">
        <f t="shared" si="36"/>
        <v>0</v>
      </c>
      <c r="DL22" s="533">
        <f t="shared" si="148"/>
        <v>0</v>
      </c>
      <c r="DM22" s="531"/>
      <c r="DN22" s="532">
        <f t="shared" si="37"/>
        <v>0</v>
      </c>
      <c r="DO22" s="533">
        <f t="shared" si="149"/>
        <v>0</v>
      </c>
      <c r="DP22" s="531"/>
      <c r="DQ22" s="532">
        <f t="shared" si="38"/>
        <v>0</v>
      </c>
      <c r="DR22" s="533">
        <f t="shared" si="150"/>
        <v>0</v>
      </c>
      <c r="DS22" s="531"/>
      <c r="DT22" s="532">
        <f t="shared" si="39"/>
        <v>0</v>
      </c>
      <c r="DU22" s="533">
        <f t="shared" si="151"/>
        <v>0</v>
      </c>
      <c r="DV22" s="531"/>
      <c r="DW22" s="532">
        <f t="shared" si="40"/>
        <v>0</v>
      </c>
      <c r="DX22" s="533">
        <f t="shared" si="152"/>
        <v>0</v>
      </c>
      <c r="DY22" s="531"/>
      <c r="DZ22" s="532">
        <f t="shared" si="41"/>
        <v>0</v>
      </c>
      <c r="EA22" s="533">
        <f t="shared" si="153"/>
        <v>0</v>
      </c>
      <c r="EB22" s="531"/>
      <c r="EC22" s="532">
        <f t="shared" si="42"/>
        <v>0</v>
      </c>
      <c r="ED22" s="533">
        <f t="shared" si="154"/>
        <v>0</v>
      </c>
      <c r="EE22" s="531">
        <v>105.67058823529396</v>
      </c>
      <c r="EF22" s="532">
        <f t="shared" si="43"/>
        <v>2.0727445172769063</v>
      </c>
      <c r="EG22" s="533">
        <f t="shared" si="155"/>
        <v>0</v>
      </c>
      <c r="EH22" s="531">
        <v>2</v>
      </c>
      <c r="EI22" s="532">
        <f t="shared" si="44"/>
        <v>3.9230301484866913E-2</v>
      </c>
      <c r="EJ22" s="533">
        <f t="shared" si="156"/>
        <v>0</v>
      </c>
      <c r="EK22" s="531">
        <v>36.585365853658573</v>
      </c>
      <c r="EL22" s="532">
        <f t="shared" si="45"/>
        <v>0.71762746618659057</v>
      </c>
      <c r="EM22" s="533">
        <f t="shared" si="157"/>
        <v>0</v>
      </c>
      <c r="EN22" s="531"/>
      <c r="EO22" s="532">
        <f t="shared" si="46"/>
        <v>0</v>
      </c>
      <c r="EP22" s="533">
        <f t="shared" si="158"/>
        <v>0</v>
      </c>
      <c r="EQ22" s="531">
        <v>19.767441860465169</v>
      </c>
      <c r="ER22" s="532">
        <f t="shared" si="47"/>
        <v>0.3877413518853135</v>
      </c>
      <c r="ES22" s="533">
        <f t="shared" si="159"/>
        <v>0</v>
      </c>
      <c r="ET22" s="531"/>
      <c r="EU22" s="532">
        <f t="shared" si="48"/>
        <v>0</v>
      </c>
      <c r="EV22" s="533">
        <f t="shared" si="160"/>
        <v>0</v>
      </c>
      <c r="EW22" s="531"/>
      <c r="EX22" s="532">
        <f t="shared" si="49"/>
        <v>0</v>
      </c>
      <c r="EY22" s="533">
        <f t="shared" si="161"/>
        <v>0</v>
      </c>
      <c r="EZ22" s="531"/>
      <c r="FA22" s="532">
        <f t="shared" si="50"/>
        <v>0</v>
      </c>
      <c r="FB22" s="533">
        <f t="shared" si="162"/>
        <v>0</v>
      </c>
      <c r="FC22" s="531"/>
      <c r="FD22" s="532">
        <f t="shared" si="51"/>
        <v>0</v>
      </c>
      <c r="FE22" s="533">
        <f t="shared" si="163"/>
        <v>0</v>
      </c>
      <c r="FF22" s="531"/>
      <c r="FG22" s="532">
        <f t="shared" si="52"/>
        <v>0</v>
      </c>
      <c r="FH22" s="533">
        <f t="shared" si="164"/>
        <v>0</v>
      </c>
      <c r="FI22" s="531"/>
      <c r="FJ22" s="532">
        <f t="shared" si="53"/>
        <v>0</v>
      </c>
      <c r="FK22" s="533">
        <f t="shared" si="165"/>
        <v>0</v>
      </c>
      <c r="FL22" s="531"/>
      <c r="FM22" s="532">
        <f t="shared" si="54"/>
        <v>0</v>
      </c>
      <c r="FN22" s="533">
        <f t="shared" si="166"/>
        <v>0</v>
      </c>
      <c r="FO22" s="531"/>
      <c r="FP22" s="532">
        <f t="shared" si="55"/>
        <v>0</v>
      </c>
      <c r="FQ22" s="533">
        <f t="shared" si="167"/>
        <v>0</v>
      </c>
      <c r="FR22" s="531"/>
      <c r="FS22" s="532">
        <f t="shared" si="56"/>
        <v>0</v>
      </c>
      <c r="FT22" s="533">
        <f t="shared" si="168"/>
        <v>0</v>
      </c>
      <c r="FU22" s="531"/>
      <c r="FV22" s="532">
        <f t="shared" si="57"/>
        <v>0</v>
      </c>
      <c r="FW22" s="533">
        <f t="shared" si="169"/>
        <v>0</v>
      </c>
      <c r="FX22" s="531"/>
      <c r="FY22" s="532">
        <f t="shared" si="58"/>
        <v>0</v>
      </c>
      <c r="FZ22" s="533">
        <f t="shared" si="170"/>
        <v>0</v>
      </c>
      <c r="GA22" s="531"/>
      <c r="GB22" s="532">
        <f t="shared" si="59"/>
        <v>0</v>
      </c>
      <c r="GC22" s="533">
        <f t="shared" si="171"/>
        <v>0</v>
      </c>
      <c r="GD22" s="531"/>
      <c r="GE22" s="532">
        <f t="shared" si="60"/>
        <v>0</v>
      </c>
      <c r="GF22" s="533">
        <f t="shared" si="172"/>
        <v>0</v>
      </c>
      <c r="GG22" s="531">
        <v>15.125876858381558</v>
      </c>
      <c r="GH22" s="532">
        <f t="shared" si="61"/>
        <v>0.29669635468864003</v>
      </c>
      <c r="GI22" s="533">
        <f t="shared" si="173"/>
        <v>0</v>
      </c>
      <c r="GJ22" s="531">
        <v>20.167835811175408</v>
      </c>
      <c r="GK22" s="532">
        <f t="shared" si="62"/>
        <v>0.39559513958485332</v>
      </c>
      <c r="GL22" s="533">
        <f t="shared" si="174"/>
        <v>0</v>
      </c>
      <c r="GM22" s="531">
        <v>5.041958952793852</v>
      </c>
      <c r="GN22" s="532">
        <f t="shared" si="63"/>
        <v>9.8898784896213329E-2</v>
      </c>
      <c r="GO22" s="533">
        <f t="shared" si="175"/>
        <v>0</v>
      </c>
      <c r="GP22" s="531">
        <v>22.688815287572336</v>
      </c>
      <c r="GQ22" s="532">
        <f t="shared" si="64"/>
        <v>0.44504453203296002</v>
      </c>
      <c r="GR22" s="533">
        <f t="shared" si="176"/>
        <v>0</v>
      </c>
      <c r="GS22" s="531">
        <v>161.34268648940326</v>
      </c>
      <c r="GT22" s="532">
        <f t="shared" si="65"/>
        <v>3.1647611166788265</v>
      </c>
      <c r="GU22" s="533">
        <f t="shared" si="177"/>
        <v>0</v>
      </c>
      <c r="GV22" s="531">
        <v>90.755261150289343</v>
      </c>
      <c r="GW22" s="532">
        <f t="shared" si="66"/>
        <v>1.7801781281318401</v>
      </c>
      <c r="GX22" s="533">
        <f t="shared" si="178"/>
        <v>0</v>
      </c>
      <c r="GY22" s="531"/>
      <c r="GZ22" s="532">
        <f t="shared" si="67"/>
        <v>0</v>
      </c>
      <c r="HA22" s="533">
        <f t="shared" si="179"/>
        <v>0</v>
      </c>
      <c r="HB22" s="531"/>
      <c r="HC22" s="532">
        <f t="shared" si="68"/>
        <v>0</v>
      </c>
      <c r="HD22" s="533">
        <f t="shared" si="180"/>
        <v>0</v>
      </c>
      <c r="HE22" s="531"/>
      <c r="HF22" s="532">
        <f t="shared" si="69"/>
        <v>0</v>
      </c>
      <c r="HG22" s="533">
        <f t="shared" si="181"/>
        <v>0</v>
      </c>
      <c r="HH22" s="531"/>
      <c r="HI22" s="532">
        <f t="shared" si="70"/>
        <v>0</v>
      </c>
      <c r="HJ22" s="533">
        <f t="shared" si="182"/>
        <v>0</v>
      </c>
      <c r="HK22" s="531"/>
      <c r="HL22" s="532">
        <f t="shared" si="71"/>
        <v>0</v>
      </c>
      <c r="HM22" s="533">
        <f t="shared" si="183"/>
        <v>0</v>
      </c>
      <c r="HN22" s="531">
        <v>754.78125523323968</v>
      </c>
      <c r="HO22" s="532">
        <f t="shared" si="72"/>
        <v>14.805148098963135</v>
      </c>
      <c r="HP22" s="533">
        <f t="shared" si="184"/>
        <v>0</v>
      </c>
      <c r="HQ22" s="531"/>
      <c r="HR22" s="532">
        <f t="shared" si="73"/>
        <v>0</v>
      </c>
      <c r="HS22" s="533">
        <f t="shared" si="185"/>
        <v>0</v>
      </c>
      <c r="HT22" s="531"/>
      <c r="HU22" s="532">
        <f t="shared" si="74"/>
        <v>0</v>
      </c>
      <c r="HV22" s="533">
        <f t="shared" si="186"/>
        <v>0</v>
      </c>
      <c r="HW22" s="531"/>
      <c r="HX22" s="532">
        <f t="shared" si="75"/>
        <v>0</v>
      </c>
      <c r="HY22" s="533">
        <f t="shared" si="187"/>
        <v>0</v>
      </c>
      <c r="HZ22" s="531"/>
      <c r="IA22" s="532">
        <f t="shared" si="76"/>
        <v>0</v>
      </c>
      <c r="IB22" s="533">
        <f t="shared" si="188"/>
        <v>0</v>
      </c>
      <c r="IC22" s="531"/>
      <c r="ID22" s="532">
        <f t="shared" si="77"/>
        <v>0</v>
      </c>
      <c r="IE22" s="533">
        <f t="shared" si="189"/>
        <v>0</v>
      </c>
      <c r="IF22" s="531"/>
      <c r="IG22" s="532">
        <f t="shared" si="78"/>
        <v>0</v>
      </c>
      <c r="IH22" s="533">
        <f t="shared" si="190"/>
        <v>0</v>
      </c>
      <c r="II22" s="531">
        <v>10.083917905587704</v>
      </c>
      <c r="IJ22" s="532">
        <f t="shared" si="79"/>
        <v>0.19779756979242666</v>
      </c>
      <c r="IK22" s="533">
        <f t="shared" si="191"/>
        <v>0</v>
      </c>
      <c r="IL22" s="531"/>
      <c r="IM22" s="532">
        <f t="shared" si="80"/>
        <v>0</v>
      </c>
      <c r="IN22" s="533">
        <f t="shared" si="192"/>
        <v>0</v>
      </c>
      <c r="IO22" s="531"/>
      <c r="IP22" s="532">
        <f t="shared" si="81"/>
        <v>0</v>
      </c>
      <c r="IQ22" s="533">
        <f t="shared" si="193"/>
        <v>0</v>
      </c>
      <c r="IR22" s="531">
        <v>47.898610051541596</v>
      </c>
      <c r="IS22" s="532">
        <f t="shared" si="82"/>
        <v>0.93953845651402668</v>
      </c>
      <c r="IT22" s="533">
        <f t="shared" si="194"/>
        <v>0</v>
      </c>
      <c r="IU22" s="531"/>
      <c r="IV22" s="532">
        <f t="shared" si="83"/>
        <v>0</v>
      </c>
      <c r="IW22" s="533">
        <f t="shared" si="195"/>
        <v>0</v>
      </c>
      <c r="IX22" s="531"/>
      <c r="IY22" s="532">
        <f t="shared" si="84"/>
        <v>0</v>
      </c>
      <c r="IZ22" s="533">
        <f t="shared" si="196"/>
        <v>0</v>
      </c>
      <c r="JA22" s="531"/>
      <c r="JB22" s="532">
        <f t="shared" si="85"/>
        <v>0</v>
      </c>
      <c r="JC22" s="533">
        <f t="shared" si="197"/>
        <v>0</v>
      </c>
      <c r="JD22" s="531"/>
      <c r="JE22" s="532">
        <f t="shared" si="86"/>
        <v>0</v>
      </c>
      <c r="JF22" s="533">
        <f t="shared" si="198"/>
        <v>0</v>
      </c>
      <c r="JG22" s="531">
        <v>10.083917905587704</v>
      </c>
      <c r="JH22" s="532">
        <f t="shared" si="87"/>
        <v>0.19779756979242666</v>
      </c>
      <c r="JI22" s="533">
        <f t="shared" si="199"/>
        <v>0</v>
      </c>
      <c r="JJ22" s="531">
        <v>5.041958952793852</v>
      </c>
      <c r="JK22" s="533" t="str">
        <f t="shared" si="88"/>
        <v>0</v>
      </c>
      <c r="JL22" s="533" t="str">
        <f t="shared" si="89"/>
        <v>0</v>
      </c>
      <c r="JM22" s="531"/>
      <c r="JN22" s="533" t="str">
        <f t="shared" si="90"/>
        <v>0</v>
      </c>
      <c r="JO22" s="533" t="str">
        <f t="shared" si="91"/>
        <v>0</v>
      </c>
      <c r="JP22" s="531"/>
      <c r="JQ22" s="533" t="str">
        <f t="shared" si="92"/>
        <v>0</v>
      </c>
      <c r="JR22" s="533" t="str">
        <f t="shared" si="93"/>
        <v>0</v>
      </c>
      <c r="JS22" s="531"/>
      <c r="JT22" s="533" t="str">
        <f t="shared" si="94"/>
        <v>0</v>
      </c>
      <c r="JU22" s="533" t="str">
        <f t="shared" si="95"/>
        <v>0</v>
      </c>
      <c r="JV22" s="531"/>
      <c r="JW22" s="533" t="str">
        <f t="shared" si="96"/>
        <v>0</v>
      </c>
      <c r="JX22" s="533" t="str">
        <f t="shared" si="97"/>
        <v>0</v>
      </c>
      <c r="JY22" s="531"/>
      <c r="JZ22" s="533" t="str">
        <f t="shared" si="98"/>
        <v>0</v>
      </c>
      <c r="KA22" s="533" t="str">
        <f t="shared" si="99"/>
        <v>0</v>
      </c>
      <c r="KB22" s="531"/>
      <c r="KC22" s="533" t="str">
        <f t="shared" si="100"/>
        <v>0</v>
      </c>
      <c r="KD22" s="533" t="str">
        <f t="shared" si="101"/>
        <v>0</v>
      </c>
      <c r="KE22" s="531"/>
      <c r="KF22" s="533" t="str">
        <f t="shared" si="102"/>
        <v>0</v>
      </c>
      <c r="KG22" s="533" t="str">
        <f t="shared" si="103"/>
        <v>0</v>
      </c>
      <c r="KH22" s="531"/>
      <c r="KI22" s="533" t="str">
        <f t="shared" si="104"/>
        <v>0</v>
      </c>
      <c r="KJ22" s="533" t="str">
        <f t="shared" si="105"/>
        <v>0</v>
      </c>
      <c r="KK22" s="531"/>
      <c r="KL22" s="533" t="str">
        <f t="shared" si="106"/>
        <v>0</v>
      </c>
      <c r="KM22" s="533" t="str">
        <f t="shared" si="107"/>
        <v>0</v>
      </c>
      <c r="KN22" s="531"/>
      <c r="KO22" s="533" t="str">
        <f t="shared" si="108"/>
        <v>0</v>
      </c>
      <c r="KP22" s="533" t="str">
        <f t="shared" si="109"/>
        <v>0</v>
      </c>
      <c r="KQ22" s="531"/>
      <c r="KR22" s="533" t="str">
        <f t="shared" si="110"/>
        <v>0</v>
      </c>
      <c r="KS22" s="533" t="str">
        <f t="shared" si="111"/>
        <v>0</v>
      </c>
      <c r="KT22" s="533">
        <f t="shared" si="201"/>
        <v>0</v>
      </c>
      <c r="KU22" s="533">
        <f t="shared" si="202"/>
        <v>0</v>
      </c>
      <c r="KV22" s="271">
        <f t="shared" si="112"/>
        <v>1658.291498299722</v>
      </c>
    </row>
    <row r="23" spans="1:309" ht="15" customHeight="1">
      <c r="A23" s="273">
        <f t="shared" si="200"/>
        <v>46037</v>
      </c>
      <c r="B23" s="274" t="str">
        <f>+Report1!B23</f>
        <v>Toilet</v>
      </c>
      <c r="C23" s="274" t="str">
        <f>+Report1!C24</f>
        <v>15</v>
      </c>
      <c r="D23" s="275">
        <f>+Report1!P23</f>
        <v>53.844999999999999</v>
      </c>
      <c r="E23" s="276">
        <f>+Report1!R23</f>
        <v>53.661999999999999</v>
      </c>
      <c r="F23" s="531"/>
      <c r="G23" s="532">
        <f t="shared" si="0"/>
        <v>0</v>
      </c>
      <c r="H23" s="533">
        <f t="shared" si="113"/>
        <v>0</v>
      </c>
      <c r="I23" s="531"/>
      <c r="J23" s="532">
        <f t="shared" si="1"/>
        <v>0</v>
      </c>
      <c r="K23" s="533">
        <f t="shared" si="114"/>
        <v>0</v>
      </c>
      <c r="L23" s="531"/>
      <c r="M23" s="532">
        <f t="shared" si="2"/>
        <v>0</v>
      </c>
      <c r="N23" s="533">
        <f t="shared" si="115"/>
        <v>0</v>
      </c>
      <c r="O23" s="531">
        <v>9</v>
      </c>
      <c r="P23" s="532">
        <f t="shared" si="3"/>
        <v>0.167716447392941</v>
      </c>
      <c r="Q23" s="533">
        <f t="shared" si="116"/>
        <v>0</v>
      </c>
      <c r="R23" s="531"/>
      <c r="S23" s="532">
        <f t="shared" si="4"/>
        <v>0</v>
      </c>
      <c r="T23" s="533">
        <f t="shared" si="117"/>
        <v>0</v>
      </c>
      <c r="U23" s="531">
        <v>7.6874999999999964</v>
      </c>
      <c r="V23" s="532">
        <f t="shared" si="5"/>
        <v>0.14325779881480372</v>
      </c>
      <c r="W23" s="533">
        <f t="shared" si="118"/>
        <v>0</v>
      </c>
      <c r="X23" s="531"/>
      <c r="Y23" s="532">
        <f t="shared" si="6"/>
        <v>0</v>
      </c>
      <c r="Z23" s="533">
        <f t="shared" si="119"/>
        <v>0</v>
      </c>
      <c r="AA23" s="531"/>
      <c r="AB23" s="532">
        <f t="shared" si="7"/>
        <v>0</v>
      </c>
      <c r="AC23" s="533">
        <f t="shared" si="120"/>
        <v>0</v>
      </c>
      <c r="AD23" s="531"/>
      <c r="AE23" s="532">
        <f t="shared" si="8"/>
        <v>0</v>
      </c>
      <c r="AF23" s="533">
        <f t="shared" si="121"/>
        <v>0</v>
      </c>
      <c r="AG23" s="531"/>
      <c r="AH23" s="532">
        <f t="shared" si="9"/>
        <v>0</v>
      </c>
      <c r="AI23" s="533">
        <f t="shared" si="122"/>
        <v>0</v>
      </c>
      <c r="AJ23" s="531">
        <v>19.093750000000014</v>
      </c>
      <c r="AK23" s="532">
        <f t="shared" si="10"/>
        <v>0.35581510193432997</v>
      </c>
      <c r="AL23" s="533">
        <f t="shared" si="123"/>
        <v>0</v>
      </c>
      <c r="AM23" s="531"/>
      <c r="AN23" s="532">
        <f t="shared" si="11"/>
        <v>0</v>
      </c>
      <c r="AO23" s="533">
        <f t="shared" si="124"/>
        <v>0</v>
      </c>
      <c r="AP23" s="531"/>
      <c r="AQ23" s="532">
        <f t="shared" si="12"/>
        <v>0</v>
      </c>
      <c r="AR23" s="533">
        <f t="shared" si="125"/>
        <v>0</v>
      </c>
      <c r="AS23" s="531"/>
      <c r="AT23" s="532">
        <f t="shared" si="13"/>
        <v>0</v>
      </c>
      <c r="AU23" s="533">
        <f t="shared" si="126"/>
        <v>0</v>
      </c>
      <c r="AV23" s="531"/>
      <c r="AW23" s="532">
        <f t="shared" si="14"/>
        <v>0</v>
      </c>
      <c r="AX23" s="533">
        <f t="shared" si="127"/>
        <v>0</v>
      </c>
      <c r="AY23" s="531"/>
      <c r="AZ23" s="532">
        <f t="shared" si="15"/>
        <v>0</v>
      </c>
      <c r="BA23" s="533">
        <f t="shared" si="128"/>
        <v>0</v>
      </c>
      <c r="BB23" s="531"/>
      <c r="BC23" s="532">
        <f t="shared" si="16"/>
        <v>0</v>
      </c>
      <c r="BD23" s="533">
        <f t="shared" si="129"/>
        <v>0</v>
      </c>
      <c r="BE23" s="531"/>
      <c r="BF23" s="532">
        <f t="shared" si="17"/>
        <v>0</v>
      </c>
      <c r="BG23" s="533">
        <f t="shared" si="130"/>
        <v>0</v>
      </c>
      <c r="BH23" s="531"/>
      <c r="BI23" s="532">
        <f t="shared" si="18"/>
        <v>0</v>
      </c>
      <c r="BJ23" s="533">
        <f t="shared" si="131"/>
        <v>0</v>
      </c>
      <c r="BK23" s="531"/>
      <c r="BL23" s="532">
        <f t="shared" si="19"/>
        <v>0</v>
      </c>
      <c r="BM23" s="533">
        <f t="shared" si="132"/>
        <v>0</v>
      </c>
      <c r="BN23" s="531"/>
      <c r="BO23" s="532">
        <f t="shared" si="20"/>
        <v>0</v>
      </c>
      <c r="BP23" s="533">
        <f t="shared" si="133"/>
        <v>0</v>
      </c>
      <c r="BQ23" s="531"/>
      <c r="BR23" s="532">
        <f t="shared" si="21"/>
        <v>0</v>
      </c>
      <c r="BS23" s="533">
        <f t="shared" si="134"/>
        <v>0</v>
      </c>
      <c r="BT23" s="531"/>
      <c r="BU23" s="532">
        <f t="shared" si="22"/>
        <v>0</v>
      </c>
      <c r="BV23" s="533">
        <f t="shared" si="135"/>
        <v>0</v>
      </c>
      <c r="BW23" s="531"/>
      <c r="BX23" s="532">
        <f t="shared" si="23"/>
        <v>0</v>
      </c>
      <c r="BY23" s="533">
        <f t="shared" si="136"/>
        <v>0</v>
      </c>
      <c r="BZ23" s="531"/>
      <c r="CA23" s="532">
        <f t="shared" si="24"/>
        <v>0</v>
      </c>
      <c r="CB23" s="533">
        <f t="shared" si="137"/>
        <v>0</v>
      </c>
      <c r="CC23" s="531"/>
      <c r="CD23" s="532">
        <f t="shared" si="25"/>
        <v>0</v>
      </c>
      <c r="CE23" s="533">
        <f t="shared" si="138"/>
        <v>0</v>
      </c>
      <c r="CF23" s="531">
        <v>8.1</v>
      </c>
      <c r="CG23" s="532">
        <f t="shared" si="26"/>
        <v>0.1509448026536469</v>
      </c>
      <c r="CH23" s="533">
        <f t="shared" si="139"/>
        <v>0</v>
      </c>
      <c r="CI23" s="531"/>
      <c r="CJ23" s="532">
        <f t="shared" si="27"/>
        <v>0</v>
      </c>
      <c r="CK23" s="533">
        <f t="shared" si="140"/>
        <v>0</v>
      </c>
      <c r="CL23" s="531"/>
      <c r="CM23" s="532">
        <f t="shared" si="28"/>
        <v>0</v>
      </c>
      <c r="CN23" s="533">
        <f t="shared" si="141"/>
        <v>0</v>
      </c>
      <c r="CO23" s="531"/>
      <c r="CP23" s="532">
        <f t="shared" si="29"/>
        <v>0</v>
      </c>
      <c r="CQ23" s="533">
        <f t="shared" si="142"/>
        <v>0</v>
      </c>
      <c r="CR23" s="531"/>
      <c r="CS23" s="532">
        <f t="shared" si="30"/>
        <v>0</v>
      </c>
      <c r="CT23" s="533">
        <f t="shared" si="143"/>
        <v>0</v>
      </c>
      <c r="CU23" s="531"/>
      <c r="CV23" s="532">
        <f t="shared" si="31"/>
        <v>0</v>
      </c>
      <c r="CW23" s="533">
        <f t="shared" si="144"/>
        <v>0</v>
      </c>
      <c r="CX23" s="531"/>
      <c r="CY23" s="532">
        <f t="shared" si="32"/>
        <v>0</v>
      </c>
      <c r="CZ23" s="533">
        <f t="shared" si="145"/>
        <v>0</v>
      </c>
      <c r="DA23" s="531">
        <v>341.56976744186039</v>
      </c>
      <c r="DB23" s="532">
        <f t="shared" si="33"/>
        <v>6.3652075480202077</v>
      </c>
      <c r="DC23" s="533">
        <f t="shared" si="146"/>
        <v>0</v>
      </c>
      <c r="DD23" s="531"/>
      <c r="DE23" s="532">
        <f t="shared" si="34"/>
        <v>0</v>
      </c>
      <c r="DF23" s="533">
        <f t="shared" si="147"/>
        <v>0</v>
      </c>
      <c r="DG23" s="531"/>
      <c r="DH23" s="532">
        <f t="shared" si="35"/>
        <v>0</v>
      </c>
      <c r="DI23" s="533">
        <f t="shared" si="203"/>
        <v>0</v>
      </c>
      <c r="DJ23" s="531"/>
      <c r="DK23" s="532">
        <f t="shared" si="36"/>
        <v>0</v>
      </c>
      <c r="DL23" s="533">
        <f t="shared" si="148"/>
        <v>0</v>
      </c>
      <c r="DM23" s="531"/>
      <c r="DN23" s="532">
        <f t="shared" si="37"/>
        <v>0</v>
      </c>
      <c r="DO23" s="533">
        <f t="shared" si="149"/>
        <v>0</v>
      </c>
      <c r="DP23" s="531"/>
      <c r="DQ23" s="532">
        <f t="shared" si="38"/>
        <v>0</v>
      </c>
      <c r="DR23" s="533">
        <f t="shared" si="150"/>
        <v>0</v>
      </c>
      <c r="DS23" s="531"/>
      <c r="DT23" s="532">
        <f t="shared" si="39"/>
        <v>0</v>
      </c>
      <c r="DU23" s="533">
        <f t="shared" si="151"/>
        <v>0</v>
      </c>
      <c r="DV23" s="531"/>
      <c r="DW23" s="532">
        <f t="shared" si="40"/>
        <v>0</v>
      </c>
      <c r="DX23" s="533">
        <f t="shared" si="152"/>
        <v>0</v>
      </c>
      <c r="DY23" s="531"/>
      <c r="DZ23" s="532">
        <f t="shared" si="41"/>
        <v>0</v>
      </c>
      <c r="EA23" s="533">
        <f t="shared" si="153"/>
        <v>0</v>
      </c>
      <c r="EB23" s="531"/>
      <c r="EC23" s="532">
        <f t="shared" si="42"/>
        <v>0</v>
      </c>
      <c r="ED23" s="533">
        <f t="shared" si="154"/>
        <v>0</v>
      </c>
      <c r="EE23" s="531">
        <v>211.34117647058827</v>
      </c>
      <c r="EF23" s="532">
        <f t="shared" si="43"/>
        <v>3.9383768117212976</v>
      </c>
      <c r="EG23" s="533">
        <f t="shared" si="155"/>
        <v>0</v>
      </c>
      <c r="EH23" s="531">
        <v>2.5</v>
      </c>
      <c r="EI23" s="532">
        <f t="shared" si="44"/>
        <v>4.6587902053594726E-2</v>
      </c>
      <c r="EJ23" s="533">
        <f t="shared" si="156"/>
        <v>0</v>
      </c>
      <c r="EK23" s="531">
        <v>54.878048780487802</v>
      </c>
      <c r="EL23" s="532">
        <f t="shared" si="45"/>
        <v>1.0226612645911037</v>
      </c>
      <c r="EM23" s="533">
        <f t="shared" si="157"/>
        <v>0</v>
      </c>
      <c r="EN23" s="531"/>
      <c r="EO23" s="532">
        <f t="shared" si="46"/>
        <v>0</v>
      </c>
      <c r="EP23" s="533">
        <f t="shared" si="158"/>
        <v>0</v>
      </c>
      <c r="EQ23" s="531">
        <v>49.418604651162809</v>
      </c>
      <c r="ER23" s="532">
        <f t="shared" si="47"/>
        <v>0.92092364524547743</v>
      </c>
      <c r="ES23" s="533">
        <f t="shared" si="159"/>
        <v>0</v>
      </c>
      <c r="ET23" s="531"/>
      <c r="EU23" s="532">
        <f t="shared" si="48"/>
        <v>0</v>
      </c>
      <c r="EV23" s="533">
        <f t="shared" si="160"/>
        <v>0</v>
      </c>
      <c r="EW23" s="531"/>
      <c r="EX23" s="532">
        <f t="shared" si="49"/>
        <v>0</v>
      </c>
      <c r="EY23" s="533">
        <f t="shared" si="161"/>
        <v>0</v>
      </c>
      <c r="EZ23" s="531"/>
      <c r="FA23" s="532">
        <f t="shared" si="50"/>
        <v>0</v>
      </c>
      <c r="FB23" s="533">
        <f t="shared" si="162"/>
        <v>0</v>
      </c>
      <c r="FC23" s="531"/>
      <c r="FD23" s="532">
        <f t="shared" si="51"/>
        <v>0</v>
      </c>
      <c r="FE23" s="533">
        <f t="shared" si="163"/>
        <v>0</v>
      </c>
      <c r="FF23" s="531"/>
      <c r="FG23" s="532">
        <f t="shared" si="52"/>
        <v>0</v>
      </c>
      <c r="FH23" s="533">
        <f t="shared" si="164"/>
        <v>0</v>
      </c>
      <c r="FI23" s="531"/>
      <c r="FJ23" s="532">
        <f t="shared" si="53"/>
        <v>0</v>
      </c>
      <c r="FK23" s="533">
        <f t="shared" si="165"/>
        <v>0</v>
      </c>
      <c r="FL23" s="531"/>
      <c r="FM23" s="532">
        <f t="shared" si="54"/>
        <v>0</v>
      </c>
      <c r="FN23" s="533">
        <f t="shared" si="166"/>
        <v>0</v>
      </c>
      <c r="FO23" s="531"/>
      <c r="FP23" s="532">
        <f t="shared" si="55"/>
        <v>0</v>
      </c>
      <c r="FQ23" s="533">
        <f t="shared" si="167"/>
        <v>0</v>
      </c>
      <c r="FR23" s="531"/>
      <c r="FS23" s="532">
        <f t="shared" si="56"/>
        <v>0</v>
      </c>
      <c r="FT23" s="533">
        <f t="shared" si="168"/>
        <v>0</v>
      </c>
      <c r="FU23" s="531"/>
      <c r="FV23" s="532">
        <f t="shared" si="57"/>
        <v>0</v>
      </c>
      <c r="FW23" s="533">
        <f t="shared" si="169"/>
        <v>0</v>
      </c>
      <c r="FX23" s="531"/>
      <c r="FY23" s="532">
        <f t="shared" si="58"/>
        <v>0</v>
      </c>
      <c r="FZ23" s="533">
        <f t="shared" si="170"/>
        <v>0</v>
      </c>
      <c r="GA23" s="531"/>
      <c r="GB23" s="532">
        <f t="shared" si="59"/>
        <v>0</v>
      </c>
      <c r="GC23" s="533">
        <f t="shared" si="171"/>
        <v>0</v>
      </c>
      <c r="GD23" s="531"/>
      <c r="GE23" s="532">
        <f t="shared" si="60"/>
        <v>0</v>
      </c>
      <c r="GF23" s="533">
        <f t="shared" si="172"/>
        <v>0</v>
      </c>
      <c r="GG23" s="531">
        <v>15.095177131322949</v>
      </c>
      <c r="GH23" s="532">
        <f t="shared" si="61"/>
        <v>0.2813010534702946</v>
      </c>
      <c r="GI23" s="533">
        <f t="shared" si="173"/>
        <v>0</v>
      </c>
      <c r="GJ23" s="531">
        <v>12.579314276102457</v>
      </c>
      <c r="GK23" s="532">
        <f t="shared" si="62"/>
        <v>0.23441754455857883</v>
      </c>
      <c r="GL23" s="533">
        <f t="shared" si="174"/>
        <v>0</v>
      </c>
      <c r="GM23" s="531"/>
      <c r="GN23" s="532">
        <f t="shared" si="63"/>
        <v>0</v>
      </c>
      <c r="GO23" s="533">
        <f t="shared" si="175"/>
        <v>0</v>
      </c>
      <c r="GP23" s="531">
        <v>22.642765696984423</v>
      </c>
      <c r="GQ23" s="532">
        <f t="shared" si="64"/>
        <v>0.42195158020544188</v>
      </c>
      <c r="GR23" s="533">
        <f t="shared" si="176"/>
        <v>0</v>
      </c>
      <c r="GS23" s="531">
        <v>181.14212557587538</v>
      </c>
      <c r="GT23" s="532">
        <f t="shared" si="65"/>
        <v>3.375612641643535</v>
      </c>
      <c r="GU23" s="533">
        <f t="shared" si="177"/>
        <v>0</v>
      </c>
      <c r="GV23" s="531">
        <v>37.737942828307375</v>
      </c>
      <c r="GW23" s="532">
        <f t="shared" si="66"/>
        <v>0.70325263367573654</v>
      </c>
      <c r="GX23" s="533">
        <f t="shared" si="178"/>
        <v>0</v>
      </c>
      <c r="GY23" s="531"/>
      <c r="GZ23" s="532">
        <f t="shared" si="67"/>
        <v>0</v>
      </c>
      <c r="HA23" s="533">
        <f t="shared" si="179"/>
        <v>0</v>
      </c>
      <c r="HB23" s="531"/>
      <c r="HC23" s="532">
        <f t="shared" si="68"/>
        <v>0</v>
      </c>
      <c r="HD23" s="533">
        <f t="shared" si="180"/>
        <v>0</v>
      </c>
      <c r="HE23" s="531"/>
      <c r="HF23" s="532">
        <f t="shared" si="69"/>
        <v>0</v>
      </c>
      <c r="HG23" s="533">
        <f t="shared" si="181"/>
        <v>0</v>
      </c>
      <c r="HH23" s="531"/>
      <c r="HI23" s="532">
        <f t="shared" si="70"/>
        <v>0</v>
      </c>
      <c r="HJ23" s="533">
        <f t="shared" si="182"/>
        <v>0</v>
      </c>
      <c r="HK23" s="531"/>
      <c r="HL23" s="532">
        <f t="shared" si="71"/>
        <v>0</v>
      </c>
      <c r="HM23" s="533">
        <f t="shared" si="183"/>
        <v>0</v>
      </c>
      <c r="HN23" s="531">
        <v>773.87941426582313</v>
      </c>
      <c r="HO23" s="532">
        <f t="shared" si="72"/>
        <v>14.421367341243769</v>
      </c>
      <c r="HP23" s="533">
        <f t="shared" si="184"/>
        <v>0</v>
      </c>
      <c r="HQ23" s="531"/>
      <c r="HR23" s="532">
        <f t="shared" si="73"/>
        <v>0</v>
      </c>
      <c r="HS23" s="533">
        <f t="shared" si="185"/>
        <v>0</v>
      </c>
      <c r="HT23" s="531"/>
      <c r="HU23" s="532">
        <f t="shared" si="74"/>
        <v>0</v>
      </c>
      <c r="HV23" s="533">
        <f t="shared" si="186"/>
        <v>0</v>
      </c>
      <c r="HW23" s="531"/>
      <c r="HX23" s="532">
        <f t="shared" si="75"/>
        <v>0</v>
      </c>
      <c r="HY23" s="533">
        <f t="shared" si="187"/>
        <v>0</v>
      </c>
      <c r="HZ23" s="531"/>
      <c r="IA23" s="532">
        <f t="shared" si="76"/>
        <v>0</v>
      </c>
      <c r="IB23" s="533">
        <f t="shared" si="188"/>
        <v>0</v>
      </c>
      <c r="IC23" s="531"/>
      <c r="ID23" s="532">
        <f t="shared" si="77"/>
        <v>0</v>
      </c>
      <c r="IE23" s="533">
        <f t="shared" si="189"/>
        <v>0</v>
      </c>
      <c r="IF23" s="531"/>
      <c r="IG23" s="532">
        <f t="shared" si="78"/>
        <v>0</v>
      </c>
      <c r="IH23" s="533">
        <f t="shared" si="190"/>
        <v>0</v>
      </c>
      <c r="II23" s="531">
        <v>22.642765696984423</v>
      </c>
      <c r="IJ23" s="532">
        <f t="shared" si="79"/>
        <v>0.42195158020544188</v>
      </c>
      <c r="IK23" s="533">
        <f t="shared" si="191"/>
        <v>0</v>
      </c>
      <c r="IL23" s="531"/>
      <c r="IM23" s="532">
        <f t="shared" si="80"/>
        <v>0</v>
      </c>
      <c r="IN23" s="533">
        <f t="shared" si="192"/>
        <v>0</v>
      </c>
      <c r="IO23" s="531"/>
      <c r="IP23" s="532">
        <f t="shared" si="81"/>
        <v>0</v>
      </c>
      <c r="IQ23" s="533">
        <f t="shared" si="193"/>
        <v>0</v>
      </c>
      <c r="IR23" s="531">
        <v>60.380708525291794</v>
      </c>
      <c r="IS23" s="532">
        <f t="shared" si="82"/>
        <v>1.1252042138811784</v>
      </c>
      <c r="IT23" s="533">
        <f t="shared" si="194"/>
        <v>0</v>
      </c>
      <c r="IU23" s="531"/>
      <c r="IV23" s="532">
        <f t="shared" si="83"/>
        <v>0</v>
      </c>
      <c r="IW23" s="533">
        <f t="shared" si="195"/>
        <v>0</v>
      </c>
      <c r="IX23" s="531"/>
      <c r="IY23" s="532">
        <f t="shared" si="84"/>
        <v>0</v>
      </c>
      <c r="IZ23" s="533">
        <f t="shared" si="196"/>
        <v>0</v>
      </c>
      <c r="JA23" s="531"/>
      <c r="JB23" s="532">
        <f t="shared" si="85"/>
        <v>0</v>
      </c>
      <c r="JC23" s="533">
        <f t="shared" si="197"/>
        <v>0</v>
      </c>
      <c r="JD23" s="531"/>
      <c r="JE23" s="532">
        <f t="shared" si="86"/>
        <v>0</v>
      </c>
      <c r="JF23" s="533">
        <f t="shared" si="198"/>
        <v>0</v>
      </c>
      <c r="JG23" s="531"/>
      <c r="JH23" s="532">
        <f t="shared" si="87"/>
        <v>0</v>
      </c>
      <c r="JI23" s="533">
        <f t="shared" si="199"/>
        <v>0</v>
      </c>
      <c r="JJ23" s="531">
        <v>22.642765696984423</v>
      </c>
      <c r="JK23" s="533" t="str">
        <f t="shared" si="88"/>
        <v>0</v>
      </c>
      <c r="JL23" s="533" t="str">
        <f t="shared" si="89"/>
        <v>0</v>
      </c>
      <c r="JM23" s="531"/>
      <c r="JN23" s="533" t="str">
        <f t="shared" si="90"/>
        <v>0</v>
      </c>
      <c r="JO23" s="533" t="str">
        <f t="shared" si="91"/>
        <v>0</v>
      </c>
      <c r="JP23" s="531"/>
      <c r="JQ23" s="533" t="str">
        <f t="shared" si="92"/>
        <v>0</v>
      </c>
      <c r="JR23" s="533" t="str">
        <f t="shared" si="93"/>
        <v>0</v>
      </c>
      <c r="JS23" s="531"/>
      <c r="JT23" s="533" t="str">
        <f t="shared" si="94"/>
        <v>0</v>
      </c>
      <c r="JU23" s="533" t="str">
        <f t="shared" si="95"/>
        <v>0</v>
      </c>
      <c r="JV23" s="531"/>
      <c r="JW23" s="533" t="str">
        <f t="shared" si="96"/>
        <v>0</v>
      </c>
      <c r="JX23" s="533" t="str">
        <f t="shared" si="97"/>
        <v>0</v>
      </c>
      <c r="JY23" s="531"/>
      <c r="JZ23" s="533" t="str">
        <f t="shared" si="98"/>
        <v>0</v>
      </c>
      <c r="KA23" s="533" t="str">
        <f t="shared" si="99"/>
        <v>0</v>
      </c>
      <c r="KB23" s="531"/>
      <c r="KC23" s="533" t="str">
        <f t="shared" si="100"/>
        <v>0</v>
      </c>
      <c r="KD23" s="533" t="str">
        <f t="shared" si="101"/>
        <v>0</v>
      </c>
      <c r="KE23" s="531"/>
      <c r="KF23" s="533" t="str">
        <f t="shared" si="102"/>
        <v>0</v>
      </c>
      <c r="KG23" s="533" t="str">
        <f t="shared" si="103"/>
        <v>0</v>
      </c>
      <c r="KH23" s="531"/>
      <c r="KI23" s="533" t="str">
        <f t="shared" si="104"/>
        <v>0</v>
      </c>
      <c r="KJ23" s="533" t="str">
        <f t="shared" si="105"/>
        <v>0</v>
      </c>
      <c r="KK23" s="531"/>
      <c r="KL23" s="533" t="str">
        <f t="shared" si="106"/>
        <v>0</v>
      </c>
      <c r="KM23" s="533" t="str">
        <f t="shared" si="107"/>
        <v>0</v>
      </c>
      <c r="KN23" s="531"/>
      <c r="KO23" s="533" t="str">
        <f t="shared" si="108"/>
        <v>0</v>
      </c>
      <c r="KP23" s="533" t="str">
        <f t="shared" si="109"/>
        <v>0</v>
      </c>
      <c r="KQ23" s="531"/>
      <c r="KR23" s="533" t="str">
        <f t="shared" si="110"/>
        <v>0</v>
      </c>
      <c r="KS23" s="533" t="str">
        <f t="shared" si="111"/>
        <v>0</v>
      </c>
      <c r="KT23" s="533">
        <f t="shared" si="201"/>
        <v>0</v>
      </c>
      <c r="KU23" s="533">
        <f t="shared" si="202"/>
        <v>0</v>
      </c>
      <c r="KV23" s="271">
        <f t="shared" si="112"/>
        <v>1852.3318270377758</v>
      </c>
    </row>
    <row r="24" spans="1:309" ht="15" customHeight="1">
      <c r="A24" s="273">
        <f t="shared" si="200"/>
        <v>46038</v>
      </c>
      <c r="B24" s="274" t="str">
        <f>+Report1!B24</f>
        <v>Toilet</v>
      </c>
      <c r="C24" s="274" t="str">
        <f>+Report1!C24</f>
        <v>15</v>
      </c>
      <c r="D24" s="275">
        <f>+Report1!P24</f>
        <v>54.427999999999997</v>
      </c>
      <c r="E24" s="276">
        <f>+Report1!R24</f>
        <v>49.744</v>
      </c>
      <c r="F24" s="531"/>
      <c r="G24" s="532">
        <f t="shared" si="0"/>
        <v>0</v>
      </c>
      <c r="H24" s="533">
        <f t="shared" si="113"/>
        <v>0</v>
      </c>
      <c r="I24" s="531"/>
      <c r="J24" s="532">
        <f t="shared" si="1"/>
        <v>0</v>
      </c>
      <c r="K24" s="533">
        <f t="shared" si="114"/>
        <v>0</v>
      </c>
      <c r="L24" s="531"/>
      <c r="M24" s="532">
        <f t="shared" si="2"/>
        <v>0</v>
      </c>
      <c r="N24" s="533">
        <f t="shared" si="115"/>
        <v>0</v>
      </c>
      <c r="O24" s="531">
        <v>9</v>
      </c>
      <c r="P24" s="532">
        <f t="shared" si="3"/>
        <v>0.18092634287552267</v>
      </c>
      <c r="Q24" s="533">
        <f t="shared" si="116"/>
        <v>0</v>
      </c>
      <c r="R24" s="531"/>
      <c r="S24" s="532">
        <f t="shared" si="4"/>
        <v>0</v>
      </c>
      <c r="T24" s="533">
        <f t="shared" si="117"/>
        <v>0</v>
      </c>
      <c r="U24" s="531">
        <v>7.6874999999999964</v>
      </c>
      <c r="V24" s="532">
        <f t="shared" si="5"/>
        <v>0.15454125120617554</v>
      </c>
      <c r="W24" s="533">
        <f t="shared" si="118"/>
        <v>0</v>
      </c>
      <c r="X24" s="531"/>
      <c r="Y24" s="532">
        <f t="shared" si="6"/>
        <v>0</v>
      </c>
      <c r="Z24" s="533">
        <f t="shared" si="119"/>
        <v>0</v>
      </c>
      <c r="AA24" s="531"/>
      <c r="AB24" s="532">
        <f t="shared" si="7"/>
        <v>0</v>
      </c>
      <c r="AC24" s="533">
        <f t="shared" si="120"/>
        <v>0</v>
      </c>
      <c r="AD24" s="531"/>
      <c r="AE24" s="532">
        <f t="shared" si="8"/>
        <v>0</v>
      </c>
      <c r="AF24" s="533">
        <f t="shared" si="121"/>
        <v>0</v>
      </c>
      <c r="AG24" s="531"/>
      <c r="AH24" s="532">
        <f t="shared" si="9"/>
        <v>0</v>
      </c>
      <c r="AI24" s="533">
        <f t="shared" si="122"/>
        <v>0</v>
      </c>
      <c r="AJ24" s="531">
        <v>19.093750000000014</v>
      </c>
      <c r="AK24" s="532">
        <f t="shared" si="10"/>
        <v>0.38384026214216821</v>
      </c>
      <c r="AL24" s="533">
        <f t="shared" si="123"/>
        <v>0</v>
      </c>
      <c r="AM24" s="531"/>
      <c r="AN24" s="532">
        <f t="shared" si="11"/>
        <v>0</v>
      </c>
      <c r="AO24" s="533">
        <f t="shared" si="124"/>
        <v>0</v>
      </c>
      <c r="AP24" s="531"/>
      <c r="AQ24" s="532">
        <f t="shared" si="12"/>
        <v>0</v>
      </c>
      <c r="AR24" s="533">
        <f t="shared" si="125"/>
        <v>0</v>
      </c>
      <c r="AS24" s="531"/>
      <c r="AT24" s="532">
        <f t="shared" si="13"/>
        <v>0</v>
      </c>
      <c r="AU24" s="533">
        <f t="shared" si="126"/>
        <v>0</v>
      </c>
      <c r="AV24" s="531"/>
      <c r="AW24" s="532">
        <f t="shared" si="14"/>
        <v>0</v>
      </c>
      <c r="AX24" s="533">
        <f t="shared" si="127"/>
        <v>0</v>
      </c>
      <c r="AY24" s="531"/>
      <c r="AZ24" s="532">
        <f t="shared" si="15"/>
        <v>0</v>
      </c>
      <c r="BA24" s="533">
        <f t="shared" si="128"/>
        <v>0</v>
      </c>
      <c r="BB24" s="531"/>
      <c r="BC24" s="532">
        <f t="shared" si="16"/>
        <v>0</v>
      </c>
      <c r="BD24" s="533">
        <f t="shared" si="129"/>
        <v>0</v>
      </c>
      <c r="BE24" s="531"/>
      <c r="BF24" s="532">
        <f t="shared" si="17"/>
        <v>0</v>
      </c>
      <c r="BG24" s="533">
        <f t="shared" si="130"/>
        <v>0</v>
      </c>
      <c r="BH24" s="531"/>
      <c r="BI24" s="532">
        <f t="shared" si="18"/>
        <v>0</v>
      </c>
      <c r="BJ24" s="533">
        <f t="shared" si="131"/>
        <v>0</v>
      </c>
      <c r="BK24" s="531"/>
      <c r="BL24" s="532">
        <f t="shared" si="19"/>
        <v>0</v>
      </c>
      <c r="BM24" s="533">
        <f t="shared" si="132"/>
        <v>0</v>
      </c>
      <c r="BN24" s="531"/>
      <c r="BO24" s="532">
        <f t="shared" si="20"/>
        <v>0</v>
      </c>
      <c r="BP24" s="533">
        <f t="shared" si="133"/>
        <v>0</v>
      </c>
      <c r="BQ24" s="531"/>
      <c r="BR24" s="532">
        <f t="shared" si="21"/>
        <v>0</v>
      </c>
      <c r="BS24" s="533">
        <f t="shared" si="134"/>
        <v>0</v>
      </c>
      <c r="BT24" s="531"/>
      <c r="BU24" s="532">
        <f t="shared" si="22"/>
        <v>0</v>
      </c>
      <c r="BV24" s="533">
        <f t="shared" si="135"/>
        <v>0</v>
      </c>
      <c r="BW24" s="531"/>
      <c r="BX24" s="532">
        <f t="shared" si="23"/>
        <v>0</v>
      </c>
      <c r="BY24" s="533">
        <f t="shared" si="136"/>
        <v>0</v>
      </c>
      <c r="BZ24" s="531"/>
      <c r="CA24" s="532">
        <f t="shared" si="24"/>
        <v>0</v>
      </c>
      <c r="CB24" s="533">
        <f t="shared" si="137"/>
        <v>0</v>
      </c>
      <c r="CC24" s="531"/>
      <c r="CD24" s="532">
        <f t="shared" si="25"/>
        <v>0</v>
      </c>
      <c r="CE24" s="533">
        <f t="shared" si="138"/>
        <v>0</v>
      </c>
      <c r="CF24" s="531">
        <v>8.1</v>
      </c>
      <c r="CG24" s="532">
        <f t="shared" si="26"/>
        <v>0.16283370858797039</v>
      </c>
      <c r="CH24" s="533">
        <f t="shared" si="139"/>
        <v>0</v>
      </c>
      <c r="CI24" s="531"/>
      <c r="CJ24" s="532">
        <f t="shared" si="27"/>
        <v>0</v>
      </c>
      <c r="CK24" s="533">
        <f t="shared" si="140"/>
        <v>0</v>
      </c>
      <c r="CL24" s="531"/>
      <c r="CM24" s="532">
        <f t="shared" si="28"/>
        <v>0</v>
      </c>
      <c r="CN24" s="533">
        <f t="shared" si="141"/>
        <v>0</v>
      </c>
      <c r="CO24" s="531"/>
      <c r="CP24" s="532">
        <f t="shared" si="29"/>
        <v>0</v>
      </c>
      <c r="CQ24" s="533">
        <f t="shared" si="142"/>
        <v>0</v>
      </c>
      <c r="CR24" s="531"/>
      <c r="CS24" s="532">
        <f t="shared" si="30"/>
        <v>0</v>
      </c>
      <c r="CT24" s="533">
        <f t="shared" si="143"/>
        <v>0</v>
      </c>
      <c r="CU24" s="531"/>
      <c r="CV24" s="532">
        <f t="shared" si="31"/>
        <v>0</v>
      </c>
      <c r="CW24" s="533">
        <f t="shared" si="144"/>
        <v>0</v>
      </c>
      <c r="CX24" s="531"/>
      <c r="CY24" s="532">
        <f t="shared" si="32"/>
        <v>0</v>
      </c>
      <c r="CZ24" s="533">
        <f t="shared" si="145"/>
        <v>0</v>
      </c>
      <c r="DA24" s="531">
        <v>341.56976744186039</v>
      </c>
      <c r="DB24" s="532">
        <f t="shared" si="33"/>
        <v>6.866552095566508</v>
      </c>
      <c r="DC24" s="533">
        <f t="shared" si="146"/>
        <v>0</v>
      </c>
      <c r="DD24" s="531"/>
      <c r="DE24" s="532">
        <f t="shared" si="34"/>
        <v>0</v>
      </c>
      <c r="DF24" s="533">
        <f t="shared" si="147"/>
        <v>0</v>
      </c>
      <c r="DG24" s="531"/>
      <c r="DH24" s="532">
        <f t="shared" si="35"/>
        <v>0</v>
      </c>
      <c r="DI24" s="533">
        <f t="shared" si="203"/>
        <v>0</v>
      </c>
      <c r="DJ24" s="531"/>
      <c r="DK24" s="532">
        <f t="shared" si="36"/>
        <v>0</v>
      </c>
      <c r="DL24" s="533">
        <f t="shared" si="148"/>
        <v>0</v>
      </c>
      <c r="DM24" s="531"/>
      <c r="DN24" s="532">
        <f t="shared" si="37"/>
        <v>0</v>
      </c>
      <c r="DO24" s="533">
        <f t="shared" si="149"/>
        <v>0</v>
      </c>
      <c r="DP24" s="531"/>
      <c r="DQ24" s="532">
        <f t="shared" si="38"/>
        <v>0</v>
      </c>
      <c r="DR24" s="533">
        <f t="shared" si="150"/>
        <v>0</v>
      </c>
      <c r="DS24" s="531"/>
      <c r="DT24" s="532">
        <f t="shared" si="39"/>
        <v>0</v>
      </c>
      <c r="DU24" s="533">
        <f t="shared" si="151"/>
        <v>0</v>
      </c>
      <c r="DV24" s="531"/>
      <c r="DW24" s="532">
        <f t="shared" si="40"/>
        <v>0</v>
      </c>
      <c r="DX24" s="533">
        <f t="shared" si="152"/>
        <v>0</v>
      </c>
      <c r="DY24" s="531"/>
      <c r="DZ24" s="532">
        <f t="shared" si="41"/>
        <v>0</v>
      </c>
      <c r="EA24" s="533">
        <f t="shared" si="153"/>
        <v>0</v>
      </c>
      <c r="EB24" s="531"/>
      <c r="EC24" s="532">
        <f t="shared" si="42"/>
        <v>0</v>
      </c>
      <c r="ED24" s="533">
        <f t="shared" si="154"/>
        <v>0</v>
      </c>
      <c r="EE24" s="531">
        <v>211.34117647058827</v>
      </c>
      <c r="EF24" s="532">
        <f t="shared" si="43"/>
        <v>4.2485762397593332</v>
      </c>
      <c r="EG24" s="533">
        <f t="shared" si="155"/>
        <v>0</v>
      </c>
      <c r="EH24" s="531">
        <v>2.5</v>
      </c>
      <c r="EI24" s="532">
        <f t="shared" si="44"/>
        <v>5.0257317465422967E-2</v>
      </c>
      <c r="EJ24" s="533">
        <f t="shared" si="156"/>
        <v>0</v>
      </c>
      <c r="EK24" s="531">
        <v>54.878048780487802</v>
      </c>
      <c r="EL24" s="532">
        <f t="shared" si="45"/>
        <v>1.1032094077775771</v>
      </c>
      <c r="EM24" s="533">
        <f t="shared" si="157"/>
        <v>0</v>
      </c>
      <c r="EN24" s="531"/>
      <c r="EO24" s="532">
        <f t="shared" si="46"/>
        <v>0</v>
      </c>
      <c r="EP24" s="533">
        <f t="shared" si="158"/>
        <v>0</v>
      </c>
      <c r="EQ24" s="531">
        <v>49.418604651162809</v>
      </c>
      <c r="ER24" s="532">
        <f t="shared" si="47"/>
        <v>0.99345860106068695</v>
      </c>
      <c r="ES24" s="533">
        <f t="shared" si="159"/>
        <v>0</v>
      </c>
      <c r="ET24" s="531"/>
      <c r="EU24" s="532">
        <f t="shared" si="48"/>
        <v>0</v>
      </c>
      <c r="EV24" s="533">
        <f t="shared" si="160"/>
        <v>0</v>
      </c>
      <c r="EW24" s="531"/>
      <c r="EX24" s="532">
        <f t="shared" si="49"/>
        <v>0</v>
      </c>
      <c r="EY24" s="533">
        <f t="shared" si="161"/>
        <v>0</v>
      </c>
      <c r="EZ24" s="531"/>
      <c r="FA24" s="532">
        <f t="shared" si="50"/>
        <v>0</v>
      </c>
      <c r="FB24" s="533">
        <f t="shared" si="162"/>
        <v>0</v>
      </c>
      <c r="FC24" s="531"/>
      <c r="FD24" s="532">
        <f t="shared" si="51"/>
        <v>0</v>
      </c>
      <c r="FE24" s="533">
        <f t="shared" si="163"/>
        <v>0</v>
      </c>
      <c r="FF24" s="531"/>
      <c r="FG24" s="532">
        <f t="shared" si="52"/>
        <v>0</v>
      </c>
      <c r="FH24" s="533">
        <f t="shared" si="164"/>
        <v>0</v>
      </c>
      <c r="FI24" s="531"/>
      <c r="FJ24" s="532">
        <f t="shared" si="53"/>
        <v>0</v>
      </c>
      <c r="FK24" s="533">
        <f t="shared" si="165"/>
        <v>0</v>
      </c>
      <c r="FL24" s="531"/>
      <c r="FM24" s="532">
        <f t="shared" si="54"/>
        <v>0</v>
      </c>
      <c r="FN24" s="533">
        <f t="shared" si="166"/>
        <v>0</v>
      </c>
      <c r="FO24" s="531"/>
      <c r="FP24" s="532">
        <f t="shared" si="55"/>
        <v>0</v>
      </c>
      <c r="FQ24" s="533">
        <f t="shared" si="167"/>
        <v>0</v>
      </c>
      <c r="FR24" s="531"/>
      <c r="FS24" s="532">
        <f t="shared" si="56"/>
        <v>0</v>
      </c>
      <c r="FT24" s="533">
        <f t="shared" si="168"/>
        <v>0</v>
      </c>
      <c r="FU24" s="531"/>
      <c r="FV24" s="532">
        <f t="shared" si="57"/>
        <v>0</v>
      </c>
      <c r="FW24" s="533">
        <f t="shared" si="169"/>
        <v>0</v>
      </c>
      <c r="FX24" s="531"/>
      <c r="FY24" s="532">
        <f t="shared" si="58"/>
        <v>0</v>
      </c>
      <c r="FZ24" s="533">
        <f t="shared" si="170"/>
        <v>0</v>
      </c>
      <c r="GA24" s="531"/>
      <c r="GB24" s="532">
        <f t="shared" si="59"/>
        <v>0</v>
      </c>
      <c r="GC24" s="533">
        <f t="shared" si="171"/>
        <v>0</v>
      </c>
      <c r="GD24" s="531"/>
      <c r="GE24" s="532">
        <f t="shared" si="60"/>
        <v>0</v>
      </c>
      <c r="GF24" s="533">
        <f t="shared" si="172"/>
        <v>0</v>
      </c>
      <c r="GG24" s="531">
        <v>17.998507194754392</v>
      </c>
      <c r="GH24" s="532">
        <f t="shared" si="61"/>
        <v>0.36182267599618834</v>
      </c>
      <c r="GI24" s="533">
        <f t="shared" si="173"/>
        <v>0</v>
      </c>
      <c r="GJ24" s="531">
        <v>12.856076567681709</v>
      </c>
      <c r="GK24" s="532">
        <f t="shared" si="62"/>
        <v>0.25844476856870596</v>
      </c>
      <c r="GL24" s="533">
        <f t="shared" si="174"/>
        <v>0</v>
      </c>
      <c r="GM24" s="531"/>
      <c r="GN24" s="532">
        <f t="shared" si="63"/>
        <v>0</v>
      </c>
      <c r="GO24" s="533">
        <f t="shared" si="175"/>
        <v>0</v>
      </c>
      <c r="GP24" s="531">
        <v>23.140937821827077</v>
      </c>
      <c r="GQ24" s="532">
        <f t="shared" si="64"/>
        <v>0.46520058342367071</v>
      </c>
      <c r="GR24" s="533">
        <f t="shared" si="176"/>
        <v>0</v>
      </c>
      <c r="GS24" s="531">
        <v>190.2699332016893</v>
      </c>
      <c r="GT24" s="532">
        <f t="shared" si="65"/>
        <v>3.8249825748168482</v>
      </c>
      <c r="GU24" s="533">
        <f t="shared" si="177"/>
        <v>0</v>
      </c>
      <c r="GV24" s="531">
        <v>41.139445016581469</v>
      </c>
      <c r="GW24" s="532">
        <f t="shared" si="66"/>
        <v>0.8270232594198591</v>
      </c>
      <c r="GX24" s="533">
        <f t="shared" si="178"/>
        <v>0</v>
      </c>
      <c r="GY24" s="531"/>
      <c r="GZ24" s="532">
        <f t="shared" si="67"/>
        <v>0</v>
      </c>
      <c r="HA24" s="533">
        <f t="shared" si="179"/>
        <v>0</v>
      </c>
      <c r="HB24" s="531"/>
      <c r="HC24" s="532">
        <f t="shared" si="68"/>
        <v>0</v>
      </c>
      <c r="HD24" s="533">
        <f t="shared" si="180"/>
        <v>0</v>
      </c>
      <c r="HE24" s="531"/>
      <c r="HF24" s="532">
        <f t="shared" si="69"/>
        <v>0</v>
      </c>
      <c r="HG24" s="533">
        <f t="shared" si="181"/>
        <v>0</v>
      </c>
      <c r="HH24" s="531"/>
      <c r="HI24" s="532">
        <f t="shared" si="70"/>
        <v>0</v>
      </c>
      <c r="HJ24" s="533">
        <f t="shared" si="182"/>
        <v>0</v>
      </c>
      <c r="HK24" s="531"/>
      <c r="HL24" s="532">
        <f t="shared" si="71"/>
        <v>0</v>
      </c>
      <c r="HM24" s="533">
        <f t="shared" si="183"/>
        <v>0</v>
      </c>
      <c r="HN24" s="531">
        <v>739.48152417305198</v>
      </c>
      <c r="HO24" s="532">
        <f t="shared" si="72"/>
        <v>14.865743088071968</v>
      </c>
      <c r="HP24" s="533">
        <f t="shared" si="184"/>
        <v>0</v>
      </c>
      <c r="HQ24" s="531"/>
      <c r="HR24" s="532">
        <f t="shared" si="73"/>
        <v>0</v>
      </c>
      <c r="HS24" s="533">
        <f t="shared" si="185"/>
        <v>0</v>
      </c>
      <c r="HT24" s="531"/>
      <c r="HU24" s="532">
        <f t="shared" si="74"/>
        <v>0</v>
      </c>
      <c r="HV24" s="533">
        <f t="shared" si="186"/>
        <v>0</v>
      </c>
      <c r="HW24" s="531"/>
      <c r="HX24" s="532">
        <f t="shared" si="75"/>
        <v>0</v>
      </c>
      <c r="HY24" s="533">
        <f t="shared" si="187"/>
        <v>0</v>
      </c>
      <c r="HZ24" s="531"/>
      <c r="IA24" s="532">
        <f t="shared" si="76"/>
        <v>0</v>
      </c>
      <c r="IB24" s="533">
        <f t="shared" si="188"/>
        <v>0</v>
      </c>
      <c r="IC24" s="531"/>
      <c r="ID24" s="532">
        <f t="shared" si="77"/>
        <v>0</v>
      </c>
      <c r="IE24" s="533">
        <f t="shared" si="189"/>
        <v>0</v>
      </c>
      <c r="IF24" s="531"/>
      <c r="IG24" s="532">
        <f t="shared" si="78"/>
        <v>0</v>
      </c>
      <c r="IH24" s="533">
        <f t="shared" si="190"/>
        <v>0</v>
      </c>
      <c r="II24" s="531">
        <v>23.140937821827077</v>
      </c>
      <c r="IJ24" s="532">
        <f t="shared" si="79"/>
        <v>0.46520058342367071</v>
      </c>
      <c r="IK24" s="533">
        <f t="shared" si="191"/>
        <v>0</v>
      </c>
      <c r="IL24" s="531"/>
      <c r="IM24" s="532">
        <f t="shared" si="80"/>
        <v>0</v>
      </c>
      <c r="IN24" s="533">
        <f t="shared" si="192"/>
        <v>0</v>
      </c>
      <c r="IO24" s="531"/>
      <c r="IP24" s="532">
        <f t="shared" si="81"/>
        <v>0</v>
      </c>
      <c r="IQ24" s="533">
        <f t="shared" si="193"/>
        <v>0</v>
      </c>
      <c r="IR24" s="531">
        <v>61.709167524872207</v>
      </c>
      <c r="IS24" s="532">
        <f t="shared" si="82"/>
        <v>1.2405348891297887</v>
      </c>
      <c r="IT24" s="533">
        <f t="shared" si="194"/>
        <v>0</v>
      </c>
      <c r="IU24" s="531"/>
      <c r="IV24" s="532">
        <f t="shared" si="83"/>
        <v>0</v>
      </c>
      <c r="IW24" s="533">
        <f t="shared" si="195"/>
        <v>0</v>
      </c>
      <c r="IX24" s="531"/>
      <c r="IY24" s="532">
        <f t="shared" si="84"/>
        <v>0</v>
      </c>
      <c r="IZ24" s="533">
        <f t="shared" si="196"/>
        <v>0</v>
      </c>
      <c r="JA24" s="531"/>
      <c r="JB24" s="532">
        <f t="shared" si="85"/>
        <v>0</v>
      </c>
      <c r="JC24" s="533">
        <f t="shared" si="197"/>
        <v>0</v>
      </c>
      <c r="JD24" s="531"/>
      <c r="JE24" s="532">
        <f t="shared" si="86"/>
        <v>0</v>
      </c>
      <c r="JF24" s="533">
        <f t="shared" si="198"/>
        <v>0</v>
      </c>
      <c r="JG24" s="531"/>
      <c r="JH24" s="532">
        <f t="shared" si="87"/>
        <v>0</v>
      </c>
      <c r="JI24" s="533">
        <f t="shared" si="199"/>
        <v>0</v>
      </c>
      <c r="JJ24" s="531">
        <v>23.140937821827077</v>
      </c>
      <c r="JK24" s="533" t="str">
        <f t="shared" si="88"/>
        <v>0</v>
      </c>
      <c r="JL24" s="533" t="str">
        <f t="shared" si="89"/>
        <v>0</v>
      </c>
      <c r="JM24" s="531"/>
      <c r="JN24" s="533" t="str">
        <f t="shared" si="90"/>
        <v>0</v>
      </c>
      <c r="JO24" s="533" t="str">
        <f t="shared" si="91"/>
        <v>0</v>
      </c>
      <c r="JP24" s="531"/>
      <c r="JQ24" s="533" t="str">
        <f t="shared" si="92"/>
        <v>0</v>
      </c>
      <c r="JR24" s="533" t="str">
        <f t="shared" si="93"/>
        <v>0</v>
      </c>
      <c r="JS24" s="531"/>
      <c r="JT24" s="533" t="str">
        <f t="shared" si="94"/>
        <v>0</v>
      </c>
      <c r="JU24" s="533" t="str">
        <f t="shared" si="95"/>
        <v>0</v>
      </c>
      <c r="JV24" s="531"/>
      <c r="JW24" s="533" t="str">
        <f t="shared" si="96"/>
        <v>0</v>
      </c>
      <c r="JX24" s="533" t="str">
        <f t="shared" si="97"/>
        <v>0</v>
      </c>
      <c r="JY24" s="531"/>
      <c r="JZ24" s="533" t="str">
        <f t="shared" si="98"/>
        <v>0</v>
      </c>
      <c r="KA24" s="533" t="str">
        <f t="shared" si="99"/>
        <v>0</v>
      </c>
      <c r="KB24" s="531"/>
      <c r="KC24" s="533" t="str">
        <f t="shared" si="100"/>
        <v>0</v>
      </c>
      <c r="KD24" s="533" t="str">
        <f t="shared" si="101"/>
        <v>0</v>
      </c>
      <c r="KE24" s="531"/>
      <c r="KF24" s="533" t="str">
        <f t="shared" si="102"/>
        <v>0</v>
      </c>
      <c r="KG24" s="533" t="str">
        <f t="shared" si="103"/>
        <v>0</v>
      </c>
      <c r="KH24" s="531"/>
      <c r="KI24" s="533" t="str">
        <f t="shared" si="104"/>
        <v>0</v>
      </c>
      <c r="KJ24" s="533" t="str">
        <f t="shared" si="105"/>
        <v>0</v>
      </c>
      <c r="KK24" s="531"/>
      <c r="KL24" s="533" t="str">
        <f t="shared" si="106"/>
        <v>0</v>
      </c>
      <c r="KM24" s="533" t="str">
        <f t="shared" si="107"/>
        <v>0</v>
      </c>
      <c r="KN24" s="531"/>
      <c r="KO24" s="533" t="str">
        <f t="shared" si="108"/>
        <v>0</v>
      </c>
      <c r="KP24" s="533" t="str">
        <f t="shared" si="109"/>
        <v>0</v>
      </c>
      <c r="KQ24" s="531"/>
      <c r="KR24" s="533" t="str">
        <f t="shared" si="110"/>
        <v>0</v>
      </c>
      <c r="KS24" s="533" t="str">
        <f t="shared" si="111"/>
        <v>0</v>
      </c>
      <c r="KT24" s="533">
        <f t="shared" si="201"/>
        <v>0</v>
      </c>
      <c r="KU24" s="533">
        <f t="shared" si="202"/>
        <v>0</v>
      </c>
      <c r="KV24" s="271">
        <f t="shared" si="112"/>
        <v>1836.4663144882115</v>
      </c>
    </row>
    <row r="25" spans="1:309" ht="15" customHeight="1">
      <c r="A25" s="273">
        <f t="shared" si="200"/>
        <v>46039</v>
      </c>
      <c r="B25" s="274" t="str">
        <f>+Report1!B25</f>
        <v>Toilet</v>
      </c>
      <c r="C25" s="274" t="str">
        <f>+Report1!C25</f>
        <v>15/18/16</v>
      </c>
      <c r="D25" s="275">
        <f>+Report1!P25</f>
        <v>47.941000000000003</v>
      </c>
      <c r="E25" s="276">
        <f>+Report1!R25</f>
        <v>51.39</v>
      </c>
      <c r="F25" s="531"/>
      <c r="G25" s="532">
        <f t="shared" si="0"/>
        <v>0</v>
      </c>
      <c r="H25" s="533">
        <f t="shared" si="113"/>
        <v>0</v>
      </c>
      <c r="I25" s="531"/>
      <c r="J25" s="532">
        <f t="shared" si="1"/>
        <v>0</v>
      </c>
      <c r="K25" s="533">
        <f t="shared" si="114"/>
        <v>0</v>
      </c>
      <c r="L25" s="531"/>
      <c r="M25" s="532">
        <f t="shared" si="2"/>
        <v>0</v>
      </c>
      <c r="N25" s="533">
        <f t="shared" si="115"/>
        <v>0</v>
      </c>
      <c r="O25" s="531">
        <v>8.572400000000016</v>
      </c>
      <c r="P25" s="532">
        <f t="shared" si="3"/>
        <v>0.16681066355322077</v>
      </c>
      <c r="Q25" s="533">
        <f t="shared" si="116"/>
        <v>0</v>
      </c>
      <c r="R25" s="531"/>
      <c r="S25" s="532">
        <f t="shared" si="4"/>
        <v>0</v>
      </c>
      <c r="T25" s="533">
        <f t="shared" si="117"/>
        <v>0</v>
      </c>
      <c r="U25" s="531">
        <v>7.3263999999999996</v>
      </c>
      <c r="V25" s="532">
        <f t="shared" si="5"/>
        <v>0.14256470130375559</v>
      </c>
      <c r="W25" s="533">
        <f t="shared" si="118"/>
        <v>0</v>
      </c>
      <c r="X25" s="531"/>
      <c r="Y25" s="532">
        <f t="shared" si="6"/>
        <v>0</v>
      </c>
      <c r="Z25" s="533">
        <f t="shared" si="119"/>
        <v>0</v>
      </c>
      <c r="AA25" s="531"/>
      <c r="AB25" s="532">
        <f t="shared" si="7"/>
        <v>0</v>
      </c>
      <c r="AC25" s="533">
        <f t="shared" si="120"/>
        <v>0</v>
      </c>
      <c r="AD25" s="531"/>
      <c r="AE25" s="532">
        <f t="shared" si="8"/>
        <v>0</v>
      </c>
      <c r="AF25" s="533">
        <f t="shared" si="121"/>
        <v>0</v>
      </c>
      <c r="AG25" s="531"/>
      <c r="AH25" s="532">
        <f t="shared" si="9"/>
        <v>0</v>
      </c>
      <c r="AI25" s="533">
        <f t="shared" si="122"/>
        <v>0</v>
      </c>
      <c r="AJ25" s="531">
        <v>27.985799999999955</v>
      </c>
      <c r="AK25" s="532">
        <f t="shared" si="10"/>
        <v>0.54457676590776327</v>
      </c>
      <c r="AL25" s="533">
        <f t="shared" si="123"/>
        <v>0</v>
      </c>
      <c r="AM25" s="531"/>
      <c r="AN25" s="532">
        <f t="shared" si="11"/>
        <v>0</v>
      </c>
      <c r="AO25" s="533">
        <f t="shared" si="124"/>
        <v>0</v>
      </c>
      <c r="AP25" s="531"/>
      <c r="AQ25" s="532">
        <f t="shared" si="12"/>
        <v>0</v>
      </c>
      <c r="AR25" s="533">
        <f t="shared" si="125"/>
        <v>0</v>
      </c>
      <c r="AS25" s="531"/>
      <c r="AT25" s="532">
        <f t="shared" si="13"/>
        <v>0</v>
      </c>
      <c r="AU25" s="533">
        <f t="shared" si="126"/>
        <v>0</v>
      </c>
      <c r="AV25" s="531"/>
      <c r="AW25" s="532">
        <f t="shared" si="14"/>
        <v>0</v>
      </c>
      <c r="AX25" s="533">
        <f t="shared" si="127"/>
        <v>0</v>
      </c>
      <c r="AY25" s="531"/>
      <c r="AZ25" s="532">
        <f t="shared" si="15"/>
        <v>0</v>
      </c>
      <c r="BA25" s="533">
        <f t="shared" si="128"/>
        <v>0</v>
      </c>
      <c r="BB25" s="531"/>
      <c r="BC25" s="532">
        <f t="shared" si="16"/>
        <v>0</v>
      </c>
      <c r="BD25" s="533">
        <f t="shared" si="129"/>
        <v>0</v>
      </c>
      <c r="BE25" s="531"/>
      <c r="BF25" s="532">
        <f t="shared" si="17"/>
        <v>0</v>
      </c>
      <c r="BG25" s="533">
        <f t="shared" si="130"/>
        <v>0</v>
      </c>
      <c r="BH25" s="531"/>
      <c r="BI25" s="532">
        <f t="shared" si="18"/>
        <v>0</v>
      </c>
      <c r="BJ25" s="533">
        <f t="shared" si="131"/>
        <v>0</v>
      </c>
      <c r="BK25" s="531"/>
      <c r="BL25" s="532">
        <f t="shared" si="19"/>
        <v>0</v>
      </c>
      <c r="BM25" s="533">
        <f t="shared" si="132"/>
        <v>0</v>
      </c>
      <c r="BN25" s="531"/>
      <c r="BO25" s="532">
        <f t="shared" si="20"/>
        <v>0</v>
      </c>
      <c r="BP25" s="533">
        <f t="shared" si="133"/>
        <v>0</v>
      </c>
      <c r="BQ25" s="531"/>
      <c r="BR25" s="532">
        <f t="shared" si="21"/>
        <v>0</v>
      </c>
      <c r="BS25" s="533">
        <f t="shared" si="134"/>
        <v>0</v>
      </c>
      <c r="BT25" s="531"/>
      <c r="BU25" s="532">
        <f t="shared" si="22"/>
        <v>0</v>
      </c>
      <c r="BV25" s="533">
        <f t="shared" si="135"/>
        <v>0</v>
      </c>
      <c r="BW25" s="531"/>
      <c r="BX25" s="532">
        <f t="shared" si="23"/>
        <v>0</v>
      </c>
      <c r="BY25" s="533">
        <f t="shared" si="136"/>
        <v>0</v>
      </c>
      <c r="BZ25" s="531"/>
      <c r="CA25" s="532">
        <f t="shared" si="24"/>
        <v>0</v>
      </c>
      <c r="CB25" s="533">
        <f t="shared" si="137"/>
        <v>0</v>
      </c>
      <c r="CC25" s="531"/>
      <c r="CD25" s="532">
        <f t="shared" si="25"/>
        <v>0</v>
      </c>
      <c r="CE25" s="533">
        <f t="shared" si="138"/>
        <v>0</v>
      </c>
      <c r="CF25" s="531">
        <v>2.6</v>
      </c>
      <c r="CG25" s="532">
        <f t="shared" si="26"/>
        <v>5.0593500681066356E-2</v>
      </c>
      <c r="CH25" s="533">
        <f t="shared" si="139"/>
        <v>0</v>
      </c>
      <c r="CI25" s="531"/>
      <c r="CJ25" s="532">
        <f t="shared" si="27"/>
        <v>0</v>
      </c>
      <c r="CK25" s="533">
        <f t="shared" si="140"/>
        <v>0</v>
      </c>
      <c r="CL25" s="531"/>
      <c r="CM25" s="532">
        <f t="shared" si="28"/>
        <v>0</v>
      </c>
      <c r="CN25" s="533">
        <f t="shared" si="141"/>
        <v>0</v>
      </c>
      <c r="CO25" s="531"/>
      <c r="CP25" s="532">
        <f t="shared" si="29"/>
        <v>0</v>
      </c>
      <c r="CQ25" s="533">
        <f t="shared" si="142"/>
        <v>0</v>
      </c>
      <c r="CR25" s="531"/>
      <c r="CS25" s="532">
        <f t="shared" si="30"/>
        <v>0</v>
      </c>
      <c r="CT25" s="533">
        <f t="shared" si="143"/>
        <v>0</v>
      </c>
      <c r="CU25" s="531"/>
      <c r="CV25" s="532">
        <f t="shared" si="31"/>
        <v>0</v>
      </c>
      <c r="CW25" s="533">
        <f t="shared" si="144"/>
        <v>0</v>
      </c>
      <c r="CX25" s="531"/>
      <c r="CY25" s="532">
        <f t="shared" si="32"/>
        <v>0</v>
      </c>
      <c r="CZ25" s="533">
        <f t="shared" si="145"/>
        <v>0</v>
      </c>
      <c r="DA25" s="531">
        <v>131.58306976744188</v>
      </c>
      <c r="DB25" s="532">
        <f t="shared" si="33"/>
        <v>2.5604800499599509</v>
      </c>
      <c r="DC25" s="533">
        <f t="shared" si="146"/>
        <v>0</v>
      </c>
      <c r="DD25" s="531"/>
      <c r="DE25" s="532">
        <f t="shared" si="34"/>
        <v>0</v>
      </c>
      <c r="DF25" s="533">
        <f t="shared" si="147"/>
        <v>0</v>
      </c>
      <c r="DG25" s="531"/>
      <c r="DH25" s="532">
        <f t="shared" si="35"/>
        <v>0</v>
      </c>
      <c r="DI25" s="533">
        <f t="shared" si="203"/>
        <v>0</v>
      </c>
      <c r="DJ25" s="531"/>
      <c r="DK25" s="532">
        <f t="shared" si="36"/>
        <v>0</v>
      </c>
      <c r="DL25" s="533">
        <f t="shared" si="148"/>
        <v>0</v>
      </c>
      <c r="DM25" s="531"/>
      <c r="DN25" s="532">
        <f t="shared" si="37"/>
        <v>0</v>
      </c>
      <c r="DO25" s="533">
        <f t="shared" si="149"/>
        <v>0</v>
      </c>
      <c r="DP25" s="531"/>
      <c r="DQ25" s="532">
        <f t="shared" si="38"/>
        <v>0</v>
      </c>
      <c r="DR25" s="533">
        <f t="shared" si="150"/>
        <v>0</v>
      </c>
      <c r="DS25" s="531"/>
      <c r="DT25" s="532">
        <f t="shared" si="39"/>
        <v>0</v>
      </c>
      <c r="DU25" s="533">
        <f t="shared" si="151"/>
        <v>0</v>
      </c>
      <c r="DV25" s="531"/>
      <c r="DW25" s="532">
        <f t="shared" si="40"/>
        <v>0</v>
      </c>
      <c r="DX25" s="533">
        <f t="shared" si="152"/>
        <v>0</v>
      </c>
      <c r="DY25" s="531"/>
      <c r="DZ25" s="532">
        <f t="shared" si="41"/>
        <v>0</v>
      </c>
      <c r="EA25" s="533">
        <f t="shared" si="153"/>
        <v>0</v>
      </c>
      <c r="EB25" s="531"/>
      <c r="EC25" s="532">
        <f t="shared" si="42"/>
        <v>0</v>
      </c>
      <c r="ED25" s="533">
        <f t="shared" si="154"/>
        <v>0</v>
      </c>
      <c r="EE25" s="531">
        <v>167.82411764705876</v>
      </c>
      <c r="EF25" s="532">
        <f t="shared" si="43"/>
        <v>3.2656960040291643</v>
      </c>
      <c r="EG25" s="533">
        <f t="shared" si="155"/>
        <v>0</v>
      </c>
      <c r="EH25" s="531"/>
      <c r="EI25" s="532">
        <f t="shared" si="44"/>
        <v>0</v>
      </c>
      <c r="EJ25" s="533">
        <f t="shared" si="156"/>
        <v>0</v>
      </c>
      <c r="EK25" s="531">
        <v>29.049319878048777</v>
      </c>
      <c r="EL25" s="532">
        <f t="shared" si="45"/>
        <v>0.56527184039791356</v>
      </c>
      <c r="EM25" s="533">
        <f t="shared" si="157"/>
        <v>0</v>
      </c>
      <c r="EN25" s="531"/>
      <c r="EO25" s="532">
        <f t="shared" si="46"/>
        <v>0</v>
      </c>
      <c r="EP25" s="533">
        <f t="shared" si="158"/>
        <v>0</v>
      </c>
      <c r="EQ25" s="531">
        <v>42.380011627906811</v>
      </c>
      <c r="ER25" s="532">
        <f t="shared" si="47"/>
        <v>0.82467428736927051</v>
      </c>
      <c r="ES25" s="533">
        <f t="shared" si="159"/>
        <v>0</v>
      </c>
      <c r="ET25" s="531">
        <v>7.2666395348837227</v>
      </c>
      <c r="EU25" s="532">
        <f t="shared" si="48"/>
        <v>0.14140182009892435</v>
      </c>
      <c r="EV25" s="533">
        <f t="shared" si="160"/>
        <v>0</v>
      </c>
      <c r="EW25" s="531"/>
      <c r="EX25" s="532">
        <f t="shared" si="49"/>
        <v>0</v>
      </c>
      <c r="EY25" s="533">
        <f t="shared" si="161"/>
        <v>0</v>
      </c>
      <c r="EZ25" s="531"/>
      <c r="FA25" s="532">
        <f t="shared" si="50"/>
        <v>0</v>
      </c>
      <c r="FB25" s="533">
        <f t="shared" si="162"/>
        <v>0</v>
      </c>
      <c r="FC25" s="531"/>
      <c r="FD25" s="532">
        <f t="shared" si="51"/>
        <v>0</v>
      </c>
      <c r="FE25" s="533">
        <f t="shared" si="163"/>
        <v>0</v>
      </c>
      <c r="FF25" s="531"/>
      <c r="FG25" s="532">
        <f t="shared" si="52"/>
        <v>0</v>
      </c>
      <c r="FH25" s="533">
        <f t="shared" si="164"/>
        <v>0</v>
      </c>
      <c r="FI25" s="531"/>
      <c r="FJ25" s="532">
        <f t="shared" si="53"/>
        <v>0</v>
      </c>
      <c r="FK25" s="533">
        <f t="shared" si="165"/>
        <v>0</v>
      </c>
      <c r="FL25" s="531"/>
      <c r="FM25" s="532">
        <f t="shared" si="54"/>
        <v>0</v>
      </c>
      <c r="FN25" s="533">
        <f t="shared" si="166"/>
        <v>0</v>
      </c>
      <c r="FO25" s="531"/>
      <c r="FP25" s="532">
        <f t="shared" si="55"/>
        <v>0</v>
      </c>
      <c r="FQ25" s="533">
        <f t="shared" si="167"/>
        <v>0</v>
      </c>
      <c r="FR25" s="531"/>
      <c r="FS25" s="532">
        <f t="shared" si="56"/>
        <v>0</v>
      </c>
      <c r="FT25" s="533">
        <f t="shared" si="168"/>
        <v>0</v>
      </c>
      <c r="FU25" s="531"/>
      <c r="FV25" s="532">
        <f t="shared" si="57"/>
        <v>0</v>
      </c>
      <c r="FW25" s="533">
        <f t="shared" si="169"/>
        <v>0</v>
      </c>
      <c r="FX25" s="531"/>
      <c r="FY25" s="532">
        <f t="shared" si="58"/>
        <v>0</v>
      </c>
      <c r="FZ25" s="533">
        <f t="shared" si="170"/>
        <v>0</v>
      </c>
      <c r="GA25" s="531"/>
      <c r="GB25" s="532">
        <f t="shared" si="59"/>
        <v>0</v>
      </c>
      <c r="GC25" s="533">
        <f t="shared" si="171"/>
        <v>0</v>
      </c>
      <c r="GD25" s="531"/>
      <c r="GE25" s="532">
        <f t="shared" si="60"/>
        <v>0</v>
      </c>
      <c r="GF25" s="533">
        <f t="shared" si="172"/>
        <v>0</v>
      </c>
      <c r="GG25" s="531">
        <v>14.030280268074025</v>
      </c>
      <c r="GH25" s="532">
        <f t="shared" si="61"/>
        <v>0.27301576703782887</v>
      </c>
      <c r="GI25" s="533">
        <f t="shared" si="173"/>
        <v>0</v>
      </c>
      <c r="GJ25" s="531">
        <v>18.707040357432032</v>
      </c>
      <c r="GK25" s="532">
        <f t="shared" si="62"/>
        <v>0.36402102271710512</v>
      </c>
      <c r="GL25" s="533">
        <f t="shared" si="174"/>
        <v>0</v>
      </c>
      <c r="GM25" s="531">
        <v>4.6767600893580079</v>
      </c>
      <c r="GN25" s="532">
        <f t="shared" si="63"/>
        <v>9.1005255679276281E-2</v>
      </c>
      <c r="GO25" s="533">
        <f t="shared" si="175"/>
        <v>0</v>
      </c>
      <c r="GP25" s="531">
        <v>21.045420402111038</v>
      </c>
      <c r="GQ25" s="532">
        <f t="shared" si="64"/>
        <v>0.40952365055674328</v>
      </c>
      <c r="GR25" s="533">
        <f t="shared" si="176"/>
        <v>0</v>
      </c>
      <c r="GS25" s="531">
        <v>130.94928250202423</v>
      </c>
      <c r="GT25" s="532">
        <f t="shared" si="65"/>
        <v>2.5481471590197358</v>
      </c>
      <c r="GU25" s="533">
        <f t="shared" si="177"/>
        <v>0</v>
      </c>
      <c r="GV25" s="531">
        <v>30.398940580827052</v>
      </c>
      <c r="GW25" s="532">
        <f t="shared" si="66"/>
        <v>0.59153416191529584</v>
      </c>
      <c r="GX25" s="533">
        <f t="shared" si="178"/>
        <v>0</v>
      </c>
      <c r="GY25" s="531"/>
      <c r="GZ25" s="532">
        <f t="shared" si="67"/>
        <v>0</v>
      </c>
      <c r="HA25" s="533">
        <f t="shared" si="179"/>
        <v>0</v>
      </c>
      <c r="HB25" s="531"/>
      <c r="HC25" s="532">
        <f t="shared" si="68"/>
        <v>0</v>
      </c>
      <c r="HD25" s="533">
        <f t="shared" si="180"/>
        <v>0</v>
      </c>
      <c r="HE25" s="531"/>
      <c r="HF25" s="532">
        <f t="shared" si="69"/>
        <v>0</v>
      </c>
      <c r="HG25" s="533">
        <f t="shared" si="181"/>
        <v>0</v>
      </c>
      <c r="HH25" s="531"/>
      <c r="HI25" s="532">
        <f t="shared" si="70"/>
        <v>0</v>
      </c>
      <c r="HJ25" s="533">
        <f t="shared" si="182"/>
        <v>0</v>
      </c>
      <c r="HK25" s="531"/>
      <c r="HL25" s="532">
        <f t="shared" si="71"/>
        <v>0</v>
      </c>
      <c r="HM25" s="533">
        <f t="shared" si="183"/>
        <v>0</v>
      </c>
      <c r="HN25" s="531">
        <v>719.2857017432616</v>
      </c>
      <c r="HO25" s="532">
        <f t="shared" si="72"/>
        <v>13.996608323472691</v>
      </c>
      <c r="HP25" s="533">
        <f t="shared" si="184"/>
        <v>0</v>
      </c>
      <c r="HQ25" s="531"/>
      <c r="HR25" s="532">
        <f t="shared" si="73"/>
        <v>0</v>
      </c>
      <c r="HS25" s="533">
        <f t="shared" si="185"/>
        <v>0</v>
      </c>
      <c r="HT25" s="531"/>
      <c r="HU25" s="532">
        <f t="shared" si="74"/>
        <v>0</v>
      </c>
      <c r="HV25" s="533">
        <f t="shared" si="186"/>
        <v>0</v>
      </c>
      <c r="HW25" s="531"/>
      <c r="HX25" s="532">
        <f t="shared" si="75"/>
        <v>0</v>
      </c>
      <c r="HY25" s="533">
        <f t="shared" si="187"/>
        <v>0</v>
      </c>
      <c r="HZ25" s="531"/>
      <c r="IA25" s="532">
        <f t="shared" si="76"/>
        <v>0</v>
      </c>
      <c r="IB25" s="533">
        <f t="shared" si="188"/>
        <v>0</v>
      </c>
      <c r="IC25" s="531"/>
      <c r="ID25" s="532">
        <f t="shared" si="77"/>
        <v>0</v>
      </c>
      <c r="IE25" s="533">
        <f t="shared" si="189"/>
        <v>0</v>
      </c>
      <c r="IF25" s="531"/>
      <c r="IG25" s="532">
        <f t="shared" si="78"/>
        <v>0</v>
      </c>
      <c r="IH25" s="533">
        <f t="shared" si="190"/>
        <v>0</v>
      </c>
      <c r="II25" s="531">
        <v>18.707040357432032</v>
      </c>
      <c r="IJ25" s="532">
        <f t="shared" si="79"/>
        <v>0.36402102271710512</v>
      </c>
      <c r="IK25" s="533">
        <f t="shared" si="191"/>
        <v>0</v>
      </c>
      <c r="IL25" s="531"/>
      <c r="IM25" s="532">
        <f t="shared" si="80"/>
        <v>0</v>
      </c>
      <c r="IN25" s="533">
        <f t="shared" si="192"/>
        <v>0</v>
      </c>
      <c r="IO25" s="531"/>
      <c r="IP25" s="532">
        <f t="shared" si="81"/>
        <v>0</v>
      </c>
      <c r="IQ25" s="533">
        <f t="shared" si="193"/>
        <v>0</v>
      </c>
      <c r="IR25" s="531">
        <v>56.121121072296098</v>
      </c>
      <c r="IS25" s="532">
        <f t="shared" si="82"/>
        <v>1.0920630681513155</v>
      </c>
      <c r="IT25" s="533">
        <f t="shared" si="194"/>
        <v>0</v>
      </c>
      <c r="IU25" s="531"/>
      <c r="IV25" s="532">
        <f t="shared" si="83"/>
        <v>0</v>
      </c>
      <c r="IW25" s="533">
        <f t="shared" si="195"/>
        <v>0</v>
      </c>
      <c r="IX25" s="531"/>
      <c r="IY25" s="532">
        <f t="shared" si="84"/>
        <v>0</v>
      </c>
      <c r="IZ25" s="533">
        <f t="shared" si="196"/>
        <v>0</v>
      </c>
      <c r="JA25" s="531"/>
      <c r="JB25" s="532">
        <f t="shared" si="85"/>
        <v>0</v>
      </c>
      <c r="JC25" s="533">
        <f t="shared" si="197"/>
        <v>0</v>
      </c>
      <c r="JD25" s="531"/>
      <c r="JE25" s="532">
        <f t="shared" si="86"/>
        <v>0</v>
      </c>
      <c r="JF25" s="533">
        <f t="shared" si="198"/>
        <v>0</v>
      </c>
      <c r="JG25" s="531"/>
      <c r="JH25" s="532">
        <f t="shared" si="87"/>
        <v>0</v>
      </c>
      <c r="JI25" s="533">
        <f t="shared" si="199"/>
        <v>0</v>
      </c>
      <c r="JJ25" s="531">
        <v>23.38380044679004</v>
      </c>
      <c r="JK25" s="533" t="str">
        <f t="shared" si="88"/>
        <v>0</v>
      </c>
      <c r="JL25" s="533" t="str">
        <f t="shared" si="89"/>
        <v>0</v>
      </c>
      <c r="JM25" s="531"/>
      <c r="JN25" s="533" t="str">
        <f t="shared" si="90"/>
        <v>0</v>
      </c>
      <c r="JO25" s="533" t="str">
        <f t="shared" si="91"/>
        <v>0</v>
      </c>
      <c r="JP25" s="531"/>
      <c r="JQ25" s="533" t="str">
        <f t="shared" si="92"/>
        <v>0</v>
      </c>
      <c r="JR25" s="533" t="str">
        <f t="shared" si="93"/>
        <v>0</v>
      </c>
      <c r="JS25" s="531"/>
      <c r="JT25" s="533" t="str">
        <f t="shared" si="94"/>
        <v>0</v>
      </c>
      <c r="JU25" s="533" t="str">
        <f t="shared" si="95"/>
        <v>0</v>
      </c>
      <c r="JV25" s="531"/>
      <c r="JW25" s="533" t="str">
        <f t="shared" si="96"/>
        <v>0</v>
      </c>
      <c r="JX25" s="533" t="str">
        <f t="shared" si="97"/>
        <v>0</v>
      </c>
      <c r="JY25" s="531"/>
      <c r="JZ25" s="533" t="str">
        <f t="shared" si="98"/>
        <v>0</v>
      </c>
      <c r="KA25" s="533" t="str">
        <f t="shared" si="99"/>
        <v>0</v>
      </c>
      <c r="KB25" s="531"/>
      <c r="KC25" s="533" t="str">
        <f t="shared" si="100"/>
        <v>0</v>
      </c>
      <c r="KD25" s="533" t="str">
        <f t="shared" si="101"/>
        <v>0</v>
      </c>
      <c r="KE25" s="531"/>
      <c r="KF25" s="533" t="str">
        <f t="shared" si="102"/>
        <v>0</v>
      </c>
      <c r="KG25" s="533" t="str">
        <f t="shared" si="103"/>
        <v>0</v>
      </c>
      <c r="KH25" s="531"/>
      <c r="KI25" s="533" t="str">
        <f t="shared" si="104"/>
        <v>0</v>
      </c>
      <c r="KJ25" s="533" t="str">
        <f t="shared" si="105"/>
        <v>0</v>
      </c>
      <c r="KK25" s="531"/>
      <c r="KL25" s="533" t="str">
        <f t="shared" si="106"/>
        <v>0</v>
      </c>
      <c r="KM25" s="533" t="str">
        <f t="shared" si="107"/>
        <v>0</v>
      </c>
      <c r="KN25" s="531"/>
      <c r="KO25" s="533" t="str">
        <f t="shared" si="108"/>
        <v>0</v>
      </c>
      <c r="KP25" s="533" t="str">
        <f t="shared" si="109"/>
        <v>0</v>
      </c>
      <c r="KQ25" s="531"/>
      <c r="KR25" s="533" t="str">
        <f t="shared" si="110"/>
        <v>0</v>
      </c>
      <c r="KS25" s="533" t="str">
        <f t="shared" si="111"/>
        <v>0</v>
      </c>
      <c r="KT25" s="533">
        <f t="shared" si="201"/>
        <v>0</v>
      </c>
      <c r="KU25" s="533">
        <f t="shared" si="202"/>
        <v>0</v>
      </c>
      <c r="KV25" s="271">
        <f t="shared" si="112"/>
        <v>1461.893146274946</v>
      </c>
    </row>
    <row r="26" spans="1:309" ht="15" customHeight="1">
      <c r="A26" s="273">
        <f t="shared" si="200"/>
        <v>46040</v>
      </c>
      <c r="B26" s="274" t="str">
        <f>+Report1!B26</f>
        <v>Toilet</v>
      </c>
      <c r="C26" s="274" t="str">
        <f>+Report1!C26</f>
        <v>16/20/14</v>
      </c>
      <c r="D26" s="275">
        <f>+Report1!P26</f>
        <v>52.677</v>
      </c>
      <c r="E26" s="276">
        <f>+Report1!R26</f>
        <v>50.365000000000002</v>
      </c>
      <c r="F26" s="531"/>
      <c r="G26" s="532">
        <f t="shared" si="0"/>
        <v>0</v>
      </c>
      <c r="H26" s="533">
        <f t="shared" si="113"/>
        <v>0</v>
      </c>
      <c r="I26" s="531"/>
      <c r="J26" s="532">
        <f t="shared" si="1"/>
        <v>0</v>
      </c>
      <c r="K26" s="533">
        <f t="shared" si="114"/>
        <v>0</v>
      </c>
      <c r="L26" s="531"/>
      <c r="M26" s="532">
        <f t="shared" si="2"/>
        <v>0</v>
      </c>
      <c r="N26" s="533">
        <f t="shared" si="115"/>
        <v>0</v>
      </c>
      <c r="O26" s="531">
        <v>9.430800000000005</v>
      </c>
      <c r="P26" s="532">
        <f t="shared" si="3"/>
        <v>0.18724908170356408</v>
      </c>
      <c r="Q26" s="533">
        <f t="shared" si="116"/>
        <v>0</v>
      </c>
      <c r="R26" s="531"/>
      <c r="S26" s="532">
        <f t="shared" si="4"/>
        <v>0</v>
      </c>
      <c r="T26" s="533">
        <f t="shared" si="117"/>
        <v>0</v>
      </c>
      <c r="U26" s="531">
        <v>8.0443000000000069</v>
      </c>
      <c r="V26" s="532">
        <f t="shared" si="5"/>
        <v>0.15972004368112791</v>
      </c>
      <c r="W26" s="533">
        <f t="shared" si="118"/>
        <v>0</v>
      </c>
      <c r="X26" s="531"/>
      <c r="Y26" s="532">
        <f t="shared" si="6"/>
        <v>0</v>
      </c>
      <c r="Z26" s="533">
        <f t="shared" si="119"/>
        <v>0</v>
      </c>
      <c r="AA26" s="531"/>
      <c r="AB26" s="532">
        <f t="shared" si="7"/>
        <v>0</v>
      </c>
      <c r="AC26" s="533">
        <f t="shared" si="120"/>
        <v>0</v>
      </c>
      <c r="AD26" s="531"/>
      <c r="AE26" s="532">
        <f t="shared" si="8"/>
        <v>0</v>
      </c>
      <c r="AF26" s="533">
        <f t="shared" si="121"/>
        <v>0</v>
      </c>
      <c r="AG26" s="531"/>
      <c r="AH26" s="532">
        <f t="shared" si="9"/>
        <v>0</v>
      </c>
      <c r="AI26" s="533">
        <f t="shared" si="122"/>
        <v>0</v>
      </c>
      <c r="AJ26" s="531">
        <v>30.76230000000001</v>
      </c>
      <c r="AK26" s="532">
        <f t="shared" si="10"/>
        <v>0.61078725305271531</v>
      </c>
      <c r="AL26" s="533">
        <f t="shared" si="123"/>
        <v>0</v>
      </c>
      <c r="AM26" s="531"/>
      <c r="AN26" s="532">
        <f t="shared" si="11"/>
        <v>0</v>
      </c>
      <c r="AO26" s="533">
        <f t="shared" si="124"/>
        <v>0</v>
      </c>
      <c r="AP26" s="531"/>
      <c r="AQ26" s="532">
        <f t="shared" si="12"/>
        <v>0</v>
      </c>
      <c r="AR26" s="533">
        <f t="shared" si="125"/>
        <v>0</v>
      </c>
      <c r="AS26" s="531"/>
      <c r="AT26" s="532">
        <f t="shared" si="13"/>
        <v>0</v>
      </c>
      <c r="AU26" s="533">
        <f t="shared" si="126"/>
        <v>0</v>
      </c>
      <c r="AV26" s="531"/>
      <c r="AW26" s="532">
        <f t="shared" si="14"/>
        <v>0</v>
      </c>
      <c r="AX26" s="533">
        <f t="shared" si="127"/>
        <v>0</v>
      </c>
      <c r="AY26" s="531"/>
      <c r="AZ26" s="532">
        <f t="shared" si="15"/>
        <v>0</v>
      </c>
      <c r="BA26" s="533">
        <f t="shared" si="128"/>
        <v>0</v>
      </c>
      <c r="BB26" s="531"/>
      <c r="BC26" s="532">
        <f t="shared" si="16"/>
        <v>0</v>
      </c>
      <c r="BD26" s="533">
        <f t="shared" si="129"/>
        <v>0</v>
      </c>
      <c r="BE26" s="531"/>
      <c r="BF26" s="532">
        <f t="shared" si="17"/>
        <v>0</v>
      </c>
      <c r="BG26" s="533">
        <f t="shared" si="130"/>
        <v>0</v>
      </c>
      <c r="BH26" s="531"/>
      <c r="BI26" s="532">
        <f t="shared" si="18"/>
        <v>0</v>
      </c>
      <c r="BJ26" s="533">
        <f t="shared" si="131"/>
        <v>0</v>
      </c>
      <c r="BK26" s="531"/>
      <c r="BL26" s="532">
        <f t="shared" si="19"/>
        <v>0</v>
      </c>
      <c r="BM26" s="533">
        <f t="shared" si="132"/>
        <v>0</v>
      </c>
      <c r="BN26" s="531"/>
      <c r="BO26" s="532">
        <f t="shared" si="20"/>
        <v>0</v>
      </c>
      <c r="BP26" s="533">
        <f t="shared" si="133"/>
        <v>0</v>
      </c>
      <c r="BQ26" s="531"/>
      <c r="BR26" s="532">
        <f t="shared" si="21"/>
        <v>0</v>
      </c>
      <c r="BS26" s="533">
        <f t="shared" si="134"/>
        <v>0</v>
      </c>
      <c r="BT26" s="531"/>
      <c r="BU26" s="532">
        <f t="shared" si="22"/>
        <v>0</v>
      </c>
      <c r="BV26" s="533">
        <f t="shared" si="135"/>
        <v>0</v>
      </c>
      <c r="BW26" s="531"/>
      <c r="BX26" s="532">
        <f t="shared" si="23"/>
        <v>0</v>
      </c>
      <c r="BY26" s="533">
        <f t="shared" si="136"/>
        <v>0</v>
      </c>
      <c r="BZ26" s="531"/>
      <c r="CA26" s="532">
        <f t="shared" si="24"/>
        <v>0</v>
      </c>
      <c r="CB26" s="533">
        <f t="shared" si="137"/>
        <v>0</v>
      </c>
      <c r="CC26" s="531"/>
      <c r="CD26" s="532">
        <f t="shared" si="25"/>
        <v>0</v>
      </c>
      <c r="CE26" s="533">
        <f t="shared" si="138"/>
        <v>0</v>
      </c>
      <c r="CF26" s="531">
        <v>2.6</v>
      </c>
      <c r="CG26" s="532">
        <f t="shared" si="26"/>
        <v>5.1623150997716666E-2</v>
      </c>
      <c r="CH26" s="533">
        <f t="shared" si="139"/>
        <v>0</v>
      </c>
      <c r="CI26" s="531"/>
      <c r="CJ26" s="532">
        <f t="shared" si="27"/>
        <v>0</v>
      </c>
      <c r="CK26" s="533">
        <f t="shared" si="140"/>
        <v>0</v>
      </c>
      <c r="CL26" s="531"/>
      <c r="CM26" s="532">
        <f t="shared" si="28"/>
        <v>0</v>
      </c>
      <c r="CN26" s="533">
        <f t="shared" si="141"/>
        <v>0</v>
      </c>
      <c r="CO26" s="531"/>
      <c r="CP26" s="532">
        <f t="shared" si="29"/>
        <v>0</v>
      </c>
      <c r="CQ26" s="533">
        <f t="shared" si="142"/>
        <v>0</v>
      </c>
      <c r="CR26" s="531"/>
      <c r="CS26" s="532">
        <f t="shared" si="30"/>
        <v>0</v>
      </c>
      <c r="CT26" s="533">
        <f t="shared" si="143"/>
        <v>0</v>
      </c>
      <c r="CU26" s="531"/>
      <c r="CV26" s="532">
        <f t="shared" si="31"/>
        <v>0</v>
      </c>
      <c r="CW26" s="533">
        <f t="shared" si="144"/>
        <v>0</v>
      </c>
      <c r="CX26" s="531"/>
      <c r="CY26" s="532">
        <f t="shared" si="32"/>
        <v>0</v>
      </c>
      <c r="CZ26" s="533">
        <f t="shared" si="145"/>
        <v>0</v>
      </c>
      <c r="DA26" s="531">
        <v>144.57600000000002</v>
      </c>
      <c r="DB26" s="532">
        <f t="shared" si="33"/>
        <v>2.870564876402264</v>
      </c>
      <c r="DC26" s="533">
        <f t="shared" si="146"/>
        <v>0</v>
      </c>
      <c r="DD26" s="531"/>
      <c r="DE26" s="532">
        <f t="shared" si="34"/>
        <v>0</v>
      </c>
      <c r="DF26" s="533">
        <f t="shared" si="147"/>
        <v>0</v>
      </c>
      <c r="DG26" s="531"/>
      <c r="DH26" s="532">
        <f t="shared" si="35"/>
        <v>0</v>
      </c>
      <c r="DI26" s="533">
        <f t="shared" si="203"/>
        <v>0</v>
      </c>
      <c r="DJ26" s="531"/>
      <c r="DK26" s="532">
        <f t="shared" si="36"/>
        <v>0</v>
      </c>
      <c r="DL26" s="533">
        <f t="shared" si="148"/>
        <v>0</v>
      </c>
      <c r="DM26" s="531"/>
      <c r="DN26" s="532">
        <f t="shared" si="37"/>
        <v>0</v>
      </c>
      <c r="DO26" s="533">
        <f t="shared" si="149"/>
        <v>0</v>
      </c>
      <c r="DP26" s="531"/>
      <c r="DQ26" s="532">
        <f t="shared" si="38"/>
        <v>0</v>
      </c>
      <c r="DR26" s="533">
        <f t="shared" si="150"/>
        <v>0</v>
      </c>
      <c r="DS26" s="531"/>
      <c r="DT26" s="532">
        <f t="shared" si="39"/>
        <v>0</v>
      </c>
      <c r="DU26" s="533">
        <f t="shared" si="151"/>
        <v>0</v>
      </c>
      <c r="DV26" s="531"/>
      <c r="DW26" s="532">
        <f t="shared" si="40"/>
        <v>0</v>
      </c>
      <c r="DX26" s="533">
        <f t="shared" si="152"/>
        <v>0</v>
      </c>
      <c r="DY26" s="531"/>
      <c r="DZ26" s="532">
        <f t="shared" si="41"/>
        <v>0</v>
      </c>
      <c r="EA26" s="533">
        <f t="shared" si="153"/>
        <v>0</v>
      </c>
      <c r="EB26" s="531"/>
      <c r="EC26" s="532">
        <f t="shared" si="42"/>
        <v>0</v>
      </c>
      <c r="ED26" s="533">
        <f t="shared" si="154"/>
        <v>0</v>
      </c>
      <c r="EE26" s="531">
        <v>184.41000000000008</v>
      </c>
      <c r="EF26" s="532">
        <f t="shared" si="43"/>
        <v>3.6614712598034362</v>
      </c>
      <c r="EG26" s="533">
        <f t="shared" si="155"/>
        <v>0</v>
      </c>
      <c r="EH26" s="531"/>
      <c r="EI26" s="532">
        <f t="shared" si="44"/>
        <v>0</v>
      </c>
      <c r="EJ26" s="533">
        <f t="shared" si="156"/>
        <v>0</v>
      </c>
      <c r="EK26" s="531">
        <v>31.921050000000037</v>
      </c>
      <c r="EL26" s="532">
        <f t="shared" si="45"/>
        <v>0.63379430159833283</v>
      </c>
      <c r="EM26" s="533">
        <f t="shared" si="157"/>
        <v>0</v>
      </c>
      <c r="EN26" s="531"/>
      <c r="EO26" s="532">
        <f t="shared" si="46"/>
        <v>0</v>
      </c>
      <c r="EP26" s="533">
        <f t="shared" si="158"/>
        <v>0</v>
      </c>
      <c r="EQ26" s="531">
        <v>46.571500000000015</v>
      </c>
      <c r="ER26" s="532">
        <f t="shared" si="47"/>
        <v>0.92467983718852398</v>
      </c>
      <c r="ES26" s="533">
        <f t="shared" si="159"/>
        <v>0</v>
      </c>
      <c r="ET26" s="531">
        <v>7.2666395348837227</v>
      </c>
      <c r="EU26" s="532">
        <f t="shared" si="48"/>
        <v>0.14427954998280001</v>
      </c>
      <c r="EV26" s="533">
        <f t="shared" si="160"/>
        <v>0</v>
      </c>
      <c r="EW26" s="531"/>
      <c r="EX26" s="532">
        <f t="shared" si="49"/>
        <v>0</v>
      </c>
      <c r="EY26" s="533">
        <f t="shared" si="161"/>
        <v>0</v>
      </c>
      <c r="EZ26" s="531"/>
      <c r="FA26" s="532">
        <f t="shared" si="50"/>
        <v>0</v>
      </c>
      <c r="FB26" s="533">
        <f t="shared" si="162"/>
        <v>0</v>
      </c>
      <c r="FC26" s="531"/>
      <c r="FD26" s="532">
        <f t="shared" si="51"/>
        <v>0</v>
      </c>
      <c r="FE26" s="533">
        <f t="shared" si="163"/>
        <v>0</v>
      </c>
      <c r="FF26" s="531"/>
      <c r="FG26" s="532">
        <f t="shared" si="52"/>
        <v>0</v>
      </c>
      <c r="FH26" s="533">
        <f t="shared" si="164"/>
        <v>0</v>
      </c>
      <c r="FI26" s="531"/>
      <c r="FJ26" s="532">
        <f t="shared" si="53"/>
        <v>0</v>
      </c>
      <c r="FK26" s="533">
        <f t="shared" si="165"/>
        <v>0</v>
      </c>
      <c r="FL26" s="531"/>
      <c r="FM26" s="532">
        <f t="shared" si="54"/>
        <v>0</v>
      </c>
      <c r="FN26" s="533">
        <f t="shared" si="166"/>
        <v>0</v>
      </c>
      <c r="FO26" s="531"/>
      <c r="FP26" s="532">
        <f t="shared" si="55"/>
        <v>0</v>
      </c>
      <c r="FQ26" s="533">
        <f t="shared" si="167"/>
        <v>0</v>
      </c>
      <c r="FR26" s="531"/>
      <c r="FS26" s="532">
        <f t="shared" si="56"/>
        <v>0</v>
      </c>
      <c r="FT26" s="533">
        <f t="shared" si="168"/>
        <v>0</v>
      </c>
      <c r="FU26" s="531"/>
      <c r="FV26" s="532">
        <f t="shared" si="57"/>
        <v>0</v>
      </c>
      <c r="FW26" s="533">
        <f t="shared" si="169"/>
        <v>0</v>
      </c>
      <c r="FX26" s="531"/>
      <c r="FY26" s="532">
        <f t="shared" si="58"/>
        <v>0</v>
      </c>
      <c r="FZ26" s="533">
        <f t="shared" si="170"/>
        <v>0</v>
      </c>
      <c r="GA26" s="531"/>
      <c r="GB26" s="532">
        <f t="shared" si="59"/>
        <v>0</v>
      </c>
      <c r="GC26" s="533">
        <f t="shared" si="171"/>
        <v>0</v>
      </c>
      <c r="GD26" s="531"/>
      <c r="GE26" s="532">
        <f t="shared" si="60"/>
        <v>0</v>
      </c>
      <c r="GF26" s="533">
        <f t="shared" si="172"/>
        <v>0</v>
      </c>
      <c r="GG26" s="531">
        <v>15.393029689082832</v>
      </c>
      <c r="GH26" s="532">
        <f t="shared" si="61"/>
        <v>0.30562949844302256</v>
      </c>
      <c r="GI26" s="533">
        <f t="shared" si="173"/>
        <v>0</v>
      </c>
      <c r="GJ26" s="531">
        <v>20.524039585443777</v>
      </c>
      <c r="GK26" s="532">
        <f t="shared" ref="GK26:GK28" si="204">+GJ26/$E26</f>
        <v>0.40750599792403008</v>
      </c>
      <c r="GL26" s="533">
        <f t="shared" ref="GL26:GL28" si="205">+GJ26*$H$8</f>
        <v>0</v>
      </c>
      <c r="GM26" s="531">
        <v>5.1310098963609443</v>
      </c>
      <c r="GN26" s="532">
        <f t="shared" ref="GN26:GN28" si="206">+GM26/$E26</f>
        <v>0.10187649948100752</v>
      </c>
      <c r="GO26" s="533">
        <f t="shared" ref="GO26:GO28" si="207">+GM26*$H$8</f>
        <v>0</v>
      </c>
      <c r="GP26" s="531">
        <v>23.089544533624249</v>
      </c>
      <c r="GQ26" s="532">
        <f t="shared" ref="GQ26:GQ28" si="208">+GP26/$E26</f>
        <v>0.45844424766453384</v>
      </c>
      <c r="GR26" s="533">
        <f t="shared" ref="GR26:GR28" si="209">+GP26*$H$8</f>
        <v>0</v>
      </c>
      <c r="GS26" s="531">
        <v>148.79928699446737</v>
      </c>
      <c r="GT26" s="532">
        <f t="shared" ref="GT26:GT28" si="210">+GS26/$E26</f>
        <v>2.9544184849492181</v>
      </c>
      <c r="GU26" s="533">
        <f t="shared" ref="GU26:GU28" si="211">+GS26*$H$8</f>
        <v>0</v>
      </c>
      <c r="GV26" s="531">
        <v>33.351564326346136</v>
      </c>
      <c r="GW26" s="532">
        <f t="shared" si="66"/>
        <v>0.66219724662654889</v>
      </c>
      <c r="GX26" s="533">
        <f t="shared" si="178"/>
        <v>0</v>
      </c>
      <c r="GY26" s="531"/>
      <c r="GZ26" s="532">
        <f t="shared" si="67"/>
        <v>0</v>
      </c>
      <c r="HA26" s="533">
        <f t="shared" si="179"/>
        <v>0</v>
      </c>
      <c r="HB26" s="531"/>
      <c r="HC26" s="532">
        <f t="shared" si="68"/>
        <v>0</v>
      </c>
      <c r="HD26" s="533">
        <f t="shared" si="180"/>
        <v>0</v>
      </c>
      <c r="HE26" s="531"/>
      <c r="HF26" s="532">
        <f t="shared" si="69"/>
        <v>0</v>
      </c>
      <c r="HG26" s="533">
        <f t="shared" si="181"/>
        <v>0</v>
      </c>
      <c r="HH26" s="531"/>
      <c r="HI26" s="532">
        <f t="shared" si="70"/>
        <v>0</v>
      </c>
      <c r="HJ26" s="533">
        <f t="shared" si="182"/>
        <v>0</v>
      </c>
      <c r="HK26" s="531"/>
      <c r="HL26" s="532">
        <f t="shared" si="71"/>
        <v>0</v>
      </c>
      <c r="HM26" s="533">
        <f t="shared" si="183"/>
        <v>0</v>
      </c>
      <c r="HN26" s="531">
        <v>686.52912413309434</v>
      </c>
      <c r="HO26" s="532">
        <f t="shared" si="72"/>
        <v>13.631075630558808</v>
      </c>
      <c r="HP26" s="533">
        <f t="shared" si="184"/>
        <v>0</v>
      </c>
      <c r="HQ26" s="531"/>
      <c r="HR26" s="532">
        <f t="shared" si="73"/>
        <v>0</v>
      </c>
      <c r="HS26" s="533">
        <f t="shared" si="185"/>
        <v>0</v>
      </c>
      <c r="HT26" s="531"/>
      <c r="HU26" s="532">
        <f t="shared" si="74"/>
        <v>0</v>
      </c>
      <c r="HV26" s="533">
        <f t="shared" si="186"/>
        <v>0</v>
      </c>
      <c r="HW26" s="531"/>
      <c r="HX26" s="532">
        <f t="shared" si="75"/>
        <v>0</v>
      </c>
      <c r="HY26" s="533">
        <f t="shared" si="187"/>
        <v>0</v>
      </c>
      <c r="HZ26" s="531"/>
      <c r="IA26" s="532">
        <f t="shared" si="76"/>
        <v>0</v>
      </c>
      <c r="IB26" s="533">
        <f t="shared" si="188"/>
        <v>0</v>
      </c>
      <c r="IC26" s="531"/>
      <c r="ID26" s="532">
        <f t="shared" si="77"/>
        <v>0</v>
      </c>
      <c r="IE26" s="533">
        <f t="shared" si="189"/>
        <v>0</v>
      </c>
      <c r="IF26" s="531"/>
      <c r="IG26" s="532">
        <f t="shared" si="78"/>
        <v>0</v>
      </c>
      <c r="IH26" s="533">
        <f t="shared" si="190"/>
        <v>0</v>
      </c>
      <c r="II26" s="531">
        <v>23.089544533624249</v>
      </c>
      <c r="IJ26" s="532">
        <f t="shared" si="79"/>
        <v>0.45844424766453384</v>
      </c>
      <c r="IK26" s="533">
        <f t="shared" si="191"/>
        <v>0</v>
      </c>
      <c r="IL26" s="531"/>
      <c r="IM26" s="532">
        <f t="shared" si="80"/>
        <v>0</v>
      </c>
      <c r="IN26" s="533">
        <f t="shared" si="192"/>
        <v>0</v>
      </c>
      <c r="IO26" s="531"/>
      <c r="IP26" s="532">
        <f t="shared" si="81"/>
        <v>0</v>
      </c>
      <c r="IQ26" s="533">
        <f t="shared" si="193"/>
        <v>0</v>
      </c>
      <c r="IR26" s="531">
        <v>61.572118756331328</v>
      </c>
      <c r="IS26" s="532">
        <f t="shared" si="82"/>
        <v>1.2225179937720903</v>
      </c>
      <c r="IT26" s="533">
        <f t="shared" si="194"/>
        <v>0</v>
      </c>
      <c r="IU26" s="531"/>
      <c r="IV26" s="532">
        <f t="shared" si="83"/>
        <v>0</v>
      </c>
      <c r="IW26" s="533">
        <f t="shared" si="195"/>
        <v>0</v>
      </c>
      <c r="IX26" s="531"/>
      <c r="IY26" s="532">
        <f t="shared" si="84"/>
        <v>0</v>
      </c>
      <c r="IZ26" s="533">
        <f t="shared" si="196"/>
        <v>0</v>
      </c>
      <c r="JA26" s="531"/>
      <c r="JB26" s="532">
        <f t="shared" si="85"/>
        <v>0</v>
      </c>
      <c r="JC26" s="533">
        <f t="shared" si="197"/>
        <v>0</v>
      </c>
      <c r="JD26" s="531"/>
      <c r="JE26" s="532">
        <f t="shared" si="86"/>
        <v>0</v>
      </c>
      <c r="JF26" s="533">
        <f t="shared" si="198"/>
        <v>0</v>
      </c>
      <c r="JG26" s="531"/>
      <c r="JH26" s="532">
        <f t="shared" si="87"/>
        <v>0</v>
      </c>
      <c r="JI26" s="533">
        <f t="shared" si="199"/>
        <v>0</v>
      </c>
      <c r="JJ26" s="531">
        <v>20.524039585443777</v>
      </c>
      <c r="JK26" s="533" t="str">
        <f t="shared" si="88"/>
        <v>0</v>
      </c>
      <c r="JL26" s="533" t="str">
        <f t="shared" si="89"/>
        <v>0</v>
      </c>
      <c r="JM26" s="531"/>
      <c r="JN26" s="533" t="str">
        <f t="shared" si="90"/>
        <v>0</v>
      </c>
      <c r="JO26" s="533" t="str">
        <f t="shared" si="91"/>
        <v>0</v>
      </c>
      <c r="JP26" s="531"/>
      <c r="JQ26" s="533" t="str">
        <f t="shared" si="92"/>
        <v>0</v>
      </c>
      <c r="JR26" s="533" t="str">
        <f t="shared" si="93"/>
        <v>0</v>
      </c>
      <c r="JS26" s="531"/>
      <c r="JT26" s="533" t="str">
        <f t="shared" si="94"/>
        <v>0</v>
      </c>
      <c r="JU26" s="533" t="str">
        <f t="shared" si="95"/>
        <v>0</v>
      </c>
      <c r="JV26" s="531"/>
      <c r="JW26" s="533" t="str">
        <f t="shared" si="96"/>
        <v>0</v>
      </c>
      <c r="JX26" s="533" t="str">
        <f t="shared" si="97"/>
        <v>0</v>
      </c>
      <c r="JY26" s="531"/>
      <c r="JZ26" s="533" t="str">
        <f t="shared" si="98"/>
        <v>0</v>
      </c>
      <c r="KA26" s="533" t="str">
        <f t="shared" si="99"/>
        <v>0</v>
      </c>
      <c r="KB26" s="531"/>
      <c r="KC26" s="533" t="str">
        <f t="shared" si="100"/>
        <v>0</v>
      </c>
      <c r="KD26" s="533" t="str">
        <f t="shared" si="101"/>
        <v>0</v>
      </c>
      <c r="KE26" s="531"/>
      <c r="KF26" s="533" t="str">
        <f t="shared" si="102"/>
        <v>0</v>
      </c>
      <c r="KG26" s="533" t="str">
        <f t="shared" si="103"/>
        <v>0</v>
      </c>
      <c r="KH26" s="531"/>
      <c r="KI26" s="533" t="str">
        <f t="shared" si="104"/>
        <v>0</v>
      </c>
      <c r="KJ26" s="533" t="str">
        <f t="shared" si="105"/>
        <v>0</v>
      </c>
      <c r="KK26" s="531"/>
      <c r="KL26" s="533" t="str">
        <f t="shared" si="106"/>
        <v>0</v>
      </c>
      <c r="KM26" s="533" t="str">
        <f t="shared" si="107"/>
        <v>0</v>
      </c>
      <c r="KN26" s="531"/>
      <c r="KO26" s="533" t="str">
        <f t="shared" si="108"/>
        <v>0</v>
      </c>
      <c r="KP26" s="533" t="str">
        <f t="shared" si="109"/>
        <v>0</v>
      </c>
      <c r="KQ26" s="531"/>
      <c r="KR26" s="533" t="str">
        <f t="shared" si="110"/>
        <v>0</v>
      </c>
      <c r="KS26" s="533" t="str">
        <f t="shared" si="111"/>
        <v>0</v>
      </c>
      <c r="KT26" s="533">
        <f t="shared" si="201"/>
        <v>0</v>
      </c>
      <c r="KU26" s="533">
        <f t="shared" si="202"/>
        <v>0</v>
      </c>
      <c r="KV26" s="271">
        <f t="shared" si="112"/>
        <v>1503.5858915687027</v>
      </c>
    </row>
    <row r="27" spans="1:309" ht="15" customHeight="1">
      <c r="A27" s="273">
        <f t="shared" si="200"/>
        <v>46041</v>
      </c>
      <c r="B27" s="274" t="str">
        <f>+Report1!B27</f>
        <v>Toilet</v>
      </c>
      <c r="C27" s="274" t="str">
        <f>+Report1!C27</f>
        <v>14/15</v>
      </c>
      <c r="D27" s="275">
        <f>+Report1!P27</f>
        <v>51.174999999999997</v>
      </c>
      <c r="E27" s="276">
        <f>+Report1!R27</f>
        <v>50.515999999999998</v>
      </c>
      <c r="F27" s="531"/>
      <c r="G27" s="532">
        <f t="shared" si="0"/>
        <v>0</v>
      </c>
      <c r="H27" s="533">
        <f t="shared" si="113"/>
        <v>0</v>
      </c>
      <c r="I27" s="531"/>
      <c r="J27" s="532">
        <f t="shared" si="1"/>
        <v>0</v>
      </c>
      <c r="K27" s="533">
        <f t="shared" si="114"/>
        <v>0</v>
      </c>
      <c r="L27" s="531"/>
      <c r="M27" s="532">
        <f t="shared" si="2"/>
        <v>0</v>
      </c>
      <c r="N27" s="533">
        <f t="shared" si="115"/>
        <v>0</v>
      </c>
      <c r="O27" s="531">
        <v>8.996799999999979</v>
      </c>
      <c r="P27" s="532">
        <f t="shared" si="3"/>
        <v>0.17809802834745386</v>
      </c>
      <c r="Q27" s="533">
        <f t="shared" si="116"/>
        <v>0</v>
      </c>
      <c r="R27" s="531"/>
      <c r="S27" s="532">
        <f t="shared" si="4"/>
        <v>0</v>
      </c>
      <c r="T27" s="533">
        <f t="shared" si="117"/>
        <v>0</v>
      </c>
      <c r="U27" s="531">
        <v>2.5668000000000006</v>
      </c>
      <c r="V27" s="532">
        <f t="shared" si="5"/>
        <v>5.081162403990816E-2</v>
      </c>
      <c r="W27" s="533">
        <f t="shared" si="118"/>
        <v>0</v>
      </c>
      <c r="X27" s="531"/>
      <c r="Y27" s="532">
        <f t="shared" si="6"/>
        <v>0</v>
      </c>
      <c r="Z27" s="533">
        <f t="shared" si="119"/>
        <v>0</v>
      </c>
      <c r="AA27" s="531"/>
      <c r="AB27" s="532">
        <f t="shared" si="7"/>
        <v>0</v>
      </c>
      <c r="AC27" s="533">
        <f t="shared" si="120"/>
        <v>0</v>
      </c>
      <c r="AD27" s="531"/>
      <c r="AE27" s="532">
        <f t="shared" si="8"/>
        <v>0</v>
      </c>
      <c r="AF27" s="533">
        <f t="shared" si="121"/>
        <v>0</v>
      </c>
      <c r="AG27" s="531"/>
      <c r="AH27" s="532">
        <f t="shared" si="9"/>
        <v>0</v>
      </c>
      <c r="AI27" s="533">
        <f t="shared" si="122"/>
        <v>0</v>
      </c>
      <c r="AJ27" s="531">
        <v>14.689400000000006</v>
      </c>
      <c r="AK27" s="532">
        <f t="shared" si="10"/>
        <v>0.29078707736162812</v>
      </c>
      <c r="AL27" s="533">
        <f t="shared" si="123"/>
        <v>0</v>
      </c>
      <c r="AM27" s="531"/>
      <c r="AN27" s="532">
        <f t="shared" si="11"/>
        <v>0</v>
      </c>
      <c r="AO27" s="533">
        <f t="shared" si="124"/>
        <v>0</v>
      </c>
      <c r="AP27" s="531"/>
      <c r="AQ27" s="532">
        <f t="shared" si="12"/>
        <v>0</v>
      </c>
      <c r="AR27" s="533">
        <f t="shared" si="125"/>
        <v>0</v>
      </c>
      <c r="AS27" s="531"/>
      <c r="AT27" s="532">
        <f t="shared" si="13"/>
        <v>0</v>
      </c>
      <c r="AU27" s="533">
        <f t="shared" si="126"/>
        <v>0</v>
      </c>
      <c r="AV27" s="531"/>
      <c r="AW27" s="532">
        <f t="shared" si="14"/>
        <v>0</v>
      </c>
      <c r="AX27" s="533">
        <f t="shared" si="127"/>
        <v>0</v>
      </c>
      <c r="AY27" s="531"/>
      <c r="AZ27" s="532">
        <f t="shared" si="15"/>
        <v>0</v>
      </c>
      <c r="BA27" s="533">
        <f t="shared" si="128"/>
        <v>0</v>
      </c>
      <c r="BB27" s="531"/>
      <c r="BC27" s="532">
        <f t="shared" si="16"/>
        <v>0</v>
      </c>
      <c r="BD27" s="533">
        <f t="shared" si="129"/>
        <v>0</v>
      </c>
      <c r="BE27" s="531"/>
      <c r="BF27" s="532">
        <f t="shared" si="17"/>
        <v>0</v>
      </c>
      <c r="BG27" s="533">
        <f t="shared" si="130"/>
        <v>0</v>
      </c>
      <c r="BH27" s="531"/>
      <c r="BI27" s="532">
        <f t="shared" si="18"/>
        <v>0</v>
      </c>
      <c r="BJ27" s="533">
        <f t="shared" si="131"/>
        <v>0</v>
      </c>
      <c r="BK27" s="531"/>
      <c r="BL27" s="532">
        <f t="shared" si="19"/>
        <v>0</v>
      </c>
      <c r="BM27" s="533">
        <f t="shared" si="132"/>
        <v>0</v>
      </c>
      <c r="BN27" s="531"/>
      <c r="BO27" s="532">
        <f t="shared" si="20"/>
        <v>0</v>
      </c>
      <c r="BP27" s="533">
        <f t="shared" si="133"/>
        <v>0</v>
      </c>
      <c r="BQ27" s="531"/>
      <c r="BR27" s="532">
        <f t="shared" si="21"/>
        <v>0</v>
      </c>
      <c r="BS27" s="533">
        <f t="shared" si="134"/>
        <v>0</v>
      </c>
      <c r="BT27" s="531"/>
      <c r="BU27" s="532">
        <f t="shared" si="22"/>
        <v>0</v>
      </c>
      <c r="BV27" s="533">
        <f t="shared" si="135"/>
        <v>0</v>
      </c>
      <c r="BW27" s="531"/>
      <c r="BX27" s="532">
        <f t="shared" si="23"/>
        <v>0</v>
      </c>
      <c r="BY27" s="533">
        <f t="shared" si="136"/>
        <v>0</v>
      </c>
      <c r="BZ27" s="531"/>
      <c r="CA27" s="532">
        <f t="shared" si="24"/>
        <v>0</v>
      </c>
      <c r="CB27" s="533">
        <f t="shared" si="137"/>
        <v>0</v>
      </c>
      <c r="CC27" s="531"/>
      <c r="CD27" s="532">
        <f t="shared" si="25"/>
        <v>0</v>
      </c>
      <c r="CE27" s="533">
        <f t="shared" si="138"/>
        <v>0</v>
      </c>
      <c r="CF27" s="531">
        <v>5</v>
      </c>
      <c r="CG27" s="532">
        <f t="shared" si="26"/>
        <v>9.8978541452213159E-2</v>
      </c>
      <c r="CH27" s="533">
        <f t="shared" si="139"/>
        <v>0</v>
      </c>
      <c r="CI27" s="531"/>
      <c r="CJ27" s="532">
        <f t="shared" si="27"/>
        <v>0</v>
      </c>
      <c r="CK27" s="533">
        <f t="shared" si="140"/>
        <v>0</v>
      </c>
      <c r="CL27" s="531"/>
      <c r="CM27" s="532">
        <f t="shared" si="28"/>
        <v>0</v>
      </c>
      <c r="CN27" s="533">
        <f t="shared" si="141"/>
        <v>0</v>
      </c>
      <c r="CO27" s="531"/>
      <c r="CP27" s="532">
        <f t="shared" si="29"/>
        <v>0</v>
      </c>
      <c r="CQ27" s="533">
        <f t="shared" si="142"/>
        <v>0</v>
      </c>
      <c r="CR27" s="531"/>
      <c r="CS27" s="532">
        <f t="shared" si="30"/>
        <v>0</v>
      </c>
      <c r="CT27" s="533">
        <f t="shared" si="143"/>
        <v>0</v>
      </c>
      <c r="CU27" s="531"/>
      <c r="CV27" s="532">
        <f t="shared" si="31"/>
        <v>0</v>
      </c>
      <c r="CW27" s="533">
        <f t="shared" si="144"/>
        <v>0</v>
      </c>
      <c r="CX27" s="531"/>
      <c r="CY27" s="532">
        <f t="shared" si="32"/>
        <v>0</v>
      </c>
      <c r="CZ27" s="533">
        <f t="shared" si="145"/>
        <v>0</v>
      </c>
      <c r="DA27" s="531">
        <v>218.02697674418573</v>
      </c>
      <c r="DB27" s="532">
        <f t="shared" si="33"/>
        <v>4.3159984310750206</v>
      </c>
      <c r="DC27" s="533">
        <f t="shared" si="146"/>
        <v>0</v>
      </c>
      <c r="DD27" s="531"/>
      <c r="DE27" s="532">
        <f t="shared" si="34"/>
        <v>0</v>
      </c>
      <c r="DF27" s="533">
        <f t="shared" si="147"/>
        <v>0</v>
      </c>
      <c r="DG27" s="531"/>
      <c r="DH27" s="532">
        <f t="shared" si="35"/>
        <v>0</v>
      </c>
      <c r="DI27" s="533">
        <f t="shared" si="203"/>
        <v>0</v>
      </c>
      <c r="DJ27" s="531"/>
      <c r="DK27" s="532">
        <f t="shared" si="36"/>
        <v>0</v>
      </c>
      <c r="DL27" s="533">
        <f t="shared" si="148"/>
        <v>0</v>
      </c>
      <c r="DM27" s="531"/>
      <c r="DN27" s="532">
        <f t="shared" si="37"/>
        <v>0</v>
      </c>
      <c r="DO27" s="533">
        <f t="shared" si="149"/>
        <v>0</v>
      </c>
      <c r="DP27" s="531"/>
      <c r="DQ27" s="532">
        <f t="shared" si="38"/>
        <v>0</v>
      </c>
      <c r="DR27" s="533">
        <f t="shared" si="150"/>
        <v>0</v>
      </c>
      <c r="DS27" s="531"/>
      <c r="DT27" s="532">
        <f t="shared" si="39"/>
        <v>0</v>
      </c>
      <c r="DU27" s="533">
        <f t="shared" si="151"/>
        <v>0</v>
      </c>
      <c r="DV27" s="531"/>
      <c r="DW27" s="532">
        <f t="shared" si="40"/>
        <v>0</v>
      </c>
      <c r="DX27" s="533">
        <f t="shared" si="152"/>
        <v>0</v>
      </c>
      <c r="DY27" s="531"/>
      <c r="DZ27" s="532">
        <f t="shared" si="41"/>
        <v>0</v>
      </c>
      <c r="EA27" s="533">
        <f t="shared" si="153"/>
        <v>0</v>
      </c>
      <c r="EB27" s="531"/>
      <c r="EC27" s="532">
        <f t="shared" si="42"/>
        <v>0</v>
      </c>
      <c r="ED27" s="533">
        <f t="shared" si="154"/>
        <v>0</v>
      </c>
      <c r="EE27" s="531">
        <v>199.60117647058826</v>
      </c>
      <c r="EF27" s="532">
        <f t="shared" si="43"/>
        <v>3.9512466638409269</v>
      </c>
      <c r="EG27" s="533">
        <f t="shared" si="155"/>
        <v>0</v>
      </c>
      <c r="EH27" s="531">
        <v>2</v>
      </c>
      <c r="EI27" s="532">
        <f t="shared" si="44"/>
        <v>3.9591416580885268E-2</v>
      </c>
      <c r="EJ27" s="533">
        <f t="shared" si="156"/>
        <v>0</v>
      </c>
      <c r="EK27" s="531">
        <v>36.590605731707228</v>
      </c>
      <c r="EL27" s="532">
        <f t="shared" si="45"/>
        <v>0.72433695723547453</v>
      </c>
      <c r="EM27" s="533">
        <f t="shared" si="157"/>
        <v>0</v>
      </c>
      <c r="EN27" s="531"/>
      <c r="EO27" s="532">
        <f t="shared" si="46"/>
        <v>0</v>
      </c>
      <c r="EP27" s="533">
        <f t="shared" si="158"/>
        <v>0</v>
      </c>
      <c r="EQ27" s="531">
        <v>49.420581395348904</v>
      </c>
      <c r="ER27" s="532">
        <f t="shared" si="47"/>
        <v>0.97831541284640322</v>
      </c>
      <c r="ES27" s="533">
        <f t="shared" si="159"/>
        <v>0</v>
      </c>
      <c r="ET27" s="531">
        <v>14.534883720930225</v>
      </c>
      <c r="EU27" s="532">
        <f t="shared" si="48"/>
        <v>0.28772831817503813</v>
      </c>
      <c r="EV27" s="533">
        <f t="shared" si="160"/>
        <v>0</v>
      </c>
      <c r="EW27" s="531"/>
      <c r="EX27" s="532">
        <f t="shared" si="49"/>
        <v>0</v>
      </c>
      <c r="EY27" s="533">
        <f t="shared" si="161"/>
        <v>0</v>
      </c>
      <c r="EZ27" s="531"/>
      <c r="FA27" s="532">
        <f t="shared" si="50"/>
        <v>0</v>
      </c>
      <c r="FB27" s="533">
        <f t="shared" si="162"/>
        <v>0</v>
      </c>
      <c r="FC27" s="531"/>
      <c r="FD27" s="532">
        <f t="shared" si="51"/>
        <v>0</v>
      </c>
      <c r="FE27" s="533">
        <f t="shared" si="163"/>
        <v>0</v>
      </c>
      <c r="FF27" s="531"/>
      <c r="FG27" s="532">
        <f t="shared" si="52"/>
        <v>0</v>
      </c>
      <c r="FH27" s="533">
        <f t="shared" si="164"/>
        <v>0</v>
      </c>
      <c r="FI27" s="531"/>
      <c r="FJ27" s="532">
        <f t="shared" si="53"/>
        <v>0</v>
      </c>
      <c r="FK27" s="533">
        <f t="shared" si="165"/>
        <v>0</v>
      </c>
      <c r="FL27" s="531"/>
      <c r="FM27" s="532">
        <f t="shared" si="54"/>
        <v>0</v>
      </c>
      <c r="FN27" s="533">
        <f t="shared" si="166"/>
        <v>0</v>
      </c>
      <c r="FO27" s="531"/>
      <c r="FP27" s="532">
        <f t="shared" si="55"/>
        <v>0</v>
      </c>
      <c r="FQ27" s="533">
        <f t="shared" si="167"/>
        <v>0</v>
      </c>
      <c r="FR27" s="531"/>
      <c r="FS27" s="532">
        <f t="shared" si="56"/>
        <v>0</v>
      </c>
      <c r="FT27" s="533">
        <f t="shared" si="168"/>
        <v>0</v>
      </c>
      <c r="FU27" s="531"/>
      <c r="FV27" s="532">
        <f t="shared" si="57"/>
        <v>0</v>
      </c>
      <c r="FW27" s="533">
        <f t="shared" si="169"/>
        <v>0</v>
      </c>
      <c r="FX27" s="531"/>
      <c r="FY27" s="532">
        <f t="shared" si="58"/>
        <v>0</v>
      </c>
      <c r="FZ27" s="533">
        <f t="shared" si="170"/>
        <v>0</v>
      </c>
      <c r="GA27" s="531"/>
      <c r="GB27" s="532">
        <f t="shared" si="59"/>
        <v>0</v>
      </c>
      <c r="GC27" s="533">
        <f t="shared" si="171"/>
        <v>0</v>
      </c>
      <c r="GD27" s="531"/>
      <c r="GE27" s="532">
        <f t="shared" si="60"/>
        <v>0</v>
      </c>
      <c r="GF27" s="533">
        <f t="shared" si="172"/>
        <v>0</v>
      </c>
      <c r="GG27" s="531">
        <v>9.4388343247106548</v>
      </c>
      <c r="GH27" s="532">
        <f t="shared" si="61"/>
        <v>0.1868484108937892</v>
      </c>
      <c r="GI27" s="533">
        <f t="shared" si="173"/>
        <v>0</v>
      </c>
      <c r="GJ27" s="531">
        <v>14.158251487065984</v>
      </c>
      <c r="GK27" s="532">
        <f t="shared" si="204"/>
        <v>0.28027261634068384</v>
      </c>
      <c r="GL27" s="533">
        <f t="shared" si="205"/>
        <v>0</v>
      </c>
      <c r="GM27" s="531">
        <v>4.7194171623553274</v>
      </c>
      <c r="GN27" s="532">
        <f t="shared" si="206"/>
        <v>9.3424205446894601E-2</v>
      </c>
      <c r="GO27" s="533">
        <f t="shared" si="207"/>
        <v>0</v>
      </c>
      <c r="GP27" s="531">
        <v>21.237377230598973</v>
      </c>
      <c r="GQ27" s="532">
        <f t="shared" si="208"/>
        <v>0.42040892451102568</v>
      </c>
      <c r="GR27" s="533">
        <f t="shared" si="209"/>
        <v>0</v>
      </c>
      <c r="GS27" s="531">
        <v>160.46018352008113</v>
      </c>
      <c r="GT27" s="532">
        <f t="shared" si="210"/>
        <v>3.1764229851944163</v>
      </c>
      <c r="GU27" s="533">
        <f t="shared" si="211"/>
        <v>0</v>
      </c>
      <c r="GV27" s="531">
        <v>30.676211555309632</v>
      </c>
      <c r="GW27" s="532">
        <f t="shared" si="66"/>
        <v>0.60725733540481497</v>
      </c>
      <c r="GX27" s="533">
        <f t="shared" si="178"/>
        <v>0</v>
      </c>
      <c r="GY27" s="531"/>
      <c r="GZ27" s="532">
        <f t="shared" si="67"/>
        <v>0</v>
      </c>
      <c r="HA27" s="533">
        <f t="shared" si="179"/>
        <v>0</v>
      </c>
      <c r="HB27" s="531"/>
      <c r="HC27" s="532">
        <f t="shared" si="68"/>
        <v>0</v>
      </c>
      <c r="HD27" s="533">
        <f t="shared" si="180"/>
        <v>0</v>
      </c>
      <c r="HE27" s="531"/>
      <c r="HF27" s="532">
        <f t="shared" si="69"/>
        <v>0</v>
      </c>
      <c r="HG27" s="533">
        <f t="shared" si="181"/>
        <v>0</v>
      </c>
      <c r="HH27" s="531"/>
      <c r="HI27" s="532">
        <f t="shared" si="70"/>
        <v>0</v>
      </c>
      <c r="HJ27" s="533">
        <f t="shared" si="182"/>
        <v>0</v>
      </c>
      <c r="HK27" s="531"/>
      <c r="HL27" s="532">
        <f t="shared" si="71"/>
        <v>0</v>
      </c>
      <c r="HM27" s="533">
        <f t="shared" si="183"/>
        <v>0</v>
      </c>
      <c r="HN27" s="531">
        <v>758.88227970673665</v>
      </c>
      <c r="HO27" s="532">
        <f t="shared" si="72"/>
        <v>15.022612235860652</v>
      </c>
      <c r="HP27" s="533">
        <f t="shared" si="184"/>
        <v>0</v>
      </c>
      <c r="HQ27" s="531"/>
      <c r="HR27" s="532">
        <f t="shared" si="73"/>
        <v>0</v>
      </c>
      <c r="HS27" s="533">
        <f t="shared" si="185"/>
        <v>0</v>
      </c>
      <c r="HT27" s="531"/>
      <c r="HU27" s="532">
        <f t="shared" si="74"/>
        <v>0</v>
      </c>
      <c r="HV27" s="533">
        <f t="shared" si="186"/>
        <v>0</v>
      </c>
      <c r="HW27" s="531"/>
      <c r="HX27" s="532">
        <f t="shared" si="75"/>
        <v>0</v>
      </c>
      <c r="HY27" s="533">
        <f t="shared" si="187"/>
        <v>0</v>
      </c>
      <c r="HZ27" s="531"/>
      <c r="IA27" s="532">
        <f t="shared" si="76"/>
        <v>0</v>
      </c>
      <c r="IB27" s="533">
        <f t="shared" si="188"/>
        <v>0</v>
      </c>
      <c r="IC27" s="531"/>
      <c r="ID27" s="532">
        <f t="shared" si="77"/>
        <v>0</v>
      </c>
      <c r="IE27" s="533">
        <f t="shared" si="189"/>
        <v>0</v>
      </c>
      <c r="IF27" s="531"/>
      <c r="IG27" s="532">
        <f t="shared" si="78"/>
        <v>0</v>
      </c>
      <c r="IH27" s="533">
        <f t="shared" si="190"/>
        <v>0</v>
      </c>
      <c r="II27" s="531">
        <v>21.237377230598973</v>
      </c>
      <c r="IJ27" s="532">
        <f t="shared" si="79"/>
        <v>0.42040892451102568</v>
      </c>
      <c r="IK27" s="533">
        <f t="shared" si="191"/>
        <v>0</v>
      </c>
      <c r="IL27" s="531"/>
      <c r="IM27" s="532">
        <f t="shared" si="80"/>
        <v>0</v>
      </c>
      <c r="IN27" s="533">
        <f t="shared" si="192"/>
        <v>0</v>
      </c>
      <c r="IO27" s="531"/>
      <c r="IP27" s="532">
        <f t="shared" si="81"/>
        <v>0</v>
      </c>
      <c r="IQ27" s="533">
        <f t="shared" si="193"/>
        <v>0</v>
      </c>
      <c r="IR27" s="531">
        <v>56.633005948263936</v>
      </c>
      <c r="IS27" s="532">
        <f t="shared" si="82"/>
        <v>1.1210904653627354</v>
      </c>
      <c r="IT27" s="533">
        <f t="shared" si="194"/>
        <v>0</v>
      </c>
      <c r="IU27" s="531"/>
      <c r="IV27" s="532">
        <f t="shared" si="83"/>
        <v>0</v>
      </c>
      <c r="IW27" s="533">
        <f t="shared" si="195"/>
        <v>0</v>
      </c>
      <c r="IX27" s="531"/>
      <c r="IY27" s="532">
        <f t="shared" si="84"/>
        <v>0</v>
      </c>
      <c r="IZ27" s="533">
        <f t="shared" si="196"/>
        <v>0</v>
      </c>
      <c r="JA27" s="531"/>
      <c r="JB27" s="532">
        <f t="shared" si="85"/>
        <v>0</v>
      </c>
      <c r="JC27" s="533">
        <f t="shared" si="197"/>
        <v>0</v>
      </c>
      <c r="JD27" s="531"/>
      <c r="JE27" s="532">
        <f t="shared" si="86"/>
        <v>0</v>
      </c>
      <c r="JF27" s="533">
        <f t="shared" si="198"/>
        <v>0</v>
      </c>
      <c r="JG27" s="531"/>
      <c r="JH27" s="532">
        <f t="shared" si="87"/>
        <v>0</v>
      </c>
      <c r="JI27" s="533">
        <f t="shared" si="199"/>
        <v>0</v>
      </c>
      <c r="JJ27" s="531">
        <v>23.597085811776637</v>
      </c>
      <c r="JK27" s="533" t="str">
        <f t="shared" si="88"/>
        <v>0</v>
      </c>
      <c r="JL27" s="533" t="str">
        <f t="shared" si="89"/>
        <v>0</v>
      </c>
      <c r="JM27" s="531"/>
      <c r="JN27" s="533" t="str">
        <f t="shared" si="90"/>
        <v>0</v>
      </c>
      <c r="JO27" s="533" t="str">
        <f t="shared" si="91"/>
        <v>0</v>
      </c>
      <c r="JP27" s="531"/>
      <c r="JQ27" s="533" t="str">
        <f t="shared" si="92"/>
        <v>0</v>
      </c>
      <c r="JR27" s="533" t="str">
        <f t="shared" si="93"/>
        <v>0</v>
      </c>
      <c r="JS27" s="531"/>
      <c r="JT27" s="533" t="str">
        <f t="shared" si="94"/>
        <v>0</v>
      </c>
      <c r="JU27" s="533" t="str">
        <f t="shared" si="95"/>
        <v>0</v>
      </c>
      <c r="JV27" s="531"/>
      <c r="JW27" s="533" t="str">
        <f t="shared" si="96"/>
        <v>0</v>
      </c>
      <c r="JX27" s="533" t="str">
        <f t="shared" si="97"/>
        <v>0</v>
      </c>
      <c r="JY27" s="531"/>
      <c r="JZ27" s="533" t="str">
        <f t="shared" si="98"/>
        <v>0</v>
      </c>
      <c r="KA27" s="533" t="str">
        <f t="shared" si="99"/>
        <v>0</v>
      </c>
      <c r="KB27" s="531"/>
      <c r="KC27" s="533" t="str">
        <f t="shared" si="100"/>
        <v>0</v>
      </c>
      <c r="KD27" s="533" t="str">
        <f t="shared" si="101"/>
        <v>0</v>
      </c>
      <c r="KE27" s="531"/>
      <c r="KF27" s="533" t="str">
        <f t="shared" si="102"/>
        <v>0</v>
      </c>
      <c r="KG27" s="533" t="str">
        <f t="shared" si="103"/>
        <v>0</v>
      </c>
      <c r="KH27" s="531"/>
      <c r="KI27" s="533" t="str">
        <f t="shared" si="104"/>
        <v>0</v>
      </c>
      <c r="KJ27" s="533" t="str">
        <f t="shared" si="105"/>
        <v>0</v>
      </c>
      <c r="KK27" s="531"/>
      <c r="KL27" s="533" t="str">
        <f t="shared" si="106"/>
        <v>0</v>
      </c>
      <c r="KM27" s="533" t="str">
        <f t="shared" si="107"/>
        <v>0</v>
      </c>
      <c r="KN27" s="531"/>
      <c r="KO27" s="533" t="str">
        <f t="shared" si="108"/>
        <v>0</v>
      </c>
      <c r="KP27" s="533" t="str">
        <f t="shared" si="109"/>
        <v>0</v>
      </c>
      <c r="KQ27" s="531"/>
      <c r="KR27" s="533" t="str">
        <f t="shared" si="110"/>
        <v>0</v>
      </c>
      <c r="KS27" s="533" t="str">
        <f t="shared" si="111"/>
        <v>0</v>
      </c>
      <c r="KT27" s="533">
        <f t="shared" si="201"/>
        <v>0</v>
      </c>
      <c r="KU27" s="533">
        <f t="shared" si="202"/>
        <v>0</v>
      </c>
      <c r="KV27" s="271">
        <f t="shared" si="112"/>
        <v>1652.4672480402583</v>
      </c>
    </row>
    <row r="28" spans="1:309" ht="15" customHeight="1">
      <c r="A28" s="273">
        <f t="shared" si="200"/>
        <v>46042</v>
      </c>
      <c r="B28" s="274" t="str">
        <f>+Report1!B28</f>
        <v>Toilet</v>
      </c>
      <c r="C28" s="274" t="str">
        <f>+Report1!C28</f>
        <v>15</v>
      </c>
      <c r="D28" s="275">
        <f>+Report1!P28</f>
        <v>55.125999999999998</v>
      </c>
      <c r="E28" s="276">
        <f>+Report1!R28</f>
        <v>54.661000000000001</v>
      </c>
      <c r="F28" s="531"/>
      <c r="G28" s="532">
        <f t="shared" si="0"/>
        <v>0</v>
      </c>
      <c r="H28" s="533">
        <f t="shared" si="113"/>
        <v>0</v>
      </c>
      <c r="I28" s="531"/>
      <c r="J28" s="532">
        <f t="shared" si="1"/>
        <v>0</v>
      </c>
      <c r="K28" s="533">
        <f t="shared" si="114"/>
        <v>0</v>
      </c>
      <c r="L28" s="531"/>
      <c r="M28" s="532">
        <f t="shared" si="2"/>
        <v>0</v>
      </c>
      <c r="N28" s="533">
        <f t="shared" si="115"/>
        <v>0</v>
      </c>
      <c r="O28" s="531">
        <v>9</v>
      </c>
      <c r="P28" s="532">
        <f t="shared" si="3"/>
        <v>0.16465121384533762</v>
      </c>
      <c r="Q28" s="533">
        <f t="shared" si="116"/>
        <v>0</v>
      </c>
      <c r="R28" s="531"/>
      <c r="S28" s="532">
        <f t="shared" si="4"/>
        <v>0</v>
      </c>
      <c r="T28" s="533">
        <f t="shared" si="117"/>
        <v>0</v>
      </c>
      <c r="U28" s="531">
        <v>12.8125</v>
      </c>
      <c r="V28" s="532">
        <f t="shared" si="5"/>
        <v>0.23439929748815425</v>
      </c>
      <c r="W28" s="533">
        <f t="shared" si="118"/>
        <v>0</v>
      </c>
      <c r="X28" s="531"/>
      <c r="Y28" s="532">
        <f t="shared" si="6"/>
        <v>0</v>
      </c>
      <c r="Z28" s="533">
        <f t="shared" si="119"/>
        <v>0</v>
      </c>
      <c r="AA28" s="531"/>
      <c r="AB28" s="532">
        <f t="shared" si="7"/>
        <v>0</v>
      </c>
      <c r="AC28" s="533">
        <f t="shared" si="120"/>
        <v>0</v>
      </c>
      <c r="AD28" s="531"/>
      <c r="AE28" s="532">
        <f t="shared" si="8"/>
        <v>0</v>
      </c>
      <c r="AF28" s="533">
        <f t="shared" si="121"/>
        <v>0</v>
      </c>
      <c r="AG28" s="531"/>
      <c r="AH28" s="532">
        <f t="shared" si="9"/>
        <v>0</v>
      </c>
      <c r="AI28" s="533">
        <f t="shared" si="122"/>
        <v>0</v>
      </c>
      <c r="AJ28" s="531">
        <v>11.75</v>
      </c>
      <c r="AK28" s="532">
        <f t="shared" si="10"/>
        <v>0.21496130696474633</v>
      </c>
      <c r="AL28" s="533">
        <f t="shared" si="123"/>
        <v>0</v>
      </c>
      <c r="AM28" s="531"/>
      <c r="AN28" s="532">
        <f t="shared" si="11"/>
        <v>0</v>
      </c>
      <c r="AO28" s="533">
        <f t="shared" si="124"/>
        <v>0</v>
      </c>
      <c r="AP28" s="531"/>
      <c r="AQ28" s="532">
        <f t="shared" si="12"/>
        <v>0</v>
      </c>
      <c r="AR28" s="533">
        <f t="shared" si="125"/>
        <v>0</v>
      </c>
      <c r="AS28" s="531"/>
      <c r="AT28" s="532">
        <f t="shared" si="13"/>
        <v>0</v>
      </c>
      <c r="AU28" s="533">
        <f t="shared" si="126"/>
        <v>0</v>
      </c>
      <c r="AV28" s="531"/>
      <c r="AW28" s="532">
        <f t="shared" si="14"/>
        <v>0</v>
      </c>
      <c r="AX28" s="533">
        <f t="shared" si="127"/>
        <v>0</v>
      </c>
      <c r="AY28" s="531"/>
      <c r="AZ28" s="532">
        <f t="shared" si="15"/>
        <v>0</v>
      </c>
      <c r="BA28" s="533">
        <f t="shared" si="128"/>
        <v>0</v>
      </c>
      <c r="BB28" s="531"/>
      <c r="BC28" s="532">
        <f t="shared" si="16"/>
        <v>0</v>
      </c>
      <c r="BD28" s="533">
        <f t="shared" si="129"/>
        <v>0</v>
      </c>
      <c r="BE28" s="531"/>
      <c r="BF28" s="532">
        <f t="shared" si="17"/>
        <v>0</v>
      </c>
      <c r="BG28" s="533">
        <f t="shared" si="130"/>
        <v>0</v>
      </c>
      <c r="BH28" s="531"/>
      <c r="BI28" s="532">
        <f t="shared" si="18"/>
        <v>0</v>
      </c>
      <c r="BJ28" s="533">
        <f t="shared" si="131"/>
        <v>0</v>
      </c>
      <c r="BK28" s="531"/>
      <c r="BL28" s="532">
        <f t="shared" si="19"/>
        <v>0</v>
      </c>
      <c r="BM28" s="533">
        <f t="shared" si="132"/>
        <v>0</v>
      </c>
      <c r="BN28" s="531"/>
      <c r="BO28" s="532">
        <f t="shared" si="20"/>
        <v>0</v>
      </c>
      <c r="BP28" s="533">
        <f t="shared" si="133"/>
        <v>0</v>
      </c>
      <c r="BQ28" s="531"/>
      <c r="BR28" s="532">
        <f t="shared" si="21"/>
        <v>0</v>
      </c>
      <c r="BS28" s="533">
        <f t="shared" si="134"/>
        <v>0</v>
      </c>
      <c r="BT28" s="531"/>
      <c r="BU28" s="532">
        <f t="shared" si="22"/>
        <v>0</v>
      </c>
      <c r="BV28" s="533">
        <f t="shared" si="135"/>
        <v>0</v>
      </c>
      <c r="BW28" s="531"/>
      <c r="BX28" s="532">
        <f t="shared" si="23"/>
        <v>0</v>
      </c>
      <c r="BY28" s="533">
        <f t="shared" si="136"/>
        <v>0</v>
      </c>
      <c r="BZ28" s="531">
        <v>16.976744186046574</v>
      </c>
      <c r="CA28" s="532">
        <f t="shared" si="24"/>
        <v>0.31058239304159407</v>
      </c>
      <c r="CB28" s="533">
        <f t="shared" si="137"/>
        <v>0</v>
      </c>
      <c r="CC28" s="531"/>
      <c r="CD28" s="532">
        <f t="shared" si="25"/>
        <v>0</v>
      </c>
      <c r="CE28" s="533">
        <f t="shared" si="138"/>
        <v>0</v>
      </c>
      <c r="CF28" s="531">
        <v>5</v>
      </c>
      <c r="CG28" s="532">
        <f t="shared" si="26"/>
        <v>9.1472896580743118E-2</v>
      </c>
      <c r="CH28" s="533">
        <f t="shared" si="139"/>
        <v>0</v>
      </c>
      <c r="CI28" s="531"/>
      <c r="CJ28" s="532">
        <f t="shared" si="27"/>
        <v>0</v>
      </c>
      <c r="CK28" s="533">
        <f t="shared" si="140"/>
        <v>0</v>
      </c>
      <c r="CL28" s="531"/>
      <c r="CM28" s="532">
        <f t="shared" si="28"/>
        <v>0</v>
      </c>
      <c r="CN28" s="533">
        <f t="shared" si="141"/>
        <v>0</v>
      </c>
      <c r="CO28" s="531"/>
      <c r="CP28" s="532">
        <f t="shared" si="29"/>
        <v>0</v>
      </c>
      <c r="CQ28" s="533">
        <f t="shared" si="142"/>
        <v>0</v>
      </c>
      <c r="CR28" s="531"/>
      <c r="CS28" s="532">
        <f t="shared" si="30"/>
        <v>0</v>
      </c>
      <c r="CT28" s="533">
        <f t="shared" si="143"/>
        <v>0</v>
      </c>
      <c r="CU28" s="531"/>
      <c r="CV28" s="532">
        <f t="shared" si="31"/>
        <v>0</v>
      </c>
      <c r="CW28" s="533">
        <f t="shared" si="144"/>
        <v>0</v>
      </c>
      <c r="CX28" s="531"/>
      <c r="CY28" s="532">
        <f t="shared" si="32"/>
        <v>0</v>
      </c>
      <c r="CZ28" s="533">
        <f t="shared" si="145"/>
        <v>0</v>
      </c>
      <c r="DA28" s="531">
        <v>203.48837209302337</v>
      </c>
      <c r="DB28" s="532">
        <f t="shared" si="33"/>
        <v>3.7227341631697803</v>
      </c>
      <c r="DC28" s="533">
        <f t="shared" si="146"/>
        <v>0</v>
      </c>
      <c r="DD28" s="531"/>
      <c r="DE28" s="532">
        <f t="shared" si="34"/>
        <v>0</v>
      </c>
      <c r="DF28" s="533">
        <f t="shared" si="147"/>
        <v>0</v>
      </c>
      <c r="DG28" s="531"/>
      <c r="DH28" s="532">
        <f t="shared" si="35"/>
        <v>0</v>
      </c>
      <c r="DI28" s="533">
        <f t="shared" si="203"/>
        <v>0</v>
      </c>
      <c r="DJ28" s="531"/>
      <c r="DK28" s="532">
        <f t="shared" si="36"/>
        <v>0</v>
      </c>
      <c r="DL28" s="533">
        <f t="shared" si="148"/>
        <v>0</v>
      </c>
      <c r="DM28" s="531"/>
      <c r="DN28" s="532">
        <f t="shared" si="37"/>
        <v>0</v>
      </c>
      <c r="DO28" s="533">
        <f t="shared" si="149"/>
        <v>0</v>
      </c>
      <c r="DP28" s="531"/>
      <c r="DQ28" s="532">
        <f t="shared" si="38"/>
        <v>0</v>
      </c>
      <c r="DR28" s="533">
        <f t="shared" si="150"/>
        <v>0</v>
      </c>
      <c r="DS28" s="531"/>
      <c r="DT28" s="532">
        <f t="shared" si="39"/>
        <v>0</v>
      </c>
      <c r="DU28" s="533">
        <f t="shared" si="151"/>
        <v>0</v>
      </c>
      <c r="DV28" s="531"/>
      <c r="DW28" s="532">
        <f t="shared" si="40"/>
        <v>0</v>
      </c>
      <c r="DX28" s="533">
        <f t="shared" si="152"/>
        <v>0</v>
      </c>
      <c r="DY28" s="531"/>
      <c r="DZ28" s="532">
        <f t="shared" si="41"/>
        <v>0</v>
      </c>
      <c r="EA28" s="533">
        <f t="shared" si="153"/>
        <v>0</v>
      </c>
      <c r="EB28" s="531"/>
      <c r="EC28" s="532">
        <f t="shared" si="42"/>
        <v>0</v>
      </c>
      <c r="ED28" s="533">
        <f t="shared" si="154"/>
        <v>0</v>
      </c>
      <c r="EE28" s="531">
        <v>176.11764705882342</v>
      </c>
      <c r="EF28" s="532">
        <f t="shared" si="43"/>
        <v>3.2219982630911148</v>
      </c>
      <c r="EG28" s="533">
        <f t="shared" si="155"/>
        <v>0</v>
      </c>
      <c r="EH28" s="531">
        <v>2</v>
      </c>
      <c r="EI28" s="532">
        <f t="shared" si="44"/>
        <v>3.6589158632297253E-2</v>
      </c>
      <c r="EJ28" s="533">
        <f t="shared" si="156"/>
        <v>0</v>
      </c>
      <c r="EK28" s="531">
        <v>24.390243902439124</v>
      </c>
      <c r="EL28" s="532">
        <f t="shared" si="45"/>
        <v>0.44620925161338293</v>
      </c>
      <c r="EM28" s="533">
        <f t="shared" si="157"/>
        <v>0</v>
      </c>
      <c r="EN28" s="531"/>
      <c r="EO28" s="532">
        <f t="shared" si="46"/>
        <v>0</v>
      </c>
      <c r="EP28" s="533">
        <f t="shared" si="158"/>
        <v>0</v>
      </c>
      <c r="EQ28" s="531">
        <v>39.534883720930225</v>
      </c>
      <c r="ER28" s="532">
        <f t="shared" si="47"/>
        <v>0.72327406598727106</v>
      </c>
      <c r="ES28" s="533">
        <f t="shared" si="159"/>
        <v>0</v>
      </c>
      <c r="ET28" s="531">
        <v>14.534883720930225</v>
      </c>
      <c r="EU28" s="532">
        <f t="shared" si="48"/>
        <v>0.26590958308355545</v>
      </c>
      <c r="EV28" s="533">
        <f t="shared" si="160"/>
        <v>0</v>
      </c>
      <c r="EW28" s="531"/>
      <c r="EX28" s="532">
        <f t="shared" si="49"/>
        <v>0</v>
      </c>
      <c r="EY28" s="533">
        <f t="shared" si="161"/>
        <v>0</v>
      </c>
      <c r="EZ28" s="531"/>
      <c r="FA28" s="532">
        <f t="shared" si="50"/>
        <v>0</v>
      </c>
      <c r="FB28" s="533">
        <f t="shared" si="162"/>
        <v>0</v>
      </c>
      <c r="FC28" s="531"/>
      <c r="FD28" s="532">
        <f t="shared" si="51"/>
        <v>0</v>
      </c>
      <c r="FE28" s="533">
        <f t="shared" si="163"/>
        <v>0</v>
      </c>
      <c r="FF28" s="531"/>
      <c r="FG28" s="532">
        <f t="shared" si="52"/>
        <v>0</v>
      </c>
      <c r="FH28" s="533">
        <f t="shared" si="164"/>
        <v>0</v>
      </c>
      <c r="FI28" s="531"/>
      <c r="FJ28" s="532">
        <f t="shared" si="53"/>
        <v>0</v>
      </c>
      <c r="FK28" s="533">
        <f t="shared" si="165"/>
        <v>0</v>
      </c>
      <c r="FL28" s="531"/>
      <c r="FM28" s="532">
        <f t="shared" si="54"/>
        <v>0</v>
      </c>
      <c r="FN28" s="533">
        <f t="shared" si="166"/>
        <v>0</v>
      </c>
      <c r="FO28" s="531"/>
      <c r="FP28" s="532">
        <f t="shared" si="55"/>
        <v>0</v>
      </c>
      <c r="FQ28" s="533">
        <f t="shared" si="167"/>
        <v>0</v>
      </c>
      <c r="FR28" s="531"/>
      <c r="FS28" s="532">
        <f t="shared" si="56"/>
        <v>0</v>
      </c>
      <c r="FT28" s="533">
        <f t="shared" si="168"/>
        <v>0</v>
      </c>
      <c r="FU28" s="531"/>
      <c r="FV28" s="532">
        <f t="shared" si="57"/>
        <v>0</v>
      </c>
      <c r="FW28" s="533">
        <f t="shared" si="169"/>
        <v>0</v>
      </c>
      <c r="FX28" s="531"/>
      <c r="FY28" s="532">
        <f t="shared" si="58"/>
        <v>0</v>
      </c>
      <c r="FZ28" s="533">
        <f t="shared" si="170"/>
        <v>0</v>
      </c>
      <c r="GA28" s="531"/>
      <c r="GB28" s="532">
        <f t="shared" si="59"/>
        <v>0</v>
      </c>
      <c r="GC28" s="533">
        <f t="shared" si="171"/>
        <v>0</v>
      </c>
      <c r="GD28" s="531"/>
      <c r="GE28" s="532">
        <f t="shared" si="60"/>
        <v>0</v>
      </c>
      <c r="GF28" s="533">
        <f t="shared" si="172"/>
        <v>0</v>
      </c>
      <c r="GG28" s="531">
        <v>11.873949941842934</v>
      </c>
      <c r="GH28" s="532">
        <f t="shared" si="61"/>
        <v>0.2172289190070239</v>
      </c>
      <c r="GI28" s="533">
        <f t="shared" si="173"/>
        <v>0</v>
      </c>
      <c r="GJ28" s="531">
        <v>16.623529918580108</v>
      </c>
      <c r="GK28" s="532">
        <f t="shared" si="204"/>
        <v>0.30412048660983348</v>
      </c>
      <c r="GL28" s="533">
        <f t="shared" si="205"/>
        <v>0</v>
      </c>
      <c r="GM28" s="531">
        <v>4.7495799767371736</v>
      </c>
      <c r="GN28" s="532">
        <f t="shared" si="206"/>
        <v>8.6891567602809555E-2</v>
      </c>
      <c r="GO28" s="533">
        <f t="shared" si="207"/>
        <v>0</v>
      </c>
      <c r="GP28" s="531">
        <v>21.373109895317281</v>
      </c>
      <c r="GQ28" s="532">
        <f t="shared" si="208"/>
        <v>0.39101205421264301</v>
      </c>
      <c r="GR28" s="533">
        <f t="shared" si="209"/>
        <v>0</v>
      </c>
      <c r="GS28" s="531">
        <v>151.98655925558955</v>
      </c>
      <c r="GT28" s="532">
        <f t="shared" si="210"/>
        <v>2.7805301632899058</v>
      </c>
      <c r="GU28" s="533">
        <f t="shared" si="211"/>
        <v>0</v>
      </c>
      <c r="GV28" s="531">
        <v>30.872269848791625</v>
      </c>
      <c r="GW28" s="532">
        <f t="shared" si="66"/>
        <v>0.56479518941826212</v>
      </c>
      <c r="GX28" s="533">
        <f t="shared" si="178"/>
        <v>0</v>
      </c>
      <c r="GY28" s="531"/>
      <c r="GZ28" s="532">
        <f t="shared" si="67"/>
        <v>0</v>
      </c>
      <c r="HA28" s="533">
        <f t="shared" si="179"/>
        <v>0</v>
      </c>
      <c r="HB28" s="531"/>
      <c r="HC28" s="532">
        <f t="shared" si="68"/>
        <v>0</v>
      </c>
      <c r="HD28" s="533">
        <f t="shared" si="180"/>
        <v>0</v>
      </c>
      <c r="HE28" s="531"/>
      <c r="HF28" s="532">
        <f t="shared" si="69"/>
        <v>0</v>
      </c>
      <c r="HG28" s="533">
        <f t="shared" si="181"/>
        <v>0</v>
      </c>
      <c r="HH28" s="531"/>
      <c r="HI28" s="532">
        <f t="shared" si="70"/>
        <v>0</v>
      </c>
      <c r="HJ28" s="533">
        <f t="shared" si="182"/>
        <v>0</v>
      </c>
      <c r="HK28" s="531"/>
      <c r="HL28" s="532">
        <f t="shared" si="71"/>
        <v>0</v>
      </c>
      <c r="HM28" s="533">
        <f t="shared" si="183"/>
        <v>0</v>
      </c>
      <c r="HN28" s="531">
        <v>595.5973290828415</v>
      </c>
      <c r="HO28" s="532">
        <f t="shared" si="72"/>
        <v>10.896202577392318</v>
      </c>
      <c r="HP28" s="533">
        <f t="shared" si="184"/>
        <v>0</v>
      </c>
      <c r="HQ28" s="531"/>
      <c r="HR28" s="532">
        <f t="shared" si="73"/>
        <v>0</v>
      </c>
      <c r="HS28" s="533">
        <f t="shared" si="185"/>
        <v>0</v>
      </c>
      <c r="HT28" s="531"/>
      <c r="HU28" s="532">
        <f t="shared" si="74"/>
        <v>0</v>
      </c>
      <c r="HV28" s="533">
        <f t="shared" si="186"/>
        <v>0</v>
      </c>
      <c r="HW28" s="531"/>
      <c r="HX28" s="532">
        <f t="shared" si="75"/>
        <v>0</v>
      </c>
      <c r="HY28" s="533">
        <f t="shared" si="187"/>
        <v>0</v>
      </c>
      <c r="HZ28" s="531"/>
      <c r="IA28" s="532">
        <f t="shared" si="76"/>
        <v>0</v>
      </c>
      <c r="IB28" s="533">
        <f t="shared" si="188"/>
        <v>0</v>
      </c>
      <c r="IC28" s="531"/>
      <c r="ID28" s="532">
        <f t="shared" si="77"/>
        <v>0</v>
      </c>
      <c r="IE28" s="533">
        <f t="shared" si="189"/>
        <v>0</v>
      </c>
      <c r="IF28" s="531"/>
      <c r="IG28" s="532">
        <f t="shared" si="78"/>
        <v>0</v>
      </c>
      <c r="IH28" s="533">
        <f t="shared" si="190"/>
        <v>0</v>
      </c>
      <c r="II28" s="531">
        <v>18.998319906948694</v>
      </c>
      <c r="IJ28" s="532">
        <f t="shared" si="79"/>
        <v>0.34756627041123822</v>
      </c>
      <c r="IK28" s="533">
        <f t="shared" si="191"/>
        <v>0</v>
      </c>
      <c r="IL28" s="531"/>
      <c r="IM28" s="532">
        <f t="shared" si="80"/>
        <v>0</v>
      </c>
      <c r="IN28" s="533">
        <f t="shared" si="192"/>
        <v>0</v>
      </c>
      <c r="IO28" s="531"/>
      <c r="IP28" s="532">
        <f t="shared" si="81"/>
        <v>0</v>
      </c>
      <c r="IQ28" s="533">
        <f t="shared" si="193"/>
        <v>0</v>
      </c>
      <c r="IR28" s="531">
        <v>52.245379744108902</v>
      </c>
      <c r="IS28" s="532">
        <f t="shared" si="82"/>
        <v>0.95580724363090508</v>
      </c>
      <c r="IT28" s="533">
        <f t="shared" si="194"/>
        <v>0</v>
      </c>
      <c r="IU28" s="531"/>
      <c r="IV28" s="532">
        <f t="shared" si="83"/>
        <v>0</v>
      </c>
      <c r="IW28" s="533">
        <f t="shared" si="195"/>
        <v>0</v>
      </c>
      <c r="IX28" s="531"/>
      <c r="IY28" s="532">
        <f t="shared" si="84"/>
        <v>0</v>
      </c>
      <c r="IZ28" s="533">
        <f t="shared" si="196"/>
        <v>0</v>
      </c>
      <c r="JA28" s="531"/>
      <c r="JB28" s="532">
        <f t="shared" si="85"/>
        <v>0</v>
      </c>
      <c r="JC28" s="533">
        <f t="shared" si="197"/>
        <v>0</v>
      </c>
      <c r="JD28" s="531"/>
      <c r="JE28" s="532">
        <f t="shared" si="86"/>
        <v>0</v>
      </c>
      <c r="JF28" s="533">
        <f t="shared" si="198"/>
        <v>0</v>
      </c>
      <c r="JG28" s="531"/>
      <c r="JH28" s="532">
        <f t="shared" si="87"/>
        <v>0</v>
      </c>
      <c r="JI28" s="533">
        <f t="shared" si="199"/>
        <v>0</v>
      </c>
      <c r="JJ28" s="531">
        <v>23.747899883685868</v>
      </c>
      <c r="JK28" s="533" t="str">
        <f t="shared" si="88"/>
        <v>0</v>
      </c>
      <c r="JL28" s="533" t="str">
        <f t="shared" si="89"/>
        <v>0</v>
      </c>
      <c r="JM28" s="531"/>
      <c r="JN28" s="533" t="str">
        <f t="shared" si="90"/>
        <v>0</v>
      </c>
      <c r="JO28" s="533" t="str">
        <f t="shared" si="91"/>
        <v>0</v>
      </c>
      <c r="JP28" s="531"/>
      <c r="JQ28" s="533" t="str">
        <f t="shared" si="92"/>
        <v>0</v>
      </c>
      <c r="JR28" s="533" t="str">
        <f t="shared" si="93"/>
        <v>0</v>
      </c>
      <c r="JS28" s="531"/>
      <c r="JT28" s="533" t="str">
        <f t="shared" si="94"/>
        <v>0</v>
      </c>
      <c r="JU28" s="533" t="str">
        <f t="shared" si="95"/>
        <v>0</v>
      </c>
      <c r="JV28" s="531"/>
      <c r="JW28" s="533" t="str">
        <f t="shared" si="96"/>
        <v>0</v>
      </c>
      <c r="JX28" s="533" t="str">
        <f t="shared" si="97"/>
        <v>0</v>
      </c>
      <c r="JY28" s="531"/>
      <c r="JZ28" s="533" t="str">
        <f t="shared" si="98"/>
        <v>0</v>
      </c>
      <c r="KA28" s="533" t="str">
        <f t="shared" si="99"/>
        <v>0</v>
      </c>
      <c r="KB28" s="531"/>
      <c r="KC28" s="533" t="str">
        <f t="shared" si="100"/>
        <v>0</v>
      </c>
      <c r="KD28" s="533" t="str">
        <f t="shared" si="101"/>
        <v>0</v>
      </c>
      <c r="KE28" s="531"/>
      <c r="KF28" s="533" t="str">
        <f t="shared" si="102"/>
        <v>0</v>
      </c>
      <c r="KG28" s="533" t="str">
        <f t="shared" si="103"/>
        <v>0</v>
      </c>
      <c r="KH28" s="531"/>
      <c r="KI28" s="533" t="str">
        <f t="shared" si="104"/>
        <v>0</v>
      </c>
      <c r="KJ28" s="533" t="str">
        <f t="shared" si="105"/>
        <v>0</v>
      </c>
      <c r="KK28" s="531"/>
      <c r="KL28" s="533" t="str">
        <f t="shared" si="106"/>
        <v>0</v>
      </c>
      <c r="KM28" s="533" t="str">
        <f t="shared" si="107"/>
        <v>0</v>
      </c>
      <c r="KN28" s="531"/>
      <c r="KO28" s="533" t="str">
        <f t="shared" si="108"/>
        <v>0</v>
      </c>
      <c r="KP28" s="533" t="str">
        <f t="shared" si="109"/>
        <v>0</v>
      </c>
      <c r="KQ28" s="531"/>
      <c r="KR28" s="533" t="str">
        <f t="shared" si="110"/>
        <v>0</v>
      </c>
      <c r="KS28" s="533" t="str">
        <f t="shared" si="111"/>
        <v>0</v>
      </c>
      <c r="KT28" s="533">
        <f t="shared" si="201"/>
        <v>0</v>
      </c>
      <c r="KU28" s="533">
        <f t="shared" si="202"/>
        <v>0</v>
      </c>
      <c r="KV28" s="271">
        <f t="shared" si="112"/>
        <v>1443.6732021366365</v>
      </c>
    </row>
    <row r="29" spans="1:309" ht="15" customHeight="1">
      <c r="A29" s="273">
        <f t="shared" si="200"/>
        <v>46043</v>
      </c>
      <c r="B29" s="274" t="str">
        <f>+Report1!B29</f>
        <v>Toilet</v>
      </c>
      <c r="C29" s="274" t="str">
        <f>+Report1!C29</f>
        <v>15/13,5/13</v>
      </c>
      <c r="D29" s="275">
        <f>+Report1!P29</f>
        <v>52.666000000000004</v>
      </c>
      <c r="E29" s="276">
        <f>+Report1!R29</f>
        <v>50.985999999999997</v>
      </c>
      <c r="F29" s="531"/>
      <c r="G29" s="532">
        <f t="shared" si="0"/>
        <v>0</v>
      </c>
      <c r="H29" s="533">
        <f t="shared" si="113"/>
        <v>0</v>
      </c>
      <c r="I29" s="531"/>
      <c r="J29" s="532">
        <f t="shared" si="1"/>
        <v>0</v>
      </c>
      <c r="K29" s="533">
        <f t="shared" si="114"/>
        <v>0</v>
      </c>
      <c r="L29" s="531"/>
      <c r="M29" s="532">
        <f t="shared" si="2"/>
        <v>0</v>
      </c>
      <c r="N29" s="533">
        <f t="shared" si="115"/>
        <v>0</v>
      </c>
      <c r="O29" s="531">
        <v>9</v>
      </c>
      <c r="P29" s="532">
        <f t="shared" si="3"/>
        <v>0.17651904444357275</v>
      </c>
      <c r="Q29" s="533">
        <f t="shared" si="116"/>
        <v>0</v>
      </c>
      <c r="R29" s="531"/>
      <c r="S29" s="532">
        <f t="shared" si="4"/>
        <v>0</v>
      </c>
      <c r="T29" s="533">
        <f t="shared" si="117"/>
        <v>0</v>
      </c>
      <c r="U29" s="531">
        <v>5.125</v>
      </c>
      <c r="V29" s="532">
        <f t="shared" si="5"/>
        <v>0.10051778919703448</v>
      </c>
      <c r="W29" s="533">
        <f t="shared" si="118"/>
        <v>0</v>
      </c>
      <c r="X29" s="531"/>
      <c r="Y29" s="532">
        <f t="shared" si="6"/>
        <v>0</v>
      </c>
      <c r="Z29" s="533">
        <f t="shared" si="119"/>
        <v>0</v>
      </c>
      <c r="AA29" s="531"/>
      <c r="AB29" s="532">
        <f t="shared" si="7"/>
        <v>0</v>
      </c>
      <c r="AC29" s="533">
        <f t="shared" si="120"/>
        <v>0</v>
      </c>
      <c r="AD29" s="531"/>
      <c r="AE29" s="532">
        <f t="shared" si="8"/>
        <v>0</v>
      </c>
      <c r="AF29" s="533">
        <f t="shared" si="121"/>
        <v>0</v>
      </c>
      <c r="AG29" s="531"/>
      <c r="AH29" s="532">
        <f t="shared" si="9"/>
        <v>0</v>
      </c>
      <c r="AI29" s="533">
        <f t="shared" si="122"/>
        <v>0</v>
      </c>
      <c r="AJ29" s="531">
        <v>11.75</v>
      </c>
      <c r="AK29" s="532">
        <f t="shared" si="10"/>
        <v>0.23045541913466444</v>
      </c>
      <c r="AL29" s="533">
        <f t="shared" si="123"/>
        <v>0</v>
      </c>
      <c r="AM29" s="531"/>
      <c r="AN29" s="532">
        <f t="shared" si="11"/>
        <v>0</v>
      </c>
      <c r="AO29" s="533">
        <f t="shared" si="124"/>
        <v>0</v>
      </c>
      <c r="AP29" s="531"/>
      <c r="AQ29" s="532">
        <f t="shared" si="12"/>
        <v>0</v>
      </c>
      <c r="AR29" s="533">
        <f t="shared" si="125"/>
        <v>0</v>
      </c>
      <c r="AS29" s="531"/>
      <c r="AT29" s="532">
        <f t="shared" si="13"/>
        <v>0</v>
      </c>
      <c r="AU29" s="533">
        <f t="shared" si="126"/>
        <v>0</v>
      </c>
      <c r="AV29" s="531"/>
      <c r="AW29" s="532">
        <f t="shared" si="14"/>
        <v>0</v>
      </c>
      <c r="AX29" s="533">
        <f t="shared" si="127"/>
        <v>0</v>
      </c>
      <c r="AY29" s="531"/>
      <c r="AZ29" s="532">
        <f t="shared" si="15"/>
        <v>0</v>
      </c>
      <c r="BA29" s="533">
        <f t="shared" si="128"/>
        <v>0</v>
      </c>
      <c r="BB29" s="531"/>
      <c r="BC29" s="532">
        <f t="shared" si="16"/>
        <v>0</v>
      </c>
      <c r="BD29" s="533">
        <f t="shared" si="129"/>
        <v>0</v>
      </c>
      <c r="BE29" s="531"/>
      <c r="BF29" s="532">
        <f t="shared" si="17"/>
        <v>0</v>
      </c>
      <c r="BG29" s="533">
        <f t="shared" si="130"/>
        <v>0</v>
      </c>
      <c r="BH29" s="531"/>
      <c r="BI29" s="532">
        <f t="shared" si="18"/>
        <v>0</v>
      </c>
      <c r="BJ29" s="533">
        <f t="shared" si="131"/>
        <v>0</v>
      </c>
      <c r="BK29" s="531"/>
      <c r="BL29" s="532">
        <f t="shared" si="19"/>
        <v>0</v>
      </c>
      <c r="BM29" s="533">
        <f t="shared" si="132"/>
        <v>0</v>
      </c>
      <c r="BN29" s="531"/>
      <c r="BO29" s="532">
        <f t="shared" si="20"/>
        <v>0</v>
      </c>
      <c r="BP29" s="533">
        <f t="shared" si="133"/>
        <v>0</v>
      </c>
      <c r="BQ29" s="531"/>
      <c r="BR29" s="532">
        <f t="shared" si="21"/>
        <v>0</v>
      </c>
      <c r="BS29" s="533">
        <f t="shared" si="134"/>
        <v>0</v>
      </c>
      <c r="BT29" s="531"/>
      <c r="BU29" s="532">
        <f t="shared" si="22"/>
        <v>0</v>
      </c>
      <c r="BV29" s="533">
        <f t="shared" si="135"/>
        <v>0</v>
      </c>
      <c r="BW29" s="531"/>
      <c r="BX29" s="532">
        <f t="shared" si="23"/>
        <v>0</v>
      </c>
      <c r="BY29" s="533">
        <f t="shared" si="136"/>
        <v>0</v>
      </c>
      <c r="BZ29" s="531"/>
      <c r="CA29" s="532">
        <f t="shared" si="24"/>
        <v>0</v>
      </c>
      <c r="CB29" s="533">
        <f t="shared" si="137"/>
        <v>0</v>
      </c>
      <c r="CC29" s="531"/>
      <c r="CD29" s="532">
        <f t="shared" si="25"/>
        <v>0</v>
      </c>
      <c r="CE29" s="533">
        <f t="shared" si="138"/>
        <v>0</v>
      </c>
      <c r="CF29" s="531">
        <v>5</v>
      </c>
      <c r="CG29" s="532">
        <f t="shared" si="26"/>
        <v>9.8066135801984866E-2</v>
      </c>
      <c r="CH29" s="533">
        <f t="shared" si="139"/>
        <v>0</v>
      </c>
      <c r="CI29" s="531"/>
      <c r="CJ29" s="532">
        <f t="shared" si="27"/>
        <v>0</v>
      </c>
      <c r="CK29" s="533">
        <f t="shared" si="140"/>
        <v>0</v>
      </c>
      <c r="CL29" s="531"/>
      <c r="CM29" s="532">
        <f t="shared" si="28"/>
        <v>0</v>
      </c>
      <c r="CN29" s="533">
        <f t="shared" si="141"/>
        <v>0</v>
      </c>
      <c r="CO29" s="531"/>
      <c r="CP29" s="532">
        <f t="shared" si="29"/>
        <v>0</v>
      </c>
      <c r="CQ29" s="533">
        <f t="shared" si="142"/>
        <v>0</v>
      </c>
      <c r="CR29" s="531">
        <v>1</v>
      </c>
      <c r="CS29" s="532">
        <f t="shared" si="30"/>
        <v>1.9613227160396974E-2</v>
      </c>
      <c r="CT29" s="533">
        <f t="shared" si="143"/>
        <v>0</v>
      </c>
      <c r="CU29" s="531"/>
      <c r="CV29" s="532">
        <f t="shared" si="31"/>
        <v>0</v>
      </c>
      <c r="CW29" s="533">
        <f t="shared" si="144"/>
        <v>0</v>
      </c>
      <c r="CX29" s="531"/>
      <c r="CY29" s="532">
        <f t="shared" si="32"/>
        <v>0</v>
      </c>
      <c r="CZ29" s="533">
        <f t="shared" si="145"/>
        <v>0</v>
      </c>
      <c r="DA29" s="531">
        <v>188.95348837209303</v>
      </c>
      <c r="DB29" s="532">
        <f t="shared" si="33"/>
        <v>3.7059876901912885</v>
      </c>
      <c r="DC29" s="533">
        <f t="shared" si="146"/>
        <v>0</v>
      </c>
      <c r="DD29" s="531"/>
      <c r="DE29" s="532">
        <f t="shared" si="34"/>
        <v>0</v>
      </c>
      <c r="DF29" s="533">
        <f t="shared" si="147"/>
        <v>0</v>
      </c>
      <c r="DG29" s="531"/>
      <c r="DH29" s="532">
        <f t="shared" si="35"/>
        <v>0</v>
      </c>
      <c r="DI29" s="533">
        <f t="shared" si="203"/>
        <v>0</v>
      </c>
      <c r="DJ29" s="531"/>
      <c r="DK29" s="532">
        <f t="shared" si="36"/>
        <v>0</v>
      </c>
      <c r="DL29" s="533">
        <f t="shared" si="148"/>
        <v>0</v>
      </c>
      <c r="DM29" s="531"/>
      <c r="DN29" s="532">
        <f t="shared" si="37"/>
        <v>0</v>
      </c>
      <c r="DO29" s="533">
        <f t="shared" si="149"/>
        <v>0</v>
      </c>
      <c r="DP29" s="531"/>
      <c r="DQ29" s="532">
        <f t="shared" si="38"/>
        <v>0</v>
      </c>
      <c r="DR29" s="533">
        <f t="shared" si="150"/>
        <v>0</v>
      </c>
      <c r="DS29" s="531"/>
      <c r="DT29" s="532">
        <f t="shared" si="39"/>
        <v>0</v>
      </c>
      <c r="DU29" s="533">
        <f t="shared" si="151"/>
        <v>0</v>
      </c>
      <c r="DV29" s="531"/>
      <c r="DW29" s="532">
        <f t="shared" si="40"/>
        <v>0</v>
      </c>
      <c r="DX29" s="533">
        <f t="shared" si="152"/>
        <v>0</v>
      </c>
      <c r="DY29" s="531"/>
      <c r="DZ29" s="532">
        <f t="shared" si="41"/>
        <v>0</v>
      </c>
      <c r="EA29" s="533">
        <f t="shared" si="153"/>
        <v>0</v>
      </c>
      <c r="EB29" s="531"/>
      <c r="EC29" s="532">
        <f t="shared" si="42"/>
        <v>0</v>
      </c>
      <c r="ED29" s="533">
        <f t="shared" si="154"/>
        <v>0</v>
      </c>
      <c r="EE29" s="531">
        <v>176.11764705882354</v>
      </c>
      <c r="EF29" s="532">
        <f t="shared" si="43"/>
        <v>3.4542354187193256</v>
      </c>
      <c r="EG29" s="533">
        <f t="shared" si="155"/>
        <v>0</v>
      </c>
      <c r="EH29" s="531">
        <v>2</v>
      </c>
      <c r="EI29" s="532">
        <f t="shared" si="44"/>
        <v>3.9226454320793948E-2</v>
      </c>
      <c r="EJ29" s="533">
        <f t="shared" si="156"/>
        <v>0</v>
      </c>
      <c r="EK29" s="531">
        <v>36.585365853658459</v>
      </c>
      <c r="EL29" s="532">
        <f t="shared" si="45"/>
        <v>0.71755709123403411</v>
      </c>
      <c r="EM29" s="533">
        <f t="shared" si="157"/>
        <v>0</v>
      </c>
      <c r="EN29" s="531"/>
      <c r="EO29" s="532">
        <f t="shared" si="46"/>
        <v>0</v>
      </c>
      <c r="EP29" s="533">
        <f t="shared" si="158"/>
        <v>0</v>
      </c>
      <c r="EQ29" s="531">
        <v>59.302325581395394</v>
      </c>
      <c r="ER29" s="532">
        <f t="shared" si="47"/>
        <v>1.1631099827677283</v>
      </c>
      <c r="ES29" s="533">
        <f t="shared" si="159"/>
        <v>0</v>
      </c>
      <c r="ET29" s="531">
        <v>14.534883720930225</v>
      </c>
      <c r="EU29" s="532">
        <f t="shared" si="48"/>
        <v>0.28507597616856051</v>
      </c>
      <c r="EV29" s="533">
        <f t="shared" si="160"/>
        <v>0</v>
      </c>
      <c r="EW29" s="531"/>
      <c r="EX29" s="532">
        <f t="shared" si="49"/>
        <v>0</v>
      </c>
      <c r="EY29" s="533">
        <f t="shared" si="161"/>
        <v>0</v>
      </c>
      <c r="EZ29" s="531"/>
      <c r="FA29" s="532">
        <f t="shared" si="50"/>
        <v>0</v>
      </c>
      <c r="FB29" s="533">
        <f t="shared" si="162"/>
        <v>0</v>
      </c>
      <c r="FC29" s="531"/>
      <c r="FD29" s="532">
        <f t="shared" si="51"/>
        <v>0</v>
      </c>
      <c r="FE29" s="533">
        <f t="shared" si="163"/>
        <v>0</v>
      </c>
      <c r="FF29" s="531"/>
      <c r="FG29" s="532">
        <f t="shared" si="52"/>
        <v>0</v>
      </c>
      <c r="FH29" s="533">
        <f t="shared" si="164"/>
        <v>0</v>
      </c>
      <c r="FI29" s="531"/>
      <c r="FJ29" s="532">
        <f t="shared" si="53"/>
        <v>0</v>
      </c>
      <c r="FK29" s="533">
        <f t="shared" si="165"/>
        <v>0</v>
      </c>
      <c r="FL29" s="531"/>
      <c r="FM29" s="532">
        <f t="shared" si="54"/>
        <v>0</v>
      </c>
      <c r="FN29" s="533">
        <f t="shared" si="166"/>
        <v>0</v>
      </c>
      <c r="FO29" s="531"/>
      <c r="FP29" s="532">
        <f t="shared" si="55"/>
        <v>0</v>
      </c>
      <c r="FQ29" s="533">
        <f t="shared" si="167"/>
        <v>0</v>
      </c>
      <c r="FR29" s="531"/>
      <c r="FS29" s="532">
        <f t="shared" si="56"/>
        <v>0</v>
      </c>
      <c r="FT29" s="533">
        <f t="shared" si="168"/>
        <v>0</v>
      </c>
      <c r="FU29" s="531"/>
      <c r="FV29" s="532">
        <f t="shared" si="57"/>
        <v>0</v>
      </c>
      <c r="FW29" s="533">
        <f t="shared" si="169"/>
        <v>0</v>
      </c>
      <c r="FX29" s="531"/>
      <c r="FY29" s="532">
        <f t="shared" si="58"/>
        <v>0</v>
      </c>
      <c r="FZ29" s="533">
        <f t="shared" si="170"/>
        <v>0</v>
      </c>
      <c r="GA29" s="531"/>
      <c r="GB29" s="532">
        <f t="shared" si="59"/>
        <v>0</v>
      </c>
      <c r="GC29" s="533">
        <f t="shared" si="171"/>
        <v>0</v>
      </c>
      <c r="GD29" s="531">
        <v>2.3666495906243541</v>
      </c>
      <c r="GE29" s="532">
        <f t="shared" si="60"/>
        <v>4.6417636029975957E-2</v>
      </c>
      <c r="GF29" s="533">
        <f t="shared" si="172"/>
        <v>0</v>
      </c>
      <c r="GG29" s="531">
        <v>14.199897543746125</v>
      </c>
      <c r="GH29" s="532">
        <f t="shared" si="61"/>
        <v>0.27850581617985576</v>
      </c>
      <c r="GI29" s="533">
        <f t="shared" si="173"/>
        <v>0</v>
      </c>
      <c r="GJ29" s="531">
        <v>14.199897543746125</v>
      </c>
      <c r="GK29" s="532">
        <f t="shared" si="62"/>
        <v>0.27850581617985576</v>
      </c>
      <c r="GL29" s="533">
        <f t="shared" si="174"/>
        <v>0</v>
      </c>
      <c r="GM29" s="531">
        <v>4.7332991812487082</v>
      </c>
      <c r="GN29" s="532">
        <f t="shared" ref="GN29" si="212">+GM29/$E29</f>
        <v>9.2835272059951915E-2</v>
      </c>
      <c r="GO29" s="533">
        <f t="shared" ref="GO29" si="213">+GM29*$H$8</f>
        <v>0</v>
      </c>
      <c r="GP29" s="531">
        <v>21.299846315619188</v>
      </c>
      <c r="GQ29" s="532">
        <f t="shared" ref="GQ29" si="214">+GP29/$E29</f>
        <v>0.41775872426978367</v>
      </c>
      <c r="GR29" s="533">
        <f t="shared" ref="GR29" si="215">+GP29*$H$8</f>
        <v>0</v>
      </c>
      <c r="GS29" s="531">
        <v>151.46557379995866</v>
      </c>
      <c r="GT29" s="532">
        <f t="shared" ref="GT29" si="216">+GS29/$E29</f>
        <v>2.9707287059184613</v>
      </c>
      <c r="GU29" s="533">
        <f t="shared" ref="GU29" si="217">+GS29*$H$8</f>
        <v>0</v>
      </c>
      <c r="GV29" s="531">
        <v>30.766444678116606</v>
      </c>
      <c r="GW29" s="532">
        <f t="shared" ref="GW29" si="218">+GV29/$E29</f>
        <v>0.60342926838968758</v>
      </c>
      <c r="GX29" s="533">
        <f t="shared" ref="GX29" si="219">+GV29*$H$8</f>
        <v>0</v>
      </c>
      <c r="GY29" s="531"/>
      <c r="GZ29" s="532">
        <f t="shared" ref="GZ29" si="220">+GY29/$E29</f>
        <v>0</v>
      </c>
      <c r="HA29" s="533">
        <f t="shared" ref="HA29" si="221">+GY29*$H$8</f>
        <v>0</v>
      </c>
      <c r="HB29" s="531"/>
      <c r="HC29" s="532">
        <f t="shared" ref="HC29:HC32" si="222">+HB29/$E29</f>
        <v>0</v>
      </c>
      <c r="HD29" s="533">
        <f t="shared" ref="HD29:HD32" si="223">+HB29*$H$8</f>
        <v>0</v>
      </c>
      <c r="HE29" s="531"/>
      <c r="HF29" s="532">
        <f t="shared" ref="HF29:HF32" si="224">+HE29/$E29</f>
        <v>0</v>
      </c>
      <c r="HG29" s="533">
        <f t="shared" ref="HG29:HG32" si="225">+HE29*$H$8</f>
        <v>0</v>
      </c>
      <c r="HH29" s="531"/>
      <c r="HI29" s="532">
        <f t="shared" ref="HI29:HI32" si="226">+HH29/$E29</f>
        <v>0</v>
      </c>
      <c r="HJ29" s="533">
        <f t="shared" ref="HJ29:HJ32" si="227">+HH29*$H$8</f>
        <v>0</v>
      </c>
      <c r="HK29" s="531"/>
      <c r="HL29" s="532">
        <f t="shared" ref="HL29:HL32" si="228">+HK29/$E29</f>
        <v>0</v>
      </c>
      <c r="HM29" s="533">
        <f t="shared" si="183"/>
        <v>0</v>
      </c>
      <c r="HN29" s="531">
        <v>569.88922142234446</v>
      </c>
      <c r="HO29" s="532">
        <f t="shared" si="72"/>
        <v>11.177366756018211</v>
      </c>
      <c r="HP29" s="533">
        <f t="shared" si="184"/>
        <v>0</v>
      </c>
      <c r="HQ29" s="531"/>
      <c r="HR29" s="532">
        <f t="shared" si="73"/>
        <v>0</v>
      </c>
      <c r="HS29" s="533">
        <f t="shared" si="185"/>
        <v>0</v>
      </c>
      <c r="HT29" s="531"/>
      <c r="HU29" s="532">
        <f t="shared" si="74"/>
        <v>0</v>
      </c>
      <c r="HV29" s="533">
        <f t="shared" si="186"/>
        <v>0</v>
      </c>
      <c r="HW29" s="531"/>
      <c r="HX29" s="532">
        <f t="shared" si="75"/>
        <v>0</v>
      </c>
      <c r="HY29" s="533">
        <f t="shared" si="187"/>
        <v>0</v>
      </c>
      <c r="HZ29" s="531"/>
      <c r="IA29" s="532">
        <f t="shared" si="76"/>
        <v>0</v>
      </c>
      <c r="IB29" s="533">
        <f t="shared" si="188"/>
        <v>0</v>
      </c>
      <c r="IC29" s="531"/>
      <c r="ID29" s="532">
        <f t="shared" si="77"/>
        <v>0</v>
      </c>
      <c r="IE29" s="533">
        <f t="shared" si="189"/>
        <v>0</v>
      </c>
      <c r="IF29" s="531"/>
      <c r="IG29" s="532">
        <f t="shared" si="78"/>
        <v>0</v>
      </c>
      <c r="IH29" s="533">
        <f t="shared" si="190"/>
        <v>0</v>
      </c>
      <c r="II29" s="531">
        <v>18.933196724994833</v>
      </c>
      <c r="IJ29" s="532">
        <f t="shared" si="79"/>
        <v>0.37134108823980766</v>
      </c>
      <c r="IK29" s="533">
        <f t="shared" si="191"/>
        <v>0</v>
      </c>
      <c r="IL29" s="531"/>
      <c r="IM29" s="532">
        <f t="shared" si="80"/>
        <v>0</v>
      </c>
      <c r="IN29" s="533">
        <f t="shared" si="192"/>
        <v>0</v>
      </c>
      <c r="IO29" s="531"/>
      <c r="IP29" s="532">
        <f t="shared" si="81"/>
        <v>0</v>
      </c>
      <c r="IQ29" s="533">
        <f t="shared" si="193"/>
        <v>0</v>
      </c>
      <c r="IR29" s="531">
        <v>56.799590174984502</v>
      </c>
      <c r="IS29" s="532">
        <f t="shared" si="82"/>
        <v>1.114023264719423</v>
      </c>
      <c r="IT29" s="533">
        <f t="shared" si="194"/>
        <v>0</v>
      </c>
      <c r="IU29" s="531"/>
      <c r="IV29" s="532">
        <f t="shared" si="83"/>
        <v>0</v>
      </c>
      <c r="IW29" s="533">
        <f t="shared" si="195"/>
        <v>0</v>
      </c>
      <c r="IX29" s="531"/>
      <c r="IY29" s="532">
        <f t="shared" si="84"/>
        <v>0</v>
      </c>
      <c r="IZ29" s="533">
        <f t="shared" si="196"/>
        <v>0</v>
      </c>
      <c r="JA29" s="531"/>
      <c r="JB29" s="532">
        <f t="shared" si="85"/>
        <v>0</v>
      </c>
      <c r="JC29" s="533">
        <f t="shared" si="197"/>
        <v>0</v>
      </c>
      <c r="JD29" s="531"/>
      <c r="JE29" s="532">
        <f t="shared" si="86"/>
        <v>0</v>
      </c>
      <c r="JF29" s="533">
        <f t="shared" si="198"/>
        <v>0</v>
      </c>
      <c r="JG29" s="531">
        <v>23.666495906243544</v>
      </c>
      <c r="JH29" s="532">
        <f t="shared" si="87"/>
        <v>0.46417636029975962</v>
      </c>
      <c r="JI29" s="533">
        <f t="shared" si="199"/>
        <v>0</v>
      </c>
      <c r="JJ29" s="531">
        <v>40.233043040614021</v>
      </c>
      <c r="JK29" s="533" t="str">
        <f t="shared" si="88"/>
        <v>0</v>
      </c>
      <c r="JL29" s="533" t="str">
        <f t="shared" si="89"/>
        <v>0</v>
      </c>
      <c r="JM29" s="531"/>
      <c r="JN29" s="533" t="str">
        <f t="shared" si="90"/>
        <v>0</v>
      </c>
      <c r="JO29" s="533" t="str">
        <f t="shared" si="91"/>
        <v>0</v>
      </c>
      <c r="JP29" s="531"/>
      <c r="JQ29" s="533" t="str">
        <f t="shared" si="92"/>
        <v>0</v>
      </c>
      <c r="JR29" s="533" t="str">
        <f t="shared" si="93"/>
        <v>0</v>
      </c>
      <c r="JS29" s="531"/>
      <c r="JT29" s="533" t="str">
        <f t="shared" si="94"/>
        <v>0</v>
      </c>
      <c r="JU29" s="533" t="str">
        <f t="shared" si="95"/>
        <v>0</v>
      </c>
      <c r="JV29" s="531"/>
      <c r="JW29" s="533" t="str">
        <f t="shared" si="96"/>
        <v>0</v>
      </c>
      <c r="JX29" s="533" t="str">
        <f t="shared" si="97"/>
        <v>0</v>
      </c>
      <c r="JY29" s="531"/>
      <c r="JZ29" s="533" t="str">
        <f t="shared" si="98"/>
        <v>0</v>
      </c>
      <c r="KA29" s="533" t="str">
        <f t="shared" si="99"/>
        <v>0</v>
      </c>
      <c r="KB29" s="531"/>
      <c r="KC29" s="533" t="str">
        <f t="shared" si="100"/>
        <v>0</v>
      </c>
      <c r="KD29" s="533" t="str">
        <f t="shared" si="101"/>
        <v>0</v>
      </c>
      <c r="KE29" s="531"/>
      <c r="KF29" s="533" t="str">
        <f t="shared" si="102"/>
        <v>0</v>
      </c>
      <c r="KG29" s="533" t="str">
        <f t="shared" si="103"/>
        <v>0</v>
      </c>
      <c r="KH29" s="531"/>
      <c r="KI29" s="533" t="str">
        <f t="shared" si="104"/>
        <v>0</v>
      </c>
      <c r="KJ29" s="533" t="str">
        <f t="shared" si="105"/>
        <v>0</v>
      </c>
      <c r="KK29" s="531"/>
      <c r="KL29" s="533" t="str">
        <f t="shared" si="106"/>
        <v>0</v>
      </c>
      <c r="KM29" s="533" t="str">
        <f t="shared" si="107"/>
        <v>0</v>
      </c>
      <c r="KN29" s="531"/>
      <c r="KO29" s="533" t="str">
        <f t="shared" si="108"/>
        <v>0</v>
      </c>
      <c r="KP29" s="533" t="str">
        <f t="shared" si="109"/>
        <v>0</v>
      </c>
      <c r="KQ29" s="531"/>
      <c r="KR29" s="533" t="str">
        <f t="shared" si="110"/>
        <v>0</v>
      </c>
      <c r="KS29" s="533" t="str">
        <f t="shared" si="111"/>
        <v>0</v>
      </c>
      <c r="KT29" s="533">
        <f t="shared" si="201"/>
        <v>0</v>
      </c>
      <c r="KU29" s="533">
        <f t="shared" si="202"/>
        <v>0</v>
      </c>
      <c r="KV29" s="271">
        <f t="shared" si="112"/>
        <v>1457.9218665091421</v>
      </c>
    </row>
    <row r="30" spans="1:309" ht="15" customHeight="1">
      <c r="A30" s="273">
        <f t="shared" si="200"/>
        <v>46044</v>
      </c>
      <c r="B30" s="274" t="str">
        <f>+Report1!B30</f>
        <v>Toilet</v>
      </c>
      <c r="C30" s="274" t="str">
        <f>+Report1!C30</f>
        <v>13</v>
      </c>
      <c r="D30" s="275">
        <f>+Report1!P30</f>
        <v>49.217999999999996</v>
      </c>
      <c r="E30" s="276">
        <f>+Report1!R30</f>
        <v>48.567</v>
      </c>
      <c r="F30" s="531"/>
      <c r="G30" s="532">
        <f t="shared" si="0"/>
        <v>0</v>
      </c>
      <c r="H30" s="533">
        <f t="shared" si="113"/>
        <v>0</v>
      </c>
      <c r="I30" s="531"/>
      <c r="J30" s="532">
        <f t="shared" si="1"/>
        <v>0</v>
      </c>
      <c r="K30" s="533">
        <f t="shared" si="114"/>
        <v>0</v>
      </c>
      <c r="L30" s="531"/>
      <c r="M30" s="532">
        <f t="shared" si="2"/>
        <v>0</v>
      </c>
      <c r="N30" s="533">
        <f t="shared" si="115"/>
        <v>0</v>
      </c>
      <c r="O30" s="531">
        <v>9</v>
      </c>
      <c r="P30" s="532">
        <f t="shared" si="3"/>
        <v>0.18531101365124467</v>
      </c>
      <c r="Q30" s="533">
        <f t="shared" si="116"/>
        <v>0</v>
      </c>
      <c r="R30" s="531"/>
      <c r="S30" s="532">
        <f t="shared" si="4"/>
        <v>0</v>
      </c>
      <c r="T30" s="533">
        <f t="shared" si="117"/>
        <v>0</v>
      </c>
      <c r="U30" s="531">
        <v>5.1249999999999982</v>
      </c>
      <c r="V30" s="532">
        <f t="shared" si="5"/>
        <v>0.10552432721806984</v>
      </c>
      <c r="W30" s="533">
        <f t="shared" si="118"/>
        <v>0</v>
      </c>
      <c r="X30" s="531"/>
      <c r="Y30" s="532">
        <f t="shared" si="6"/>
        <v>0</v>
      </c>
      <c r="Z30" s="533">
        <f t="shared" si="119"/>
        <v>0</v>
      </c>
      <c r="AA30" s="531"/>
      <c r="AB30" s="532">
        <f t="shared" si="7"/>
        <v>0</v>
      </c>
      <c r="AC30" s="533">
        <f t="shared" si="120"/>
        <v>0</v>
      </c>
      <c r="AD30" s="531"/>
      <c r="AE30" s="532">
        <f t="shared" si="8"/>
        <v>0</v>
      </c>
      <c r="AF30" s="533">
        <f t="shared" si="121"/>
        <v>0</v>
      </c>
      <c r="AG30" s="531"/>
      <c r="AH30" s="532">
        <f t="shared" si="9"/>
        <v>0</v>
      </c>
      <c r="AI30" s="533">
        <f t="shared" si="122"/>
        <v>0</v>
      </c>
      <c r="AJ30" s="531">
        <v>14.6875</v>
      </c>
      <c r="AK30" s="532">
        <f t="shared" si="10"/>
        <v>0.30241727922251732</v>
      </c>
      <c r="AL30" s="533">
        <f t="shared" si="123"/>
        <v>0</v>
      </c>
      <c r="AM30" s="531"/>
      <c r="AN30" s="532">
        <f t="shared" si="11"/>
        <v>0</v>
      </c>
      <c r="AO30" s="533">
        <f t="shared" si="124"/>
        <v>0</v>
      </c>
      <c r="AP30" s="531"/>
      <c r="AQ30" s="532">
        <f t="shared" si="12"/>
        <v>0</v>
      </c>
      <c r="AR30" s="533">
        <f t="shared" si="125"/>
        <v>0</v>
      </c>
      <c r="AS30" s="531"/>
      <c r="AT30" s="532">
        <f t="shared" si="13"/>
        <v>0</v>
      </c>
      <c r="AU30" s="533">
        <f t="shared" si="126"/>
        <v>0</v>
      </c>
      <c r="AV30" s="531"/>
      <c r="AW30" s="532">
        <f t="shared" si="14"/>
        <v>0</v>
      </c>
      <c r="AX30" s="533">
        <f t="shared" si="127"/>
        <v>0</v>
      </c>
      <c r="AY30" s="531"/>
      <c r="AZ30" s="532">
        <f t="shared" si="15"/>
        <v>0</v>
      </c>
      <c r="BA30" s="533">
        <f t="shared" si="128"/>
        <v>0</v>
      </c>
      <c r="BB30" s="531"/>
      <c r="BC30" s="532">
        <f t="shared" si="16"/>
        <v>0</v>
      </c>
      <c r="BD30" s="533">
        <f t="shared" si="129"/>
        <v>0</v>
      </c>
      <c r="BE30" s="531"/>
      <c r="BF30" s="532">
        <f t="shared" si="17"/>
        <v>0</v>
      </c>
      <c r="BG30" s="533">
        <f t="shared" si="130"/>
        <v>0</v>
      </c>
      <c r="BH30" s="531"/>
      <c r="BI30" s="532">
        <f t="shared" si="18"/>
        <v>0</v>
      </c>
      <c r="BJ30" s="533">
        <f t="shared" si="131"/>
        <v>0</v>
      </c>
      <c r="BK30" s="531"/>
      <c r="BL30" s="532">
        <f t="shared" si="19"/>
        <v>0</v>
      </c>
      <c r="BM30" s="533">
        <f t="shared" si="132"/>
        <v>0</v>
      </c>
      <c r="BN30" s="531"/>
      <c r="BO30" s="532">
        <f t="shared" si="20"/>
        <v>0</v>
      </c>
      <c r="BP30" s="533">
        <f t="shared" si="133"/>
        <v>0</v>
      </c>
      <c r="BQ30" s="531"/>
      <c r="BR30" s="532">
        <f t="shared" si="21"/>
        <v>0</v>
      </c>
      <c r="BS30" s="533">
        <f t="shared" si="134"/>
        <v>0</v>
      </c>
      <c r="BT30" s="531"/>
      <c r="BU30" s="532">
        <f t="shared" si="22"/>
        <v>0</v>
      </c>
      <c r="BV30" s="533">
        <f t="shared" si="135"/>
        <v>0</v>
      </c>
      <c r="BW30" s="531"/>
      <c r="BX30" s="532">
        <f t="shared" si="23"/>
        <v>0</v>
      </c>
      <c r="BY30" s="533">
        <f t="shared" si="136"/>
        <v>0</v>
      </c>
      <c r="BZ30" s="531"/>
      <c r="CA30" s="532">
        <f t="shared" si="24"/>
        <v>0</v>
      </c>
      <c r="CB30" s="533">
        <f t="shared" si="137"/>
        <v>0</v>
      </c>
      <c r="CC30" s="531"/>
      <c r="CD30" s="532">
        <f t="shared" si="25"/>
        <v>0</v>
      </c>
      <c r="CE30" s="533">
        <f t="shared" si="138"/>
        <v>0</v>
      </c>
      <c r="CF30" s="531">
        <v>5</v>
      </c>
      <c r="CG30" s="532">
        <f t="shared" si="26"/>
        <v>0.10295056313958037</v>
      </c>
      <c r="CH30" s="533">
        <f t="shared" si="139"/>
        <v>0</v>
      </c>
      <c r="CI30" s="531"/>
      <c r="CJ30" s="532">
        <f t="shared" si="27"/>
        <v>0</v>
      </c>
      <c r="CK30" s="533">
        <f t="shared" si="140"/>
        <v>0</v>
      </c>
      <c r="CL30" s="531"/>
      <c r="CM30" s="532">
        <f t="shared" si="28"/>
        <v>0</v>
      </c>
      <c r="CN30" s="533">
        <f t="shared" si="141"/>
        <v>0</v>
      </c>
      <c r="CO30" s="531"/>
      <c r="CP30" s="532">
        <f t="shared" si="29"/>
        <v>0</v>
      </c>
      <c r="CQ30" s="533">
        <f t="shared" si="142"/>
        <v>0</v>
      </c>
      <c r="CR30" s="531">
        <v>1</v>
      </c>
      <c r="CS30" s="532">
        <f t="shared" si="30"/>
        <v>2.0590112627916074E-2</v>
      </c>
      <c r="CT30" s="533">
        <f t="shared" si="143"/>
        <v>0</v>
      </c>
      <c r="CU30" s="531"/>
      <c r="CV30" s="532">
        <f t="shared" si="31"/>
        <v>0</v>
      </c>
      <c r="CW30" s="533">
        <f t="shared" si="144"/>
        <v>0</v>
      </c>
      <c r="CX30" s="531"/>
      <c r="CY30" s="532">
        <f t="shared" si="32"/>
        <v>0</v>
      </c>
      <c r="CZ30" s="533">
        <f t="shared" si="145"/>
        <v>0</v>
      </c>
      <c r="DA30" s="531">
        <v>188.95348837209303</v>
      </c>
      <c r="DB30" s="532">
        <f t="shared" si="33"/>
        <v>3.890573607019026</v>
      </c>
      <c r="DC30" s="533">
        <f t="shared" si="146"/>
        <v>0</v>
      </c>
      <c r="DD30" s="531"/>
      <c r="DE30" s="532">
        <f t="shared" si="34"/>
        <v>0</v>
      </c>
      <c r="DF30" s="533">
        <f t="shared" si="147"/>
        <v>0</v>
      </c>
      <c r="DG30" s="531"/>
      <c r="DH30" s="532">
        <f t="shared" si="35"/>
        <v>0</v>
      </c>
      <c r="DI30" s="533">
        <f t="shared" si="203"/>
        <v>0</v>
      </c>
      <c r="DJ30" s="531"/>
      <c r="DK30" s="532">
        <f t="shared" si="36"/>
        <v>0</v>
      </c>
      <c r="DL30" s="533">
        <f t="shared" si="148"/>
        <v>0</v>
      </c>
      <c r="DM30" s="531"/>
      <c r="DN30" s="532">
        <f t="shared" si="37"/>
        <v>0</v>
      </c>
      <c r="DO30" s="533">
        <f t="shared" si="149"/>
        <v>0</v>
      </c>
      <c r="DP30" s="531"/>
      <c r="DQ30" s="532">
        <f t="shared" si="38"/>
        <v>0</v>
      </c>
      <c r="DR30" s="533">
        <f t="shared" si="150"/>
        <v>0</v>
      </c>
      <c r="DS30" s="531"/>
      <c r="DT30" s="532">
        <f t="shared" si="39"/>
        <v>0</v>
      </c>
      <c r="DU30" s="533">
        <f t="shared" si="151"/>
        <v>0</v>
      </c>
      <c r="DV30" s="531"/>
      <c r="DW30" s="532">
        <f t="shared" si="40"/>
        <v>0</v>
      </c>
      <c r="DX30" s="533">
        <f t="shared" si="152"/>
        <v>0</v>
      </c>
      <c r="DY30" s="531"/>
      <c r="DZ30" s="532">
        <f t="shared" si="41"/>
        <v>0</v>
      </c>
      <c r="EA30" s="533">
        <f t="shared" si="153"/>
        <v>0</v>
      </c>
      <c r="EB30" s="531"/>
      <c r="EC30" s="532">
        <f t="shared" si="42"/>
        <v>0</v>
      </c>
      <c r="ED30" s="533">
        <f t="shared" si="154"/>
        <v>0</v>
      </c>
      <c r="EE30" s="531">
        <v>199.60000000000014</v>
      </c>
      <c r="EF30" s="532">
        <f t="shared" si="43"/>
        <v>4.1097864805320512</v>
      </c>
      <c r="EG30" s="533">
        <f t="shared" si="155"/>
        <v>0</v>
      </c>
      <c r="EH30" s="531">
        <v>2</v>
      </c>
      <c r="EI30" s="532">
        <f t="shared" si="44"/>
        <v>4.1180225255832148E-2</v>
      </c>
      <c r="EJ30" s="533">
        <f t="shared" si="156"/>
        <v>0</v>
      </c>
      <c r="EK30" s="531">
        <v>36.585365853658573</v>
      </c>
      <c r="EL30" s="532">
        <f t="shared" si="45"/>
        <v>0.75329680346034489</v>
      </c>
      <c r="EM30" s="533">
        <f t="shared" si="157"/>
        <v>0</v>
      </c>
      <c r="EN30" s="531"/>
      <c r="EO30" s="532">
        <f t="shared" si="46"/>
        <v>0</v>
      </c>
      <c r="EP30" s="533">
        <f t="shared" si="158"/>
        <v>0</v>
      </c>
      <c r="EQ30" s="531">
        <v>59.30232558139528</v>
      </c>
      <c r="ER30" s="532">
        <f t="shared" si="47"/>
        <v>1.2210415628182774</v>
      </c>
      <c r="ES30" s="533">
        <f t="shared" si="159"/>
        <v>0</v>
      </c>
      <c r="ET30" s="531">
        <v>14.534883720930225</v>
      </c>
      <c r="EU30" s="532">
        <f t="shared" si="48"/>
        <v>0.29927489284761721</v>
      </c>
      <c r="EV30" s="533">
        <f t="shared" si="160"/>
        <v>0</v>
      </c>
      <c r="EW30" s="531"/>
      <c r="EX30" s="532">
        <f t="shared" si="49"/>
        <v>0</v>
      </c>
      <c r="EY30" s="533">
        <f t="shared" si="161"/>
        <v>0</v>
      </c>
      <c r="EZ30" s="531"/>
      <c r="FA30" s="532">
        <f t="shared" si="50"/>
        <v>0</v>
      </c>
      <c r="FB30" s="533">
        <f t="shared" si="162"/>
        <v>0</v>
      </c>
      <c r="FC30" s="531"/>
      <c r="FD30" s="532">
        <f t="shared" si="51"/>
        <v>0</v>
      </c>
      <c r="FE30" s="533">
        <f t="shared" si="163"/>
        <v>0</v>
      </c>
      <c r="FF30" s="531"/>
      <c r="FG30" s="532">
        <f t="shared" si="52"/>
        <v>0</v>
      </c>
      <c r="FH30" s="533">
        <f t="shared" si="164"/>
        <v>0</v>
      </c>
      <c r="FI30" s="531"/>
      <c r="FJ30" s="532">
        <f t="shared" si="53"/>
        <v>0</v>
      </c>
      <c r="FK30" s="533">
        <f t="shared" si="165"/>
        <v>0</v>
      </c>
      <c r="FL30" s="531"/>
      <c r="FM30" s="532">
        <f t="shared" si="54"/>
        <v>0</v>
      </c>
      <c r="FN30" s="533">
        <f t="shared" si="166"/>
        <v>0</v>
      </c>
      <c r="FO30" s="531"/>
      <c r="FP30" s="532">
        <f t="shared" si="55"/>
        <v>0</v>
      </c>
      <c r="FQ30" s="533">
        <f t="shared" si="167"/>
        <v>0</v>
      </c>
      <c r="FR30" s="531"/>
      <c r="FS30" s="532">
        <f t="shared" si="56"/>
        <v>0</v>
      </c>
      <c r="FT30" s="533">
        <f t="shared" si="168"/>
        <v>0</v>
      </c>
      <c r="FU30" s="531"/>
      <c r="FV30" s="532">
        <f t="shared" si="57"/>
        <v>0</v>
      </c>
      <c r="FW30" s="533">
        <f t="shared" si="169"/>
        <v>0</v>
      </c>
      <c r="FX30" s="531"/>
      <c r="FY30" s="532">
        <f t="shared" si="58"/>
        <v>0</v>
      </c>
      <c r="FZ30" s="533">
        <f t="shared" si="170"/>
        <v>0</v>
      </c>
      <c r="GA30" s="531"/>
      <c r="GB30" s="532">
        <f t="shared" si="59"/>
        <v>0</v>
      </c>
      <c r="GC30" s="533">
        <f t="shared" si="171"/>
        <v>0</v>
      </c>
      <c r="GD30" s="531"/>
      <c r="GE30" s="532">
        <f t="shared" si="60"/>
        <v>0</v>
      </c>
      <c r="GF30" s="533">
        <f t="shared" si="172"/>
        <v>0</v>
      </c>
      <c r="GG30" s="531">
        <v>11.713885874221738</v>
      </c>
      <c r="GH30" s="532">
        <f t="shared" si="61"/>
        <v>0.24119022946078073</v>
      </c>
      <c r="GI30" s="533">
        <f t="shared" si="173"/>
        <v>0</v>
      </c>
      <c r="GJ30" s="531">
        <v>14.056663049066087</v>
      </c>
      <c r="GK30" s="532">
        <f t="shared" ref="GK30:GK32" si="229">+GJ30/$E30</f>
        <v>0.28942827535293691</v>
      </c>
      <c r="GL30" s="533">
        <f t="shared" ref="GL30:GL32" si="230">+GJ30*$H$8</f>
        <v>0</v>
      </c>
      <c r="GM30" s="531">
        <v>4.6855543496886956</v>
      </c>
      <c r="GN30" s="532">
        <f t="shared" ref="GN30:GN32" si="231">+GM30/$E30</f>
        <v>9.6476091784312296E-2</v>
      </c>
      <c r="GO30" s="533">
        <f t="shared" ref="GO30:GO32" si="232">+GM30*$H$8</f>
        <v>0</v>
      </c>
      <c r="GP30" s="531">
        <v>21.084994573599129</v>
      </c>
      <c r="GQ30" s="532">
        <f t="shared" ref="GQ30:GQ32" si="233">+GP30/$E30</f>
        <v>0.43414241302940532</v>
      </c>
      <c r="GR30" s="533">
        <f t="shared" ref="GR30:GR32" si="234">+GP30*$H$8</f>
        <v>0</v>
      </c>
      <c r="GS30" s="531">
        <v>140.56663049066086</v>
      </c>
      <c r="GT30" s="532">
        <f t="shared" ref="GT30:GT32" si="235">+GS30/$E30</f>
        <v>2.8942827535293687</v>
      </c>
      <c r="GU30" s="533">
        <f t="shared" ref="GU30:GU32" si="236">+GS30*$H$8</f>
        <v>0</v>
      </c>
      <c r="GV30" s="531">
        <v>25.770548923287823</v>
      </c>
      <c r="GW30" s="532">
        <f t="shared" ref="GW30:GW32" si="237">+GV30/$E30</f>
        <v>0.53061850481371764</v>
      </c>
      <c r="GX30" s="533">
        <f t="shared" ref="GX30:GX32" si="238">+GV30*$H$8</f>
        <v>0</v>
      </c>
      <c r="GY30" s="531"/>
      <c r="GZ30" s="532">
        <f t="shared" ref="GZ30:GZ32" si="239">+GY30/$E30</f>
        <v>0</v>
      </c>
      <c r="HA30" s="533">
        <f t="shared" ref="HA30:HA32" si="240">+GY30*$H$8</f>
        <v>0</v>
      </c>
      <c r="HB30" s="531"/>
      <c r="HC30" s="532">
        <f t="shared" si="222"/>
        <v>0</v>
      </c>
      <c r="HD30" s="533">
        <f t="shared" si="223"/>
        <v>0</v>
      </c>
      <c r="HE30" s="531"/>
      <c r="HF30" s="532">
        <f t="shared" si="224"/>
        <v>0</v>
      </c>
      <c r="HG30" s="533">
        <f t="shared" si="225"/>
        <v>0</v>
      </c>
      <c r="HH30" s="531"/>
      <c r="HI30" s="532">
        <f t="shared" si="226"/>
        <v>0</v>
      </c>
      <c r="HJ30" s="533">
        <f t="shared" si="227"/>
        <v>0</v>
      </c>
      <c r="HK30" s="531"/>
      <c r="HL30" s="532">
        <f t="shared" si="228"/>
        <v>0</v>
      </c>
      <c r="HM30" s="533">
        <f t="shared" si="183"/>
        <v>0</v>
      </c>
      <c r="HN30" s="531">
        <v>564.14074370251888</v>
      </c>
      <c r="HO30" s="532">
        <f t="shared" si="72"/>
        <v>11.615721450831199</v>
      </c>
      <c r="HP30" s="533">
        <f t="shared" si="184"/>
        <v>0</v>
      </c>
      <c r="HQ30" s="531"/>
      <c r="HR30" s="532">
        <f t="shared" si="73"/>
        <v>0</v>
      </c>
      <c r="HS30" s="533">
        <f t="shared" si="185"/>
        <v>0</v>
      </c>
      <c r="HT30" s="531"/>
      <c r="HU30" s="532">
        <f t="shared" si="74"/>
        <v>0</v>
      </c>
      <c r="HV30" s="533">
        <f t="shared" si="186"/>
        <v>0</v>
      </c>
      <c r="HW30" s="531"/>
      <c r="HX30" s="532">
        <f t="shared" si="75"/>
        <v>0</v>
      </c>
      <c r="HY30" s="533">
        <f t="shared" si="187"/>
        <v>0</v>
      </c>
      <c r="HZ30" s="531"/>
      <c r="IA30" s="532">
        <f t="shared" si="76"/>
        <v>0</v>
      </c>
      <c r="IB30" s="533">
        <f t="shared" si="188"/>
        <v>0</v>
      </c>
      <c r="IC30" s="531"/>
      <c r="ID30" s="532">
        <f t="shared" si="77"/>
        <v>0</v>
      </c>
      <c r="IE30" s="533">
        <f t="shared" si="189"/>
        <v>0</v>
      </c>
      <c r="IF30" s="531"/>
      <c r="IG30" s="532">
        <f t="shared" si="78"/>
        <v>0</v>
      </c>
      <c r="IH30" s="533">
        <f t="shared" si="190"/>
        <v>0</v>
      </c>
      <c r="II30" s="531">
        <v>18.742217398754782</v>
      </c>
      <c r="IJ30" s="532">
        <f t="shared" si="79"/>
        <v>0.38590436713724918</v>
      </c>
      <c r="IK30" s="533">
        <f t="shared" si="191"/>
        <v>0</v>
      </c>
      <c r="IL30" s="531"/>
      <c r="IM30" s="532">
        <f t="shared" si="80"/>
        <v>0</v>
      </c>
      <c r="IN30" s="533">
        <f t="shared" si="192"/>
        <v>0</v>
      </c>
      <c r="IO30" s="531"/>
      <c r="IP30" s="532">
        <f t="shared" si="81"/>
        <v>0</v>
      </c>
      <c r="IQ30" s="533">
        <f t="shared" si="193"/>
        <v>0</v>
      </c>
      <c r="IR30" s="531">
        <v>46.855543496886952</v>
      </c>
      <c r="IS30" s="532">
        <f t="shared" si="82"/>
        <v>0.9647609178431229</v>
      </c>
      <c r="IT30" s="533">
        <f t="shared" si="194"/>
        <v>0</v>
      </c>
      <c r="IU30" s="531"/>
      <c r="IV30" s="532">
        <f t="shared" si="83"/>
        <v>0</v>
      </c>
      <c r="IW30" s="533">
        <f t="shared" si="195"/>
        <v>0</v>
      </c>
      <c r="IX30" s="531"/>
      <c r="IY30" s="532">
        <f t="shared" si="84"/>
        <v>0</v>
      </c>
      <c r="IZ30" s="533">
        <f t="shared" si="196"/>
        <v>0</v>
      </c>
      <c r="JA30" s="531"/>
      <c r="JB30" s="532">
        <f t="shared" si="85"/>
        <v>0</v>
      </c>
      <c r="JC30" s="533">
        <f t="shared" si="197"/>
        <v>0</v>
      </c>
      <c r="JD30" s="531"/>
      <c r="JE30" s="532">
        <f t="shared" si="86"/>
        <v>0</v>
      </c>
      <c r="JF30" s="533">
        <f t="shared" si="198"/>
        <v>0</v>
      </c>
      <c r="JG30" s="531"/>
      <c r="JH30" s="532">
        <f t="shared" si="87"/>
        <v>0</v>
      </c>
      <c r="JI30" s="533">
        <f t="shared" si="199"/>
        <v>0</v>
      </c>
      <c r="JJ30" s="531">
        <v>18.742217398754782</v>
      </c>
      <c r="JK30" s="533" t="str">
        <f t="shared" si="88"/>
        <v>0</v>
      </c>
      <c r="JL30" s="533" t="str">
        <f t="shared" si="89"/>
        <v>0</v>
      </c>
      <c r="JM30" s="531"/>
      <c r="JN30" s="533" t="str">
        <f t="shared" si="90"/>
        <v>0</v>
      </c>
      <c r="JO30" s="533" t="str">
        <f t="shared" si="91"/>
        <v>0</v>
      </c>
      <c r="JP30" s="531"/>
      <c r="JQ30" s="533" t="str">
        <f t="shared" si="92"/>
        <v>0</v>
      </c>
      <c r="JR30" s="533" t="str">
        <f t="shared" si="93"/>
        <v>0</v>
      </c>
      <c r="JS30" s="531"/>
      <c r="JT30" s="533" t="str">
        <f t="shared" si="94"/>
        <v>0</v>
      </c>
      <c r="JU30" s="533" t="str">
        <f t="shared" si="95"/>
        <v>0</v>
      </c>
      <c r="JV30" s="531"/>
      <c r="JW30" s="533" t="str">
        <f t="shared" si="96"/>
        <v>0</v>
      </c>
      <c r="JX30" s="533" t="str">
        <f t="shared" si="97"/>
        <v>0</v>
      </c>
      <c r="JY30" s="531"/>
      <c r="JZ30" s="533" t="str">
        <f t="shared" si="98"/>
        <v>0</v>
      </c>
      <c r="KA30" s="533" t="str">
        <f t="shared" si="99"/>
        <v>0</v>
      </c>
      <c r="KB30" s="531"/>
      <c r="KC30" s="533" t="str">
        <f t="shared" si="100"/>
        <v>0</v>
      </c>
      <c r="KD30" s="533" t="str">
        <f t="shared" si="101"/>
        <v>0</v>
      </c>
      <c r="KE30" s="531"/>
      <c r="KF30" s="533" t="str">
        <f t="shared" si="102"/>
        <v>0</v>
      </c>
      <c r="KG30" s="533" t="str">
        <f t="shared" si="103"/>
        <v>0</v>
      </c>
      <c r="KH30" s="531"/>
      <c r="KI30" s="533" t="str">
        <f t="shared" si="104"/>
        <v>0</v>
      </c>
      <c r="KJ30" s="533" t="str">
        <f t="shared" si="105"/>
        <v>0</v>
      </c>
      <c r="KK30" s="531"/>
      <c r="KL30" s="533" t="str">
        <f t="shared" si="106"/>
        <v>0</v>
      </c>
      <c r="KM30" s="533" t="str">
        <f t="shared" si="107"/>
        <v>0</v>
      </c>
      <c r="KN30" s="531"/>
      <c r="KO30" s="533" t="str">
        <f t="shared" si="108"/>
        <v>0</v>
      </c>
      <c r="KP30" s="533" t="str">
        <f t="shared" si="109"/>
        <v>0</v>
      </c>
      <c r="KQ30" s="531"/>
      <c r="KR30" s="533" t="str">
        <f t="shared" si="110"/>
        <v>0</v>
      </c>
      <c r="KS30" s="533" t="str">
        <f t="shared" si="111"/>
        <v>0</v>
      </c>
      <c r="KT30" s="533">
        <f t="shared" si="201"/>
        <v>0</v>
      </c>
      <c r="KU30" s="533">
        <f t="shared" si="202"/>
        <v>0</v>
      </c>
      <c r="KV30" s="271">
        <f>+F30+I30+L30+O30+R30+U30+X30+AA30+AD30+AG30+AJ30+AM30+AP30+AS30+AV30+AY30+BB30+BE30+BH30+BK30+BN30+BQ30+BT30+BW30+BZ30+CC30+CF30+CI30+CL30+CO30+CR30+CU30+CX30+DA30+DD30+DJ30+DM30+DP30+DS30+DV30+DY30+EB30+GG30+GJ30+GM30+GP30+GS30+HN30+II30+IR30+GV30+IU30++HT30+HW30+HZ30+IC30+JA30+JJ30+JM30+HB30+EE30+GD30+EH30++EK30+JG30++EQ30+ET30</f>
        <v>1402.1475627855166</v>
      </c>
      <c r="KW30" s="271"/>
    </row>
    <row r="31" spans="1:309" ht="15" customHeight="1">
      <c r="A31" s="273">
        <f t="shared" si="200"/>
        <v>46045</v>
      </c>
      <c r="B31" s="274" t="str">
        <f>+Report1!B31</f>
        <v>Toilet</v>
      </c>
      <c r="C31" s="274" t="str">
        <f>+Report1!C31</f>
        <v>13/13,5</v>
      </c>
      <c r="D31" s="275">
        <f>+Report1!P31</f>
        <v>45.509</v>
      </c>
      <c r="E31" s="276">
        <f>+Report1!R31</f>
        <v>45.709000000000003</v>
      </c>
      <c r="F31" s="531"/>
      <c r="G31" s="532">
        <f t="shared" si="0"/>
        <v>0</v>
      </c>
      <c r="H31" s="533">
        <f t="shared" si="113"/>
        <v>0</v>
      </c>
      <c r="I31" s="531"/>
      <c r="J31" s="532">
        <f t="shared" si="1"/>
        <v>0</v>
      </c>
      <c r="K31" s="533">
        <f t="shared" si="114"/>
        <v>0</v>
      </c>
      <c r="L31" s="531"/>
      <c r="M31" s="532">
        <f t="shared" si="2"/>
        <v>0</v>
      </c>
      <c r="N31" s="533">
        <f t="shared" si="115"/>
        <v>0</v>
      </c>
      <c r="O31" s="531">
        <v>9</v>
      </c>
      <c r="P31" s="532">
        <f t="shared" si="3"/>
        <v>0.19689776630422892</v>
      </c>
      <c r="Q31" s="533">
        <f t="shared" si="116"/>
        <v>0</v>
      </c>
      <c r="R31" s="531"/>
      <c r="S31" s="532">
        <f t="shared" si="4"/>
        <v>0</v>
      </c>
      <c r="T31" s="533">
        <f t="shared" si="117"/>
        <v>0</v>
      </c>
      <c r="U31" s="531">
        <v>5.1250000000000018</v>
      </c>
      <c r="V31" s="532">
        <f t="shared" si="5"/>
        <v>0.11212233914546373</v>
      </c>
      <c r="W31" s="533">
        <f t="shared" si="118"/>
        <v>0</v>
      </c>
      <c r="X31" s="531"/>
      <c r="Y31" s="532">
        <f t="shared" si="6"/>
        <v>0</v>
      </c>
      <c r="Z31" s="533">
        <f t="shared" si="119"/>
        <v>0</v>
      </c>
      <c r="AA31" s="531"/>
      <c r="AB31" s="532">
        <f t="shared" si="7"/>
        <v>0</v>
      </c>
      <c r="AC31" s="533">
        <f t="shared" si="120"/>
        <v>0</v>
      </c>
      <c r="AD31" s="531"/>
      <c r="AE31" s="532">
        <f t="shared" si="8"/>
        <v>0</v>
      </c>
      <c r="AF31" s="533">
        <f t="shared" si="121"/>
        <v>0</v>
      </c>
      <c r="AG31" s="531"/>
      <c r="AH31" s="532">
        <f t="shared" si="9"/>
        <v>0</v>
      </c>
      <c r="AI31" s="533">
        <f t="shared" si="122"/>
        <v>0</v>
      </c>
      <c r="AJ31" s="531">
        <v>17.625</v>
      </c>
      <c r="AK31" s="532">
        <f t="shared" si="10"/>
        <v>0.38559145901244829</v>
      </c>
      <c r="AL31" s="533">
        <f t="shared" si="123"/>
        <v>0</v>
      </c>
      <c r="AM31" s="531"/>
      <c r="AN31" s="532">
        <f t="shared" si="11"/>
        <v>0</v>
      </c>
      <c r="AO31" s="533">
        <f t="shared" si="124"/>
        <v>0</v>
      </c>
      <c r="AP31" s="531"/>
      <c r="AQ31" s="532">
        <f t="shared" si="12"/>
        <v>0</v>
      </c>
      <c r="AR31" s="533">
        <f t="shared" si="125"/>
        <v>0</v>
      </c>
      <c r="AS31" s="531"/>
      <c r="AT31" s="532">
        <f t="shared" si="13"/>
        <v>0</v>
      </c>
      <c r="AU31" s="533">
        <f t="shared" si="126"/>
        <v>0</v>
      </c>
      <c r="AV31" s="531"/>
      <c r="AW31" s="532">
        <f t="shared" si="14"/>
        <v>0</v>
      </c>
      <c r="AX31" s="533">
        <f t="shared" si="127"/>
        <v>0</v>
      </c>
      <c r="AY31" s="531"/>
      <c r="AZ31" s="532">
        <f t="shared" si="15"/>
        <v>0</v>
      </c>
      <c r="BA31" s="533">
        <f t="shared" si="128"/>
        <v>0</v>
      </c>
      <c r="BB31" s="531"/>
      <c r="BC31" s="532">
        <f t="shared" si="16"/>
        <v>0</v>
      </c>
      <c r="BD31" s="533">
        <f t="shared" si="129"/>
        <v>0</v>
      </c>
      <c r="BE31" s="531"/>
      <c r="BF31" s="532">
        <f t="shared" si="17"/>
        <v>0</v>
      </c>
      <c r="BG31" s="533">
        <f t="shared" si="130"/>
        <v>0</v>
      </c>
      <c r="BH31" s="531"/>
      <c r="BI31" s="532">
        <f t="shared" si="18"/>
        <v>0</v>
      </c>
      <c r="BJ31" s="533">
        <f t="shared" si="131"/>
        <v>0</v>
      </c>
      <c r="BK31" s="531"/>
      <c r="BL31" s="532">
        <f t="shared" si="19"/>
        <v>0</v>
      </c>
      <c r="BM31" s="533">
        <f t="shared" si="132"/>
        <v>0</v>
      </c>
      <c r="BN31" s="531"/>
      <c r="BO31" s="532">
        <f t="shared" si="20"/>
        <v>0</v>
      </c>
      <c r="BP31" s="533">
        <f t="shared" si="133"/>
        <v>0</v>
      </c>
      <c r="BQ31" s="531"/>
      <c r="BR31" s="532">
        <f t="shared" si="21"/>
        <v>0</v>
      </c>
      <c r="BS31" s="533">
        <f t="shared" si="134"/>
        <v>0</v>
      </c>
      <c r="BT31" s="531"/>
      <c r="BU31" s="532">
        <f t="shared" si="22"/>
        <v>0</v>
      </c>
      <c r="BV31" s="533">
        <f t="shared" si="135"/>
        <v>0</v>
      </c>
      <c r="BW31" s="531"/>
      <c r="BX31" s="532">
        <f t="shared" si="23"/>
        <v>0</v>
      </c>
      <c r="BY31" s="533">
        <f t="shared" si="136"/>
        <v>0</v>
      </c>
      <c r="BZ31" s="531"/>
      <c r="CA31" s="532">
        <f t="shared" si="24"/>
        <v>0</v>
      </c>
      <c r="CB31" s="533">
        <f t="shared" si="137"/>
        <v>0</v>
      </c>
      <c r="CC31" s="531"/>
      <c r="CD31" s="532">
        <f t="shared" si="25"/>
        <v>0</v>
      </c>
      <c r="CE31" s="533">
        <f t="shared" si="138"/>
        <v>0</v>
      </c>
      <c r="CF31" s="531">
        <v>5</v>
      </c>
      <c r="CG31" s="532">
        <f t="shared" si="26"/>
        <v>0.10938764794679384</v>
      </c>
      <c r="CH31" s="533">
        <f t="shared" si="139"/>
        <v>0</v>
      </c>
      <c r="CI31" s="531"/>
      <c r="CJ31" s="532">
        <f t="shared" si="27"/>
        <v>0</v>
      </c>
      <c r="CK31" s="533">
        <f t="shared" si="140"/>
        <v>0</v>
      </c>
      <c r="CL31" s="531"/>
      <c r="CM31" s="532">
        <f t="shared" si="28"/>
        <v>0</v>
      </c>
      <c r="CN31" s="533">
        <f t="shared" si="141"/>
        <v>0</v>
      </c>
      <c r="CO31" s="531"/>
      <c r="CP31" s="532">
        <f t="shared" si="29"/>
        <v>0</v>
      </c>
      <c r="CQ31" s="533">
        <f t="shared" si="142"/>
        <v>0</v>
      </c>
      <c r="CR31" s="531"/>
      <c r="CS31" s="532">
        <f t="shared" si="30"/>
        <v>0</v>
      </c>
      <c r="CT31" s="533">
        <f t="shared" si="143"/>
        <v>0</v>
      </c>
      <c r="CU31" s="531"/>
      <c r="CV31" s="532">
        <f t="shared" si="31"/>
        <v>0</v>
      </c>
      <c r="CW31" s="533">
        <f t="shared" si="144"/>
        <v>0</v>
      </c>
      <c r="CX31" s="531"/>
      <c r="CY31" s="532">
        <f t="shared" si="32"/>
        <v>0</v>
      </c>
      <c r="CZ31" s="533">
        <f t="shared" si="145"/>
        <v>0</v>
      </c>
      <c r="DA31" s="531">
        <v>218.0232558139536</v>
      </c>
      <c r="DB31" s="532">
        <f t="shared" si="33"/>
        <v>4.7698102302381056</v>
      </c>
      <c r="DC31" s="533">
        <f t="shared" si="146"/>
        <v>0</v>
      </c>
      <c r="DD31" s="531"/>
      <c r="DE31" s="532">
        <f t="shared" si="34"/>
        <v>0</v>
      </c>
      <c r="DF31" s="533">
        <f t="shared" si="147"/>
        <v>0</v>
      </c>
      <c r="DG31" s="531"/>
      <c r="DH31" s="532">
        <f t="shared" si="35"/>
        <v>0</v>
      </c>
      <c r="DI31" s="533">
        <f t="shared" si="203"/>
        <v>0</v>
      </c>
      <c r="DJ31" s="531"/>
      <c r="DK31" s="532">
        <f t="shared" si="36"/>
        <v>0</v>
      </c>
      <c r="DL31" s="533">
        <f t="shared" si="148"/>
        <v>0</v>
      </c>
      <c r="DM31" s="531"/>
      <c r="DN31" s="532">
        <f t="shared" si="37"/>
        <v>0</v>
      </c>
      <c r="DO31" s="533">
        <f t="shared" si="149"/>
        <v>0</v>
      </c>
      <c r="DP31" s="531"/>
      <c r="DQ31" s="532">
        <f t="shared" si="38"/>
        <v>0</v>
      </c>
      <c r="DR31" s="533">
        <f t="shared" si="150"/>
        <v>0</v>
      </c>
      <c r="DS31" s="531"/>
      <c r="DT31" s="532">
        <f t="shared" si="39"/>
        <v>0</v>
      </c>
      <c r="DU31" s="533">
        <f t="shared" si="151"/>
        <v>0</v>
      </c>
      <c r="DV31" s="531"/>
      <c r="DW31" s="532">
        <f t="shared" si="40"/>
        <v>0</v>
      </c>
      <c r="DX31" s="533">
        <f t="shared" si="152"/>
        <v>0</v>
      </c>
      <c r="DY31" s="531"/>
      <c r="DZ31" s="532">
        <f t="shared" si="41"/>
        <v>0</v>
      </c>
      <c r="EA31" s="533">
        <f t="shared" si="153"/>
        <v>0</v>
      </c>
      <c r="EB31" s="531"/>
      <c r="EC31" s="532">
        <f t="shared" si="42"/>
        <v>0</v>
      </c>
      <c r="ED31" s="533">
        <f t="shared" si="154"/>
        <v>0</v>
      </c>
      <c r="EE31" s="531">
        <v>176.11764705882342</v>
      </c>
      <c r="EF31" s="532">
        <f t="shared" si="43"/>
        <v>3.8530190347376538</v>
      </c>
      <c r="EG31" s="533">
        <f t="shared" si="155"/>
        <v>0</v>
      </c>
      <c r="EH31" s="531">
        <v>2</v>
      </c>
      <c r="EI31" s="532">
        <f t="shared" si="44"/>
        <v>4.3755059178717533E-2</v>
      </c>
      <c r="EJ31" s="533">
        <f t="shared" si="156"/>
        <v>0</v>
      </c>
      <c r="EK31" s="531">
        <v>24.390243902439124</v>
      </c>
      <c r="EL31" s="532">
        <f t="shared" si="45"/>
        <v>0.53359828266728926</v>
      </c>
      <c r="EM31" s="533">
        <f t="shared" si="157"/>
        <v>0</v>
      </c>
      <c r="EN31" s="531"/>
      <c r="EO31" s="532">
        <f t="shared" si="46"/>
        <v>0</v>
      </c>
      <c r="EP31" s="533">
        <f t="shared" si="158"/>
        <v>0</v>
      </c>
      <c r="EQ31" s="531">
        <v>59.302325581395394</v>
      </c>
      <c r="ER31" s="532">
        <f t="shared" si="47"/>
        <v>1.2973883826247652</v>
      </c>
      <c r="ES31" s="533">
        <f t="shared" si="159"/>
        <v>0</v>
      </c>
      <c r="ET31" s="531">
        <v>14.534883720930225</v>
      </c>
      <c r="EU31" s="532">
        <f t="shared" si="48"/>
        <v>0.31798734868254008</v>
      </c>
      <c r="EV31" s="533">
        <f t="shared" si="160"/>
        <v>0</v>
      </c>
      <c r="EW31" s="531"/>
      <c r="EX31" s="532">
        <f t="shared" si="49"/>
        <v>0</v>
      </c>
      <c r="EY31" s="533">
        <f t="shared" si="161"/>
        <v>0</v>
      </c>
      <c r="EZ31" s="531"/>
      <c r="FA31" s="532">
        <f t="shared" si="50"/>
        <v>0</v>
      </c>
      <c r="FB31" s="533">
        <f t="shared" si="162"/>
        <v>0</v>
      </c>
      <c r="FC31" s="531"/>
      <c r="FD31" s="532">
        <f t="shared" si="51"/>
        <v>0</v>
      </c>
      <c r="FE31" s="533">
        <f t="shared" si="163"/>
        <v>0</v>
      </c>
      <c r="FF31" s="531"/>
      <c r="FG31" s="532">
        <f t="shared" si="52"/>
        <v>0</v>
      </c>
      <c r="FH31" s="533">
        <f t="shared" si="164"/>
        <v>0</v>
      </c>
      <c r="FI31" s="531"/>
      <c r="FJ31" s="532">
        <f t="shared" si="53"/>
        <v>0</v>
      </c>
      <c r="FK31" s="533">
        <f t="shared" si="165"/>
        <v>0</v>
      </c>
      <c r="FL31" s="531"/>
      <c r="FM31" s="532">
        <f t="shared" si="54"/>
        <v>0</v>
      </c>
      <c r="FN31" s="533">
        <f t="shared" si="166"/>
        <v>0</v>
      </c>
      <c r="FO31" s="531"/>
      <c r="FP31" s="532">
        <f t="shared" si="55"/>
        <v>0</v>
      </c>
      <c r="FQ31" s="533">
        <f t="shared" si="167"/>
        <v>0</v>
      </c>
      <c r="FR31" s="531"/>
      <c r="FS31" s="532">
        <f t="shared" si="56"/>
        <v>0</v>
      </c>
      <c r="FT31" s="533">
        <f t="shared" si="168"/>
        <v>0</v>
      </c>
      <c r="FU31" s="531"/>
      <c r="FV31" s="532">
        <f t="shared" si="57"/>
        <v>0</v>
      </c>
      <c r="FW31" s="533">
        <f t="shared" si="169"/>
        <v>0</v>
      </c>
      <c r="FX31" s="531"/>
      <c r="FY31" s="532">
        <f t="shared" si="58"/>
        <v>0</v>
      </c>
      <c r="FZ31" s="533">
        <f t="shared" si="170"/>
        <v>0</v>
      </c>
      <c r="GA31" s="531"/>
      <c r="GB31" s="532">
        <f t="shared" si="59"/>
        <v>0</v>
      </c>
      <c r="GC31" s="533">
        <f t="shared" si="171"/>
        <v>0</v>
      </c>
      <c r="GD31" s="531"/>
      <c r="GE31" s="532">
        <f t="shared" si="60"/>
        <v>0</v>
      </c>
      <c r="GF31" s="533">
        <f t="shared" si="172"/>
        <v>0</v>
      </c>
      <c r="GG31" s="531">
        <v>17.851917230558008</v>
      </c>
      <c r="GH31" s="532">
        <f t="shared" si="61"/>
        <v>0.39055584743831645</v>
      </c>
      <c r="GI31" s="533">
        <f t="shared" si="173"/>
        <v>0</v>
      </c>
      <c r="GJ31" s="531">
        <v>15.620427576738257</v>
      </c>
      <c r="GK31" s="532">
        <f t="shared" si="229"/>
        <v>0.3417363665085269</v>
      </c>
      <c r="GL31" s="533">
        <f t="shared" si="230"/>
        <v>0</v>
      </c>
      <c r="GM31" s="531">
        <v>4.4629793076395021</v>
      </c>
      <c r="GN31" s="532">
        <f t="shared" si="231"/>
        <v>9.7638961859579113E-2</v>
      </c>
      <c r="GO31" s="533">
        <f t="shared" si="232"/>
        <v>0</v>
      </c>
      <c r="GP31" s="531">
        <v>22.314896538197509</v>
      </c>
      <c r="GQ31" s="532">
        <f t="shared" si="233"/>
        <v>0.48819480929789555</v>
      </c>
      <c r="GR31" s="533">
        <f t="shared" si="234"/>
        <v>0</v>
      </c>
      <c r="GS31" s="531">
        <v>138.35235853682457</v>
      </c>
      <c r="GT31" s="532">
        <f t="shared" si="235"/>
        <v>3.0268078176469526</v>
      </c>
      <c r="GU31" s="533">
        <f t="shared" si="236"/>
        <v>0</v>
      </c>
      <c r="GV31" s="531">
        <v>29.009365499656763</v>
      </c>
      <c r="GW31" s="532">
        <f t="shared" si="237"/>
        <v>0.6346532520872642</v>
      </c>
      <c r="GX31" s="533">
        <f t="shared" si="238"/>
        <v>0</v>
      </c>
      <c r="GY31" s="531"/>
      <c r="GZ31" s="532">
        <f t="shared" si="239"/>
        <v>0</v>
      </c>
      <c r="HA31" s="533">
        <f t="shared" si="240"/>
        <v>0</v>
      </c>
      <c r="HB31" s="531"/>
      <c r="HC31" s="532">
        <f t="shared" si="222"/>
        <v>0</v>
      </c>
      <c r="HD31" s="533">
        <f t="shared" si="223"/>
        <v>0</v>
      </c>
      <c r="HE31" s="531"/>
      <c r="HF31" s="532">
        <f t="shared" si="224"/>
        <v>0</v>
      </c>
      <c r="HG31" s="533">
        <f t="shared" si="225"/>
        <v>0</v>
      </c>
      <c r="HH31" s="531"/>
      <c r="HI31" s="532">
        <f t="shared" si="226"/>
        <v>0</v>
      </c>
      <c r="HJ31" s="533">
        <f t="shared" si="227"/>
        <v>0</v>
      </c>
      <c r="HK31" s="531"/>
      <c r="HL31" s="532">
        <f t="shared" si="228"/>
        <v>0</v>
      </c>
      <c r="HM31" s="533">
        <f t="shared" si="183"/>
        <v>0</v>
      </c>
      <c r="HN31" s="531">
        <v>677.03396096891242</v>
      </c>
      <c r="HO31" s="532">
        <f t="shared" si="72"/>
        <v>14.811830514098151</v>
      </c>
      <c r="HP31" s="533">
        <f t="shared" si="184"/>
        <v>0</v>
      </c>
      <c r="HQ31" s="531"/>
      <c r="HR31" s="532">
        <f t="shared" si="73"/>
        <v>0</v>
      </c>
      <c r="HS31" s="533">
        <f t="shared" si="185"/>
        <v>0</v>
      </c>
      <c r="HT31" s="531"/>
      <c r="HU31" s="532">
        <f t="shared" si="74"/>
        <v>0</v>
      </c>
      <c r="HV31" s="533">
        <f t="shared" si="186"/>
        <v>0</v>
      </c>
      <c r="HW31" s="531"/>
      <c r="HX31" s="532">
        <f t="shared" si="75"/>
        <v>0</v>
      </c>
      <c r="HY31" s="533">
        <f t="shared" si="187"/>
        <v>0</v>
      </c>
      <c r="HZ31" s="531"/>
      <c r="IA31" s="532">
        <f t="shared" si="76"/>
        <v>0</v>
      </c>
      <c r="IB31" s="533">
        <f t="shared" si="188"/>
        <v>0</v>
      </c>
      <c r="IC31" s="531"/>
      <c r="ID31" s="532">
        <f t="shared" si="77"/>
        <v>0</v>
      </c>
      <c r="IE31" s="533">
        <f t="shared" si="189"/>
        <v>0</v>
      </c>
      <c r="IF31" s="531"/>
      <c r="IG31" s="532">
        <f t="shared" si="78"/>
        <v>0</v>
      </c>
      <c r="IH31" s="533">
        <f t="shared" si="190"/>
        <v>0</v>
      </c>
      <c r="II31" s="531">
        <v>17.851917230558008</v>
      </c>
      <c r="IJ31" s="532">
        <f t="shared" si="79"/>
        <v>0.39055584743831645</v>
      </c>
      <c r="IK31" s="533">
        <f t="shared" si="191"/>
        <v>0</v>
      </c>
      <c r="IL31" s="531"/>
      <c r="IM31" s="532">
        <f t="shared" si="80"/>
        <v>0</v>
      </c>
      <c r="IN31" s="533">
        <f t="shared" si="192"/>
        <v>0</v>
      </c>
      <c r="IO31" s="531"/>
      <c r="IP31" s="532">
        <f t="shared" si="81"/>
        <v>0</v>
      </c>
      <c r="IQ31" s="533">
        <f t="shared" si="193"/>
        <v>0</v>
      </c>
      <c r="IR31" s="531">
        <v>44.629793076395018</v>
      </c>
      <c r="IS31" s="532">
        <f t="shared" si="82"/>
        <v>0.9763896185957911</v>
      </c>
      <c r="IT31" s="533">
        <f t="shared" si="194"/>
        <v>0</v>
      </c>
      <c r="IU31" s="531"/>
      <c r="IV31" s="532">
        <f t="shared" si="83"/>
        <v>0</v>
      </c>
      <c r="IW31" s="533">
        <f t="shared" si="195"/>
        <v>0</v>
      </c>
      <c r="IX31" s="531"/>
      <c r="IY31" s="532">
        <f t="shared" si="84"/>
        <v>0</v>
      </c>
      <c r="IZ31" s="533">
        <f t="shared" si="196"/>
        <v>0</v>
      </c>
      <c r="JA31" s="531"/>
      <c r="JB31" s="532">
        <f t="shared" si="85"/>
        <v>0</v>
      </c>
      <c r="JC31" s="533">
        <f t="shared" si="197"/>
        <v>0</v>
      </c>
      <c r="JD31" s="531"/>
      <c r="JE31" s="532">
        <f t="shared" si="86"/>
        <v>0</v>
      </c>
      <c r="JF31" s="533">
        <f t="shared" si="198"/>
        <v>0</v>
      </c>
      <c r="JG31" s="531"/>
      <c r="JH31" s="532">
        <f t="shared" si="87"/>
        <v>0</v>
      </c>
      <c r="JI31" s="533">
        <f t="shared" si="199"/>
        <v>0</v>
      </c>
      <c r="JJ31" s="531">
        <v>17.851917230558008</v>
      </c>
      <c r="JK31" s="533" t="str">
        <f t="shared" si="88"/>
        <v>0</v>
      </c>
      <c r="JL31" s="533" t="str">
        <f t="shared" si="89"/>
        <v>0</v>
      </c>
      <c r="JM31" s="531"/>
      <c r="JN31" s="533" t="str">
        <f t="shared" si="90"/>
        <v>0</v>
      </c>
      <c r="JO31" s="533" t="str">
        <f t="shared" si="91"/>
        <v>0</v>
      </c>
      <c r="JP31" s="531"/>
      <c r="JQ31" s="533" t="str">
        <f t="shared" si="92"/>
        <v>0</v>
      </c>
      <c r="JR31" s="533" t="str">
        <f t="shared" si="93"/>
        <v>0</v>
      </c>
      <c r="JS31" s="531"/>
      <c r="JT31" s="533" t="str">
        <f t="shared" si="94"/>
        <v>0</v>
      </c>
      <c r="JU31" s="533" t="str">
        <f t="shared" si="95"/>
        <v>0</v>
      </c>
      <c r="JV31" s="531"/>
      <c r="JW31" s="533" t="str">
        <f t="shared" si="96"/>
        <v>0</v>
      </c>
      <c r="JX31" s="533" t="str">
        <f t="shared" si="97"/>
        <v>0</v>
      </c>
      <c r="JY31" s="531"/>
      <c r="JZ31" s="533" t="str">
        <f t="shared" si="98"/>
        <v>0</v>
      </c>
      <c r="KA31" s="533" t="str">
        <f t="shared" si="99"/>
        <v>0</v>
      </c>
      <c r="KB31" s="531"/>
      <c r="KC31" s="533" t="str">
        <f t="shared" si="100"/>
        <v>0</v>
      </c>
      <c r="KD31" s="533" t="str">
        <f t="shared" si="101"/>
        <v>0</v>
      </c>
      <c r="KE31" s="531"/>
      <c r="KF31" s="533" t="str">
        <f t="shared" si="102"/>
        <v>0</v>
      </c>
      <c r="KG31" s="533" t="str">
        <f t="shared" si="103"/>
        <v>0</v>
      </c>
      <c r="KH31" s="531"/>
      <c r="KI31" s="533" t="str">
        <f t="shared" si="104"/>
        <v>0</v>
      </c>
      <c r="KJ31" s="533" t="str">
        <f t="shared" si="105"/>
        <v>0</v>
      </c>
      <c r="KK31" s="531"/>
      <c r="KL31" s="533" t="str">
        <f t="shared" si="106"/>
        <v>0</v>
      </c>
      <c r="KM31" s="533" t="str">
        <f t="shared" si="107"/>
        <v>0</v>
      </c>
      <c r="KN31" s="531"/>
      <c r="KO31" s="533" t="str">
        <f t="shared" si="108"/>
        <v>0</v>
      </c>
      <c r="KP31" s="533" t="str">
        <f t="shared" si="109"/>
        <v>0</v>
      </c>
      <c r="KQ31" s="531"/>
      <c r="KR31" s="533" t="str">
        <f t="shared" si="110"/>
        <v>0</v>
      </c>
      <c r="KS31" s="533" t="str">
        <f t="shared" si="111"/>
        <v>0</v>
      </c>
      <c r="KT31" s="533">
        <f t="shared" si="201"/>
        <v>0</v>
      </c>
      <c r="KU31" s="533">
        <f t="shared" si="202"/>
        <v>0</v>
      </c>
      <c r="KV31" s="271">
        <f t="shared" ref="KV31:KV41" si="241">+F31+I31+L31+O31+R31+U31+X31+AA31+AD31+AG31+AJ31+AM31+AP31+AS31+AV31+AY31+BB31+BE31+BH31+BK31+BN31+BQ31+BT31+BW31+BZ31+CC31+CF31+CI31+CL31+CO31+CR31+CU31+CX31+DA31+DD31+DJ31+DM31+DP31+DS31+DV31+DY31+EB31+GG31+GJ31+GM31+GP31+GS31+HN31+II31+IR31+GV31+IU31++HT31+HW31+HZ31+IC31+JA31+JJ31+JM31+HB31+EE31+GD31+EH31++EK31+JG31++EQ31+ET31</f>
        <v>1516.0978892735798</v>
      </c>
    </row>
    <row r="32" spans="1:309" ht="15" customHeight="1">
      <c r="A32" s="273">
        <f t="shared" si="200"/>
        <v>46046</v>
      </c>
      <c r="B32" s="274" t="str">
        <f>+Report1!B32</f>
        <v>Toilet</v>
      </c>
      <c r="C32" s="274" t="str">
        <f>+Report1!C32</f>
        <v>13,5</v>
      </c>
      <c r="D32" s="275">
        <f>+Report1!P32</f>
        <v>42.703000000000003</v>
      </c>
      <c r="E32" s="276">
        <f>+Report1!R32</f>
        <v>41.923000000000002</v>
      </c>
      <c r="F32" s="531"/>
      <c r="G32" s="532">
        <f t="shared" si="0"/>
        <v>0</v>
      </c>
      <c r="H32" s="533">
        <f t="shared" si="113"/>
        <v>0</v>
      </c>
      <c r="I32" s="531"/>
      <c r="J32" s="532">
        <f t="shared" si="1"/>
        <v>0</v>
      </c>
      <c r="K32" s="533">
        <f t="shared" si="114"/>
        <v>0</v>
      </c>
      <c r="L32" s="531"/>
      <c r="M32" s="532">
        <f t="shared" si="2"/>
        <v>0</v>
      </c>
      <c r="N32" s="533">
        <f t="shared" si="115"/>
        <v>0</v>
      </c>
      <c r="O32" s="531">
        <v>7.7715999999999923</v>
      </c>
      <c r="P32" s="532">
        <f t="shared" si="3"/>
        <v>0.18537795482193525</v>
      </c>
      <c r="Q32" s="533">
        <f t="shared" si="116"/>
        <v>0</v>
      </c>
      <c r="R32" s="531"/>
      <c r="S32" s="532">
        <f t="shared" si="4"/>
        <v>0</v>
      </c>
      <c r="T32" s="533">
        <f t="shared" si="117"/>
        <v>0</v>
      </c>
      <c r="U32" s="531">
        <v>3.9866999999999848</v>
      </c>
      <c r="V32" s="532">
        <f t="shared" si="5"/>
        <v>9.5095770817927736E-2</v>
      </c>
      <c r="W32" s="533">
        <f t="shared" si="118"/>
        <v>0</v>
      </c>
      <c r="X32" s="531"/>
      <c r="Y32" s="532">
        <f t="shared" si="6"/>
        <v>0</v>
      </c>
      <c r="Z32" s="533">
        <f t="shared" si="119"/>
        <v>0</v>
      </c>
      <c r="AA32" s="531"/>
      <c r="AB32" s="532">
        <f t="shared" si="7"/>
        <v>0</v>
      </c>
      <c r="AC32" s="533">
        <f t="shared" si="120"/>
        <v>0</v>
      </c>
      <c r="AD32" s="531"/>
      <c r="AE32" s="532">
        <f t="shared" si="8"/>
        <v>0</v>
      </c>
      <c r="AF32" s="533">
        <f t="shared" si="121"/>
        <v>0</v>
      </c>
      <c r="AG32" s="531"/>
      <c r="AH32" s="532">
        <f t="shared" si="9"/>
        <v>0</v>
      </c>
      <c r="AI32" s="533">
        <f t="shared" si="122"/>
        <v>0</v>
      </c>
      <c r="AJ32" s="531">
        <v>9.1367999999999938</v>
      </c>
      <c r="AK32" s="532">
        <f t="shared" si="10"/>
        <v>0.21794241824296909</v>
      </c>
      <c r="AL32" s="533">
        <f t="shared" si="123"/>
        <v>0</v>
      </c>
      <c r="AM32" s="531"/>
      <c r="AN32" s="532">
        <f t="shared" si="11"/>
        <v>0</v>
      </c>
      <c r="AO32" s="533">
        <f t="shared" si="124"/>
        <v>0</v>
      </c>
      <c r="AP32" s="531"/>
      <c r="AQ32" s="532">
        <f t="shared" si="12"/>
        <v>0</v>
      </c>
      <c r="AR32" s="533">
        <f t="shared" si="125"/>
        <v>0</v>
      </c>
      <c r="AS32" s="531"/>
      <c r="AT32" s="532">
        <f t="shared" si="13"/>
        <v>0</v>
      </c>
      <c r="AU32" s="533">
        <f t="shared" si="126"/>
        <v>0</v>
      </c>
      <c r="AV32" s="531"/>
      <c r="AW32" s="532">
        <f t="shared" si="14"/>
        <v>0</v>
      </c>
      <c r="AX32" s="533">
        <f t="shared" si="127"/>
        <v>0</v>
      </c>
      <c r="AY32" s="531"/>
      <c r="AZ32" s="532">
        <f t="shared" si="15"/>
        <v>0</v>
      </c>
      <c r="BA32" s="533">
        <f t="shared" si="128"/>
        <v>0</v>
      </c>
      <c r="BB32" s="531"/>
      <c r="BC32" s="532">
        <f t="shared" si="16"/>
        <v>0</v>
      </c>
      <c r="BD32" s="533">
        <f t="shared" si="129"/>
        <v>0</v>
      </c>
      <c r="BE32" s="531"/>
      <c r="BF32" s="532">
        <f t="shared" si="17"/>
        <v>0</v>
      </c>
      <c r="BG32" s="533">
        <f t="shared" si="130"/>
        <v>0</v>
      </c>
      <c r="BH32" s="531"/>
      <c r="BI32" s="532">
        <f t="shared" si="18"/>
        <v>0</v>
      </c>
      <c r="BJ32" s="533">
        <f t="shared" si="131"/>
        <v>0</v>
      </c>
      <c r="BK32" s="531"/>
      <c r="BL32" s="532">
        <f t="shared" si="19"/>
        <v>0</v>
      </c>
      <c r="BM32" s="533">
        <f t="shared" si="132"/>
        <v>0</v>
      </c>
      <c r="BN32" s="531"/>
      <c r="BO32" s="532">
        <f t="shared" si="20"/>
        <v>0</v>
      </c>
      <c r="BP32" s="533">
        <f t="shared" si="133"/>
        <v>0</v>
      </c>
      <c r="BQ32" s="531"/>
      <c r="BR32" s="532">
        <f t="shared" si="21"/>
        <v>0</v>
      </c>
      <c r="BS32" s="533">
        <f t="shared" si="134"/>
        <v>0</v>
      </c>
      <c r="BT32" s="531"/>
      <c r="BU32" s="532">
        <f t="shared" si="22"/>
        <v>0</v>
      </c>
      <c r="BV32" s="533">
        <f t="shared" si="135"/>
        <v>0</v>
      </c>
      <c r="BW32" s="531"/>
      <c r="BX32" s="532">
        <f t="shared" si="23"/>
        <v>0</v>
      </c>
      <c r="BY32" s="533">
        <f t="shared" si="136"/>
        <v>0</v>
      </c>
      <c r="BZ32" s="531"/>
      <c r="CA32" s="532">
        <f t="shared" si="24"/>
        <v>0</v>
      </c>
      <c r="CB32" s="533">
        <f t="shared" si="137"/>
        <v>0</v>
      </c>
      <c r="CC32" s="531"/>
      <c r="CD32" s="532">
        <f t="shared" si="25"/>
        <v>0</v>
      </c>
      <c r="CE32" s="533">
        <f t="shared" si="138"/>
        <v>0</v>
      </c>
      <c r="CF32" s="531">
        <v>5</v>
      </c>
      <c r="CG32" s="532">
        <f t="shared" si="26"/>
        <v>0.11926627388307134</v>
      </c>
      <c r="CH32" s="533">
        <f t="shared" si="139"/>
        <v>0</v>
      </c>
      <c r="CI32" s="531"/>
      <c r="CJ32" s="532">
        <f t="shared" si="27"/>
        <v>0</v>
      </c>
      <c r="CK32" s="533">
        <f t="shared" si="140"/>
        <v>0</v>
      </c>
      <c r="CL32" s="531"/>
      <c r="CM32" s="532">
        <f t="shared" si="28"/>
        <v>0</v>
      </c>
      <c r="CN32" s="533">
        <f t="shared" si="141"/>
        <v>0</v>
      </c>
      <c r="CO32" s="531"/>
      <c r="CP32" s="532">
        <f t="shared" si="29"/>
        <v>0</v>
      </c>
      <c r="CQ32" s="533">
        <f t="shared" si="142"/>
        <v>0</v>
      </c>
      <c r="CR32" s="531"/>
      <c r="CS32" s="532">
        <f t="shared" si="30"/>
        <v>0</v>
      </c>
      <c r="CT32" s="533">
        <f t="shared" si="143"/>
        <v>0</v>
      </c>
      <c r="CU32" s="531"/>
      <c r="CV32" s="532">
        <f t="shared" si="31"/>
        <v>0</v>
      </c>
      <c r="CW32" s="533">
        <f t="shared" si="144"/>
        <v>0</v>
      </c>
      <c r="CX32" s="531"/>
      <c r="CY32" s="532">
        <f t="shared" si="32"/>
        <v>0</v>
      </c>
      <c r="CZ32" s="533">
        <f t="shared" si="145"/>
        <v>0</v>
      </c>
      <c r="DA32" s="531">
        <v>225.63841860465141</v>
      </c>
      <c r="DB32" s="532">
        <f t="shared" si="33"/>
        <v>5.3822106863690911</v>
      </c>
      <c r="DC32" s="533">
        <f t="shared" si="146"/>
        <v>0</v>
      </c>
      <c r="DD32" s="531"/>
      <c r="DE32" s="532">
        <f t="shared" si="34"/>
        <v>0</v>
      </c>
      <c r="DF32" s="533">
        <f t="shared" si="147"/>
        <v>0</v>
      </c>
      <c r="DG32" s="531"/>
      <c r="DH32" s="532">
        <f t="shared" si="35"/>
        <v>0</v>
      </c>
      <c r="DI32" s="533">
        <f t="shared" si="203"/>
        <v>0</v>
      </c>
      <c r="DJ32" s="531"/>
      <c r="DK32" s="532">
        <f t="shared" si="36"/>
        <v>0</v>
      </c>
      <c r="DL32" s="533">
        <f t="shared" si="148"/>
        <v>0</v>
      </c>
      <c r="DM32" s="531"/>
      <c r="DN32" s="532">
        <f t="shared" si="37"/>
        <v>0</v>
      </c>
      <c r="DO32" s="533">
        <f t="shared" si="149"/>
        <v>0</v>
      </c>
      <c r="DP32" s="531"/>
      <c r="DQ32" s="532">
        <f t="shared" si="38"/>
        <v>0</v>
      </c>
      <c r="DR32" s="533">
        <f t="shared" si="150"/>
        <v>0</v>
      </c>
      <c r="DS32" s="531"/>
      <c r="DT32" s="532">
        <f t="shared" si="39"/>
        <v>0</v>
      </c>
      <c r="DU32" s="533">
        <f t="shared" si="151"/>
        <v>0</v>
      </c>
      <c r="DV32" s="531"/>
      <c r="DW32" s="532">
        <f t="shared" si="40"/>
        <v>0</v>
      </c>
      <c r="DX32" s="533">
        <f t="shared" si="152"/>
        <v>0</v>
      </c>
      <c r="DY32" s="531"/>
      <c r="DZ32" s="532">
        <f t="shared" si="41"/>
        <v>0</v>
      </c>
      <c r="EA32" s="533">
        <f t="shared" si="153"/>
        <v>0</v>
      </c>
      <c r="EB32" s="531"/>
      <c r="EC32" s="532">
        <f t="shared" si="42"/>
        <v>0</v>
      </c>
      <c r="ED32" s="533">
        <f t="shared" si="154"/>
        <v>0</v>
      </c>
      <c r="EE32" s="531">
        <v>176.45588235294122</v>
      </c>
      <c r="EF32" s="532">
        <f t="shared" si="43"/>
        <v>4.2090471185969802</v>
      </c>
      <c r="EG32" s="533">
        <f t="shared" si="155"/>
        <v>0</v>
      </c>
      <c r="EH32" s="531">
        <v>1</v>
      </c>
      <c r="EI32" s="532">
        <f t="shared" si="44"/>
        <v>2.3853254776614267E-2</v>
      </c>
      <c r="EJ32" s="533">
        <f t="shared" si="156"/>
        <v>0</v>
      </c>
      <c r="EK32" s="531">
        <v>31.595219756097435</v>
      </c>
      <c r="EL32" s="532">
        <f t="shared" si="45"/>
        <v>0.75364882656530863</v>
      </c>
      <c r="EM32" s="533">
        <f t="shared" si="157"/>
        <v>0</v>
      </c>
      <c r="EN32" s="531"/>
      <c r="EO32" s="532">
        <f t="shared" si="46"/>
        <v>0</v>
      </c>
      <c r="EP32" s="533">
        <f t="shared" si="158"/>
        <v>0</v>
      </c>
      <c r="EQ32" s="531">
        <v>51.216058139534823</v>
      </c>
      <c r="ER32" s="532">
        <f t="shared" si="47"/>
        <v>1.2216696834562131</v>
      </c>
      <c r="ES32" s="533">
        <f t="shared" si="159"/>
        <v>0</v>
      </c>
      <c r="ET32" s="531">
        <v>14.534883720930225</v>
      </c>
      <c r="EU32" s="532">
        <f t="shared" si="48"/>
        <v>0.34670428454381186</v>
      </c>
      <c r="EV32" s="533">
        <f t="shared" si="160"/>
        <v>0</v>
      </c>
      <c r="EW32" s="531"/>
      <c r="EX32" s="532">
        <f t="shared" si="49"/>
        <v>0</v>
      </c>
      <c r="EY32" s="533">
        <f t="shared" si="161"/>
        <v>0</v>
      </c>
      <c r="EZ32" s="531"/>
      <c r="FA32" s="532">
        <f t="shared" si="50"/>
        <v>0</v>
      </c>
      <c r="FB32" s="533">
        <f t="shared" si="162"/>
        <v>0</v>
      </c>
      <c r="FC32" s="531"/>
      <c r="FD32" s="532">
        <f t="shared" si="51"/>
        <v>0</v>
      </c>
      <c r="FE32" s="533">
        <f t="shared" si="163"/>
        <v>0</v>
      </c>
      <c r="FF32" s="531"/>
      <c r="FG32" s="532">
        <f t="shared" si="52"/>
        <v>0</v>
      </c>
      <c r="FH32" s="533">
        <f t="shared" si="164"/>
        <v>0</v>
      </c>
      <c r="FI32" s="531"/>
      <c r="FJ32" s="532">
        <f t="shared" si="53"/>
        <v>0</v>
      </c>
      <c r="FK32" s="533">
        <f t="shared" si="165"/>
        <v>0</v>
      </c>
      <c r="FL32" s="531"/>
      <c r="FM32" s="532">
        <f t="shared" si="54"/>
        <v>0</v>
      </c>
      <c r="FN32" s="533">
        <f t="shared" si="166"/>
        <v>0</v>
      </c>
      <c r="FO32" s="531"/>
      <c r="FP32" s="532">
        <f t="shared" si="55"/>
        <v>0</v>
      </c>
      <c r="FQ32" s="533">
        <f t="shared" si="167"/>
        <v>0</v>
      </c>
      <c r="FR32" s="531"/>
      <c r="FS32" s="532">
        <f t="shared" si="56"/>
        <v>0</v>
      </c>
      <c r="FT32" s="533">
        <f t="shared" si="168"/>
        <v>0</v>
      </c>
      <c r="FU32" s="531"/>
      <c r="FV32" s="532">
        <f t="shared" si="57"/>
        <v>0</v>
      </c>
      <c r="FW32" s="533">
        <f t="shared" si="169"/>
        <v>0</v>
      </c>
      <c r="FX32" s="531"/>
      <c r="FY32" s="532">
        <f t="shared" si="58"/>
        <v>0</v>
      </c>
      <c r="FZ32" s="533">
        <f t="shared" si="170"/>
        <v>0</v>
      </c>
      <c r="GA32" s="531"/>
      <c r="GB32" s="532">
        <f t="shared" si="59"/>
        <v>0</v>
      </c>
      <c r="GC32" s="533">
        <f t="shared" si="171"/>
        <v>0</v>
      </c>
      <c r="GD32" s="531"/>
      <c r="GE32" s="532">
        <f t="shared" si="60"/>
        <v>0</v>
      </c>
      <c r="GF32" s="533">
        <f t="shared" si="172"/>
        <v>0</v>
      </c>
      <c r="GG32" s="531">
        <v>10.694036802933017</v>
      </c>
      <c r="GH32" s="532">
        <f t="shared" si="61"/>
        <v>0.25508758445085078</v>
      </c>
      <c r="GI32" s="533">
        <f t="shared" si="173"/>
        <v>0</v>
      </c>
      <c r="GJ32" s="531">
        <v>12.832844163519619</v>
      </c>
      <c r="GK32" s="532">
        <f t="shared" si="229"/>
        <v>0.30610510134102087</v>
      </c>
      <c r="GL32" s="533">
        <f t="shared" si="230"/>
        <v>0</v>
      </c>
      <c r="GM32" s="531">
        <v>4.2776147211732063</v>
      </c>
      <c r="GN32" s="532">
        <f t="shared" si="231"/>
        <v>0.10203503378034029</v>
      </c>
      <c r="GO32" s="533">
        <f t="shared" si="232"/>
        <v>0</v>
      </c>
      <c r="GP32" s="531">
        <v>21.388073605866033</v>
      </c>
      <c r="GQ32" s="532">
        <f t="shared" si="233"/>
        <v>0.51017516890170156</v>
      </c>
      <c r="GR32" s="533">
        <f t="shared" si="234"/>
        <v>0</v>
      </c>
      <c r="GS32" s="531">
        <v>128.32844163519619</v>
      </c>
      <c r="GT32" s="532">
        <f t="shared" si="235"/>
        <v>3.0610510134102089</v>
      </c>
      <c r="GU32" s="533">
        <f t="shared" si="236"/>
        <v>0</v>
      </c>
      <c r="GV32" s="531">
        <v>27.804495687625842</v>
      </c>
      <c r="GW32" s="532">
        <f t="shared" si="237"/>
        <v>0.66322771957221194</v>
      </c>
      <c r="GX32" s="533">
        <f t="shared" si="238"/>
        <v>0</v>
      </c>
      <c r="GY32" s="531"/>
      <c r="GZ32" s="532">
        <f t="shared" si="239"/>
        <v>0</v>
      </c>
      <c r="HA32" s="533">
        <f t="shared" si="240"/>
        <v>0</v>
      </c>
      <c r="HB32" s="531"/>
      <c r="HC32" s="532">
        <f t="shared" si="222"/>
        <v>0</v>
      </c>
      <c r="HD32" s="533">
        <f t="shared" si="223"/>
        <v>0</v>
      </c>
      <c r="HE32" s="531"/>
      <c r="HF32" s="532">
        <f t="shared" si="224"/>
        <v>0</v>
      </c>
      <c r="HG32" s="533">
        <f t="shared" si="225"/>
        <v>0</v>
      </c>
      <c r="HH32" s="531"/>
      <c r="HI32" s="532">
        <f t="shared" si="226"/>
        <v>0</v>
      </c>
      <c r="HJ32" s="533">
        <f t="shared" si="227"/>
        <v>0</v>
      </c>
      <c r="HK32" s="531"/>
      <c r="HL32" s="532">
        <f t="shared" si="228"/>
        <v>0</v>
      </c>
      <c r="HM32" s="533">
        <f t="shared" si="183"/>
        <v>0</v>
      </c>
      <c r="HN32" s="531">
        <v>648.91415320197541</v>
      </c>
      <c r="HO32" s="532">
        <f t="shared" si="72"/>
        <v>15.478714624477623</v>
      </c>
      <c r="HP32" s="533">
        <f t="shared" si="184"/>
        <v>0</v>
      </c>
      <c r="HQ32" s="531"/>
      <c r="HR32" s="532">
        <f t="shared" si="73"/>
        <v>0</v>
      </c>
      <c r="HS32" s="533">
        <f t="shared" si="185"/>
        <v>0</v>
      </c>
      <c r="HT32" s="531"/>
      <c r="HU32" s="532">
        <f t="shared" si="74"/>
        <v>0</v>
      </c>
      <c r="HV32" s="533">
        <f t="shared" si="186"/>
        <v>0</v>
      </c>
      <c r="HW32" s="531"/>
      <c r="HX32" s="532">
        <f t="shared" si="75"/>
        <v>0</v>
      </c>
      <c r="HY32" s="533">
        <f t="shared" si="187"/>
        <v>0</v>
      </c>
      <c r="HZ32" s="531"/>
      <c r="IA32" s="532">
        <f t="shared" si="76"/>
        <v>0</v>
      </c>
      <c r="IB32" s="533">
        <f t="shared" si="188"/>
        <v>0</v>
      </c>
      <c r="IC32" s="531"/>
      <c r="ID32" s="532">
        <f t="shared" si="77"/>
        <v>0</v>
      </c>
      <c r="IE32" s="533">
        <f t="shared" si="189"/>
        <v>0</v>
      </c>
      <c r="IF32" s="531"/>
      <c r="IG32" s="532">
        <f t="shared" si="78"/>
        <v>0</v>
      </c>
      <c r="IH32" s="533">
        <f t="shared" si="190"/>
        <v>0</v>
      </c>
      <c r="II32" s="531">
        <v>17.110458884692825</v>
      </c>
      <c r="IJ32" s="532">
        <f t="shared" si="79"/>
        <v>0.40814013512136116</v>
      </c>
      <c r="IK32" s="533">
        <f t="shared" si="191"/>
        <v>0</v>
      </c>
      <c r="IL32" s="531"/>
      <c r="IM32" s="532">
        <f t="shared" si="80"/>
        <v>0</v>
      </c>
      <c r="IN32" s="533">
        <f t="shared" si="192"/>
        <v>0</v>
      </c>
      <c r="IO32" s="531"/>
      <c r="IP32" s="532">
        <f t="shared" si="81"/>
        <v>0</v>
      </c>
      <c r="IQ32" s="533">
        <f t="shared" si="193"/>
        <v>0</v>
      </c>
      <c r="IR32" s="531">
        <v>38.498532490558858</v>
      </c>
      <c r="IS32" s="532">
        <f t="shared" si="82"/>
        <v>0.91831530402306272</v>
      </c>
      <c r="IT32" s="533">
        <f t="shared" si="194"/>
        <v>0</v>
      </c>
      <c r="IU32" s="531"/>
      <c r="IV32" s="532">
        <f t="shared" si="83"/>
        <v>0</v>
      </c>
      <c r="IW32" s="533">
        <f t="shared" si="195"/>
        <v>0</v>
      </c>
      <c r="IX32" s="531"/>
      <c r="IY32" s="532">
        <f t="shared" si="84"/>
        <v>0</v>
      </c>
      <c r="IZ32" s="533">
        <f t="shared" si="196"/>
        <v>0</v>
      </c>
      <c r="JA32" s="531"/>
      <c r="JB32" s="532">
        <f t="shared" si="85"/>
        <v>0</v>
      </c>
      <c r="JC32" s="533">
        <f t="shared" si="197"/>
        <v>0</v>
      </c>
      <c r="JD32" s="531"/>
      <c r="JE32" s="532">
        <f t="shared" si="86"/>
        <v>0</v>
      </c>
      <c r="JF32" s="533">
        <f t="shared" si="198"/>
        <v>0</v>
      </c>
      <c r="JG32" s="531"/>
      <c r="JH32" s="532">
        <f t="shared" si="87"/>
        <v>0</v>
      </c>
      <c r="JI32" s="533">
        <f t="shared" si="199"/>
        <v>0</v>
      </c>
      <c r="JJ32" s="531">
        <v>17.110458884692825</v>
      </c>
      <c r="JK32" s="533" t="str">
        <f t="shared" si="88"/>
        <v>0</v>
      </c>
      <c r="JL32" s="533" t="str">
        <f t="shared" si="89"/>
        <v>0</v>
      </c>
      <c r="JM32" s="531"/>
      <c r="JN32" s="533" t="str">
        <f t="shared" si="90"/>
        <v>0</v>
      </c>
      <c r="JO32" s="533" t="str">
        <f t="shared" si="91"/>
        <v>0</v>
      </c>
      <c r="JP32" s="531"/>
      <c r="JQ32" s="533" t="str">
        <f t="shared" si="92"/>
        <v>0</v>
      </c>
      <c r="JR32" s="533" t="str">
        <f t="shared" si="93"/>
        <v>0</v>
      </c>
      <c r="JS32" s="531"/>
      <c r="JT32" s="533" t="str">
        <f t="shared" si="94"/>
        <v>0</v>
      </c>
      <c r="JU32" s="533" t="str">
        <f t="shared" si="95"/>
        <v>0</v>
      </c>
      <c r="JV32" s="531"/>
      <c r="JW32" s="533" t="str">
        <f t="shared" si="96"/>
        <v>0</v>
      </c>
      <c r="JX32" s="533" t="str">
        <f t="shared" si="97"/>
        <v>0</v>
      </c>
      <c r="JY32" s="531"/>
      <c r="JZ32" s="533" t="str">
        <f t="shared" si="98"/>
        <v>0</v>
      </c>
      <c r="KA32" s="533" t="str">
        <f t="shared" si="99"/>
        <v>0</v>
      </c>
      <c r="KB32" s="531"/>
      <c r="KC32" s="533" t="str">
        <f t="shared" si="100"/>
        <v>0</v>
      </c>
      <c r="KD32" s="533" t="str">
        <f t="shared" si="101"/>
        <v>0</v>
      </c>
      <c r="KE32" s="531"/>
      <c r="KF32" s="533" t="str">
        <f t="shared" si="102"/>
        <v>0</v>
      </c>
      <c r="KG32" s="533" t="str">
        <f t="shared" si="103"/>
        <v>0</v>
      </c>
      <c r="KH32" s="531"/>
      <c r="KI32" s="533" t="str">
        <f t="shared" si="104"/>
        <v>0</v>
      </c>
      <c r="KJ32" s="533" t="str">
        <f t="shared" si="105"/>
        <v>0</v>
      </c>
      <c r="KK32" s="531"/>
      <c r="KL32" s="533" t="str">
        <f t="shared" si="106"/>
        <v>0</v>
      </c>
      <c r="KM32" s="533" t="str">
        <f t="shared" si="107"/>
        <v>0</v>
      </c>
      <c r="KN32" s="531"/>
      <c r="KO32" s="533" t="str">
        <f t="shared" si="108"/>
        <v>0</v>
      </c>
      <c r="KP32" s="533" t="str">
        <f t="shared" si="109"/>
        <v>0</v>
      </c>
      <c r="KQ32" s="531"/>
      <c r="KR32" s="533" t="str">
        <f t="shared" si="110"/>
        <v>0</v>
      </c>
      <c r="KS32" s="533" t="str">
        <f t="shared" si="111"/>
        <v>0</v>
      </c>
      <c r="KT32" s="533">
        <f t="shared" si="201"/>
        <v>0</v>
      </c>
      <c r="KU32" s="533">
        <f t="shared" si="202"/>
        <v>0</v>
      </c>
      <c r="KV32" s="271">
        <f t="shared" si="241"/>
        <v>1453.2946726523887</v>
      </c>
    </row>
    <row r="33" spans="1:16384" ht="15" customHeight="1">
      <c r="A33" s="273">
        <f t="shared" si="200"/>
        <v>46047</v>
      </c>
      <c r="B33" s="274" t="str">
        <f>+Report1!B33</f>
        <v>Toilet</v>
      </c>
      <c r="C33" s="274" t="str">
        <f>+Report1!C33</f>
        <v>13,5/14</v>
      </c>
      <c r="D33" s="275">
        <f>+Report1!P33</f>
        <v>39.700000000000003</v>
      </c>
      <c r="E33" s="276">
        <f>+Report1!R33</f>
        <v>34.215000000000003</v>
      </c>
      <c r="F33" s="531"/>
      <c r="G33" s="532">
        <f t="shared" si="0"/>
        <v>0</v>
      </c>
      <c r="H33" s="533">
        <f t="shared" si="113"/>
        <v>0</v>
      </c>
      <c r="I33" s="531"/>
      <c r="J33" s="532">
        <f t="shared" si="1"/>
        <v>0</v>
      </c>
      <c r="K33" s="533">
        <f t="shared" si="114"/>
        <v>0</v>
      </c>
      <c r="L33" s="531"/>
      <c r="M33" s="532">
        <f t="shared" si="2"/>
        <v>0</v>
      </c>
      <c r="N33" s="533">
        <f t="shared" si="115"/>
        <v>0</v>
      </c>
      <c r="O33" s="531">
        <v>7.2268000000000114</v>
      </c>
      <c r="P33" s="532">
        <f t="shared" si="3"/>
        <v>0.21121730235276956</v>
      </c>
      <c r="Q33" s="533">
        <f t="shared" si="116"/>
        <v>0</v>
      </c>
      <c r="R33" s="531"/>
      <c r="S33" s="532">
        <f t="shared" si="4"/>
        <v>0</v>
      </c>
      <c r="T33" s="533">
        <f t="shared" si="117"/>
        <v>0</v>
      </c>
      <c r="U33" s="531">
        <v>3.6976999999999975</v>
      </c>
      <c r="V33" s="532">
        <f t="shared" si="5"/>
        <v>0.10807248282916841</v>
      </c>
      <c r="W33" s="533">
        <f t="shared" si="118"/>
        <v>0</v>
      </c>
      <c r="X33" s="531"/>
      <c r="Y33" s="532">
        <f t="shared" si="6"/>
        <v>0</v>
      </c>
      <c r="Z33" s="533">
        <f t="shared" si="119"/>
        <v>0</v>
      </c>
      <c r="AA33" s="531"/>
      <c r="AB33" s="532">
        <f t="shared" si="7"/>
        <v>0</v>
      </c>
      <c r="AC33" s="533">
        <f t="shared" si="120"/>
        <v>0</v>
      </c>
      <c r="AD33" s="531"/>
      <c r="AE33" s="532">
        <f t="shared" si="8"/>
        <v>0</v>
      </c>
      <c r="AF33" s="533">
        <f t="shared" si="121"/>
        <v>0</v>
      </c>
      <c r="AG33" s="531"/>
      <c r="AH33" s="532">
        <f t="shared" si="9"/>
        <v>0</v>
      </c>
      <c r="AI33" s="533">
        <f t="shared" si="122"/>
        <v>0</v>
      </c>
      <c r="AJ33" s="531">
        <v>8.4870000000000232</v>
      </c>
      <c r="AK33" s="532">
        <f t="shared" si="10"/>
        <v>0.24804910127137286</v>
      </c>
      <c r="AL33" s="533">
        <f t="shared" si="123"/>
        <v>0</v>
      </c>
      <c r="AM33" s="531"/>
      <c r="AN33" s="532">
        <f t="shared" si="11"/>
        <v>0</v>
      </c>
      <c r="AO33" s="533">
        <f t="shared" si="124"/>
        <v>0</v>
      </c>
      <c r="AP33" s="531"/>
      <c r="AQ33" s="532">
        <f t="shared" si="12"/>
        <v>0</v>
      </c>
      <c r="AR33" s="533">
        <f t="shared" si="125"/>
        <v>0</v>
      </c>
      <c r="AS33" s="531"/>
      <c r="AT33" s="532">
        <f t="shared" si="13"/>
        <v>0</v>
      </c>
      <c r="AU33" s="533">
        <f t="shared" si="126"/>
        <v>0</v>
      </c>
      <c r="AV33" s="531"/>
      <c r="AW33" s="532">
        <f t="shared" si="14"/>
        <v>0</v>
      </c>
      <c r="AX33" s="533">
        <f t="shared" si="127"/>
        <v>0</v>
      </c>
      <c r="AY33" s="531"/>
      <c r="AZ33" s="532">
        <f t="shared" si="15"/>
        <v>0</v>
      </c>
      <c r="BA33" s="533">
        <f t="shared" si="128"/>
        <v>0</v>
      </c>
      <c r="BB33" s="531"/>
      <c r="BC33" s="532">
        <f t="shared" si="16"/>
        <v>0</v>
      </c>
      <c r="BD33" s="533">
        <f t="shared" si="129"/>
        <v>0</v>
      </c>
      <c r="BE33" s="531"/>
      <c r="BF33" s="532">
        <f t="shared" si="17"/>
        <v>0</v>
      </c>
      <c r="BG33" s="533">
        <f t="shared" si="130"/>
        <v>0</v>
      </c>
      <c r="BH33" s="531"/>
      <c r="BI33" s="532">
        <f t="shared" si="18"/>
        <v>0</v>
      </c>
      <c r="BJ33" s="533">
        <f t="shared" si="131"/>
        <v>0</v>
      </c>
      <c r="BK33" s="531"/>
      <c r="BL33" s="532">
        <f t="shared" si="19"/>
        <v>0</v>
      </c>
      <c r="BM33" s="533">
        <f t="shared" si="132"/>
        <v>0</v>
      </c>
      <c r="BN33" s="531"/>
      <c r="BO33" s="532">
        <f t="shared" si="20"/>
        <v>0</v>
      </c>
      <c r="BP33" s="533">
        <f t="shared" si="133"/>
        <v>0</v>
      </c>
      <c r="BQ33" s="531"/>
      <c r="BR33" s="532">
        <f t="shared" si="21"/>
        <v>0</v>
      </c>
      <c r="BS33" s="533">
        <f t="shared" si="134"/>
        <v>0</v>
      </c>
      <c r="BT33" s="531"/>
      <c r="BU33" s="532">
        <f t="shared" si="22"/>
        <v>0</v>
      </c>
      <c r="BV33" s="533">
        <f t="shared" si="135"/>
        <v>0</v>
      </c>
      <c r="BW33" s="531"/>
      <c r="BX33" s="532">
        <f t="shared" si="23"/>
        <v>0</v>
      </c>
      <c r="BY33" s="533">
        <f t="shared" si="136"/>
        <v>0</v>
      </c>
      <c r="BZ33" s="531"/>
      <c r="CA33" s="532">
        <f t="shared" si="24"/>
        <v>0</v>
      </c>
      <c r="CB33" s="533">
        <f t="shared" si="137"/>
        <v>0</v>
      </c>
      <c r="CC33" s="531">
        <v>10</v>
      </c>
      <c r="CD33" s="532">
        <f t="shared" si="25"/>
        <v>0.29226947245360219</v>
      </c>
      <c r="CE33" s="533">
        <f t="shared" si="138"/>
        <v>0</v>
      </c>
      <c r="CF33" s="531">
        <v>4</v>
      </c>
      <c r="CG33" s="532">
        <f t="shared" si="26"/>
        <v>0.11690778898144087</v>
      </c>
      <c r="CH33" s="533">
        <f t="shared" si="139"/>
        <v>0</v>
      </c>
      <c r="CI33" s="531"/>
      <c r="CJ33" s="532">
        <f t="shared" si="27"/>
        <v>0</v>
      </c>
      <c r="CK33" s="533">
        <f t="shared" si="140"/>
        <v>0</v>
      </c>
      <c r="CL33" s="531"/>
      <c r="CM33" s="532">
        <f t="shared" si="28"/>
        <v>0</v>
      </c>
      <c r="CN33" s="533">
        <f t="shared" si="141"/>
        <v>0</v>
      </c>
      <c r="CO33" s="531"/>
      <c r="CP33" s="532">
        <f t="shared" si="29"/>
        <v>0</v>
      </c>
      <c r="CQ33" s="533">
        <f t="shared" si="142"/>
        <v>0</v>
      </c>
      <c r="CR33" s="531"/>
      <c r="CS33" s="532">
        <f t="shared" si="30"/>
        <v>0</v>
      </c>
      <c r="CT33" s="533">
        <f t="shared" si="143"/>
        <v>0</v>
      </c>
      <c r="CU33" s="531"/>
      <c r="CV33" s="532">
        <f t="shared" si="31"/>
        <v>0</v>
      </c>
      <c r="CW33" s="533">
        <f t="shared" si="144"/>
        <v>0</v>
      </c>
      <c r="CX33" s="531"/>
      <c r="CY33" s="532">
        <f t="shared" si="32"/>
        <v>0</v>
      </c>
      <c r="CZ33" s="533">
        <f t="shared" si="145"/>
        <v>0</v>
      </c>
      <c r="DA33" s="531">
        <v>195.87599999999998</v>
      </c>
      <c r="DB33" s="532">
        <f t="shared" si="33"/>
        <v>5.7248575186321773</v>
      </c>
      <c r="DC33" s="533">
        <f t="shared" si="146"/>
        <v>0</v>
      </c>
      <c r="DD33" s="531"/>
      <c r="DE33" s="532">
        <f t="shared" si="34"/>
        <v>0</v>
      </c>
      <c r="DF33" s="533">
        <f t="shared" si="147"/>
        <v>0</v>
      </c>
      <c r="DG33" s="531"/>
      <c r="DH33" s="532">
        <f t="shared" si="35"/>
        <v>0</v>
      </c>
      <c r="DI33" s="533">
        <f t="shared" si="203"/>
        <v>0</v>
      </c>
      <c r="DJ33" s="531"/>
      <c r="DK33" s="532">
        <f t="shared" si="36"/>
        <v>0</v>
      </c>
      <c r="DL33" s="533">
        <f t="shared" si="148"/>
        <v>0</v>
      </c>
      <c r="DM33" s="531"/>
      <c r="DN33" s="532">
        <f t="shared" si="37"/>
        <v>0</v>
      </c>
      <c r="DO33" s="533">
        <f t="shared" si="149"/>
        <v>0</v>
      </c>
      <c r="DP33" s="531"/>
      <c r="DQ33" s="532">
        <f t="shared" si="38"/>
        <v>0</v>
      </c>
      <c r="DR33" s="533">
        <f t="shared" si="150"/>
        <v>0</v>
      </c>
      <c r="DS33" s="531"/>
      <c r="DT33" s="532">
        <f t="shared" si="39"/>
        <v>0</v>
      </c>
      <c r="DU33" s="533">
        <f t="shared" si="151"/>
        <v>0</v>
      </c>
      <c r="DV33" s="531"/>
      <c r="DW33" s="532">
        <f t="shared" si="40"/>
        <v>0</v>
      </c>
      <c r="DX33" s="533">
        <f t="shared" si="152"/>
        <v>0</v>
      </c>
      <c r="DY33" s="531"/>
      <c r="DZ33" s="532">
        <f t="shared" si="41"/>
        <v>0</v>
      </c>
      <c r="EA33" s="533">
        <f t="shared" si="153"/>
        <v>0</v>
      </c>
      <c r="EB33" s="531"/>
      <c r="EC33" s="532">
        <f t="shared" si="42"/>
        <v>0</v>
      </c>
      <c r="ED33" s="533">
        <f t="shared" si="154"/>
        <v>0</v>
      </c>
      <c r="EE33" s="531">
        <v>164.03999999999996</v>
      </c>
      <c r="EF33" s="532">
        <f t="shared" si="43"/>
        <v>4.7943884261288892</v>
      </c>
      <c r="EG33" s="533">
        <f t="shared" si="155"/>
        <v>0</v>
      </c>
      <c r="EH33" s="531">
        <v>1</v>
      </c>
      <c r="EI33" s="532">
        <f t="shared" si="44"/>
        <v>2.9226947245360218E-2</v>
      </c>
      <c r="EJ33" s="533">
        <f t="shared" si="156"/>
        <v>0</v>
      </c>
      <c r="EK33" s="531">
        <v>29.375850000000014</v>
      </c>
      <c r="EL33" s="532">
        <f t="shared" si="45"/>
        <v>0.85856641823761537</v>
      </c>
      <c r="EM33" s="533">
        <f t="shared" si="157"/>
        <v>0</v>
      </c>
      <c r="EN33" s="531"/>
      <c r="EO33" s="532">
        <f t="shared" si="46"/>
        <v>0</v>
      </c>
      <c r="EP33" s="533">
        <f t="shared" si="158"/>
        <v>0</v>
      </c>
      <c r="EQ33" s="531">
        <v>47.617000000000019</v>
      </c>
      <c r="ER33" s="532">
        <f t="shared" si="47"/>
        <v>1.3916995469823181</v>
      </c>
      <c r="ES33" s="533">
        <f t="shared" si="159"/>
        <v>0</v>
      </c>
      <c r="ET33" s="531">
        <v>14.534883720930225</v>
      </c>
      <c r="EU33" s="532">
        <f t="shared" si="48"/>
        <v>0.4248102797290727</v>
      </c>
      <c r="EV33" s="533">
        <f t="shared" si="160"/>
        <v>0</v>
      </c>
      <c r="EW33" s="531"/>
      <c r="EX33" s="532">
        <f t="shared" si="49"/>
        <v>0</v>
      </c>
      <c r="EY33" s="533">
        <f t="shared" si="161"/>
        <v>0</v>
      </c>
      <c r="EZ33" s="531"/>
      <c r="FA33" s="532">
        <f t="shared" si="50"/>
        <v>0</v>
      </c>
      <c r="FB33" s="533">
        <f t="shared" si="162"/>
        <v>0</v>
      </c>
      <c r="FC33" s="531"/>
      <c r="FD33" s="532">
        <f t="shared" si="51"/>
        <v>0</v>
      </c>
      <c r="FE33" s="533">
        <f t="shared" si="163"/>
        <v>0</v>
      </c>
      <c r="FF33" s="531"/>
      <c r="FG33" s="532">
        <f t="shared" si="52"/>
        <v>0</v>
      </c>
      <c r="FH33" s="533">
        <f t="shared" si="164"/>
        <v>0</v>
      </c>
      <c r="FI33" s="531"/>
      <c r="FJ33" s="532">
        <f t="shared" si="53"/>
        <v>0</v>
      </c>
      <c r="FK33" s="533">
        <f t="shared" si="165"/>
        <v>0</v>
      </c>
      <c r="FL33" s="531"/>
      <c r="FM33" s="532">
        <f t="shared" si="54"/>
        <v>0</v>
      </c>
      <c r="FN33" s="533">
        <f t="shared" si="166"/>
        <v>0</v>
      </c>
      <c r="FO33" s="531"/>
      <c r="FP33" s="532">
        <f t="shared" si="55"/>
        <v>0</v>
      </c>
      <c r="FQ33" s="533">
        <f t="shared" si="167"/>
        <v>0</v>
      </c>
      <c r="FR33" s="531"/>
      <c r="FS33" s="532">
        <f t="shared" si="56"/>
        <v>0</v>
      </c>
      <c r="FT33" s="533">
        <f t="shared" si="168"/>
        <v>0</v>
      </c>
      <c r="FU33" s="531"/>
      <c r="FV33" s="532">
        <f t="shared" si="57"/>
        <v>0</v>
      </c>
      <c r="FW33" s="533">
        <f t="shared" si="169"/>
        <v>0</v>
      </c>
      <c r="FX33" s="531"/>
      <c r="FY33" s="532">
        <f t="shared" si="58"/>
        <v>0</v>
      </c>
      <c r="FZ33" s="533">
        <f t="shared" si="170"/>
        <v>0</v>
      </c>
      <c r="GA33" s="531"/>
      <c r="GB33" s="532">
        <f t="shared" si="59"/>
        <v>0</v>
      </c>
      <c r="GC33" s="533">
        <f t="shared" si="171"/>
        <v>0</v>
      </c>
      <c r="GD33" s="531"/>
      <c r="GE33" s="532">
        <f t="shared" si="60"/>
        <v>0</v>
      </c>
      <c r="GF33" s="533">
        <f t="shared" si="172"/>
        <v>0</v>
      </c>
      <c r="GG33" s="531">
        <v>10.582828627484432</v>
      </c>
      <c r="GH33" s="532">
        <f t="shared" si="61"/>
        <v>0.3093037740021754</v>
      </c>
      <c r="GI33" s="533">
        <f t="shared" si="173"/>
        <v>0</v>
      </c>
      <c r="GJ33" s="531">
        <v>12.699394352981319</v>
      </c>
      <c r="GK33" s="532">
        <f t="shared" ref="GK33:GK34" si="242">+GJ33/$E33</f>
        <v>0.37116452880261047</v>
      </c>
      <c r="GL33" s="533">
        <f t="shared" ref="GL33:GL34" si="243">+GJ33*$H$8</f>
        <v>0</v>
      </c>
      <c r="GM33" s="531">
        <v>4.2331314509937732</v>
      </c>
      <c r="GN33" s="532">
        <f t="shared" ref="GN33:GN34" si="244">+GM33/$E33</f>
        <v>0.12372150960087017</v>
      </c>
      <c r="GO33" s="533">
        <f t="shared" ref="GO33:GO34" si="245">+GM33*$H$8</f>
        <v>0</v>
      </c>
      <c r="GP33" s="531">
        <v>19.049091529471976</v>
      </c>
      <c r="GQ33" s="532">
        <f t="shared" ref="GQ33:GQ34" si="246">+GP33/$E33</f>
        <v>0.55674679320391562</v>
      </c>
      <c r="GR33" s="533">
        <f t="shared" ref="GR33:GR34" si="247">+GP33*$H$8</f>
        <v>0</v>
      </c>
      <c r="GS33" s="531">
        <v>118.52768062782565</v>
      </c>
      <c r="GT33" s="532">
        <f t="shared" ref="GT33:GT34" si="248">+GS33/$E33</f>
        <v>3.4642022688243648</v>
      </c>
      <c r="GU33" s="533">
        <f t="shared" ref="GU33:GU34" si="249">+GS33*$H$8</f>
        <v>0</v>
      </c>
      <c r="GV33" s="531">
        <v>25.398788705962637</v>
      </c>
      <c r="GW33" s="532">
        <f t="shared" ref="GW33:GW34" si="250">+GV33/$E33</f>
        <v>0.74232905760522094</v>
      </c>
      <c r="GX33" s="533">
        <f t="shared" ref="GX33:GX34" si="251">+GV33*$H$8</f>
        <v>0</v>
      </c>
      <c r="GY33" s="531"/>
      <c r="GZ33" s="532">
        <f t="shared" ref="GZ33:GZ34" si="252">+GY33/$E33</f>
        <v>0</v>
      </c>
      <c r="HA33" s="533">
        <f t="shared" si="179"/>
        <v>0</v>
      </c>
      <c r="HB33" s="531"/>
      <c r="HC33" s="532">
        <f t="shared" si="68"/>
        <v>0</v>
      </c>
      <c r="HD33" s="533">
        <f t="shared" si="180"/>
        <v>0</v>
      </c>
      <c r="HE33" s="531"/>
      <c r="HF33" s="532">
        <f t="shared" si="69"/>
        <v>0</v>
      </c>
      <c r="HG33" s="533">
        <f t="shared" si="181"/>
        <v>0</v>
      </c>
      <c r="HH33" s="531"/>
      <c r="HI33" s="532">
        <f t="shared" si="70"/>
        <v>0</v>
      </c>
      <c r="HJ33" s="533">
        <f t="shared" si="182"/>
        <v>0</v>
      </c>
      <c r="HK33" s="531"/>
      <c r="HL33" s="532">
        <f t="shared" si="71"/>
        <v>0</v>
      </c>
      <c r="HM33" s="533">
        <f t="shared" si="183"/>
        <v>0</v>
      </c>
      <c r="HN33" s="531">
        <v>684.4973556256931</v>
      </c>
      <c r="HO33" s="532">
        <f t="shared" si="72"/>
        <v>20.005768102460706</v>
      </c>
      <c r="HP33" s="533">
        <f t="shared" si="184"/>
        <v>0</v>
      </c>
      <c r="HQ33" s="531"/>
      <c r="HR33" s="532">
        <f t="shared" si="73"/>
        <v>0</v>
      </c>
      <c r="HS33" s="533">
        <f t="shared" si="185"/>
        <v>0</v>
      </c>
      <c r="HT33" s="531"/>
      <c r="HU33" s="532">
        <f t="shared" si="74"/>
        <v>0</v>
      </c>
      <c r="HV33" s="533">
        <f t="shared" si="186"/>
        <v>0</v>
      </c>
      <c r="HW33" s="531"/>
      <c r="HX33" s="532">
        <f t="shared" si="75"/>
        <v>0</v>
      </c>
      <c r="HY33" s="533">
        <f t="shared" si="187"/>
        <v>0</v>
      </c>
      <c r="HZ33" s="531"/>
      <c r="IA33" s="532">
        <f t="shared" si="76"/>
        <v>0</v>
      </c>
      <c r="IB33" s="533">
        <f t="shared" si="188"/>
        <v>0</v>
      </c>
      <c r="IC33" s="531"/>
      <c r="ID33" s="532">
        <f t="shared" si="77"/>
        <v>0</v>
      </c>
      <c r="IE33" s="533">
        <f t="shared" si="189"/>
        <v>0</v>
      </c>
      <c r="IF33" s="531"/>
      <c r="IG33" s="532">
        <f t="shared" si="78"/>
        <v>0</v>
      </c>
      <c r="IH33" s="533">
        <f t="shared" si="190"/>
        <v>0</v>
      </c>
      <c r="II33" s="531">
        <v>16.932525803975093</v>
      </c>
      <c r="IJ33" s="532">
        <f t="shared" si="79"/>
        <v>0.49488603840348067</v>
      </c>
      <c r="IK33" s="533">
        <f t="shared" si="191"/>
        <v>0</v>
      </c>
      <c r="IL33" s="531"/>
      <c r="IM33" s="532">
        <f t="shared" si="80"/>
        <v>0</v>
      </c>
      <c r="IN33" s="533">
        <f t="shared" si="192"/>
        <v>0</v>
      </c>
      <c r="IO33" s="531"/>
      <c r="IP33" s="532">
        <f t="shared" si="81"/>
        <v>0</v>
      </c>
      <c r="IQ33" s="533">
        <f t="shared" si="193"/>
        <v>0</v>
      </c>
      <c r="IR33" s="531">
        <v>38.098183058943953</v>
      </c>
      <c r="IS33" s="532">
        <f t="shared" si="82"/>
        <v>1.1134935864078312</v>
      </c>
      <c r="IT33" s="533">
        <f t="shared" si="194"/>
        <v>0</v>
      </c>
      <c r="IU33" s="531"/>
      <c r="IV33" s="532">
        <f t="shared" si="83"/>
        <v>0</v>
      </c>
      <c r="IW33" s="533">
        <f t="shared" si="195"/>
        <v>0</v>
      </c>
      <c r="IX33" s="531"/>
      <c r="IY33" s="532">
        <f t="shared" si="84"/>
        <v>0</v>
      </c>
      <c r="IZ33" s="533">
        <f t="shared" si="196"/>
        <v>0</v>
      </c>
      <c r="JA33" s="531"/>
      <c r="JB33" s="532">
        <f t="shared" si="85"/>
        <v>0</v>
      </c>
      <c r="JC33" s="533">
        <f t="shared" si="197"/>
        <v>0</v>
      </c>
      <c r="JD33" s="531"/>
      <c r="JE33" s="532">
        <f t="shared" si="86"/>
        <v>0</v>
      </c>
      <c r="JF33" s="533">
        <f t="shared" si="198"/>
        <v>0</v>
      </c>
      <c r="JG33" s="531">
        <v>16.932525803975093</v>
      </c>
      <c r="JH33" s="532">
        <f t="shared" si="87"/>
        <v>0.49488603840348067</v>
      </c>
      <c r="JI33" s="533">
        <f t="shared" si="199"/>
        <v>0</v>
      </c>
      <c r="JJ33" s="531">
        <v>16.932525803975093</v>
      </c>
      <c r="JK33" s="533" t="str">
        <f t="shared" si="88"/>
        <v>0</v>
      </c>
      <c r="JL33" s="533" t="str">
        <f t="shared" si="89"/>
        <v>0</v>
      </c>
      <c r="JM33" s="531"/>
      <c r="JN33" s="533" t="str">
        <f t="shared" si="90"/>
        <v>0</v>
      </c>
      <c r="JO33" s="533" t="str">
        <f t="shared" si="91"/>
        <v>0</v>
      </c>
      <c r="JP33" s="531"/>
      <c r="JQ33" s="533" t="str">
        <f t="shared" si="92"/>
        <v>0</v>
      </c>
      <c r="JR33" s="533" t="str">
        <f t="shared" si="93"/>
        <v>0</v>
      </c>
      <c r="JS33" s="531"/>
      <c r="JT33" s="533" t="str">
        <f t="shared" si="94"/>
        <v>0</v>
      </c>
      <c r="JU33" s="533" t="str">
        <f t="shared" si="95"/>
        <v>0</v>
      </c>
      <c r="JV33" s="531"/>
      <c r="JW33" s="533" t="str">
        <f t="shared" si="96"/>
        <v>0</v>
      </c>
      <c r="JX33" s="533" t="str">
        <f t="shared" si="97"/>
        <v>0</v>
      </c>
      <c r="JY33" s="531"/>
      <c r="JZ33" s="533" t="str">
        <f t="shared" si="98"/>
        <v>0</v>
      </c>
      <c r="KA33" s="533" t="str">
        <f t="shared" si="99"/>
        <v>0</v>
      </c>
      <c r="KB33" s="531"/>
      <c r="KC33" s="533" t="str">
        <f t="shared" si="100"/>
        <v>0</v>
      </c>
      <c r="KD33" s="533" t="str">
        <f t="shared" si="101"/>
        <v>0</v>
      </c>
      <c r="KE33" s="531"/>
      <c r="KF33" s="533" t="str">
        <f t="shared" si="102"/>
        <v>0</v>
      </c>
      <c r="KG33" s="533" t="str">
        <f t="shared" si="103"/>
        <v>0</v>
      </c>
      <c r="KH33" s="531"/>
      <c r="KI33" s="533" t="str">
        <f t="shared" si="104"/>
        <v>0</v>
      </c>
      <c r="KJ33" s="533" t="str">
        <f t="shared" si="105"/>
        <v>0</v>
      </c>
      <c r="KK33" s="531"/>
      <c r="KL33" s="533" t="str">
        <f t="shared" si="106"/>
        <v>0</v>
      </c>
      <c r="KM33" s="533" t="str">
        <f t="shared" si="107"/>
        <v>0</v>
      </c>
      <c r="KN33" s="531"/>
      <c r="KO33" s="533" t="str">
        <f t="shared" si="108"/>
        <v>0</v>
      </c>
      <c r="KP33" s="533" t="str">
        <f t="shared" si="109"/>
        <v>0</v>
      </c>
      <c r="KQ33" s="531"/>
      <c r="KR33" s="533" t="str">
        <f t="shared" si="110"/>
        <v>0</v>
      </c>
      <c r="KS33" s="533" t="str">
        <f t="shared" si="111"/>
        <v>0</v>
      </c>
      <c r="KT33" s="533">
        <f t="shared" si="201"/>
        <v>0</v>
      </c>
      <c r="KU33" s="533">
        <f t="shared" si="202"/>
        <v>0</v>
      </c>
      <c r="KV33" s="271">
        <f t="shared" si="241"/>
        <v>1449.7392651122127</v>
      </c>
    </row>
    <row r="34" spans="1:16384" ht="15" customHeight="1">
      <c r="A34" s="273">
        <f t="shared" si="200"/>
        <v>46048</v>
      </c>
      <c r="B34" s="274" t="str">
        <f>+Report1!B34</f>
        <v>Toilet</v>
      </c>
      <c r="C34" s="274" t="str">
        <f>+Report1!C34</f>
        <v>14</v>
      </c>
      <c r="D34" s="275">
        <f>+Report1!P34</f>
        <v>34.11</v>
      </c>
      <c r="E34" s="276">
        <f>+Report1!R34</f>
        <v>38.465000000000003</v>
      </c>
      <c r="F34" s="531"/>
      <c r="G34" s="532">
        <f t="shared" si="0"/>
        <v>0</v>
      </c>
      <c r="H34" s="533">
        <f t="shared" si="113"/>
        <v>0</v>
      </c>
      <c r="I34" s="531"/>
      <c r="J34" s="532">
        <f t="shared" si="1"/>
        <v>0</v>
      </c>
      <c r="K34" s="533">
        <f t="shared" si="114"/>
        <v>0</v>
      </c>
      <c r="L34" s="531"/>
      <c r="M34" s="532">
        <f t="shared" si="2"/>
        <v>0</v>
      </c>
      <c r="N34" s="533">
        <f t="shared" si="115"/>
        <v>0</v>
      </c>
      <c r="O34" s="531">
        <v>9.0015999999999963</v>
      </c>
      <c r="P34" s="532">
        <f t="shared" si="3"/>
        <v>0.23402053815156623</v>
      </c>
      <c r="Q34" s="533">
        <f t="shared" si="116"/>
        <v>0</v>
      </c>
      <c r="R34" s="531"/>
      <c r="S34" s="532">
        <f t="shared" si="4"/>
        <v>0</v>
      </c>
      <c r="T34" s="533">
        <f t="shared" si="117"/>
        <v>0</v>
      </c>
      <c r="U34" s="531">
        <v>5.1280999999999892</v>
      </c>
      <c r="V34" s="532">
        <f t="shared" si="5"/>
        <v>0.13331860132588039</v>
      </c>
      <c r="W34" s="533">
        <f t="shared" si="118"/>
        <v>0</v>
      </c>
      <c r="X34" s="531"/>
      <c r="Y34" s="532">
        <f t="shared" si="6"/>
        <v>0</v>
      </c>
      <c r="Z34" s="533">
        <f t="shared" si="119"/>
        <v>0</v>
      </c>
      <c r="AA34" s="531"/>
      <c r="AB34" s="532">
        <f t="shared" si="7"/>
        <v>0</v>
      </c>
      <c r="AC34" s="533">
        <f t="shared" si="120"/>
        <v>0</v>
      </c>
      <c r="AD34" s="531"/>
      <c r="AE34" s="532">
        <f t="shared" si="8"/>
        <v>0</v>
      </c>
      <c r="AF34" s="533">
        <f t="shared" si="121"/>
        <v>0</v>
      </c>
      <c r="AG34" s="531"/>
      <c r="AH34" s="532">
        <f t="shared" si="9"/>
        <v>0</v>
      </c>
      <c r="AI34" s="533">
        <f t="shared" si="122"/>
        <v>0</v>
      </c>
      <c r="AJ34" s="531">
        <v>20.563699999999983</v>
      </c>
      <c r="AK34" s="532">
        <f t="shared" si="10"/>
        <v>0.53460808527232495</v>
      </c>
      <c r="AL34" s="533">
        <f t="shared" si="123"/>
        <v>0</v>
      </c>
      <c r="AM34" s="531"/>
      <c r="AN34" s="532">
        <f t="shared" si="11"/>
        <v>0</v>
      </c>
      <c r="AO34" s="533">
        <f t="shared" si="124"/>
        <v>0</v>
      </c>
      <c r="AP34" s="531"/>
      <c r="AQ34" s="532">
        <f t="shared" si="12"/>
        <v>0</v>
      </c>
      <c r="AR34" s="533">
        <f t="shared" si="125"/>
        <v>0</v>
      </c>
      <c r="AS34" s="531"/>
      <c r="AT34" s="532">
        <f t="shared" si="13"/>
        <v>0</v>
      </c>
      <c r="AU34" s="533">
        <f t="shared" si="126"/>
        <v>0</v>
      </c>
      <c r="AV34" s="531"/>
      <c r="AW34" s="532">
        <f t="shared" si="14"/>
        <v>0</v>
      </c>
      <c r="AX34" s="533">
        <f t="shared" si="127"/>
        <v>0</v>
      </c>
      <c r="AY34" s="531"/>
      <c r="AZ34" s="532">
        <f t="shared" si="15"/>
        <v>0</v>
      </c>
      <c r="BA34" s="533">
        <f t="shared" si="128"/>
        <v>0</v>
      </c>
      <c r="BB34" s="531"/>
      <c r="BC34" s="532">
        <f t="shared" si="16"/>
        <v>0</v>
      </c>
      <c r="BD34" s="533">
        <f t="shared" si="129"/>
        <v>0</v>
      </c>
      <c r="BE34" s="531"/>
      <c r="BF34" s="532">
        <f t="shared" si="17"/>
        <v>0</v>
      </c>
      <c r="BG34" s="533">
        <f t="shared" si="130"/>
        <v>0</v>
      </c>
      <c r="BH34" s="531"/>
      <c r="BI34" s="532">
        <f t="shared" si="18"/>
        <v>0</v>
      </c>
      <c r="BJ34" s="533">
        <f t="shared" si="131"/>
        <v>0</v>
      </c>
      <c r="BK34" s="531"/>
      <c r="BL34" s="532">
        <f t="shared" si="19"/>
        <v>0</v>
      </c>
      <c r="BM34" s="533">
        <f t="shared" si="132"/>
        <v>0</v>
      </c>
      <c r="BN34" s="531"/>
      <c r="BO34" s="532">
        <f t="shared" si="20"/>
        <v>0</v>
      </c>
      <c r="BP34" s="533">
        <f t="shared" si="133"/>
        <v>0</v>
      </c>
      <c r="BQ34" s="531"/>
      <c r="BR34" s="532">
        <f t="shared" si="21"/>
        <v>0</v>
      </c>
      <c r="BS34" s="533">
        <f t="shared" si="134"/>
        <v>0</v>
      </c>
      <c r="BT34" s="531"/>
      <c r="BU34" s="532">
        <f t="shared" si="22"/>
        <v>0</v>
      </c>
      <c r="BV34" s="533">
        <f t="shared" si="135"/>
        <v>0</v>
      </c>
      <c r="BW34" s="531"/>
      <c r="BX34" s="532">
        <f t="shared" si="23"/>
        <v>0</v>
      </c>
      <c r="BY34" s="533">
        <f t="shared" si="136"/>
        <v>0</v>
      </c>
      <c r="BZ34" s="531"/>
      <c r="CA34" s="532">
        <f t="shared" si="24"/>
        <v>0</v>
      </c>
      <c r="CB34" s="533">
        <f t="shared" si="137"/>
        <v>0</v>
      </c>
      <c r="CC34" s="531">
        <v>10</v>
      </c>
      <c r="CD34" s="532">
        <f t="shared" si="25"/>
        <v>0.25997660210581047</v>
      </c>
      <c r="CE34" s="533">
        <f t="shared" si="138"/>
        <v>0</v>
      </c>
      <c r="CF34" s="531">
        <v>5</v>
      </c>
      <c r="CG34" s="532">
        <f t="shared" si="26"/>
        <v>0.12998830105290524</v>
      </c>
      <c r="CH34" s="533">
        <f t="shared" si="139"/>
        <v>0</v>
      </c>
      <c r="CI34" s="531"/>
      <c r="CJ34" s="532">
        <f t="shared" si="27"/>
        <v>0</v>
      </c>
      <c r="CK34" s="533">
        <f t="shared" si="140"/>
        <v>0</v>
      </c>
      <c r="CL34" s="531"/>
      <c r="CM34" s="532">
        <f t="shared" si="28"/>
        <v>0</v>
      </c>
      <c r="CN34" s="533">
        <f t="shared" si="141"/>
        <v>0</v>
      </c>
      <c r="CO34" s="531"/>
      <c r="CP34" s="532">
        <f t="shared" si="29"/>
        <v>0</v>
      </c>
      <c r="CQ34" s="533">
        <f t="shared" si="142"/>
        <v>0</v>
      </c>
      <c r="CR34" s="531"/>
      <c r="CS34" s="532">
        <f t="shared" si="30"/>
        <v>0</v>
      </c>
      <c r="CT34" s="533">
        <f t="shared" si="143"/>
        <v>0</v>
      </c>
      <c r="CU34" s="531"/>
      <c r="CV34" s="532">
        <f t="shared" si="31"/>
        <v>0</v>
      </c>
      <c r="CW34" s="533">
        <f t="shared" si="144"/>
        <v>0</v>
      </c>
      <c r="CX34" s="531"/>
      <c r="CY34" s="532">
        <f t="shared" si="32"/>
        <v>0</v>
      </c>
      <c r="CZ34" s="533">
        <f t="shared" si="145"/>
        <v>0</v>
      </c>
      <c r="DA34" s="531">
        <v>218.02046511627873</v>
      </c>
      <c r="DB34" s="532">
        <f t="shared" si="33"/>
        <v>5.6680219710458521</v>
      </c>
      <c r="DC34" s="533">
        <f t="shared" si="146"/>
        <v>0</v>
      </c>
      <c r="DD34" s="531"/>
      <c r="DE34" s="532">
        <f t="shared" si="34"/>
        <v>0</v>
      </c>
      <c r="DF34" s="533">
        <f t="shared" si="147"/>
        <v>0</v>
      </c>
      <c r="DG34" s="531"/>
      <c r="DH34" s="532">
        <f t="shared" si="35"/>
        <v>0</v>
      </c>
      <c r="DI34" s="533">
        <f t="shared" si="203"/>
        <v>0</v>
      </c>
      <c r="DJ34" s="531"/>
      <c r="DK34" s="532">
        <f t="shared" si="36"/>
        <v>0</v>
      </c>
      <c r="DL34" s="533">
        <f t="shared" si="148"/>
        <v>0</v>
      </c>
      <c r="DM34" s="531"/>
      <c r="DN34" s="532">
        <f t="shared" si="37"/>
        <v>0</v>
      </c>
      <c r="DO34" s="533">
        <f t="shared" si="149"/>
        <v>0</v>
      </c>
      <c r="DP34" s="531"/>
      <c r="DQ34" s="532">
        <f t="shared" si="38"/>
        <v>0</v>
      </c>
      <c r="DR34" s="533">
        <f t="shared" si="150"/>
        <v>0</v>
      </c>
      <c r="DS34" s="531"/>
      <c r="DT34" s="532">
        <f t="shared" si="39"/>
        <v>0</v>
      </c>
      <c r="DU34" s="533">
        <f t="shared" si="151"/>
        <v>0</v>
      </c>
      <c r="DV34" s="531"/>
      <c r="DW34" s="532">
        <f t="shared" si="40"/>
        <v>0</v>
      </c>
      <c r="DX34" s="533">
        <f t="shared" si="152"/>
        <v>0</v>
      </c>
      <c r="DY34" s="531"/>
      <c r="DZ34" s="532">
        <f t="shared" si="41"/>
        <v>0</v>
      </c>
      <c r="EA34" s="533">
        <f t="shared" si="153"/>
        <v>0</v>
      </c>
      <c r="EB34" s="531"/>
      <c r="EC34" s="532">
        <f t="shared" si="42"/>
        <v>0</v>
      </c>
      <c r="ED34" s="533">
        <f t="shared" si="154"/>
        <v>0</v>
      </c>
      <c r="EE34" s="531">
        <v>117.40999999999997</v>
      </c>
      <c r="EF34" s="532">
        <f t="shared" si="43"/>
        <v>3.0523852853243199</v>
      </c>
      <c r="EG34" s="533">
        <f t="shared" si="155"/>
        <v>0</v>
      </c>
      <c r="EH34" s="531">
        <v>1</v>
      </c>
      <c r="EI34" s="532">
        <f t="shared" si="44"/>
        <v>2.5997660210581044E-2</v>
      </c>
      <c r="EJ34" s="533">
        <f t="shared" si="156"/>
        <v>0</v>
      </c>
      <c r="EK34" s="531">
        <v>24.394783902439087</v>
      </c>
      <c r="EL34" s="532">
        <f t="shared" si="45"/>
        <v>0.63420730280616366</v>
      </c>
      <c r="EM34" s="533">
        <f t="shared" si="157"/>
        <v>0</v>
      </c>
      <c r="EN34" s="531"/>
      <c r="EO34" s="532">
        <f t="shared" si="46"/>
        <v>0</v>
      </c>
      <c r="EP34" s="533">
        <f t="shared" si="158"/>
        <v>0</v>
      </c>
      <c r="EQ34" s="531">
        <v>49.422755813953472</v>
      </c>
      <c r="ER34" s="532">
        <f t="shared" si="47"/>
        <v>1.2848760123216811</v>
      </c>
      <c r="ES34" s="533">
        <f t="shared" si="159"/>
        <v>0</v>
      </c>
      <c r="ET34" s="531">
        <v>14.534883720930225</v>
      </c>
      <c r="EU34" s="532">
        <f t="shared" si="48"/>
        <v>0.37787296817704985</v>
      </c>
      <c r="EV34" s="533">
        <f t="shared" si="160"/>
        <v>0</v>
      </c>
      <c r="EW34" s="531"/>
      <c r="EX34" s="532">
        <f t="shared" si="49"/>
        <v>0</v>
      </c>
      <c r="EY34" s="533">
        <f t="shared" si="161"/>
        <v>0</v>
      </c>
      <c r="EZ34" s="531"/>
      <c r="FA34" s="532">
        <f t="shared" si="50"/>
        <v>0</v>
      </c>
      <c r="FB34" s="533">
        <f t="shared" si="162"/>
        <v>0</v>
      </c>
      <c r="FC34" s="531"/>
      <c r="FD34" s="532">
        <f t="shared" si="51"/>
        <v>0</v>
      </c>
      <c r="FE34" s="533">
        <f t="shared" si="163"/>
        <v>0</v>
      </c>
      <c r="FF34" s="531"/>
      <c r="FG34" s="532">
        <f t="shared" si="52"/>
        <v>0</v>
      </c>
      <c r="FH34" s="533">
        <f t="shared" si="164"/>
        <v>0</v>
      </c>
      <c r="FI34" s="531"/>
      <c r="FJ34" s="532">
        <f t="shared" si="53"/>
        <v>0</v>
      </c>
      <c r="FK34" s="533">
        <f t="shared" si="165"/>
        <v>0</v>
      </c>
      <c r="FL34" s="531"/>
      <c r="FM34" s="532">
        <f t="shared" si="54"/>
        <v>0</v>
      </c>
      <c r="FN34" s="533">
        <f t="shared" si="166"/>
        <v>0</v>
      </c>
      <c r="FO34" s="531"/>
      <c r="FP34" s="532">
        <f t="shared" si="55"/>
        <v>0</v>
      </c>
      <c r="FQ34" s="533">
        <f t="shared" si="167"/>
        <v>0</v>
      </c>
      <c r="FR34" s="531"/>
      <c r="FS34" s="532">
        <f t="shared" si="56"/>
        <v>0</v>
      </c>
      <c r="FT34" s="533">
        <f t="shared" si="168"/>
        <v>0</v>
      </c>
      <c r="FU34" s="531"/>
      <c r="FV34" s="532">
        <f t="shared" si="57"/>
        <v>0</v>
      </c>
      <c r="FW34" s="533">
        <f t="shared" si="169"/>
        <v>0</v>
      </c>
      <c r="FX34" s="531"/>
      <c r="FY34" s="532">
        <f t="shared" si="58"/>
        <v>0</v>
      </c>
      <c r="FZ34" s="533">
        <f t="shared" si="170"/>
        <v>0</v>
      </c>
      <c r="GA34" s="531"/>
      <c r="GB34" s="532">
        <f t="shared" si="59"/>
        <v>0</v>
      </c>
      <c r="GC34" s="533">
        <f t="shared" si="171"/>
        <v>0</v>
      </c>
      <c r="GD34" s="531"/>
      <c r="GE34" s="532">
        <f t="shared" si="60"/>
        <v>0</v>
      </c>
      <c r="GF34" s="533">
        <f t="shared" si="172"/>
        <v>0</v>
      </c>
      <c r="GG34" s="531">
        <v>14.559190729240028</v>
      </c>
      <c r="GH34" s="532">
        <f t="shared" si="61"/>
        <v>0.37850489351982392</v>
      </c>
      <c r="GI34" s="533">
        <f t="shared" si="173"/>
        <v>0</v>
      </c>
      <c r="GJ34" s="531">
        <v>10.91939304693002</v>
      </c>
      <c r="GK34" s="532">
        <f t="shared" si="242"/>
        <v>0.28387867013986789</v>
      </c>
      <c r="GL34" s="533">
        <f t="shared" si="243"/>
        <v>0</v>
      </c>
      <c r="GM34" s="531">
        <v>3.6397976823100069</v>
      </c>
      <c r="GN34" s="532">
        <f t="shared" si="244"/>
        <v>9.4626223379955979E-2</v>
      </c>
      <c r="GO34" s="533">
        <f t="shared" si="245"/>
        <v>0</v>
      </c>
      <c r="GP34" s="531">
        <v>20.018887252705039</v>
      </c>
      <c r="GQ34" s="532">
        <f t="shared" si="246"/>
        <v>0.52044422858975792</v>
      </c>
      <c r="GR34" s="533">
        <f t="shared" si="247"/>
        <v>0</v>
      </c>
      <c r="GS34" s="531">
        <v>112.83372815161022</v>
      </c>
      <c r="GT34" s="532">
        <f t="shared" si="248"/>
        <v>2.9334129247786351</v>
      </c>
      <c r="GU34" s="533">
        <f t="shared" si="249"/>
        <v>0</v>
      </c>
      <c r="GV34" s="531">
        <v>23.658684935015046</v>
      </c>
      <c r="GW34" s="532">
        <f t="shared" si="250"/>
        <v>0.61507045196971388</v>
      </c>
      <c r="GX34" s="533">
        <f t="shared" si="251"/>
        <v>0</v>
      </c>
      <c r="GY34" s="531"/>
      <c r="GZ34" s="532">
        <f t="shared" si="252"/>
        <v>0</v>
      </c>
      <c r="HA34" s="533">
        <f t="shared" si="179"/>
        <v>0</v>
      </c>
      <c r="HB34" s="531"/>
      <c r="HC34" s="532">
        <f t="shared" si="68"/>
        <v>0</v>
      </c>
      <c r="HD34" s="533">
        <f t="shared" si="180"/>
        <v>0</v>
      </c>
      <c r="HE34" s="531"/>
      <c r="HF34" s="532">
        <f t="shared" si="69"/>
        <v>0</v>
      </c>
      <c r="HG34" s="533">
        <f t="shared" si="181"/>
        <v>0</v>
      </c>
      <c r="HH34" s="531"/>
      <c r="HI34" s="532">
        <f t="shared" si="70"/>
        <v>0</v>
      </c>
      <c r="HJ34" s="533">
        <f t="shared" si="182"/>
        <v>0</v>
      </c>
      <c r="HK34" s="531"/>
      <c r="HL34" s="532">
        <f t="shared" si="71"/>
        <v>0</v>
      </c>
      <c r="HM34" s="533">
        <f t="shared" si="183"/>
        <v>0</v>
      </c>
      <c r="HN34" s="531">
        <v>588.55528522952818</v>
      </c>
      <c r="HO34" s="532">
        <f t="shared" si="72"/>
        <v>15.301060320538882</v>
      </c>
      <c r="HP34" s="533">
        <f t="shared" si="184"/>
        <v>0</v>
      </c>
      <c r="HQ34" s="531"/>
      <c r="HR34" s="532">
        <f t="shared" si="73"/>
        <v>0</v>
      </c>
      <c r="HS34" s="533">
        <f t="shared" si="185"/>
        <v>0</v>
      </c>
      <c r="HT34" s="531"/>
      <c r="HU34" s="532">
        <f t="shared" si="74"/>
        <v>0</v>
      </c>
      <c r="HV34" s="533">
        <f t="shared" si="186"/>
        <v>0</v>
      </c>
      <c r="HW34" s="531"/>
      <c r="HX34" s="532">
        <f t="shared" si="75"/>
        <v>0</v>
      </c>
      <c r="HY34" s="533">
        <f t="shared" si="187"/>
        <v>0</v>
      </c>
      <c r="HZ34" s="531"/>
      <c r="IA34" s="532">
        <f t="shared" si="76"/>
        <v>0</v>
      </c>
      <c r="IB34" s="533">
        <f t="shared" si="188"/>
        <v>0</v>
      </c>
      <c r="IC34" s="531"/>
      <c r="ID34" s="532">
        <f t="shared" si="77"/>
        <v>0</v>
      </c>
      <c r="IE34" s="533">
        <f t="shared" si="189"/>
        <v>0</v>
      </c>
      <c r="IF34" s="531"/>
      <c r="IG34" s="532">
        <f t="shared" si="78"/>
        <v>0</v>
      </c>
      <c r="IH34" s="533">
        <f t="shared" si="190"/>
        <v>0</v>
      </c>
      <c r="II34" s="531"/>
      <c r="IJ34" s="532">
        <f t="shared" si="79"/>
        <v>0</v>
      </c>
      <c r="IK34" s="533">
        <f t="shared" si="191"/>
        <v>0</v>
      </c>
      <c r="IL34" s="531"/>
      <c r="IM34" s="532">
        <f t="shared" si="80"/>
        <v>0</v>
      </c>
      <c r="IN34" s="533">
        <f t="shared" si="192"/>
        <v>0</v>
      </c>
      <c r="IO34" s="531"/>
      <c r="IP34" s="532">
        <f t="shared" si="81"/>
        <v>0</v>
      </c>
      <c r="IQ34" s="533">
        <f t="shared" si="193"/>
        <v>0</v>
      </c>
      <c r="IR34" s="531">
        <v>36.397976823100073</v>
      </c>
      <c r="IS34" s="532">
        <f t="shared" si="82"/>
        <v>0.94626223379955987</v>
      </c>
      <c r="IT34" s="533">
        <f t="shared" si="194"/>
        <v>0</v>
      </c>
      <c r="IU34" s="531"/>
      <c r="IV34" s="532">
        <f t="shared" si="83"/>
        <v>0</v>
      </c>
      <c r="IW34" s="533">
        <f t="shared" si="195"/>
        <v>0</v>
      </c>
      <c r="IX34" s="531"/>
      <c r="IY34" s="532">
        <f t="shared" si="84"/>
        <v>0</v>
      </c>
      <c r="IZ34" s="533">
        <f t="shared" si="196"/>
        <v>0</v>
      </c>
      <c r="JA34" s="531"/>
      <c r="JB34" s="532">
        <f t="shared" si="85"/>
        <v>0</v>
      </c>
      <c r="JC34" s="533">
        <f t="shared" si="197"/>
        <v>0</v>
      </c>
      <c r="JD34" s="531">
        <v>58.23676291696011</v>
      </c>
      <c r="JE34" s="532">
        <f t="shared" si="86"/>
        <v>1.5140195740792957</v>
      </c>
      <c r="JF34" s="533">
        <f t="shared" si="198"/>
        <v>0</v>
      </c>
      <c r="JG34" s="531">
        <v>9.0994942057750183</v>
      </c>
      <c r="JH34" s="532">
        <f t="shared" si="87"/>
        <v>0.23656555844988997</v>
      </c>
      <c r="JI34" s="533">
        <f t="shared" si="199"/>
        <v>0</v>
      </c>
      <c r="JJ34" s="531">
        <v>14.559190729240028</v>
      </c>
      <c r="JK34" s="533" t="str">
        <f t="shared" si="88"/>
        <v>0</v>
      </c>
      <c r="JL34" s="533" t="str">
        <f t="shared" si="89"/>
        <v>0</v>
      </c>
      <c r="JM34" s="531"/>
      <c r="JN34" s="533" t="str">
        <f t="shared" si="90"/>
        <v>0</v>
      </c>
      <c r="JO34" s="533" t="str">
        <f t="shared" si="91"/>
        <v>0</v>
      </c>
      <c r="JP34" s="531"/>
      <c r="JQ34" s="533" t="str">
        <f t="shared" si="92"/>
        <v>0</v>
      </c>
      <c r="JR34" s="533" t="str">
        <f t="shared" si="93"/>
        <v>0</v>
      </c>
      <c r="JS34" s="531"/>
      <c r="JT34" s="533" t="str">
        <f t="shared" si="94"/>
        <v>0</v>
      </c>
      <c r="JU34" s="533" t="str">
        <f t="shared" si="95"/>
        <v>0</v>
      </c>
      <c r="JV34" s="531"/>
      <c r="JW34" s="533" t="str">
        <f t="shared" si="96"/>
        <v>0</v>
      </c>
      <c r="JX34" s="533" t="str">
        <f t="shared" si="97"/>
        <v>0</v>
      </c>
      <c r="JY34" s="531"/>
      <c r="JZ34" s="533" t="str">
        <f t="shared" si="98"/>
        <v>0</v>
      </c>
      <c r="KA34" s="533" t="str">
        <f t="shared" si="99"/>
        <v>0</v>
      </c>
      <c r="KB34" s="531"/>
      <c r="KC34" s="533" t="str">
        <f t="shared" si="100"/>
        <v>0</v>
      </c>
      <c r="KD34" s="533" t="str">
        <f t="shared" si="101"/>
        <v>0</v>
      </c>
      <c r="KE34" s="531"/>
      <c r="KF34" s="533" t="str">
        <f t="shared" si="102"/>
        <v>0</v>
      </c>
      <c r="KG34" s="533" t="str">
        <f t="shared" si="103"/>
        <v>0</v>
      </c>
      <c r="KH34" s="531"/>
      <c r="KI34" s="533" t="str">
        <f t="shared" si="104"/>
        <v>0</v>
      </c>
      <c r="KJ34" s="533" t="str">
        <f t="shared" si="105"/>
        <v>0</v>
      </c>
      <c r="KK34" s="531"/>
      <c r="KL34" s="533" t="str">
        <f t="shared" si="106"/>
        <v>0</v>
      </c>
      <c r="KM34" s="533" t="str">
        <f t="shared" si="107"/>
        <v>0</v>
      </c>
      <c r="KN34" s="531"/>
      <c r="KO34" s="533" t="str">
        <f t="shared" si="108"/>
        <v>0</v>
      </c>
      <c r="KP34" s="533" t="str">
        <f t="shared" si="109"/>
        <v>0</v>
      </c>
      <c r="KQ34" s="531"/>
      <c r="KR34" s="533" t="str">
        <f t="shared" si="110"/>
        <v>0</v>
      </c>
      <c r="KS34" s="533" t="str">
        <f t="shared" si="111"/>
        <v>0</v>
      </c>
      <c r="KT34" s="533">
        <f t="shared" si="201"/>
        <v>0</v>
      </c>
      <c r="KU34" s="533">
        <f t="shared" si="202"/>
        <v>0</v>
      </c>
      <c r="KV34" s="271">
        <f t="shared" si="241"/>
        <v>1308.717917339055</v>
      </c>
    </row>
    <row r="35" spans="1:16384" ht="15" customHeight="1">
      <c r="A35" s="273">
        <f t="shared" si="200"/>
        <v>46049</v>
      </c>
      <c r="B35" s="274" t="str">
        <f>+Report1!B35</f>
        <v>Toilet</v>
      </c>
      <c r="C35" s="274" t="str">
        <f>+Report1!C35</f>
        <v>14</v>
      </c>
      <c r="D35" s="275">
        <f>+Report1!P35</f>
        <v>35.098999999999997</v>
      </c>
      <c r="E35" s="276">
        <f>+Report1!R35</f>
        <v>34.753</v>
      </c>
      <c r="F35" s="531"/>
      <c r="G35" s="532">
        <f t="shared" si="0"/>
        <v>0</v>
      </c>
      <c r="H35" s="533">
        <f t="shared" si="113"/>
        <v>0</v>
      </c>
      <c r="I35" s="531"/>
      <c r="J35" s="532">
        <f t="shared" si="1"/>
        <v>0</v>
      </c>
      <c r="K35" s="533">
        <f t="shared" si="114"/>
        <v>0</v>
      </c>
      <c r="L35" s="531"/>
      <c r="M35" s="532">
        <f t="shared" si="2"/>
        <v>0</v>
      </c>
      <c r="N35" s="533">
        <f t="shared" si="115"/>
        <v>0</v>
      </c>
      <c r="O35" s="531">
        <v>9.0000000000000142</v>
      </c>
      <c r="P35" s="532">
        <f t="shared" si="3"/>
        <v>0.25897044859436635</v>
      </c>
      <c r="Q35" s="533">
        <f t="shared" si="116"/>
        <v>0</v>
      </c>
      <c r="R35" s="531"/>
      <c r="S35" s="532">
        <f t="shared" si="4"/>
        <v>0</v>
      </c>
      <c r="T35" s="533">
        <f t="shared" si="117"/>
        <v>0</v>
      </c>
      <c r="U35" s="531">
        <v>5.1250000000000284</v>
      </c>
      <c r="V35" s="532">
        <f t="shared" si="5"/>
        <v>0.14746928322734809</v>
      </c>
      <c r="W35" s="533">
        <f t="shared" si="118"/>
        <v>0</v>
      </c>
      <c r="X35" s="531"/>
      <c r="Y35" s="532">
        <f t="shared" si="6"/>
        <v>0</v>
      </c>
      <c r="Z35" s="533">
        <f t="shared" si="119"/>
        <v>0</v>
      </c>
      <c r="AA35" s="531"/>
      <c r="AB35" s="532">
        <f t="shared" si="7"/>
        <v>0</v>
      </c>
      <c r="AC35" s="533">
        <f t="shared" si="120"/>
        <v>0</v>
      </c>
      <c r="AD35" s="531"/>
      <c r="AE35" s="532">
        <f t="shared" si="8"/>
        <v>0</v>
      </c>
      <c r="AF35" s="533">
        <f t="shared" si="121"/>
        <v>0</v>
      </c>
      <c r="AG35" s="531"/>
      <c r="AH35" s="532">
        <f t="shared" si="9"/>
        <v>0</v>
      </c>
      <c r="AI35" s="533">
        <f t="shared" si="122"/>
        <v>0</v>
      </c>
      <c r="AJ35" s="531">
        <v>23.5</v>
      </c>
      <c r="AK35" s="532">
        <f t="shared" si="10"/>
        <v>0.67620061577417778</v>
      </c>
      <c r="AL35" s="533">
        <f t="shared" si="123"/>
        <v>0</v>
      </c>
      <c r="AM35" s="531"/>
      <c r="AN35" s="532">
        <f t="shared" si="11"/>
        <v>0</v>
      </c>
      <c r="AO35" s="533">
        <f t="shared" si="124"/>
        <v>0</v>
      </c>
      <c r="AP35" s="531"/>
      <c r="AQ35" s="532">
        <f t="shared" si="12"/>
        <v>0</v>
      </c>
      <c r="AR35" s="533">
        <f t="shared" si="125"/>
        <v>0</v>
      </c>
      <c r="AS35" s="531"/>
      <c r="AT35" s="532">
        <f t="shared" si="13"/>
        <v>0</v>
      </c>
      <c r="AU35" s="533">
        <f t="shared" si="126"/>
        <v>0</v>
      </c>
      <c r="AV35" s="531"/>
      <c r="AW35" s="532">
        <f t="shared" si="14"/>
        <v>0</v>
      </c>
      <c r="AX35" s="533">
        <f t="shared" si="127"/>
        <v>0</v>
      </c>
      <c r="AY35" s="531"/>
      <c r="AZ35" s="532">
        <f t="shared" si="15"/>
        <v>0</v>
      </c>
      <c r="BA35" s="533">
        <f t="shared" si="128"/>
        <v>0</v>
      </c>
      <c r="BB35" s="531"/>
      <c r="BC35" s="532">
        <f t="shared" si="16"/>
        <v>0</v>
      </c>
      <c r="BD35" s="533">
        <f t="shared" si="129"/>
        <v>0</v>
      </c>
      <c r="BE35" s="531"/>
      <c r="BF35" s="532">
        <f t="shared" si="17"/>
        <v>0</v>
      </c>
      <c r="BG35" s="533">
        <f t="shared" si="130"/>
        <v>0</v>
      </c>
      <c r="BH35" s="531"/>
      <c r="BI35" s="532">
        <f t="shared" si="18"/>
        <v>0</v>
      </c>
      <c r="BJ35" s="533">
        <f t="shared" si="131"/>
        <v>0</v>
      </c>
      <c r="BK35" s="531"/>
      <c r="BL35" s="532">
        <f t="shared" si="19"/>
        <v>0</v>
      </c>
      <c r="BM35" s="533">
        <f t="shared" si="132"/>
        <v>0</v>
      </c>
      <c r="BN35" s="531"/>
      <c r="BO35" s="532">
        <f t="shared" si="20"/>
        <v>0</v>
      </c>
      <c r="BP35" s="533">
        <f t="shared" si="133"/>
        <v>0</v>
      </c>
      <c r="BQ35" s="531"/>
      <c r="BR35" s="532">
        <f t="shared" si="21"/>
        <v>0</v>
      </c>
      <c r="BS35" s="533">
        <f t="shared" si="134"/>
        <v>0</v>
      </c>
      <c r="BT35" s="531"/>
      <c r="BU35" s="532">
        <f t="shared" si="22"/>
        <v>0</v>
      </c>
      <c r="BV35" s="533">
        <f t="shared" si="135"/>
        <v>0</v>
      </c>
      <c r="BW35" s="531"/>
      <c r="BX35" s="532">
        <f t="shared" si="23"/>
        <v>0</v>
      </c>
      <c r="BY35" s="533">
        <f t="shared" si="136"/>
        <v>0</v>
      </c>
      <c r="BZ35" s="531"/>
      <c r="CA35" s="532">
        <f t="shared" si="24"/>
        <v>0</v>
      </c>
      <c r="CB35" s="533">
        <f t="shared" si="137"/>
        <v>0</v>
      </c>
      <c r="CC35" s="531"/>
      <c r="CD35" s="532">
        <f t="shared" si="25"/>
        <v>0</v>
      </c>
      <c r="CE35" s="533">
        <f t="shared" si="138"/>
        <v>0</v>
      </c>
      <c r="CF35" s="531">
        <v>5</v>
      </c>
      <c r="CG35" s="532">
        <f t="shared" si="26"/>
        <v>0.14387247144131443</v>
      </c>
      <c r="CH35" s="533">
        <f t="shared" si="139"/>
        <v>0</v>
      </c>
      <c r="CI35" s="531"/>
      <c r="CJ35" s="532">
        <f t="shared" si="27"/>
        <v>0</v>
      </c>
      <c r="CK35" s="533">
        <f t="shared" si="140"/>
        <v>0</v>
      </c>
      <c r="CL35" s="531"/>
      <c r="CM35" s="532">
        <f t="shared" si="28"/>
        <v>0</v>
      </c>
      <c r="CN35" s="533">
        <f t="shared" si="141"/>
        <v>0</v>
      </c>
      <c r="CO35" s="531"/>
      <c r="CP35" s="532">
        <f t="shared" si="29"/>
        <v>0</v>
      </c>
      <c r="CQ35" s="533">
        <f t="shared" si="142"/>
        <v>0</v>
      </c>
      <c r="CR35" s="531"/>
      <c r="CS35" s="532">
        <f t="shared" si="30"/>
        <v>0</v>
      </c>
      <c r="CT35" s="533">
        <f t="shared" si="143"/>
        <v>0</v>
      </c>
      <c r="CU35" s="531"/>
      <c r="CV35" s="532">
        <f t="shared" si="31"/>
        <v>0</v>
      </c>
      <c r="CW35" s="533">
        <f t="shared" si="144"/>
        <v>0</v>
      </c>
      <c r="CX35" s="531"/>
      <c r="CY35" s="532">
        <f t="shared" si="32"/>
        <v>0</v>
      </c>
      <c r="CZ35" s="533">
        <f t="shared" si="145"/>
        <v>0</v>
      </c>
      <c r="DA35" s="531">
        <v>203.48837209302337</v>
      </c>
      <c r="DB35" s="532">
        <f t="shared" si="33"/>
        <v>5.8552750005186134</v>
      </c>
      <c r="DC35" s="533">
        <f t="shared" si="146"/>
        <v>0</v>
      </c>
      <c r="DD35" s="531"/>
      <c r="DE35" s="532">
        <f t="shared" si="34"/>
        <v>0</v>
      </c>
      <c r="DF35" s="533">
        <f t="shared" si="147"/>
        <v>0</v>
      </c>
      <c r="DG35" s="531"/>
      <c r="DH35" s="532">
        <f t="shared" si="35"/>
        <v>0</v>
      </c>
      <c r="DI35" s="533">
        <f t="shared" si="203"/>
        <v>0</v>
      </c>
      <c r="DJ35" s="531"/>
      <c r="DK35" s="532">
        <f t="shared" si="36"/>
        <v>0</v>
      </c>
      <c r="DL35" s="533">
        <f t="shared" si="148"/>
        <v>0</v>
      </c>
      <c r="DM35" s="531"/>
      <c r="DN35" s="532">
        <f t="shared" si="37"/>
        <v>0</v>
      </c>
      <c r="DO35" s="533">
        <f t="shared" si="149"/>
        <v>0</v>
      </c>
      <c r="DP35" s="531"/>
      <c r="DQ35" s="532">
        <f t="shared" si="38"/>
        <v>0</v>
      </c>
      <c r="DR35" s="533">
        <f t="shared" si="150"/>
        <v>0</v>
      </c>
      <c r="DS35" s="531"/>
      <c r="DT35" s="532">
        <f t="shared" si="39"/>
        <v>0</v>
      </c>
      <c r="DU35" s="533">
        <f t="shared" si="151"/>
        <v>0</v>
      </c>
      <c r="DV35" s="531"/>
      <c r="DW35" s="532">
        <f t="shared" si="40"/>
        <v>0</v>
      </c>
      <c r="DX35" s="533">
        <f t="shared" si="152"/>
        <v>0</v>
      </c>
      <c r="DY35" s="531"/>
      <c r="DZ35" s="532">
        <f t="shared" si="41"/>
        <v>0</v>
      </c>
      <c r="EA35" s="533">
        <f t="shared" si="153"/>
        <v>0</v>
      </c>
      <c r="EB35" s="531"/>
      <c r="EC35" s="532">
        <f t="shared" si="42"/>
        <v>0</v>
      </c>
      <c r="ED35" s="533">
        <f t="shared" si="154"/>
        <v>0</v>
      </c>
      <c r="EE35" s="531">
        <v>105.67058823529419</v>
      </c>
      <c r="EF35" s="532">
        <f t="shared" si="43"/>
        <v>3.0406177376138519</v>
      </c>
      <c r="EG35" s="533">
        <f t="shared" si="155"/>
        <v>0</v>
      </c>
      <c r="EH35" s="531">
        <v>1</v>
      </c>
      <c r="EI35" s="532">
        <f t="shared" si="44"/>
        <v>2.8774494288262883E-2</v>
      </c>
      <c r="EJ35" s="533">
        <f t="shared" si="156"/>
        <v>0</v>
      </c>
      <c r="EK35" s="531">
        <v>24.390243902439011</v>
      </c>
      <c r="EL35" s="532">
        <f t="shared" si="45"/>
        <v>0.70181693386006994</v>
      </c>
      <c r="EM35" s="533">
        <f t="shared" si="157"/>
        <v>0</v>
      </c>
      <c r="EN35" s="531"/>
      <c r="EO35" s="532">
        <f t="shared" si="46"/>
        <v>0</v>
      </c>
      <c r="EP35" s="533">
        <f t="shared" si="158"/>
        <v>0</v>
      </c>
      <c r="EQ35" s="531">
        <v>39.534883720930338</v>
      </c>
      <c r="ER35" s="532">
        <f t="shared" si="47"/>
        <v>1.1375962858150472</v>
      </c>
      <c r="ES35" s="533">
        <f t="shared" si="159"/>
        <v>0</v>
      </c>
      <c r="ET35" s="531">
        <v>21.80232558139528</v>
      </c>
      <c r="EU35" s="532">
        <f t="shared" si="48"/>
        <v>0.62735089291270629</v>
      </c>
      <c r="EV35" s="533">
        <f t="shared" si="160"/>
        <v>0</v>
      </c>
      <c r="EW35" s="531"/>
      <c r="EX35" s="532">
        <f t="shared" si="49"/>
        <v>0</v>
      </c>
      <c r="EY35" s="533">
        <f t="shared" si="161"/>
        <v>0</v>
      </c>
      <c r="EZ35" s="531"/>
      <c r="FA35" s="532">
        <f t="shared" si="50"/>
        <v>0</v>
      </c>
      <c r="FB35" s="533">
        <f t="shared" si="162"/>
        <v>0</v>
      </c>
      <c r="FC35" s="531"/>
      <c r="FD35" s="532">
        <f t="shared" si="51"/>
        <v>0</v>
      </c>
      <c r="FE35" s="533">
        <f t="shared" si="163"/>
        <v>0</v>
      </c>
      <c r="FF35" s="531"/>
      <c r="FG35" s="532">
        <f t="shared" si="52"/>
        <v>0</v>
      </c>
      <c r="FH35" s="533">
        <f t="shared" si="164"/>
        <v>0</v>
      </c>
      <c r="FI35" s="531"/>
      <c r="FJ35" s="532">
        <f t="shared" si="53"/>
        <v>0</v>
      </c>
      <c r="FK35" s="533">
        <f t="shared" si="165"/>
        <v>0</v>
      </c>
      <c r="FL35" s="531"/>
      <c r="FM35" s="532">
        <f t="shared" si="54"/>
        <v>0</v>
      </c>
      <c r="FN35" s="533">
        <f t="shared" si="166"/>
        <v>0</v>
      </c>
      <c r="FO35" s="531"/>
      <c r="FP35" s="532">
        <f t="shared" si="55"/>
        <v>0</v>
      </c>
      <c r="FQ35" s="533">
        <f t="shared" si="167"/>
        <v>0</v>
      </c>
      <c r="FR35" s="531"/>
      <c r="FS35" s="532">
        <f t="shared" si="56"/>
        <v>0</v>
      </c>
      <c r="FT35" s="533">
        <f t="shared" si="168"/>
        <v>0</v>
      </c>
      <c r="FU35" s="531"/>
      <c r="FV35" s="532">
        <f t="shared" si="57"/>
        <v>0</v>
      </c>
      <c r="FW35" s="533">
        <f t="shared" si="169"/>
        <v>0</v>
      </c>
      <c r="FX35" s="531"/>
      <c r="FY35" s="532">
        <f t="shared" si="58"/>
        <v>0</v>
      </c>
      <c r="FZ35" s="533">
        <f t="shared" si="170"/>
        <v>0</v>
      </c>
      <c r="GA35" s="531"/>
      <c r="GB35" s="532">
        <f t="shared" si="59"/>
        <v>0</v>
      </c>
      <c r="GC35" s="533">
        <f t="shared" si="171"/>
        <v>0</v>
      </c>
      <c r="GD35" s="531"/>
      <c r="GE35" s="532">
        <f t="shared" si="60"/>
        <v>0</v>
      </c>
      <c r="GF35" s="533">
        <f t="shared" si="172"/>
        <v>0</v>
      </c>
      <c r="GG35" s="531">
        <v>11.405901341016921</v>
      </c>
      <c r="GH35" s="532">
        <f t="shared" si="61"/>
        <v>0.32819904298958136</v>
      </c>
      <c r="GI35" s="533">
        <f t="shared" si="173"/>
        <v>0</v>
      </c>
      <c r="GJ35" s="531">
        <v>11.405901341016921</v>
      </c>
      <c r="GK35" s="532">
        <f t="shared" ref="GK35:GK39" si="253">+GJ35/$E35</f>
        <v>0.32819904298958136</v>
      </c>
      <c r="GL35" s="533">
        <f t="shared" ref="GL35:GL39" si="254">+GJ35*$H$8</f>
        <v>0</v>
      </c>
      <c r="GM35" s="531">
        <v>3.801967113672307</v>
      </c>
      <c r="GN35" s="532">
        <f t="shared" ref="GN35:GN39" si="255">+GM35/$E35</f>
        <v>0.10939968099652712</v>
      </c>
      <c r="GO35" s="533">
        <f t="shared" ref="GO35:GO39" si="256">+GM35*$H$8</f>
        <v>0</v>
      </c>
      <c r="GP35" s="531">
        <v>22.811802682033843</v>
      </c>
      <c r="GQ35" s="532">
        <f t="shared" ref="GQ35:GQ39" si="257">+GP35/$E35</f>
        <v>0.65639808597916272</v>
      </c>
      <c r="GR35" s="533">
        <f t="shared" ref="GR35:GR39" si="258">+GP35*$H$8</f>
        <v>0</v>
      </c>
      <c r="GS35" s="531">
        <v>117.86098052384152</v>
      </c>
      <c r="GT35" s="532">
        <f t="shared" ref="GT35:GT39" si="259">+GS35/$E35</f>
        <v>3.3913901108923405</v>
      </c>
      <c r="GU35" s="533">
        <f t="shared" ref="GU35:GU39" si="260">+GS35*$H$8</f>
        <v>0</v>
      </c>
      <c r="GV35" s="531">
        <v>22.811802682033843</v>
      </c>
      <c r="GW35" s="532">
        <f t="shared" ref="GW35:GW39" si="261">+GV35/$E35</f>
        <v>0.65639808597916272</v>
      </c>
      <c r="GX35" s="533">
        <f t="shared" ref="GX35:GX39" si="262">+GV35*$H$8</f>
        <v>0</v>
      </c>
      <c r="GY35" s="531"/>
      <c r="GZ35" s="532">
        <f t="shared" si="67"/>
        <v>0</v>
      </c>
      <c r="HA35" s="533">
        <f t="shared" si="179"/>
        <v>0</v>
      </c>
      <c r="HB35" s="531"/>
      <c r="HC35" s="532">
        <f t="shared" si="68"/>
        <v>0</v>
      </c>
      <c r="HD35" s="533">
        <f t="shared" si="180"/>
        <v>0</v>
      </c>
      <c r="HE35" s="531"/>
      <c r="HF35" s="532">
        <f t="shared" si="69"/>
        <v>0</v>
      </c>
      <c r="HG35" s="533">
        <f t="shared" si="181"/>
        <v>0</v>
      </c>
      <c r="HH35" s="531"/>
      <c r="HI35" s="532">
        <f t="shared" si="70"/>
        <v>0</v>
      </c>
      <c r="HJ35" s="533">
        <f t="shared" si="182"/>
        <v>0</v>
      </c>
      <c r="HK35" s="531"/>
      <c r="HL35" s="532">
        <f t="shared" si="71"/>
        <v>0</v>
      </c>
      <c r="HM35" s="533">
        <f t="shared" si="183"/>
        <v>0</v>
      </c>
      <c r="HN35" s="531">
        <v>696.52037522476667</v>
      </c>
      <c r="HO35" s="532">
        <f t="shared" si="72"/>
        <v>20.042021558563768</v>
      </c>
      <c r="HP35" s="533">
        <f t="shared" si="184"/>
        <v>0</v>
      </c>
      <c r="HQ35" s="531"/>
      <c r="HR35" s="532">
        <f t="shared" si="73"/>
        <v>0</v>
      </c>
      <c r="HS35" s="533">
        <f t="shared" si="185"/>
        <v>0</v>
      </c>
      <c r="HT35" s="531"/>
      <c r="HU35" s="532">
        <f t="shared" si="74"/>
        <v>0</v>
      </c>
      <c r="HV35" s="533">
        <f t="shared" si="186"/>
        <v>0</v>
      </c>
      <c r="HW35" s="531"/>
      <c r="HX35" s="532">
        <f t="shared" si="75"/>
        <v>0</v>
      </c>
      <c r="HY35" s="533">
        <f t="shared" si="187"/>
        <v>0</v>
      </c>
      <c r="HZ35" s="531"/>
      <c r="IA35" s="532">
        <f t="shared" si="76"/>
        <v>0</v>
      </c>
      <c r="IB35" s="533">
        <f t="shared" si="188"/>
        <v>0</v>
      </c>
      <c r="IC35" s="531"/>
      <c r="ID35" s="532">
        <f t="shared" si="77"/>
        <v>0</v>
      </c>
      <c r="IE35" s="533">
        <f t="shared" si="189"/>
        <v>0</v>
      </c>
      <c r="IF35" s="531"/>
      <c r="IG35" s="532">
        <f t="shared" si="78"/>
        <v>0</v>
      </c>
      <c r="IH35" s="533">
        <f t="shared" si="190"/>
        <v>0</v>
      </c>
      <c r="II35" s="531">
        <v>15.207868454689228</v>
      </c>
      <c r="IJ35" s="532">
        <f t="shared" si="79"/>
        <v>0.4375987239861085</v>
      </c>
      <c r="IK35" s="533">
        <f t="shared" si="191"/>
        <v>0</v>
      </c>
      <c r="IL35" s="531"/>
      <c r="IM35" s="532">
        <f t="shared" si="80"/>
        <v>0</v>
      </c>
      <c r="IN35" s="533">
        <f t="shared" si="192"/>
        <v>0</v>
      </c>
      <c r="IO35" s="531"/>
      <c r="IP35" s="532">
        <f t="shared" si="81"/>
        <v>0</v>
      </c>
      <c r="IQ35" s="533">
        <f t="shared" si="193"/>
        <v>0</v>
      </c>
      <c r="IR35" s="531">
        <v>38.019671136723069</v>
      </c>
      <c r="IS35" s="532">
        <f t="shared" si="82"/>
        <v>1.0939968099652713</v>
      </c>
      <c r="IT35" s="533">
        <f t="shared" si="194"/>
        <v>0</v>
      </c>
      <c r="IU35" s="531"/>
      <c r="IV35" s="532">
        <f t="shared" si="83"/>
        <v>0</v>
      </c>
      <c r="IW35" s="533">
        <f t="shared" si="195"/>
        <v>0</v>
      </c>
      <c r="IX35" s="531"/>
      <c r="IY35" s="532">
        <f t="shared" si="84"/>
        <v>0</v>
      </c>
      <c r="IZ35" s="533">
        <f t="shared" si="196"/>
        <v>0</v>
      </c>
      <c r="JA35" s="531"/>
      <c r="JB35" s="532">
        <f t="shared" si="85"/>
        <v>0</v>
      </c>
      <c r="JC35" s="533">
        <f t="shared" si="197"/>
        <v>0</v>
      </c>
      <c r="JD35" s="531">
        <v>59.310686973287993</v>
      </c>
      <c r="JE35" s="532">
        <f t="shared" si="86"/>
        <v>1.7066350235458232</v>
      </c>
      <c r="JF35" s="533">
        <f t="shared" si="198"/>
        <v>0</v>
      </c>
      <c r="JG35" s="531"/>
      <c r="JH35" s="532">
        <f t="shared" si="87"/>
        <v>0</v>
      </c>
      <c r="JI35" s="533">
        <f t="shared" si="199"/>
        <v>0</v>
      </c>
      <c r="JJ35" s="531">
        <v>13.306884897853076</v>
      </c>
      <c r="JK35" s="533" t="str">
        <f t="shared" si="88"/>
        <v>0</v>
      </c>
      <c r="JL35" s="533" t="str">
        <f t="shared" si="89"/>
        <v>0</v>
      </c>
      <c r="JM35" s="531"/>
      <c r="JN35" s="533" t="str">
        <f t="shared" si="90"/>
        <v>0</v>
      </c>
      <c r="JO35" s="533" t="str">
        <f t="shared" si="91"/>
        <v>0</v>
      </c>
      <c r="JP35" s="531"/>
      <c r="JQ35" s="533" t="str">
        <f t="shared" si="92"/>
        <v>0</v>
      </c>
      <c r="JR35" s="533" t="str">
        <f t="shared" si="93"/>
        <v>0</v>
      </c>
      <c r="JS35" s="531"/>
      <c r="JT35" s="533" t="str">
        <f t="shared" si="94"/>
        <v>0</v>
      </c>
      <c r="JU35" s="533" t="str">
        <f t="shared" si="95"/>
        <v>0</v>
      </c>
      <c r="JV35" s="531"/>
      <c r="JW35" s="533" t="str">
        <f t="shared" si="96"/>
        <v>0</v>
      </c>
      <c r="JX35" s="533" t="str">
        <f t="shared" si="97"/>
        <v>0</v>
      </c>
      <c r="JY35" s="531"/>
      <c r="JZ35" s="533" t="str">
        <f t="shared" si="98"/>
        <v>0</v>
      </c>
      <c r="KA35" s="533" t="str">
        <f t="shared" si="99"/>
        <v>0</v>
      </c>
      <c r="KB35" s="531"/>
      <c r="KC35" s="533" t="str">
        <f t="shared" si="100"/>
        <v>0</v>
      </c>
      <c r="KD35" s="533" t="str">
        <f t="shared" si="101"/>
        <v>0</v>
      </c>
      <c r="KE35" s="531"/>
      <c r="KF35" s="533" t="str">
        <f t="shared" si="102"/>
        <v>0</v>
      </c>
      <c r="KG35" s="533" t="str">
        <f t="shared" si="103"/>
        <v>0</v>
      </c>
      <c r="KH35" s="531"/>
      <c r="KI35" s="533" t="str">
        <f t="shared" si="104"/>
        <v>0</v>
      </c>
      <c r="KJ35" s="533" t="str">
        <f t="shared" si="105"/>
        <v>0</v>
      </c>
      <c r="KK35" s="531"/>
      <c r="KL35" s="533" t="str">
        <f t="shared" si="106"/>
        <v>0</v>
      </c>
      <c r="KM35" s="533" t="str">
        <f t="shared" si="107"/>
        <v>0</v>
      </c>
      <c r="KN35" s="531"/>
      <c r="KO35" s="533" t="str">
        <f t="shared" si="108"/>
        <v>0</v>
      </c>
      <c r="KP35" s="533" t="str">
        <f t="shared" si="109"/>
        <v>0</v>
      </c>
      <c r="KQ35" s="531"/>
      <c r="KR35" s="533" t="str">
        <f t="shared" si="110"/>
        <v>0</v>
      </c>
      <c r="KS35" s="533" t="str">
        <f t="shared" si="111"/>
        <v>0</v>
      </c>
      <c r="KT35" s="533">
        <f t="shared" si="201"/>
        <v>0</v>
      </c>
      <c r="KU35" s="533">
        <f t="shared" si="202"/>
        <v>0</v>
      </c>
      <c r="KV35" s="271">
        <f t="shared" si="241"/>
        <v>1391.6645689307295</v>
      </c>
    </row>
    <row r="36" spans="1:16384" ht="15" customHeight="1">
      <c r="A36" s="273">
        <f t="shared" si="200"/>
        <v>46050</v>
      </c>
      <c r="B36" s="274" t="str">
        <f>+Report1!B36</f>
        <v>Toilet</v>
      </c>
      <c r="C36" s="274" t="str">
        <f>+Report1!C36</f>
        <v>14</v>
      </c>
      <c r="D36" s="275">
        <f>+Report1!P36</f>
        <v>35.337000000000003</v>
      </c>
      <c r="E36" s="276">
        <f>+Report1!R36</f>
        <v>33.441000000000003</v>
      </c>
      <c r="F36" s="531"/>
      <c r="G36" s="532">
        <f t="shared" si="0"/>
        <v>0</v>
      </c>
      <c r="H36" s="533">
        <f t="shared" si="113"/>
        <v>0</v>
      </c>
      <c r="I36" s="531"/>
      <c r="J36" s="532">
        <f t="shared" si="1"/>
        <v>0</v>
      </c>
      <c r="K36" s="533">
        <f t="shared" si="114"/>
        <v>0</v>
      </c>
      <c r="L36" s="531"/>
      <c r="M36" s="532">
        <f t="shared" si="2"/>
        <v>0</v>
      </c>
      <c r="N36" s="533">
        <f t="shared" si="115"/>
        <v>0</v>
      </c>
      <c r="O36" s="531">
        <v>9</v>
      </c>
      <c r="P36" s="532">
        <f t="shared" si="3"/>
        <v>0.26913070781376153</v>
      </c>
      <c r="Q36" s="533">
        <f t="shared" si="116"/>
        <v>0</v>
      </c>
      <c r="R36" s="531"/>
      <c r="S36" s="532">
        <f t="shared" si="4"/>
        <v>0</v>
      </c>
      <c r="T36" s="533">
        <f t="shared" si="117"/>
        <v>0</v>
      </c>
      <c r="U36" s="531">
        <v>7.6875</v>
      </c>
      <c r="V36" s="532">
        <f t="shared" si="5"/>
        <v>0.22988247959092131</v>
      </c>
      <c r="W36" s="533">
        <f t="shared" si="118"/>
        <v>0</v>
      </c>
      <c r="X36" s="531"/>
      <c r="Y36" s="532">
        <f t="shared" si="6"/>
        <v>0</v>
      </c>
      <c r="Z36" s="533">
        <f t="shared" si="119"/>
        <v>0</v>
      </c>
      <c r="AA36" s="531">
        <v>6.2500000000000142</v>
      </c>
      <c r="AB36" s="532">
        <f t="shared" si="7"/>
        <v>0.18689632487066815</v>
      </c>
      <c r="AC36" s="533">
        <f t="shared" si="120"/>
        <v>0</v>
      </c>
      <c r="AD36" s="531"/>
      <c r="AE36" s="532">
        <f t="shared" si="8"/>
        <v>0</v>
      </c>
      <c r="AF36" s="533">
        <f t="shared" si="121"/>
        <v>0</v>
      </c>
      <c r="AG36" s="531"/>
      <c r="AH36" s="532">
        <f t="shared" si="9"/>
        <v>0</v>
      </c>
      <c r="AI36" s="533">
        <f t="shared" si="122"/>
        <v>0</v>
      </c>
      <c r="AJ36" s="531">
        <v>26.4375</v>
      </c>
      <c r="AK36" s="532">
        <f t="shared" si="10"/>
        <v>0.79057145420292452</v>
      </c>
      <c r="AL36" s="533">
        <f t="shared" si="123"/>
        <v>0</v>
      </c>
      <c r="AM36" s="531"/>
      <c r="AN36" s="532">
        <f t="shared" si="11"/>
        <v>0</v>
      </c>
      <c r="AO36" s="533">
        <f t="shared" si="124"/>
        <v>0</v>
      </c>
      <c r="AP36" s="531"/>
      <c r="AQ36" s="532">
        <f t="shared" si="12"/>
        <v>0</v>
      </c>
      <c r="AR36" s="533">
        <f t="shared" si="125"/>
        <v>0</v>
      </c>
      <c r="AS36" s="531"/>
      <c r="AT36" s="532">
        <f t="shared" si="13"/>
        <v>0</v>
      </c>
      <c r="AU36" s="533">
        <f t="shared" si="126"/>
        <v>0</v>
      </c>
      <c r="AV36" s="531"/>
      <c r="AW36" s="532">
        <f t="shared" si="14"/>
        <v>0</v>
      </c>
      <c r="AX36" s="533">
        <f t="shared" si="127"/>
        <v>0</v>
      </c>
      <c r="AY36" s="531"/>
      <c r="AZ36" s="532">
        <f t="shared" si="15"/>
        <v>0</v>
      </c>
      <c r="BA36" s="533">
        <f t="shared" si="128"/>
        <v>0</v>
      </c>
      <c r="BB36" s="531"/>
      <c r="BC36" s="532">
        <f t="shared" si="16"/>
        <v>0</v>
      </c>
      <c r="BD36" s="533">
        <f t="shared" si="129"/>
        <v>0</v>
      </c>
      <c r="BE36" s="531"/>
      <c r="BF36" s="532">
        <f t="shared" si="17"/>
        <v>0</v>
      </c>
      <c r="BG36" s="533">
        <f t="shared" si="130"/>
        <v>0</v>
      </c>
      <c r="BH36" s="531"/>
      <c r="BI36" s="532">
        <f t="shared" si="18"/>
        <v>0</v>
      </c>
      <c r="BJ36" s="533">
        <f t="shared" si="131"/>
        <v>0</v>
      </c>
      <c r="BK36" s="531"/>
      <c r="BL36" s="532">
        <f t="shared" si="19"/>
        <v>0</v>
      </c>
      <c r="BM36" s="533">
        <f t="shared" si="132"/>
        <v>0</v>
      </c>
      <c r="BN36" s="531"/>
      <c r="BO36" s="532">
        <f t="shared" si="20"/>
        <v>0</v>
      </c>
      <c r="BP36" s="533">
        <f t="shared" si="133"/>
        <v>0</v>
      </c>
      <c r="BQ36" s="531"/>
      <c r="BR36" s="532">
        <f t="shared" si="21"/>
        <v>0</v>
      </c>
      <c r="BS36" s="533">
        <f t="shared" si="134"/>
        <v>0</v>
      </c>
      <c r="BT36" s="531"/>
      <c r="BU36" s="532">
        <f t="shared" si="22"/>
        <v>0</v>
      </c>
      <c r="BV36" s="533">
        <f t="shared" si="135"/>
        <v>0</v>
      </c>
      <c r="BW36" s="531"/>
      <c r="BX36" s="532">
        <f t="shared" si="23"/>
        <v>0</v>
      </c>
      <c r="BY36" s="533">
        <f t="shared" si="136"/>
        <v>0</v>
      </c>
      <c r="BZ36" s="531"/>
      <c r="CA36" s="532">
        <f t="shared" si="24"/>
        <v>0</v>
      </c>
      <c r="CB36" s="533">
        <f t="shared" si="137"/>
        <v>0</v>
      </c>
      <c r="CC36" s="531"/>
      <c r="CD36" s="532">
        <f t="shared" si="25"/>
        <v>0</v>
      </c>
      <c r="CE36" s="533">
        <f t="shared" si="138"/>
        <v>0</v>
      </c>
      <c r="CF36" s="531">
        <v>5</v>
      </c>
      <c r="CG36" s="532">
        <f t="shared" si="26"/>
        <v>0.14951705989653419</v>
      </c>
      <c r="CH36" s="533">
        <f t="shared" si="139"/>
        <v>0</v>
      </c>
      <c r="CI36" s="531"/>
      <c r="CJ36" s="532">
        <f t="shared" si="27"/>
        <v>0</v>
      </c>
      <c r="CK36" s="533">
        <f t="shared" si="140"/>
        <v>0</v>
      </c>
      <c r="CL36" s="531"/>
      <c r="CM36" s="532">
        <f t="shared" si="28"/>
        <v>0</v>
      </c>
      <c r="CN36" s="533">
        <f t="shared" si="141"/>
        <v>0</v>
      </c>
      <c r="CO36" s="531"/>
      <c r="CP36" s="532">
        <f t="shared" si="29"/>
        <v>0</v>
      </c>
      <c r="CQ36" s="533">
        <f t="shared" si="142"/>
        <v>0</v>
      </c>
      <c r="CR36" s="531"/>
      <c r="CS36" s="532">
        <f t="shared" si="30"/>
        <v>0</v>
      </c>
      <c r="CT36" s="533">
        <f t="shared" si="143"/>
        <v>0</v>
      </c>
      <c r="CU36" s="531"/>
      <c r="CV36" s="532">
        <f t="shared" si="31"/>
        <v>0</v>
      </c>
      <c r="CW36" s="533">
        <f t="shared" si="144"/>
        <v>0</v>
      </c>
      <c r="CX36" s="531"/>
      <c r="CY36" s="532">
        <f t="shared" si="32"/>
        <v>0</v>
      </c>
      <c r="CZ36" s="533">
        <f t="shared" si="145"/>
        <v>0</v>
      </c>
      <c r="DA36" s="531">
        <v>188.95348837209303</v>
      </c>
      <c r="DB36" s="532">
        <f t="shared" si="33"/>
        <v>5.650354007717862</v>
      </c>
      <c r="DC36" s="533">
        <f t="shared" si="146"/>
        <v>0</v>
      </c>
      <c r="DD36" s="531"/>
      <c r="DE36" s="532">
        <f t="shared" si="34"/>
        <v>0</v>
      </c>
      <c r="DF36" s="533">
        <f t="shared" si="147"/>
        <v>0</v>
      </c>
      <c r="DG36" s="531"/>
      <c r="DH36" s="532">
        <f t="shared" si="35"/>
        <v>0</v>
      </c>
      <c r="DI36" s="533">
        <f t="shared" si="203"/>
        <v>0</v>
      </c>
      <c r="DJ36" s="531"/>
      <c r="DK36" s="532">
        <f t="shared" si="36"/>
        <v>0</v>
      </c>
      <c r="DL36" s="533">
        <f t="shared" si="148"/>
        <v>0</v>
      </c>
      <c r="DM36" s="531"/>
      <c r="DN36" s="532">
        <f t="shared" si="37"/>
        <v>0</v>
      </c>
      <c r="DO36" s="533">
        <f t="shared" si="149"/>
        <v>0</v>
      </c>
      <c r="DP36" s="531"/>
      <c r="DQ36" s="532">
        <f t="shared" si="38"/>
        <v>0</v>
      </c>
      <c r="DR36" s="533">
        <f t="shared" si="150"/>
        <v>0</v>
      </c>
      <c r="DS36" s="531"/>
      <c r="DT36" s="532">
        <f t="shared" si="39"/>
        <v>0</v>
      </c>
      <c r="DU36" s="533">
        <f t="shared" si="151"/>
        <v>0</v>
      </c>
      <c r="DV36" s="531"/>
      <c r="DW36" s="532">
        <f t="shared" si="40"/>
        <v>0</v>
      </c>
      <c r="DX36" s="533">
        <f t="shared" si="152"/>
        <v>0</v>
      </c>
      <c r="DY36" s="531"/>
      <c r="DZ36" s="532">
        <f t="shared" si="41"/>
        <v>0</v>
      </c>
      <c r="EA36" s="533">
        <f t="shared" si="153"/>
        <v>0</v>
      </c>
      <c r="EB36" s="531"/>
      <c r="EC36" s="532">
        <f t="shared" si="42"/>
        <v>0</v>
      </c>
      <c r="ED36" s="533">
        <f t="shared" si="154"/>
        <v>0</v>
      </c>
      <c r="EE36" s="531">
        <v>140.89411764705881</v>
      </c>
      <c r="EF36" s="532">
        <f t="shared" si="43"/>
        <v>4.2132148454609251</v>
      </c>
      <c r="EG36" s="533">
        <f t="shared" si="155"/>
        <v>0</v>
      </c>
      <c r="EH36" s="531">
        <v>0.5</v>
      </c>
      <c r="EI36" s="532">
        <f t="shared" si="44"/>
        <v>1.4951705989653419E-2</v>
      </c>
      <c r="EJ36" s="533">
        <f t="shared" si="156"/>
        <v>0</v>
      </c>
      <c r="EK36" s="531">
        <v>24.390243902439011</v>
      </c>
      <c r="EL36" s="532">
        <f t="shared" si="45"/>
        <v>0.72935151169041024</v>
      </c>
      <c r="EM36" s="533">
        <f t="shared" si="157"/>
        <v>0</v>
      </c>
      <c r="EN36" s="531"/>
      <c r="EO36" s="532">
        <f t="shared" si="46"/>
        <v>0</v>
      </c>
      <c r="EP36" s="533">
        <f t="shared" si="158"/>
        <v>0</v>
      </c>
      <c r="EQ36" s="531">
        <v>29.651162790697526</v>
      </c>
      <c r="ER36" s="532">
        <f t="shared" si="47"/>
        <v>0.88667093659572149</v>
      </c>
      <c r="ES36" s="533">
        <f t="shared" si="159"/>
        <v>0</v>
      </c>
      <c r="ET36" s="531">
        <v>21.80232558139528</v>
      </c>
      <c r="EU36" s="532">
        <f t="shared" si="48"/>
        <v>0.65196392396744351</v>
      </c>
      <c r="EV36" s="533">
        <f t="shared" si="160"/>
        <v>0</v>
      </c>
      <c r="EW36" s="531"/>
      <c r="EX36" s="532">
        <f t="shared" si="49"/>
        <v>0</v>
      </c>
      <c r="EY36" s="533">
        <f t="shared" si="161"/>
        <v>0</v>
      </c>
      <c r="EZ36" s="531"/>
      <c r="FA36" s="532">
        <f t="shared" si="50"/>
        <v>0</v>
      </c>
      <c r="FB36" s="533">
        <f t="shared" si="162"/>
        <v>0</v>
      </c>
      <c r="FC36" s="531"/>
      <c r="FD36" s="532">
        <f t="shared" si="51"/>
        <v>0</v>
      </c>
      <c r="FE36" s="533">
        <f t="shared" si="163"/>
        <v>0</v>
      </c>
      <c r="FF36" s="531"/>
      <c r="FG36" s="532">
        <f t="shared" si="52"/>
        <v>0</v>
      </c>
      <c r="FH36" s="533">
        <f t="shared" si="164"/>
        <v>0</v>
      </c>
      <c r="FI36" s="531"/>
      <c r="FJ36" s="532">
        <f t="shared" si="53"/>
        <v>0</v>
      </c>
      <c r="FK36" s="533">
        <f t="shared" si="165"/>
        <v>0</v>
      </c>
      <c r="FL36" s="531"/>
      <c r="FM36" s="532">
        <f t="shared" si="54"/>
        <v>0</v>
      </c>
      <c r="FN36" s="533">
        <f t="shared" si="166"/>
        <v>0</v>
      </c>
      <c r="FO36" s="531"/>
      <c r="FP36" s="532">
        <f t="shared" si="55"/>
        <v>0</v>
      </c>
      <c r="FQ36" s="533">
        <f t="shared" si="167"/>
        <v>0</v>
      </c>
      <c r="FR36" s="531"/>
      <c r="FS36" s="532">
        <f t="shared" si="56"/>
        <v>0</v>
      </c>
      <c r="FT36" s="533">
        <f t="shared" si="168"/>
        <v>0</v>
      </c>
      <c r="FU36" s="531"/>
      <c r="FV36" s="532">
        <f t="shared" si="57"/>
        <v>0</v>
      </c>
      <c r="FW36" s="533">
        <f t="shared" si="169"/>
        <v>0</v>
      </c>
      <c r="FX36" s="531"/>
      <c r="FY36" s="532">
        <f t="shared" si="58"/>
        <v>0</v>
      </c>
      <c r="FZ36" s="533">
        <f t="shared" si="170"/>
        <v>0</v>
      </c>
      <c r="GA36" s="531"/>
      <c r="GB36" s="532">
        <f t="shared" si="59"/>
        <v>0</v>
      </c>
      <c r="GC36" s="533">
        <f t="shared" si="171"/>
        <v>0</v>
      </c>
      <c r="GD36" s="531"/>
      <c r="GE36" s="532">
        <f t="shared" si="60"/>
        <v>0</v>
      </c>
      <c r="GF36" s="533">
        <f t="shared" si="172"/>
        <v>0</v>
      </c>
      <c r="GG36" s="531">
        <v>13.269478359762248</v>
      </c>
      <c r="GH36" s="532">
        <f t="shared" si="61"/>
        <v>0.39680267814246722</v>
      </c>
      <c r="GI36" s="533">
        <f t="shared" si="173"/>
        <v>0</v>
      </c>
      <c r="GJ36" s="531">
        <v>11.373838594081928</v>
      </c>
      <c r="GK36" s="532">
        <f t="shared" si="253"/>
        <v>0.34011658126497196</v>
      </c>
      <c r="GL36" s="533">
        <f t="shared" si="254"/>
        <v>0</v>
      </c>
      <c r="GM36" s="531">
        <v>3.7912795313606424</v>
      </c>
      <c r="GN36" s="532">
        <f t="shared" si="255"/>
        <v>0.11337219375499065</v>
      </c>
      <c r="GO36" s="533">
        <f t="shared" si="256"/>
        <v>0</v>
      </c>
      <c r="GP36" s="531">
        <v>22.747677188163856</v>
      </c>
      <c r="GQ36" s="532">
        <f t="shared" si="257"/>
        <v>0.68023316252994392</v>
      </c>
      <c r="GR36" s="533">
        <f t="shared" si="258"/>
        <v>0</v>
      </c>
      <c r="GS36" s="531">
        <v>113.73838594081927</v>
      </c>
      <c r="GT36" s="532">
        <f t="shared" si="259"/>
        <v>3.4011658126497193</v>
      </c>
      <c r="GU36" s="533">
        <f t="shared" si="260"/>
        <v>0</v>
      </c>
      <c r="GV36" s="531">
        <v>24.643316953844174</v>
      </c>
      <c r="GW36" s="532">
        <f t="shared" si="261"/>
        <v>0.73691925940743919</v>
      </c>
      <c r="GX36" s="533">
        <f t="shared" si="262"/>
        <v>0</v>
      </c>
      <c r="GY36" s="531"/>
      <c r="GZ36" s="532">
        <f t="shared" si="67"/>
        <v>0</v>
      </c>
      <c r="HA36" s="533">
        <f t="shared" si="179"/>
        <v>0</v>
      </c>
      <c r="HB36" s="531"/>
      <c r="HC36" s="532">
        <f t="shared" si="68"/>
        <v>0</v>
      </c>
      <c r="HD36" s="533">
        <f t="shared" si="180"/>
        <v>0</v>
      </c>
      <c r="HE36" s="531"/>
      <c r="HF36" s="532">
        <f t="shared" si="69"/>
        <v>0</v>
      </c>
      <c r="HG36" s="533">
        <f t="shared" si="181"/>
        <v>0</v>
      </c>
      <c r="HH36" s="531"/>
      <c r="HI36" s="532">
        <f t="shared" si="70"/>
        <v>0</v>
      </c>
      <c r="HJ36" s="533">
        <f t="shared" si="182"/>
        <v>0</v>
      </c>
      <c r="HK36" s="531"/>
      <c r="HL36" s="532">
        <f t="shared" si="71"/>
        <v>0</v>
      </c>
      <c r="HM36" s="533">
        <f t="shared" si="183"/>
        <v>0</v>
      </c>
      <c r="HN36" s="531">
        <v>633.90193764349942</v>
      </c>
      <c r="HO36" s="532">
        <f t="shared" si="72"/>
        <v>18.955830795834437</v>
      </c>
      <c r="HP36" s="533">
        <f t="shared" si="184"/>
        <v>0</v>
      </c>
      <c r="HQ36" s="531"/>
      <c r="HR36" s="532">
        <f t="shared" si="73"/>
        <v>0</v>
      </c>
      <c r="HS36" s="533">
        <f t="shared" si="185"/>
        <v>0</v>
      </c>
      <c r="HT36" s="531"/>
      <c r="HU36" s="532">
        <f t="shared" si="74"/>
        <v>0</v>
      </c>
      <c r="HV36" s="533">
        <f t="shared" si="186"/>
        <v>0</v>
      </c>
      <c r="HW36" s="531"/>
      <c r="HX36" s="532">
        <f t="shared" si="75"/>
        <v>0</v>
      </c>
      <c r="HY36" s="533">
        <f t="shared" si="187"/>
        <v>0</v>
      </c>
      <c r="HZ36" s="531"/>
      <c r="IA36" s="532">
        <f t="shared" si="76"/>
        <v>0</v>
      </c>
      <c r="IB36" s="533">
        <f t="shared" si="188"/>
        <v>0</v>
      </c>
      <c r="IC36" s="531"/>
      <c r="ID36" s="532">
        <f t="shared" si="77"/>
        <v>0</v>
      </c>
      <c r="IE36" s="533">
        <f t="shared" si="189"/>
        <v>0</v>
      </c>
      <c r="IF36" s="531"/>
      <c r="IG36" s="532">
        <f t="shared" si="78"/>
        <v>0</v>
      </c>
      <c r="IH36" s="533">
        <f t="shared" si="190"/>
        <v>0</v>
      </c>
      <c r="II36" s="531">
        <v>15.16511812544257</v>
      </c>
      <c r="IJ36" s="532">
        <f t="shared" si="79"/>
        <v>0.4534887750199626</v>
      </c>
      <c r="IK36" s="533">
        <f t="shared" si="191"/>
        <v>0</v>
      </c>
      <c r="IL36" s="531"/>
      <c r="IM36" s="532">
        <f t="shared" si="80"/>
        <v>0</v>
      </c>
      <c r="IN36" s="533">
        <f t="shared" si="192"/>
        <v>0</v>
      </c>
      <c r="IO36" s="531"/>
      <c r="IP36" s="532">
        <f t="shared" si="81"/>
        <v>0</v>
      </c>
      <c r="IQ36" s="533">
        <f t="shared" si="193"/>
        <v>0</v>
      </c>
      <c r="IR36" s="531">
        <v>37.912795313606424</v>
      </c>
      <c r="IS36" s="532">
        <f t="shared" si="82"/>
        <v>1.1337219375499064</v>
      </c>
      <c r="IT36" s="533">
        <f t="shared" si="194"/>
        <v>0</v>
      </c>
      <c r="IU36" s="531"/>
      <c r="IV36" s="532">
        <f t="shared" si="83"/>
        <v>0</v>
      </c>
      <c r="IW36" s="533">
        <f t="shared" si="195"/>
        <v>0</v>
      </c>
      <c r="IX36" s="531"/>
      <c r="IY36" s="532">
        <f t="shared" si="84"/>
        <v>0</v>
      </c>
      <c r="IZ36" s="533">
        <f t="shared" si="196"/>
        <v>0</v>
      </c>
      <c r="JA36" s="531"/>
      <c r="JB36" s="532">
        <f t="shared" si="85"/>
        <v>0</v>
      </c>
      <c r="JC36" s="533">
        <f t="shared" si="197"/>
        <v>0</v>
      </c>
      <c r="JD36" s="531">
        <v>68.243031564491559</v>
      </c>
      <c r="JE36" s="532">
        <f t="shared" si="86"/>
        <v>2.0406994875898317</v>
      </c>
      <c r="JF36" s="533">
        <f t="shared" si="198"/>
        <v>0</v>
      </c>
      <c r="JG36" s="531"/>
      <c r="JH36" s="532">
        <f t="shared" si="87"/>
        <v>0</v>
      </c>
      <c r="JI36" s="533">
        <f t="shared" si="199"/>
        <v>0</v>
      </c>
      <c r="JJ36" s="531">
        <v>15.16511812544257</v>
      </c>
      <c r="JK36" s="533" t="str">
        <f t="shared" si="88"/>
        <v>0</v>
      </c>
      <c r="JL36" s="533" t="str">
        <f t="shared" si="89"/>
        <v>0</v>
      </c>
      <c r="JM36" s="531"/>
      <c r="JN36" s="533" t="str">
        <f t="shared" si="90"/>
        <v>0</v>
      </c>
      <c r="JO36" s="533" t="str">
        <f t="shared" si="91"/>
        <v>0</v>
      </c>
      <c r="JP36" s="531"/>
      <c r="JQ36" s="533" t="str">
        <f t="shared" si="92"/>
        <v>0</v>
      </c>
      <c r="JR36" s="533" t="str">
        <f t="shared" si="93"/>
        <v>0</v>
      </c>
      <c r="JS36" s="531"/>
      <c r="JT36" s="533" t="str">
        <f t="shared" si="94"/>
        <v>0</v>
      </c>
      <c r="JU36" s="533" t="str">
        <f t="shared" si="95"/>
        <v>0</v>
      </c>
      <c r="JV36" s="531"/>
      <c r="JW36" s="533" t="str">
        <f t="shared" si="96"/>
        <v>0</v>
      </c>
      <c r="JX36" s="533" t="str">
        <f t="shared" si="97"/>
        <v>0</v>
      </c>
      <c r="JY36" s="531"/>
      <c r="JZ36" s="533" t="str">
        <f t="shared" si="98"/>
        <v>0</v>
      </c>
      <c r="KA36" s="533" t="str">
        <f t="shared" si="99"/>
        <v>0</v>
      </c>
      <c r="KB36" s="531"/>
      <c r="KC36" s="533" t="str">
        <f t="shared" si="100"/>
        <v>0</v>
      </c>
      <c r="KD36" s="533" t="str">
        <f t="shared" si="101"/>
        <v>0</v>
      </c>
      <c r="KE36" s="531"/>
      <c r="KF36" s="533" t="str">
        <f t="shared" si="102"/>
        <v>0</v>
      </c>
      <c r="KG36" s="533" t="str">
        <f t="shared" si="103"/>
        <v>0</v>
      </c>
      <c r="KH36" s="531"/>
      <c r="KI36" s="533" t="str">
        <f t="shared" si="104"/>
        <v>0</v>
      </c>
      <c r="KJ36" s="533" t="str">
        <f t="shared" si="105"/>
        <v>0</v>
      </c>
      <c r="KK36" s="531"/>
      <c r="KL36" s="533" t="str">
        <f t="shared" si="106"/>
        <v>0</v>
      </c>
      <c r="KM36" s="533" t="str">
        <f t="shared" si="107"/>
        <v>0</v>
      </c>
      <c r="KN36" s="531"/>
      <c r="KO36" s="533" t="str">
        <f t="shared" si="108"/>
        <v>0</v>
      </c>
      <c r="KP36" s="533" t="str">
        <f t="shared" si="109"/>
        <v>0</v>
      </c>
      <c r="KQ36" s="531"/>
      <c r="KR36" s="533" t="str">
        <f t="shared" si="110"/>
        <v>0</v>
      </c>
      <c r="KS36" s="533" t="str">
        <f t="shared" si="111"/>
        <v>0</v>
      </c>
      <c r="KT36" s="533">
        <f t="shared" si="201"/>
        <v>0</v>
      </c>
      <c r="KU36" s="533">
        <f t="shared" si="202"/>
        <v>0</v>
      </c>
      <c r="KV36" s="271">
        <f t="shared" si="241"/>
        <v>1352.2752840697069</v>
      </c>
    </row>
    <row r="37" spans="1:16384" ht="15" customHeight="1">
      <c r="A37" s="273">
        <f t="shared" si="200"/>
        <v>46051</v>
      </c>
      <c r="B37" s="274" t="str">
        <f>+Report1!B37</f>
        <v>Toilet</v>
      </c>
      <c r="C37" s="274" t="str">
        <f>+Report1!C37</f>
        <v>14</v>
      </c>
      <c r="D37" s="275">
        <f>+Report1!P37</f>
        <v>35.326000000000001</v>
      </c>
      <c r="E37" s="276">
        <f>+Report1!R37</f>
        <v>35.091999999999999</v>
      </c>
      <c r="F37" s="531"/>
      <c r="G37" s="532">
        <f t="shared" si="0"/>
        <v>0</v>
      </c>
      <c r="H37" s="533">
        <f t="shared" si="113"/>
        <v>0</v>
      </c>
      <c r="I37" s="531"/>
      <c r="J37" s="532">
        <f t="shared" si="1"/>
        <v>0</v>
      </c>
      <c r="K37" s="533">
        <f t="shared" si="114"/>
        <v>0</v>
      </c>
      <c r="L37" s="531"/>
      <c r="M37" s="532">
        <f t="shared" si="2"/>
        <v>0</v>
      </c>
      <c r="N37" s="533">
        <f t="shared" si="115"/>
        <v>0</v>
      </c>
      <c r="O37" s="531">
        <v>9</v>
      </c>
      <c r="P37" s="532">
        <f t="shared" si="3"/>
        <v>0.25646871081728029</v>
      </c>
      <c r="Q37" s="533">
        <f t="shared" si="116"/>
        <v>0</v>
      </c>
      <c r="R37" s="531"/>
      <c r="S37" s="532">
        <f t="shared" si="4"/>
        <v>0</v>
      </c>
      <c r="T37" s="533">
        <f t="shared" si="117"/>
        <v>0</v>
      </c>
      <c r="U37" s="531">
        <v>7.6874999999999716</v>
      </c>
      <c r="V37" s="532">
        <f t="shared" si="5"/>
        <v>0.21906702382309279</v>
      </c>
      <c r="W37" s="533">
        <f t="shared" si="118"/>
        <v>0</v>
      </c>
      <c r="X37" s="531"/>
      <c r="Y37" s="532">
        <f t="shared" si="6"/>
        <v>0</v>
      </c>
      <c r="Z37" s="533">
        <f t="shared" si="119"/>
        <v>0</v>
      </c>
      <c r="AA37" s="531">
        <v>4.6874999999999858</v>
      </c>
      <c r="AB37" s="532">
        <f t="shared" si="7"/>
        <v>0.13357745355066641</v>
      </c>
      <c r="AC37" s="533">
        <f t="shared" si="120"/>
        <v>0</v>
      </c>
      <c r="AD37" s="531"/>
      <c r="AE37" s="532">
        <f t="shared" si="8"/>
        <v>0</v>
      </c>
      <c r="AF37" s="533">
        <f t="shared" si="121"/>
        <v>0</v>
      </c>
      <c r="AG37" s="531"/>
      <c r="AH37" s="532">
        <f t="shared" si="9"/>
        <v>0</v>
      </c>
      <c r="AI37" s="533">
        <f t="shared" si="122"/>
        <v>0</v>
      </c>
      <c r="AJ37" s="531">
        <v>26.4375</v>
      </c>
      <c r="AK37" s="532">
        <f t="shared" si="10"/>
        <v>0.75337683802576083</v>
      </c>
      <c r="AL37" s="533">
        <f t="shared" si="123"/>
        <v>0</v>
      </c>
      <c r="AM37" s="531"/>
      <c r="AN37" s="532">
        <f t="shared" si="11"/>
        <v>0</v>
      </c>
      <c r="AO37" s="533">
        <f t="shared" si="124"/>
        <v>0</v>
      </c>
      <c r="AP37" s="531"/>
      <c r="AQ37" s="532">
        <f t="shared" si="12"/>
        <v>0</v>
      </c>
      <c r="AR37" s="533">
        <f t="shared" si="125"/>
        <v>0</v>
      </c>
      <c r="AS37" s="531"/>
      <c r="AT37" s="532">
        <f t="shared" si="13"/>
        <v>0</v>
      </c>
      <c r="AU37" s="533">
        <f t="shared" si="126"/>
        <v>0</v>
      </c>
      <c r="AV37" s="531"/>
      <c r="AW37" s="532">
        <f t="shared" si="14"/>
        <v>0</v>
      </c>
      <c r="AX37" s="533">
        <f t="shared" si="127"/>
        <v>0</v>
      </c>
      <c r="AY37" s="531"/>
      <c r="AZ37" s="532">
        <f t="shared" si="15"/>
        <v>0</v>
      </c>
      <c r="BA37" s="533">
        <f t="shared" si="128"/>
        <v>0</v>
      </c>
      <c r="BB37" s="531"/>
      <c r="BC37" s="532">
        <f t="shared" si="16"/>
        <v>0</v>
      </c>
      <c r="BD37" s="533">
        <f t="shared" si="129"/>
        <v>0</v>
      </c>
      <c r="BE37" s="531"/>
      <c r="BF37" s="532">
        <f t="shared" si="17"/>
        <v>0</v>
      </c>
      <c r="BG37" s="533">
        <f t="shared" si="130"/>
        <v>0</v>
      </c>
      <c r="BH37" s="531"/>
      <c r="BI37" s="532">
        <f t="shared" si="18"/>
        <v>0</v>
      </c>
      <c r="BJ37" s="533">
        <f t="shared" si="131"/>
        <v>0</v>
      </c>
      <c r="BK37" s="531"/>
      <c r="BL37" s="532">
        <f t="shared" si="19"/>
        <v>0</v>
      </c>
      <c r="BM37" s="533">
        <f t="shared" si="132"/>
        <v>0</v>
      </c>
      <c r="BN37" s="531"/>
      <c r="BO37" s="532">
        <f t="shared" si="20"/>
        <v>0</v>
      </c>
      <c r="BP37" s="533">
        <f t="shared" si="133"/>
        <v>0</v>
      </c>
      <c r="BQ37" s="531"/>
      <c r="BR37" s="532">
        <f t="shared" si="21"/>
        <v>0</v>
      </c>
      <c r="BS37" s="533">
        <f t="shared" si="134"/>
        <v>0</v>
      </c>
      <c r="BT37" s="531"/>
      <c r="BU37" s="532">
        <f t="shared" si="22"/>
        <v>0</v>
      </c>
      <c r="BV37" s="533">
        <f t="shared" si="135"/>
        <v>0</v>
      </c>
      <c r="BW37" s="531"/>
      <c r="BX37" s="532">
        <f t="shared" si="23"/>
        <v>0</v>
      </c>
      <c r="BY37" s="533">
        <f t="shared" si="136"/>
        <v>0</v>
      </c>
      <c r="BZ37" s="531"/>
      <c r="CA37" s="532">
        <f t="shared" si="24"/>
        <v>0</v>
      </c>
      <c r="CB37" s="533">
        <f t="shared" si="137"/>
        <v>0</v>
      </c>
      <c r="CC37" s="531"/>
      <c r="CD37" s="532">
        <f t="shared" si="25"/>
        <v>0</v>
      </c>
      <c r="CE37" s="533">
        <f t="shared" si="138"/>
        <v>0</v>
      </c>
      <c r="CF37" s="531">
        <v>5</v>
      </c>
      <c r="CG37" s="532">
        <f t="shared" si="26"/>
        <v>0.14248261712071128</v>
      </c>
      <c r="CH37" s="533">
        <f t="shared" si="139"/>
        <v>0</v>
      </c>
      <c r="CI37" s="531"/>
      <c r="CJ37" s="532">
        <f t="shared" si="27"/>
        <v>0</v>
      </c>
      <c r="CK37" s="533">
        <f t="shared" si="140"/>
        <v>0</v>
      </c>
      <c r="CL37" s="531"/>
      <c r="CM37" s="532">
        <f t="shared" si="28"/>
        <v>0</v>
      </c>
      <c r="CN37" s="533">
        <f t="shared" si="141"/>
        <v>0</v>
      </c>
      <c r="CO37" s="531"/>
      <c r="CP37" s="532">
        <f t="shared" si="29"/>
        <v>0</v>
      </c>
      <c r="CQ37" s="533">
        <f t="shared" si="142"/>
        <v>0</v>
      </c>
      <c r="CR37" s="531"/>
      <c r="CS37" s="532">
        <f t="shared" si="30"/>
        <v>0</v>
      </c>
      <c r="CT37" s="533">
        <f t="shared" si="143"/>
        <v>0</v>
      </c>
      <c r="CU37" s="531"/>
      <c r="CV37" s="532">
        <f t="shared" si="31"/>
        <v>0</v>
      </c>
      <c r="CW37" s="533">
        <f t="shared" si="144"/>
        <v>0</v>
      </c>
      <c r="CX37" s="531"/>
      <c r="CY37" s="532">
        <f t="shared" si="32"/>
        <v>0</v>
      </c>
      <c r="CZ37" s="533">
        <f t="shared" si="145"/>
        <v>0</v>
      </c>
      <c r="DA37" s="531">
        <v>188.95348837209303</v>
      </c>
      <c r="DB37" s="532">
        <f t="shared" si="33"/>
        <v>5.3845175074687406</v>
      </c>
      <c r="DC37" s="533">
        <f t="shared" si="146"/>
        <v>0</v>
      </c>
      <c r="DD37" s="531"/>
      <c r="DE37" s="532">
        <f t="shared" si="34"/>
        <v>0</v>
      </c>
      <c r="DF37" s="533">
        <f t="shared" si="147"/>
        <v>0</v>
      </c>
      <c r="DG37" s="531"/>
      <c r="DH37" s="532">
        <f t="shared" si="35"/>
        <v>0</v>
      </c>
      <c r="DI37" s="533">
        <f t="shared" si="203"/>
        <v>0</v>
      </c>
      <c r="DJ37" s="531"/>
      <c r="DK37" s="532">
        <f t="shared" si="36"/>
        <v>0</v>
      </c>
      <c r="DL37" s="533">
        <f t="shared" si="148"/>
        <v>0</v>
      </c>
      <c r="DM37" s="531"/>
      <c r="DN37" s="532">
        <f t="shared" si="37"/>
        <v>0</v>
      </c>
      <c r="DO37" s="533">
        <f t="shared" si="149"/>
        <v>0</v>
      </c>
      <c r="DP37" s="531"/>
      <c r="DQ37" s="532">
        <f t="shared" si="38"/>
        <v>0</v>
      </c>
      <c r="DR37" s="533">
        <f t="shared" si="150"/>
        <v>0</v>
      </c>
      <c r="DS37" s="531"/>
      <c r="DT37" s="532">
        <f t="shared" si="39"/>
        <v>0</v>
      </c>
      <c r="DU37" s="533">
        <f t="shared" si="151"/>
        <v>0</v>
      </c>
      <c r="DV37" s="531"/>
      <c r="DW37" s="532">
        <f t="shared" si="40"/>
        <v>0</v>
      </c>
      <c r="DX37" s="533">
        <f t="shared" si="152"/>
        <v>0</v>
      </c>
      <c r="DY37" s="531"/>
      <c r="DZ37" s="532">
        <f t="shared" si="41"/>
        <v>0</v>
      </c>
      <c r="EA37" s="533">
        <f t="shared" si="153"/>
        <v>0</v>
      </c>
      <c r="EB37" s="531"/>
      <c r="EC37" s="532">
        <f t="shared" si="42"/>
        <v>0</v>
      </c>
      <c r="ED37" s="533">
        <f t="shared" si="154"/>
        <v>0</v>
      </c>
      <c r="EE37" s="531">
        <v>140.89411764705875</v>
      </c>
      <c r="EF37" s="532">
        <f t="shared" si="43"/>
        <v>4.0149925238532642</v>
      </c>
      <c r="EG37" s="533">
        <f t="shared" si="155"/>
        <v>0</v>
      </c>
      <c r="EH37" s="531">
        <v>0.5</v>
      </c>
      <c r="EI37" s="532">
        <f t="shared" si="44"/>
        <v>1.4248261712071128E-2</v>
      </c>
      <c r="EJ37" s="533">
        <f t="shared" si="156"/>
        <v>0</v>
      </c>
      <c r="EK37" s="531">
        <v>24.390243902439011</v>
      </c>
      <c r="EL37" s="532">
        <f t="shared" si="45"/>
        <v>0.6950371566863961</v>
      </c>
      <c r="EM37" s="533">
        <f t="shared" si="157"/>
        <v>0</v>
      </c>
      <c r="EN37" s="531"/>
      <c r="EO37" s="532">
        <f t="shared" si="46"/>
        <v>0</v>
      </c>
      <c r="EP37" s="533">
        <f t="shared" si="158"/>
        <v>0</v>
      </c>
      <c r="EQ37" s="531">
        <v>29.651162790697754</v>
      </c>
      <c r="ER37" s="532">
        <f t="shared" si="47"/>
        <v>0.84495505501817381</v>
      </c>
      <c r="ES37" s="533">
        <f t="shared" si="159"/>
        <v>0</v>
      </c>
      <c r="ET37" s="531">
        <v>21.80232558139528</v>
      </c>
      <c r="EU37" s="532">
        <f t="shared" si="48"/>
        <v>0.62129048163100653</v>
      </c>
      <c r="EV37" s="533">
        <f t="shared" si="160"/>
        <v>0</v>
      </c>
      <c r="EW37" s="531"/>
      <c r="EX37" s="532">
        <f t="shared" si="49"/>
        <v>0</v>
      </c>
      <c r="EY37" s="533">
        <f t="shared" si="161"/>
        <v>0</v>
      </c>
      <c r="EZ37" s="531"/>
      <c r="FA37" s="532">
        <f t="shared" si="50"/>
        <v>0</v>
      </c>
      <c r="FB37" s="533">
        <f t="shared" si="162"/>
        <v>0</v>
      </c>
      <c r="FC37" s="531"/>
      <c r="FD37" s="532">
        <f t="shared" si="51"/>
        <v>0</v>
      </c>
      <c r="FE37" s="533">
        <f t="shared" si="163"/>
        <v>0</v>
      </c>
      <c r="FF37" s="531"/>
      <c r="FG37" s="532">
        <f t="shared" si="52"/>
        <v>0</v>
      </c>
      <c r="FH37" s="533">
        <f t="shared" si="164"/>
        <v>0</v>
      </c>
      <c r="FI37" s="531"/>
      <c r="FJ37" s="532">
        <f t="shared" si="53"/>
        <v>0</v>
      </c>
      <c r="FK37" s="533">
        <f t="shared" si="165"/>
        <v>0</v>
      </c>
      <c r="FL37" s="531"/>
      <c r="FM37" s="532">
        <f t="shared" si="54"/>
        <v>0</v>
      </c>
      <c r="FN37" s="533">
        <f t="shared" si="166"/>
        <v>0</v>
      </c>
      <c r="FO37" s="531"/>
      <c r="FP37" s="532">
        <f t="shared" si="55"/>
        <v>0</v>
      </c>
      <c r="FQ37" s="533">
        <f t="shared" si="167"/>
        <v>0</v>
      </c>
      <c r="FR37" s="531"/>
      <c r="FS37" s="532">
        <f t="shared" si="56"/>
        <v>0</v>
      </c>
      <c r="FT37" s="533">
        <f t="shared" si="168"/>
        <v>0</v>
      </c>
      <c r="FU37" s="531"/>
      <c r="FV37" s="532">
        <f t="shared" si="57"/>
        <v>0</v>
      </c>
      <c r="FW37" s="533">
        <f t="shared" si="169"/>
        <v>0</v>
      </c>
      <c r="FX37" s="531"/>
      <c r="FY37" s="532">
        <f t="shared" si="58"/>
        <v>0</v>
      </c>
      <c r="FZ37" s="533">
        <f t="shared" si="170"/>
        <v>0</v>
      </c>
      <c r="GA37" s="531"/>
      <c r="GB37" s="532">
        <f t="shared" si="59"/>
        <v>0</v>
      </c>
      <c r="GC37" s="533">
        <f t="shared" si="171"/>
        <v>0</v>
      </c>
      <c r="GD37" s="531"/>
      <c r="GE37" s="532">
        <f t="shared" si="60"/>
        <v>0</v>
      </c>
      <c r="GF37" s="533">
        <f t="shared" si="172"/>
        <v>0</v>
      </c>
      <c r="GG37" s="531">
        <v>11.476063109792412</v>
      </c>
      <c r="GH37" s="532">
        <f t="shared" si="61"/>
        <v>0.32702790122513425</v>
      </c>
      <c r="GI37" s="533">
        <f t="shared" si="173"/>
        <v>0</v>
      </c>
      <c r="GJ37" s="531">
        <v>11.476063109792412</v>
      </c>
      <c r="GK37" s="532">
        <f t="shared" si="253"/>
        <v>0.32702790122513425</v>
      </c>
      <c r="GL37" s="533">
        <f t="shared" si="254"/>
        <v>0</v>
      </c>
      <c r="GM37" s="531">
        <v>3.8253543699308041</v>
      </c>
      <c r="GN37" s="532">
        <f t="shared" si="255"/>
        <v>0.1090093004083781</v>
      </c>
      <c r="GO37" s="533">
        <f t="shared" si="256"/>
        <v>0</v>
      </c>
      <c r="GP37" s="531">
        <v>22.952126219584823</v>
      </c>
      <c r="GQ37" s="532">
        <f t="shared" si="257"/>
        <v>0.65405580245026851</v>
      </c>
      <c r="GR37" s="533">
        <f t="shared" si="258"/>
        <v>0</v>
      </c>
      <c r="GS37" s="531">
        <v>114.76063109792412</v>
      </c>
      <c r="GT37" s="532">
        <f t="shared" si="259"/>
        <v>3.270279012251343</v>
      </c>
      <c r="GU37" s="533">
        <f t="shared" si="260"/>
        <v>0</v>
      </c>
      <c r="GV37" s="531">
        <v>24.864803404550226</v>
      </c>
      <c r="GW37" s="532">
        <f t="shared" si="261"/>
        <v>0.70856045265445766</v>
      </c>
      <c r="GX37" s="533">
        <f t="shared" si="262"/>
        <v>0</v>
      </c>
      <c r="GY37" s="531"/>
      <c r="GZ37" s="532">
        <f t="shared" si="67"/>
        <v>0</v>
      </c>
      <c r="HA37" s="533">
        <f t="shared" si="179"/>
        <v>0</v>
      </c>
      <c r="HB37" s="531"/>
      <c r="HC37" s="532">
        <f t="shared" si="68"/>
        <v>0</v>
      </c>
      <c r="HD37" s="533">
        <f t="shared" si="180"/>
        <v>0</v>
      </c>
      <c r="HE37" s="531"/>
      <c r="HF37" s="532">
        <f t="shared" si="69"/>
        <v>0</v>
      </c>
      <c r="HG37" s="533">
        <f t="shared" si="181"/>
        <v>0</v>
      </c>
      <c r="HH37" s="531"/>
      <c r="HI37" s="532">
        <f t="shared" si="70"/>
        <v>0</v>
      </c>
      <c r="HJ37" s="533">
        <f t="shared" si="182"/>
        <v>0</v>
      </c>
      <c r="HK37" s="531"/>
      <c r="HL37" s="532">
        <f t="shared" si="71"/>
        <v>0</v>
      </c>
      <c r="HM37" s="533">
        <f t="shared" si="183"/>
        <v>0</v>
      </c>
      <c r="HN37" s="531">
        <v>593.69499821326076</v>
      </c>
      <c r="HO37" s="532">
        <f t="shared" si="72"/>
        <v>16.918243423380279</v>
      </c>
      <c r="HP37" s="533">
        <f t="shared" si="184"/>
        <v>0</v>
      </c>
      <c r="HQ37" s="531"/>
      <c r="HR37" s="532">
        <f t="shared" si="73"/>
        <v>0</v>
      </c>
      <c r="HS37" s="533">
        <f t="shared" si="185"/>
        <v>0</v>
      </c>
      <c r="HT37" s="531"/>
      <c r="HU37" s="532">
        <f t="shared" si="74"/>
        <v>0</v>
      </c>
      <c r="HV37" s="533">
        <f t="shared" si="186"/>
        <v>0</v>
      </c>
      <c r="HW37" s="531"/>
      <c r="HX37" s="532">
        <f t="shared" si="75"/>
        <v>0</v>
      </c>
      <c r="HY37" s="533">
        <f t="shared" si="187"/>
        <v>0</v>
      </c>
      <c r="HZ37" s="531"/>
      <c r="IA37" s="532">
        <f t="shared" si="76"/>
        <v>0</v>
      </c>
      <c r="IB37" s="533">
        <f t="shared" si="188"/>
        <v>0</v>
      </c>
      <c r="IC37" s="531"/>
      <c r="ID37" s="532">
        <f t="shared" si="77"/>
        <v>0</v>
      </c>
      <c r="IE37" s="533">
        <f t="shared" si="189"/>
        <v>0</v>
      </c>
      <c r="IF37" s="531"/>
      <c r="IG37" s="532">
        <f t="shared" si="78"/>
        <v>0</v>
      </c>
      <c r="IH37" s="533">
        <f t="shared" si="190"/>
        <v>0</v>
      </c>
      <c r="II37" s="531">
        <v>15.301417479723217</v>
      </c>
      <c r="IJ37" s="532">
        <f t="shared" si="79"/>
        <v>0.43603720163351239</v>
      </c>
      <c r="IK37" s="533">
        <f t="shared" si="191"/>
        <v>0</v>
      </c>
      <c r="IL37" s="531"/>
      <c r="IM37" s="532">
        <f t="shared" si="80"/>
        <v>0</v>
      </c>
      <c r="IN37" s="533">
        <f t="shared" si="192"/>
        <v>0</v>
      </c>
      <c r="IO37" s="531"/>
      <c r="IP37" s="532">
        <f t="shared" si="81"/>
        <v>0</v>
      </c>
      <c r="IQ37" s="533">
        <f t="shared" si="193"/>
        <v>0</v>
      </c>
      <c r="IR37" s="531">
        <v>38.25354369930804</v>
      </c>
      <c r="IS37" s="532">
        <f t="shared" si="82"/>
        <v>1.0900930040837808</v>
      </c>
      <c r="IT37" s="533">
        <f t="shared" si="194"/>
        <v>0</v>
      </c>
      <c r="IU37" s="531"/>
      <c r="IV37" s="532">
        <f t="shared" si="83"/>
        <v>0</v>
      </c>
      <c r="IW37" s="533">
        <f t="shared" si="195"/>
        <v>0</v>
      </c>
      <c r="IX37" s="531"/>
      <c r="IY37" s="532">
        <f t="shared" si="84"/>
        <v>0</v>
      </c>
      <c r="IZ37" s="533">
        <f t="shared" si="196"/>
        <v>0</v>
      </c>
      <c r="JA37" s="531"/>
      <c r="JB37" s="532">
        <f t="shared" si="85"/>
        <v>0</v>
      </c>
      <c r="JC37" s="533">
        <f t="shared" si="197"/>
        <v>0</v>
      </c>
      <c r="JD37" s="531">
        <v>64.265953414837512</v>
      </c>
      <c r="JE37" s="532">
        <f t="shared" si="86"/>
        <v>1.831356246860752</v>
      </c>
      <c r="JF37" s="533">
        <f t="shared" si="198"/>
        <v>0</v>
      </c>
      <c r="JG37" s="531"/>
      <c r="JH37" s="532">
        <f t="shared" si="87"/>
        <v>0</v>
      </c>
      <c r="JI37" s="533">
        <f t="shared" si="199"/>
        <v>0</v>
      </c>
      <c r="JJ37" s="531">
        <v>17.214094664688616</v>
      </c>
      <c r="JK37" s="533" t="str">
        <f t="shared" si="88"/>
        <v>0</v>
      </c>
      <c r="JL37" s="533" t="str">
        <f t="shared" si="89"/>
        <v>0</v>
      </c>
      <c r="JM37" s="531"/>
      <c r="JN37" s="533" t="str">
        <f t="shared" si="90"/>
        <v>0</v>
      </c>
      <c r="JO37" s="533" t="str">
        <f t="shared" si="91"/>
        <v>0</v>
      </c>
      <c r="JP37" s="531"/>
      <c r="JQ37" s="533" t="str">
        <f t="shared" si="92"/>
        <v>0</v>
      </c>
      <c r="JR37" s="533" t="str">
        <f t="shared" si="93"/>
        <v>0</v>
      </c>
      <c r="JS37" s="531"/>
      <c r="JT37" s="533" t="str">
        <f t="shared" si="94"/>
        <v>0</v>
      </c>
      <c r="JU37" s="533" t="str">
        <f t="shared" si="95"/>
        <v>0</v>
      </c>
      <c r="JV37" s="531"/>
      <c r="JW37" s="533" t="str">
        <f t="shared" si="96"/>
        <v>0</v>
      </c>
      <c r="JX37" s="533" t="str">
        <f t="shared" si="97"/>
        <v>0</v>
      </c>
      <c r="JY37" s="531"/>
      <c r="JZ37" s="533" t="str">
        <f t="shared" si="98"/>
        <v>0</v>
      </c>
      <c r="KA37" s="533" t="str">
        <f t="shared" si="99"/>
        <v>0</v>
      </c>
      <c r="KB37" s="531"/>
      <c r="KC37" s="533" t="str">
        <f t="shared" si="100"/>
        <v>0</v>
      </c>
      <c r="KD37" s="533" t="str">
        <f t="shared" si="101"/>
        <v>0</v>
      </c>
      <c r="KE37" s="531"/>
      <c r="KF37" s="533" t="str">
        <f t="shared" si="102"/>
        <v>0</v>
      </c>
      <c r="KG37" s="533" t="str">
        <f t="shared" si="103"/>
        <v>0</v>
      </c>
      <c r="KH37" s="531"/>
      <c r="KI37" s="533" t="str">
        <f t="shared" si="104"/>
        <v>0</v>
      </c>
      <c r="KJ37" s="533" t="str">
        <f t="shared" si="105"/>
        <v>0</v>
      </c>
      <c r="KK37" s="531"/>
      <c r="KL37" s="533" t="str">
        <f t="shared" si="106"/>
        <v>0</v>
      </c>
      <c r="KM37" s="533" t="str">
        <f t="shared" si="107"/>
        <v>0</v>
      </c>
      <c r="KN37" s="531"/>
      <c r="KO37" s="533" t="str">
        <f t="shared" si="108"/>
        <v>0</v>
      </c>
      <c r="KP37" s="533" t="str">
        <f t="shared" si="109"/>
        <v>0</v>
      </c>
      <c r="KQ37" s="531"/>
      <c r="KR37" s="533" t="str">
        <f t="shared" si="110"/>
        <v>0</v>
      </c>
      <c r="KS37" s="533" t="str">
        <f t="shared" si="111"/>
        <v>0</v>
      </c>
      <c r="KT37" s="533">
        <f t="shared" si="201"/>
        <v>0</v>
      </c>
      <c r="KU37" s="533">
        <f t="shared" si="202"/>
        <v>0</v>
      </c>
      <c r="KV37" s="271">
        <f t="shared" si="241"/>
        <v>1312.8229336622394</v>
      </c>
    </row>
    <row r="38" spans="1:16384" ht="15" customHeight="1">
      <c r="A38" s="273">
        <f t="shared" si="200"/>
        <v>46052</v>
      </c>
      <c r="B38" s="274" t="str">
        <f>+Report1!B38</f>
        <v>Toilet</v>
      </c>
      <c r="C38" s="274" t="str">
        <f>+Report1!C38</f>
        <v>14/15</v>
      </c>
      <c r="D38" s="275">
        <f>+Report1!P38</f>
        <v>47.183</v>
      </c>
      <c r="E38" s="276">
        <f>+Report1!R38</f>
        <v>45.441000000000003</v>
      </c>
      <c r="F38" s="531"/>
      <c r="G38" s="532">
        <f t="shared" si="0"/>
        <v>0</v>
      </c>
      <c r="H38" s="533">
        <f t="shared" si="113"/>
        <v>0</v>
      </c>
      <c r="I38" s="531"/>
      <c r="J38" s="532">
        <f t="shared" si="1"/>
        <v>0</v>
      </c>
      <c r="K38" s="533">
        <f t="shared" si="114"/>
        <v>0</v>
      </c>
      <c r="L38" s="531"/>
      <c r="M38" s="532">
        <f t="shared" si="2"/>
        <v>0</v>
      </c>
      <c r="N38" s="533">
        <f t="shared" si="115"/>
        <v>0</v>
      </c>
      <c r="O38" s="531">
        <v>9</v>
      </c>
      <c r="P38" s="532">
        <f t="shared" si="3"/>
        <v>0.19805902158843333</v>
      </c>
      <c r="Q38" s="533">
        <f t="shared" si="116"/>
        <v>0</v>
      </c>
      <c r="R38" s="531"/>
      <c r="S38" s="532">
        <f t="shared" si="4"/>
        <v>0</v>
      </c>
      <c r="T38" s="533">
        <f t="shared" si="117"/>
        <v>0</v>
      </c>
      <c r="U38" s="531">
        <v>7.6875</v>
      </c>
      <c r="V38" s="532">
        <f t="shared" si="5"/>
        <v>0.16917541427345348</v>
      </c>
      <c r="W38" s="533">
        <f t="shared" si="118"/>
        <v>0</v>
      </c>
      <c r="X38" s="531"/>
      <c r="Y38" s="532">
        <f t="shared" si="6"/>
        <v>0</v>
      </c>
      <c r="Z38" s="533">
        <f t="shared" si="119"/>
        <v>0</v>
      </c>
      <c r="AA38" s="531">
        <v>4.6874999999999858</v>
      </c>
      <c r="AB38" s="532">
        <f t="shared" si="7"/>
        <v>0.10315574041064206</v>
      </c>
      <c r="AC38" s="533">
        <f t="shared" si="120"/>
        <v>0</v>
      </c>
      <c r="AD38" s="531"/>
      <c r="AE38" s="532">
        <f t="shared" si="8"/>
        <v>0</v>
      </c>
      <c r="AF38" s="533">
        <f t="shared" si="121"/>
        <v>0</v>
      </c>
      <c r="AG38" s="531"/>
      <c r="AH38" s="532">
        <f t="shared" si="9"/>
        <v>0</v>
      </c>
      <c r="AI38" s="533">
        <f t="shared" si="122"/>
        <v>0</v>
      </c>
      <c r="AJ38" s="531">
        <v>20.5625</v>
      </c>
      <c r="AK38" s="532">
        <f t="shared" si="10"/>
        <v>0.45250984793468452</v>
      </c>
      <c r="AL38" s="533">
        <f t="shared" si="123"/>
        <v>0</v>
      </c>
      <c r="AM38" s="531"/>
      <c r="AN38" s="532">
        <f t="shared" si="11"/>
        <v>0</v>
      </c>
      <c r="AO38" s="533">
        <f t="shared" si="124"/>
        <v>0</v>
      </c>
      <c r="AP38" s="531"/>
      <c r="AQ38" s="532">
        <f t="shared" si="12"/>
        <v>0</v>
      </c>
      <c r="AR38" s="533">
        <f t="shared" si="125"/>
        <v>0</v>
      </c>
      <c r="AS38" s="531"/>
      <c r="AT38" s="532">
        <f t="shared" si="13"/>
        <v>0</v>
      </c>
      <c r="AU38" s="533">
        <f t="shared" si="126"/>
        <v>0</v>
      </c>
      <c r="AV38" s="531"/>
      <c r="AW38" s="532">
        <f t="shared" si="14"/>
        <v>0</v>
      </c>
      <c r="AX38" s="533">
        <f t="shared" si="127"/>
        <v>0</v>
      </c>
      <c r="AY38" s="531"/>
      <c r="AZ38" s="532">
        <f t="shared" si="15"/>
        <v>0</v>
      </c>
      <c r="BA38" s="533">
        <f t="shared" si="128"/>
        <v>0</v>
      </c>
      <c r="BB38" s="531"/>
      <c r="BC38" s="532">
        <f t="shared" si="16"/>
        <v>0</v>
      </c>
      <c r="BD38" s="533">
        <f t="shared" si="129"/>
        <v>0</v>
      </c>
      <c r="BE38" s="531"/>
      <c r="BF38" s="532">
        <f t="shared" si="17"/>
        <v>0</v>
      </c>
      <c r="BG38" s="533">
        <f t="shared" si="130"/>
        <v>0</v>
      </c>
      <c r="BH38" s="531"/>
      <c r="BI38" s="532">
        <f t="shared" si="18"/>
        <v>0</v>
      </c>
      <c r="BJ38" s="533">
        <f t="shared" si="131"/>
        <v>0</v>
      </c>
      <c r="BK38" s="531"/>
      <c r="BL38" s="532">
        <f t="shared" si="19"/>
        <v>0</v>
      </c>
      <c r="BM38" s="533">
        <f t="shared" si="132"/>
        <v>0</v>
      </c>
      <c r="BN38" s="531"/>
      <c r="BO38" s="532">
        <f t="shared" si="20"/>
        <v>0</v>
      </c>
      <c r="BP38" s="533">
        <f t="shared" si="133"/>
        <v>0</v>
      </c>
      <c r="BQ38" s="531"/>
      <c r="BR38" s="532">
        <f t="shared" si="21"/>
        <v>0</v>
      </c>
      <c r="BS38" s="533">
        <f t="shared" si="134"/>
        <v>0</v>
      </c>
      <c r="BT38" s="531"/>
      <c r="BU38" s="532">
        <f t="shared" si="22"/>
        <v>0</v>
      </c>
      <c r="BV38" s="533">
        <f t="shared" si="135"/>
        <v>0</v>
      </c>
      <c r="BW38" s="531"/>
      <c r="BX38" s="532">
        <f t="shared" si="23"/>
        <v>0</v>
      </c>
      <c r="BY38" s="533">
        <f t="shared" si="136"/>
        <v>0</v>
      </c>
      <c r="BZ38" s="531"/>
      <c r="CA38" s="532">
        <f t="shared" si="24"/>
        <v>0</v>
      </c>
      <c r="CB38" s="533">
        <f t="shared" si="137"/>
        <v>0</v>
      </c>
      <c r="CC38" s="531"/>
      <c r="CD38" s="532">
        <f t="shared" si="25"/>
        <v>0</v>
      </c>
      <c r="CE38" s="533">
        <f t="shared" si="138"/>
        <v>0</v>
      </c>
      <c r="CF38" s="531">
        <v>5</v>
      </c>
      <c r="CG38" s="532">
        <f t="shared" si="26"/>
        <v>0.11003278977135186</v>
      </c>
      <c r="CH38" s="533">
        <f t="shared" si="139"/>
        <v>0</v>
      </c>
      <c r="CI38" s="531"/>
      <c r="CJ38" s="532">
        <f t="shared" si="27"/>
        <v>0</v>
      </c>
      <c r="CK38" s="533">
        <f t="shared" si="140"/>
        <v>0</v>
      </c>
      <c r="CL38" s="531"/>
      <c r="CM38" s="532">
        <f t="shared" si="28"/>
        <v>0</v>
      </c>
      <c r="CN38" s="533">
        <f t="shared" si="141"/>
        <v>0</v>
      </c>
      <c r="CO38" s="531"/>
      <c r="CP38" s="532">
        <f t="shared" si="29"/>
        <v>0</v>
      </c>
      <c r="CQ38" s="533">
        <f t="shared" si="142"/>
        <v>0</v>
      </c>
      <c r="CR38" s="531"/>
      <c r="CS38" s="532">
        <f t="shared" si="30"/>
        <v>0</v>
      </c>
      <c r="CT38" s="533">
        <f t="shared" si="143"/>
        <v>0</v>
      </c>
      <c r="CU38" s="531"/>
      <c r="CV38" s="532">
        <f t="shared" si="31"/>
        <v>0</v>
      </c>
      <c r="CW38" s="533">
        <f t="shared" si="144"/>
        <v>0</v>
      </c>
      <c r="CX38" s="531"/>
      <c r="CY38" s="532">
        <f t="shared" si="32"/>
        <v>0</v>
      </c>
      <c r="CZ38" s="533">
        <f t="shared" si="145"/>
        <v>0</v>
      </c>
      <c r="DA38" s="531">
        <v>101.74418604651169</v>
      </c>
      <c r="DB38" s="532">
        <f t="shared" si="33"/>
        <v>2.2390393267426263</v>
      </c>
      <c r="DC38" s="533">
        <f t="shared" si="146"/>
        <v>0</v>
      </c>
      <c r="DD38" s="531"/>
      <c r="DE38" s="532">
        <f t="shared" si="34"/>
        <v>0</v>
      </c>
      <c r="DF38" s="533">
        <f t="shared" si="147"/>
        <v>0</v>
      </c>
      <c r="DG38" s="531"/>
      <c r="DH38" s="532">
        <f t="shared" si="35"/>
        <v>0</v>
      </c>
      <c r="DI38" s="533">
        <f t="shared" si="203"/>
        <v>0</v>
      </c>
      <c r="DJ38" s="531"/>
      <c r="DK38" s="532">
        <f t="shared" si="36"/>
        <v>0</v>
      </c>
      <c r="DL38" s="533">
        <f t="shared" si="148"/>
        <v>0</v>
      </c>
      <c r="DM38" s="531"/>
      <c r="DN38" s="532">
        <f t="shared" si="37"/>
        <v>0</v>
      </c>
      <c r="DO38" s="533">
        <f t="shared" si="149"/>
        <v>0</v>
      </c>
      <c r="DP38" s="531"/>
      <c r="DQ38" s="532">
        <f t="shared" si="38"/>
        <v>0</v>
      </c>
      <c r="DR38" s="533">
        <f t="shared" si="150"/>
        <v>0</v>
      </c>
      <c r="DS38" s="531"/>
      <c r="DT38" s="532">
        <f t="shared" si="39"/>
        <v>0</v>
      </c>
      <c r="DU38" s="533">
        <f t="shared" si="151"/>
        <v>0</v>
      </c>
      <c r="DV38" s="531"/>
      <c r="DW38" s="532">
        <f t="shared" si="40"/>
        <v>0</v>
      </c>
      <c r="DX38" s="533">
        <f t="shared" si="152"/>
        <v>0</v>
      </c>
      <c r="DY38" s="531"/>
      <c r="DZ38" s="532">
        <f t="shared" si="41"/>
        <v>0</v>
      </c>
      <c r="EA38" s="533">
        <f t="shared" si="153"/>
        <v>0</v>
      </c>
      <c r="EB38" s="531"/>
      <c r="EC38" s="532">
        <f t="shared" si="42"/>
        <v>0</v>
      </c>
      <c r="ED38" s="533">
        <f t="shared" si="154"/>
        <v>0</v>
      </c>
      <c r="EE38" s="531">
        <v>140.89411764705892</v>
      </c>
      <c r="EF38" s="532">
        <f t="shared" si="43"/>
        <v>3.1005945654157898</v>
      </c>
      <c r="EG38" s="533">
        <f t="shared" si="155"/>
        <v>0</v>
      </c>
      <c r="EH38" s="531">
        <v>0.5</v>
      </c>
      <c r="EI38" s="532">
        <f t="shared" si="44"/>
        <v>1.1003278977135185E-2</v>
      </c>
      <c r="EJ38" s="533">
        <f t="shared" si="156"/>
        <v>0</v>
      </c>
      <c r="EK38" s="531">
        <v>24.390243902439067</v>
      </c>
      <c r="EL38" s="532">
        <f t="shared" si="45"/>
        <v>0.53674531595781483</v>
      </c>
      <c r="EM38" s="533">
        <f t="shared" si="157"/>
        <v>0</v>
      </c>
      <c r="EN38" s="531"/>
      <c r="EO38" s="532">
        <f t="shared" si="46"/>
        <v>0</v>
      </c>
      <c r="EP38" s="533">
        <f t="shared" si="158"/>
        <v>0</v>
      </c>
      <c r="EQ38" s="531">
        <v>29.651162790697754</v>
      </c>
      <c r="ER38" s="532">
        <f t="shared" si="47"/>
        <v>0.65252003236499534</v>
      </c>
      <c r="ES38" s="533">
        <f t="shared" si="159"/>
        <v>0</v>
      </c>
      <c r="ET38" s="531">
        <v>21.80232558139528</v>
      </c>
      <c r="EU38" s="532">
        <f t="shared" si="48"/>
        <v>0.47979414144484672</v>
      </c>
      <c r="EV38" s="533">
        <f t="shared" si="160"/>
        <v>0</v>
      </c>
      <c r="EW38" s="531"/>
      <c r="EX38" s="532">
        <f t="shared" si="49"/>
        <v>0</v>
      </c>
      <c r="EY38" s="533">
        <f t="shared" si="161"/>
        <v>0</v>
      </c>
      <c r="EZ38" s="531"/>
      <c r="FA38" s="532">
        <f t="shared" si="50"/>
        <v>0</v>
      </c>
      <c r="FB38" s="533">
        <f t="shared" si="162"/>
        <v>0</v>
      </c>
      <c r="FC38" s="531"/>
      <c r="FD38" s="532">
        <f t="shared" si="51"/>
        <v>0</v>
      </c>
      <c r="FE38" s="533">
        <f t="shared" si="163"/>
        <v>0</v>
      </c>
      <c r="FF38" s="531"/>
      <c r="FG38" s="532">
        <f t="shared" si="52"/>
        <v>0</v>
      </c>
      <c r="FH38" s="533">
        <f t="shared" si="164"/>
        <v>0</v>
      </c>
      <c r="FI38" s="531"/>
      <c r="FJ38" s="532">
        <f t="shared" si="53"/>
        <v>0</v>
      </c>
      <c r="FK38" s="533">
        <f t="shared" si="165"/>
        <v>0</v>
      </c>
      <c r="FL38" s="531"/>
      <c r="FM38" s="532">
        <f t="shared" si="54"/>
        <v>0</v>
      </c>
      <c r="FN38" s="533">
        <f t="shared" si="166"/>
        <v>0</v>
      </c>
      <c r="FO38" s="531"/>
      <c r="FP38" s="532">
        <f t="shared" si="55"/>
        <v>0</v>
      </c>
      <c r="FQ38" s="533">
        <f t="shared" si="167"/>
        <v>0</v>
      </c>
      <c r="FR38" s="531"/>
      <c r="FS38" s="532">
        <f t="shared" si="56"/>
        <v>0</v>
      </c>
      <c r="FT38" s="533">
        <f t="shared" si="168"/>
        <v>0</v>
      </c>
      <c r="FU38" s="531"/>
      <c r="FV38" s="532">
        <f t="shared" si="57"/>
        <v>0</v>
      </c>
      <c r="FW38" s="533">
        <f t="shared" si="169"/>
        <v>0</v>
      </c>
      <c r="FX38" s="531"/>
      <c r="FY38" s="532">
        <f t="shared" si="58"/>
        <v>0</v>
      </c>
      <c r="FZ38" s="533">
        <f t="shared" si="170"/>
        <v>0</v>
      </c>
      <c r="GA38" s="531"/>
      <c r="GB38" s="532">
        <f t="shared" si="59"/>
        <v>0</v>
      </c>
      <c r="GC38" s="533">
        <f t="shared" si="171"/>
        <v>0</v>
      </c>
      <c r="GD38" s="531"/>
      <c r="GE38" s="532">
        <f t="shared" si="60"/>
        <v>0</v>
      </c>
      <c r="GF38" s="533">
        <f t="shared" si="172"/>
        <v>0</v>
      </c>
      <c r="GG38" s="531">
        <v>16.683892020771452</v>
      </c>
      <c r="GH38" s="532">
        <f t="shared" si="61"/>
        <v>0.36715503665789601</v>
      </c>
      <c r="GI38" s="533">
        <f t="shared" si="173"/>
        <v>0</v>
      </c>
      <c r="GJ38" s="531">
        <v>16.683892020771452</v>
      </c>
      <c r="GK38" s="532">
        <f t="shared" si="253"/>
        <v>0.36715503665789601</v>
      </c>
      <c r="GL38" s="533">
        <f t="shared" si="254"/>
        <v>0</v>
      </c>
      <c r="GM38" s="531">
        <v>4.7668262916489867</v>
      </c>
      <c r="GN38" s="532">
        <f t="shared" si="255"/>
        <v>0.10490143904511315</v>
      </c>
      <c r="GO38" s="533">
        <f t="shared" si="256"/>
        <v>0</v>
      </c>
      <c r="GP38" s="531">
        <v>28.600957749893922</v>
      </c>
      <c r="GQ38" s="532">
        <f t="shared" si="257"/>
        <v>0.62940863427067895</v>
      </c>
      <c r="GR38" s="533">
        <f t="shared" si="258"/>
        <v>0</v>
      </c>
      <c r="GS38" s="531">
        <v>143.00478874946961</v>
      </c>
      <c r="GT38" s="532">
        <f t="shared" si="259"/>
        <v>3.1470431713533946</v>
      </c>
      <c r="GU38" s="533">
        <f t="shared" si="260"/>
        <v>0</v>
      </c>
      <c r="GV38" s="531">
        <v>28.600957749893922</v>
      </c>
      <c r="GW38" s="532">
        <f t="shared" si="261"/>
        <v>0.62940863427067895</v>
      </c>
      <c r="GX38" s="533">
        <f t="shared" si="262"/>
        <v>0</v>
      </c>
      <c r="GY38" s="531"/>
      <c r="GZ38" s="532">
        <f t="shared" si="67"/>
        <v>0</v>
      </c>
      <c r="HA38" s="533">
        <f t="shared" si="179"/>
        <v>0</v>
      </c>
      <c r="HB38" s="531"/>
      <c r="HC38" s="532">
        <f t="shared" si="68"/>
        <v>0</v>
      </c>
      <c r="HD38" s="533">
        <f t="shared" si="180"/>
        <v>0</v>
      </c>
      <c r="HE38" s="531"/>
      <c r="HF38" s="532">
        <f t="shared" si="69"/>
        <v>0</v>
      </c>
      <c r="HG38" s="533">
        <f t="shared" si="181"/>
        <v>0</v>
      </c>
      <c r="HH38" s="531"/>
      <c r="HI38" s="532">
        <f t="shared" si="70"/>
        <v>0</v>
      </c>
      <c r="HJ38" s="533">
        <f t="shared" si="182"/>
        <v>0</v>
      </c>
      <c r="HK38" s="531"/>
      <c r="HL38" s="532">
        <f t="shared" si="71"/>
        <v>0</v>
      </c>
      <c r="HM38" s="533">
        <f t="shared" si="183"/>
        <v>0</v>
      </c>
      <c r="HN38" s="531">
        <v>717.88403952233739</v>
      </c>
      <c r="HO38" s="532">
        <f t="shared" si="72"/>
        <v>15.79815672019404</v>
      </c>
      <c r="HP38" s="533">
        <f t="shared" si="184"/>
        <v>0</v>
      </c>
      <c r="HQ38" s="531"/>
      <c r="HR38" s="532">
        <f t="shared" si="73"/>
        <v>0</v>
      </c>
      <c r="HS38" s="533">
        <f t="shared" si="185"/>
        <v>0</v>
      </c>
      <c r="HT38" s="531"/>
      <c r="HU38" s="532">
        <f t="shared" si="74"/>
        <v>0</v>
      </c>
      <c r="HV38" s="533">
        <f t="shared" si="186"/>
        <v>0</v>
      </c>
      <c r="HW38" s="531"/>
      <c r="HX38" s="532">
        <f t="shared" si="75"/>
        <v>0</v>
      </c>
      <c r="HY38" s="533">
        <f t="shared" si="187"/>
        <v>0</v>
      </c>
      <c r="HZ38" s="531"/>
      <c r="IA38" s="532">
        <f t="shared" si="76"/>
        <v>0</v>
      </c>
      <c r="IB38" s="533">
        <f t="shared" si="188"/>
        <v>0</v>
      </c>
      <c r="IC38" s="531"/>
      <c r="ID38" s="532">
        <f t="shared" si="77"/>
        <v>0</v>
      </c>
      <c r="IE38" s="533">
        <f t="shared" si="189"/>
        <v>0</v>
      </c>
      <c r="IF38" s="531"/>
      <c r="IG38" s="532">
        <f t="shared" si="78"/>
        <v>0</v>
      </c>
      <c r="IH38" s="533">
        <f t="shared" si="190"/>
        <v>0</v>
      </c>
      <c r="II38" s="531">
        <v>19.067305166595947</v>
      </c>
      <c r="IJ38" s="532">
        <f t="shared" si="79"/>
        <v>0.41960575618045259</v>
      </c>
      <c r="IK38" s="533">
        <f t="shared" si="191"/>
        <v>0</v>
      </c>
      <c r="IL38" s="531"/>
      <c r="IM38" s="532">
        <f t="shared" si="80"/>
        <v>0</v>
      </c>
      <c r="IN38" s="533">
        <f t="shared" si="192"/>
        <v>0</v>
      </c>
      <c r="IO38" s="531"/>
      <c r="IP38" s="532">
        <f t="shared" si="81"/>
        <v>0</v>
      </c>
      <c r="IQ38" s="533">
        <f t="shared" si="193"/>
        <v>0</v>
      </c>
      <c r="IR38" s="531">
        <v>47.668262916489866</v>
      </c>
      <c r="IS38" s="532">
        <f t="shared" si="82"/>
        <v>1.0490143904511313</v>
      </c>
      <c r="IT38" s="533">
        <f t="shared" si="194"/>
        <v>0</v>
      </c>
      <c r="IU38" s="531"/>
      <c r="IV38" s="532">
        <f t="shared" si="83"/>
        <v>0</v>
      </c>
      <c r="IW38" s="533">
        <f t="shared" si="195"/>
        <v>0</v>
      </c>
      <c r="IX38" s="531"/>
      <c r="IY38" s="532">
        <f t="shared" si="84"/>
        <v>0</v>
      </c>
      <c r="IZ38" s="533">
        <f t="shared" si="196"/>
        <v>0</v>
      </c>
      <c r="JA38" s="531"/>
      <c r="JB38" s="532">
        <f t="shared" si="85"/>
        <v>0</v>
      </c>
      <c r="JC38" s="533">
        <f t="shared" si="197"/>
        <v>0</v>
      </c>
      <c r="JD38" s="531">
        <v>91.523064799660546</v>
      </c>
      <c r="JE38" s="532">
        <f t="shared" si="86"/>
        <v>2.0141076296661726</v>
      </c>
      <c r="JF38" s="533">
        <f t="shared" si="198"/>
        <v>0</v>
      </c>
      <c r="JG38" s="531"/>
      <c r="JH38" s="532">
        <f t="shared" si="87"/>
        <v>0</v>
      </c>
      <c r="JI38" s="533">
        <f t="shared" si="199"/>
        <v>0</v>
      </c>
      <c r="JJ38" s="531">
        <v>19.067305166595947</v>
      </c>
      <c r="JK38" s="533" t="str">
        <f t="shared" si="88"/>
        <v>0</v>
      </c>
      <c r="JL38" s="533" t="str">
        <f t="shared" si="89"/>
        <v>0</v>
      </c>
      <c r="JM38" s="531"/>
      <c r="JN38" s="533" t="str">
        <f t="shared" si="90"/>
        <v>0</v>
      </c>
      <c r="JO38" s="533" t="str">
        <f t="shared" si="91"/>
        <v>0</v>
      </c>
      <c r="JP38" s="531"/>
      <c r="JQ38" s="533" t="str">
        <f t="shared" si="92"/>
        <v>0</v>
      </c>
      <c r="JR38" s="533" t="str">
        <f t="shared" si="93"/>
        <v>0</v>
      </c>
      <c r="JS38" s="531"/>
      <c r="JT38" s="533" t="str">
        <f t="shared" si="94"/>
        <v>0</v>
      </c>
      <c r="JU38" s="533" t="str">
        <f t="shared" si="95"/>
        <v>0</v>
      </c>
      <c r="JV38" s="531"/>
      <c r="JW38" s="533" t="str">
        <f t="shared" si="96"/>
        <v>0</v>
      </c>
      <c r="JX38" s="533" t="str">
        <f t="shared" si="97"/>
        <v>0</v>
      </c>
      <c r="JY38" s="531"/>
      <c r="JZ38" s="533" t="str">
        <f t="shared" si="98"/>
        <v>0</v>
      </c>
      <c r="KA38" s="533" t="str">
        <f t="shared" si="99"/>
        <v>0</v>
      </c>
      <c r="KB38" s="531"/>
      <c r="KC38" s="533" t="str">
        <f t="shared" si="100"/>
        <v>0</v>
      </c>
      <c r="KD38" s="533" t="str">
        <f t="shared" si="101"/>
        <v>0</v>
      </c>
      <c r="KE38" s="531"/>
      <c r="KF38" s="533" t="str">
        <f t="shared" si="102"/>
        <v>0</v>
      </c>
      <c r="KG38" s="533" t="str">
        <f t="shared" si="103"/>
        <v>0</v>
      </c>
      <c r="KH38" s="531"/>
      <c r="KI38" s="533" t="str">
        <f t="shared" si="104"/>
        <v>0</v>
      </c>
      <c r="KJ38" s="533" t="str">
        <f t="shared" si="105"/>
        <v>0</v>
      </c>
      <c r="KK38" s="531"/>
      <c r="KL38" s="533" t="str">
        <f t="shared" si="106"/>
        <v>0</v>
      </c>
      <c r="KM38" s="533" t="str">
        <f t="shared" si="107"/>
        <v>0</v>
      </c>
      <c r="KN38" s="531"/>
      <c r="KO38" s="533" t="str">
        <f t="shared" si="108"/>
        <v>0</v>
      </c>
      <c r="KP38" s="533" t="str">
        <f t="shared" si="109"/>
        <v>0</v>
      </c>
      <c r="KQ38" s="531"/>
      <c r="KR38" s="533" t="str">
        <f t="shared" si="110"/>
        <v>0</v>
      </c>
      <c r="KS38" s="533" t="str">
        <f t="shared" si="111"/>
        <v>0</v>
      </c>
      <c r="KT38" s="533">
        <f t="shared" si="201"/>
        <v>0</v>
      </c>
      <c r="KU38" s="533">
        <f t="shared" si="202"/>
        <v>0</v>
      </c>
      <c r="KV38" s="271">
        <f t="shared" si="241"/>
        <v>1407.9477633225715</v>
      </c>
    </row>
    <row r="39" spans="1:16384" ht="15" customHeight="1">
      <c r="A39" s="273">
        <f t="shared" si="200"/>
        <v>46053</v>
      </c>
      <c r="B39" s="274" t="str">
        <f>+Report1!B39</f>
        <v>Toilet</v>
      </c>
      <c r="C39" s="274" t="str">
        <f>+Report1!C39</f>
        <v>15</v>
      </c>
      <c r="D39" s="275">
        <f>+Report1!P39</f>
        <v>0</v>
      </c>
      <c r="E39" s="276">
        <f>+Report1!R39</f>
        <v>2.919</v>
      </c>
      <c r="F39" s="531"/>
      <c r="G39" s="532">
        <f t="shared" si="0"/>
        <v>0</v>
      </c>
      <c r="H39" s="533">
        <f t="shared" si="113"/>
        <v>0</v>
      </c>
      <c r="I39" s="531"/>
      <c r="J39" s="532">
        <f t="shared" si="1"/>
        <v>0</v>
      </c>
      <c r="K39" s="533">
        <f t="shared" si="114"/>
        <v>0</v>
      </c>
      <c r="L39" s="531"/>
      <c r="M39" s="532">
        <f t="shared" si="2"/>
        <v>0</v>
      </c>
      <c r="N39" s="533">
        <f t="shared" si="115"/>
        <v>0</v>
      </c>
      <c r="O39" s="531"/>
      <c r="P39" s="532">
        <f t="shared" si="3"/>
        <v>0</v>
      </c>
      <c r="Q39" s="533">
        <f t="shared" si="116"/>
        <v>0</v>
      </c>
      <c r="R39" s="531"/>
      <c r="S39" s="532">
        <f t="shared" si="4"/>
        <v>0</v>
      </c>
      <c r="T39" s="533">
        <f t="shared" si="117"/>
        <v>0</v>
      </c>
      <c r="U39" s="531"/>
      <c r="V39" s="532">
        <f t="shared" si="5"/>
        <v>0</v>
      </c>
      <c r="W39" s="533">
        <f t="shared" si="118"/>
        <v>0</v>
      </c>
      <c r="X39" s="531"/>
      <c r="Y39" s="532">
        <f t="shared" si="6"/>
        <v>0</v>
      </c>
      <c r="Z39" s="533">
        <f t="shared" si="119"/>
        <v>0</v>
      </c>
      <c r="AA39" s="531"/>
      <c r="AB39" s="532">
        <f t="shared" si="7"/>
        <v>0</v>
      </c>
      <c r="AC39" s="533">
        <f t="shared" si="120"/>
        <v>0</v>
      </c>
      <c r="AD39" s="531"/>
      <c r="AE39" s="532">
        <f t="shared" si="8"/>
        <v>0</v>
      </c>
      <c r="AF39" s="533">
        <f t="shared" si="121"/>
        <v>0</v>
      </c>
      <c r="AG39" s="531"/>
      <c r="AH39" s="532">
        <f t="shared" si="9"/>
        <v>0</v>
      </c>
      <c r="AI39" s="533">
        <f t="shared" si="122"/>
        <v>0</v>
      </c>
      <c r="AJ39" s="531"/>
      <c r="AK39" s="532">
        <f t="shared" si="10"/>
        <v>0</v>
      </c>
      <c r="AL39" s="533">
        <f t="shared" si="123"/>
        <v>0</v>
      </c>
      <c r="AM39" s="531"/>
      <c r="AN39" s="532">
        <f t="shared" si="11"/>
        <v>0</v>
      </c>
      <c r="AO39" s="533">
        <f t="shared" si="124"/>
        <v>0</v>
      </c>
      <c r="AP39" s="531"/>
      <c r="AQ39" s="532">
        <f t="shared" si="12"/>
        <v>0</v>
      </c>
      <c r="AR39" s="533">
        <f t="shared" si="125"/>
        <v>0</v>
      </c>
      <c r="AS39" s="531"/>
      <c r="AT39" s="532">
        <f t="shared" si="13"/>
        <v>0</v>
      </c>
      <c r="AU39" s="533">
        <f t="shared" si="126"/>
        <v>0</v>
      </c>
      <c r="AV39" s="531"/>
      <c r="AW39" s="532">
        <f t="shared" si="14"/>
        <v>0</v>
      </c>
      <c r="AX39" s="533">
        <f t="shared" si="127"/>
        <v>0</v>
      </c>
      <c r="AY39" s="531"/>
      <c r="AZ39" s="532">
        <f t="shared" si="15"/>
        <v>0</v>
      </c>
      <c r="BA39" s="533">
        <f t="shared" si="128"/>
        <v>0</v>
      </c>
      <c r="BB39" s="531"/>
      <c r="BC39" s="532">
        <f t="shared" si="16"/>
        <v>0</v>
      </c>
      <c r="BD39" s="533">
        <f t="shared" si="129"/>
        <v>0</v>
      </c>
      <c r="BE39" s="531"/>
      <c r="BF39" s="532">
        <f t="shared" si="17"/>
        <v>0</v>
      </c>
      <c r="BG39" s="533">
        <f t="shared" si="130"/>
        <v>0</v>
      </c>
      <c r="BH39" s="531"/>
      <c r="BI39" s="532">
        <f t="shared" si="18"/>
        <v>0</v>
      </c>
      <c r="BJ39" s="533">
        <f t="shared" si="131"/>
        <v>0</v>
      </c>
      <c r="BK39" s="531"/>
      <c r="BL39" s="532">
        <f t="shared" si="19"/>
        <v>0</v>
      </c>
      <c r="BM39" s="533">
        <f t="shared" si="132"/>
        <v>0</v>
      </c>
      <c r="BN39" s="531"/>
      <c r="BO39" s="532">
        <f t="shared" si="20"/>
        <v>0</v>
      </c>
      <c r="BP39" s="533">
        <f t="shared" si="133"/>
        <v>0</v>
      </c>
      <c r="BQ39" s="531"/>
      <c r="BR39" s="532">
        <f t="shared" si="21"/>
        <v>0</v>
      </c>
      <c r="BS39" s="533">
        <f t="shared" si="134"/>
        <v>0</v>
      </c>
      <c r="BT39" s="531"/>
      <c r="BU39" s="532">
        <f t="shared" si="22"/>
        <v>0</v>
      </c>
      <c r="BV39" s="533">
        <f t="shared" si="135"/>
        <v>0</v>
      </c>
      <c r="BW39" s="531"/>
      <c r="BX39" s="532">
        <f t="shared" si="23"/>
        <v>0</v>
      </c>
      <c r="BY39" s="533">
        <f t="shared" si="136"/>
        <v>0</v>
      </c>
      <c r="BZ39" s="531"/>
      <c r="CA39" s="532">
        <f t="shared" si="24"/>
        <v>0</v>
      </c>
      <c r="CB39" s="533">
        <f t="shared" si="137"/>
        <v>0</v>
      </c>
      <c r="CC39" s="531"/>
      <c r="CD39" s="532">
        <f t="shared" si="25"/>
        <v>0</v>
      </c>
      <c r="CE39" s="533">
        <f t="shared" si="138"/>
        <v>0</v>
      </c>
      <c r="CF39" s="531"/>
      <c r="CG39" s="532">
        <f t="shared" si="26"/>
        <v>0</v>
      </c>
      <c r="CH39" s="533">
        <f t="shared" si="139"/>
        <v>0</v>
      </c>
      <c r="CI39" s="531"/>
      <c r="CJ39" s="532">
        <f t="shared" si="27"/>
        <v>0</v>
      </c>
      <c r="CK39" s="533">
        <f t="shared" si="140"/>
        <v>0</v>
      </c>
      <c r="CL39" s="531"/>
      <c r="CM39" s="532">
        <f t="shared" si="28"/>
        <v>0</v>
      </c>
      <c r="CN39" s="533">
        <f t="shared" si="141"/>
        <v>0</v>
      </c>
      <c r="CO39" s="531"/>
      <c r="CP39" s="532">
        <f t="shared" si="29"/>
        <v>0</v>
      </c>
      <c r="CQ39" s="533">
        <f t="shared" si="142"/>
        <v>0</v>
      </c>
      <c r="CR39" s="531"/>
      <c r="CS39" s="532">
        <f t="shared" si="30"/>
        <v>0</v>
      </c>
      <c r="CT39" s="533">
        <f t="shared" si="143"/>
        <v>0</v>
      </c>
      <c r="CU39" s="531"/>
      <c r="CV39" s="532">
        <f t="shared" si="31"/>
        <v>0</v>
      </c>
      <c r="CW39" s="533">
        <f t="shared" si="144"/>
        <v>0</v>
      </c>
      <c r="CX39" s="531"/>
      <c r="CY39" s="532">
        <f t="shared" si="32"/>
        <v>0</v>
      </c>
      <c r="CZ39" s="533">
        <f t="shared" si="145"/>
        <v>0</v>
      </c>
      <c r="DA39" s="531"/>
      <c r="DB39" s="532">
        <f t="shared" si="33"/>
        <v>0</v>
      </c>
      <c r="DC39" s="533">
        <f t="shared" si="146"/>
        <v>0</v>
      </c>
      <c r="DD39" s="531"/>
      <c r="DE39" s="532">
        <f t="shared" si="34"/>
        <v>0</v>
      </c>
      <c r="DF39" s="533">
        <f t="shared" si="147"/>
        <v>0</v>
      </c>
      <c r="DG39" s="531"/>
      <c r="DH39" s="532">
        <f t="shared" si="35"/>
        <v>0</v>
      </c>
      <c r="DI39" s="533">
        <f t="shared" si="203"/>
        <v>0</v>
      </c>
      <c r="DJ39" s="531"/>
      <c r="DK39" s="532">
        <f t="shared" si="36"/>
        <v>0</v>
      </c>
      <c r="DL39" s="533">
        <f t="shared" si="148"/>
        <v>0</v>
      </c>
      <c r="DM39" s="531"/>
      <c r="DN39" s="532">
        <f t="shared" si="37"/>
        <v>0</v>
      </c>
      <c r="DO39" s="533">
        <f t="shared" si="149"/>
        <v>0</v>
      </c>
      <c r="DP39" s="531"/>
      <c r="DQ39" s="532">
        <f t="shared" si="38"/>
        <v>0</v>
      </c>
      <c r="DR39" s="533">
        <f t="shared" si="150"/>
        <v>0</v>
      </c>
      <c r="DS39" s="531"/>
      <c r="DT39" s="532">
        <f t="shared" si="39"/>
        <v>0</v>
      </c>
      <c r="DU39" s="533">
        <f t="shared" si="151"/>
        <v>0</v>
      </c>
      <c r="DV39" s="531"/>
      <c r="DW39" s="532">
        <f t="shared" si="40"/>
        <v>0</v>
      </c>
      <c r="DX39" s="533">
        <f t="shared" si="152"/>
        <v>0</v>
      </c>
      <c r="DY39" s="531"/>
      <c r="DZ39" s="532">
        <f t="shared" si="41"/>
        <v>0</v>
      </c>
      <c r="EA39" s="533">
        <f t="shared" si="153"/>
        <v>0</v>
      </c>
      <c r="EB39" s="531"/>
      <c r="EC39" s="532">
        <f t="shared" si="42"/>
        <v>0</v>
      </c>
      <c r="ED39" s="533">
        <f t="shared" si="154"/>
        <v>0</v>
      </c>
      <c r="EE39" s="531"/>
      <c r="EF39" s="532">
        <f t="shared" si="43"/>
        <v>0</v>
      </c>
      <c r="EG39" s="533">
        <f t="shared" si="155"/>
        <v>0</v>
      </c>
      <c r="EH39" s="531"/>
      <c r="EI39" s="532">
        <f t="shared" si="44"/>
        <v>0</v>
      </c>
      <c r="EJ39" s="533">
        <f t="shared" si="156"/>
        <v>0</v>
      </c>
      <c r="EK39" s="531"/>
      <c r="EL39" s="532">
        <f t="shared" si="45"/>
        <v>0</v>
      </c>
      <c r="EM39" s="533">
        <f t="shared" si="157"/>
        <v>0</v>
      </c>
      <c r="EN39" s="531"/>
      <c r="EO39" s="532">
        <f t="shared" si="46"/>
        <v>0</v>
      </c>
      <c r="EP39" s="533">
        <f t="shared" si="158"/>
        <v>0</v>
      </c>
      <c r="EQ39" s="531"/>
      <c r="ER39" s="532">
        <f t="shared" si="47"/>
        <v>0</v>
      </c>
      <c r="ES39" s="533">
        <f t="shared" si="159"/>
        <v>0</v>
      </c>
      <c r="ET39" s="531"/>
      <c r="EU39" s="532">
        <f t="shared" si="48"/>
        <v>0</v>
      </c>
      <c r="EV39" s="533">
        <f t="shared" si="160"/>
        <v>0</v>
      </c>
      <c r="EW39" s="531"/>
      <c r="EX39" s="532">
        <f t="shared" si="49"/>
        <v>0</v>
      </c>
      <c r="EY39" s="533">
        <f t="shared" si="161"/>
        <v>0</v>
      </c>
      <c r="EZ39" s="531"/>
      <c r="FA39" s="532">
        <f t="shared" si="50"/>
        <v>0</v>
      </c>
      <c r="FB39" s="533">
        <f t="shared" si="162"/>
        <v>0</v>
      </c>
      <c r="FC39" s="531"/>
      <c r="FD39" s="532">
        <f t="shared" si="51"/>
        <v>0</v>
      </c>
      <c r="FE39" s="533">
        <f t="shared" si="163"/>
        <v>0</v>
      </c>
      <c r="FF39" s="531"/>
      <c r="FG39" s="532">
        <f t="shared" si="52"/>
        <v>0</v>
      </c>
      <c r="FH39" s="533">
        <f t="shared" si="164"/>
        <v>0</v>
      </c>
      <c r="FI39" s="531"/>
      <c r="FJ39" s="532">
        <f t="shared" si="53"/>
        <v>0</v>
      </c>
      <c r="FK39" s="533">
        <f t="shared" si="165"/>
        <v>0</v>
      </c>
      <c r="FL39" s="531"/>
      <c r="FM39" s="532">
        <f t="shared" si="54"/>
        <v>0</v>
      </c>
      <c r="FN39" s="533">
        <f t="shared" si="166"/>
        <v>0</v>
      </c>
      <c r="FO39" s="531"/>
      <c r="FP39" s="532">
        <f t="shared" si="55"/>
        <v>0</v>
      </c>
      <c r="FQ39" s="533">
        <f t="shared" si="167"/>
        <v>0</v>
      </c>
      <c r="FR39" s="531"/>
      <c r="FS39" s="532">
        <f t="shared" si="56"/>
        <v>0</v>
      </c>
      <c r="FT39" s="533">
        <f t="shared" si="168"/>
        <v>0</v>
      </c>
      <c r="FU39" s="531"/>
      <c r="FV39" s="532">
        <f t="shared" si="57"/>
        <v>0</v>
      </c>
      <c r="FW39" s="533">
        <f t="shared" si="169"/>
        <v>0</v>
      </c>
      <c r="FX39" s="531"/>
      <c r="FY39" s="532">
        <f t="shared" si="58"/>
        <v>0</v>
      </c>
      <c r="FZ39" s="533">
        <f t="shared" si="170"/>
        <v>0</v>
      </c>
      <c r="GA39" s="531"/>
      <c r="GB39" s="532">
        <f t="shared" si="59"/>
        <v>0</v>
      </c>
      <c r="GC39" s="533">
        <f t="shared" si="171"/>
        <v>0</v>
      </c>
      <c r="GD39" s="531"/>
      <c r="GE39" s="532">
        <f t="shared" si="60"/>
        <v>0</v>
      </c>
      <c r="GF39" s="533">
        <f t="shared" si="172"/>
        <v>0</v>
      </c>
      <c r="GG39" s="531"/>
      <c r="GH39" s="532">
        <f t="shared" si="61"/>
        <v>0</v>
      </c>
      <c r="GI39" s="533">
        <f t="shared" si="173"/>
        <v>0</v>
      </c>
      <c r="GJ39" s="531"/>
      <c r="GK39" s="532">
        <f t="shared" si="253"/>
        <v>0</v>
      </c>
      <c r="GL39" s="533">
        <f t="shared" si="254"/>
        <v>0</v>
      </c>
      <c r="GM39" s="531"/>
      <c r="GN39" s="532">
        <f t="shared" si="255"/>
        <v>0</v>
      </c>
      <c r="GO39" s="533">
        <f t="shared" si="256"/>
        <v>0</v>
      </c>
      <c r="GP39" s="531"/>
      <c r="GQ39" s="532">
        <f t="shared" si="257"/>
        <v>0</v>
      </c>
      <c r="GR39" s="533">
        <f t="shared" si="258"/>
        <v>0</v>
      </c>
      <c r="GS39" s="531"/>
      <c r="GT39" s="532">
        <f t="shared" si="259"/>
        <v>0</v>
      </c>
      <c r="GU39" s="533">
        <f t="shared" si="260"/>
        <v>0</v>
      </c>
      <c r="GV39" s="531"/>
      <c r="GW39" s="532">
        <f t="shared" si="261"/>
        <v>0</v>
      </c>
      <c r="GX39" s="533">
        <f t="shared" si="262"/>
        <v>0</v>
      </c>
      <c r="GY39" s="531"/>
      <c r="GZ39" s="532">
        <f t="shared" si="67"/>
        <v>0</v>
      </c>
      <c r="HA39" s="533">
        <f t="shared" si="179"/>
        <v>0</v>
      </c>
      <c r="HB39" s="531"/>
      <c r="HC39" s="532">
        <f t="shared" si="68"/>
        <v>0</v>
      </c>
      <c r="HD39" s="533">
        <f t="shared" si="180"/>
        <v>0</v>
      </c>
      <c r="HE39" s="531"/>
      <c r="HF39" s="532">
        <f t="shared" si="69"/>
        <v>0</v>
      </c>
      <c r="HG39" s="533">
        <f t="shared" si="181"/>
        <v>0</v>
      </c>
      <c r="HH39" s="531"/>
      <c r="HI39" s="532">
        <f t="shared" si="70"/>
        <v>0</v>
      </c>
      <c r="HJ39" s="533">
        <f t="shared" si="182"/>
        <v>0</v>
      </c>
      <c r="HK39" s="531"/>
      <c r="HL39" s="532">
        <f t="shared" si="71"/>
        <v>0</v>
      </c>
      <c r="HM39" s="533">
        <f t="shared" si="183"/>
        <v>0</v>
      </c>
      <c r="HN39" s="531"/>
      <c r="HO39" s="532">
        <f t="shared" si="72"/>
        <v>0</v>
      </c>
      <c r="HP39" s="533">
        <f t="shared" si="184"/>
        <v>0</v>
      </c>
      <c r="HQ39" s="531"/>
      <c r="HR39" s="532">
        <f t="shared" si="73"/>
        <v>0</v>
      </c>
      <c r="HS39" s="533">
        <f t="shared" si="185"/>
        <v>0</v>
      </c>
      <c r="HT39" s="531"/>
      <c r="HU39" s="532">
        <f t="shared" si="74"/>
        <v>0</v>
      </c>
      <c r="HV39" s="533">
        <f t="shared" si="186"/>
        <v>0</v>
      </c>
      <c r="HW39" s="531"/>
      <c r="HX39" s="532">
        <f t="shared" si="75"/>
        <v>0</v>
      </c>
      <c r="HY39" s="533">
        <f t="shared" si="187"/>
        <v>0</v>
      </c>
      <c r="HZ39" s="531"/>
      <c r="IA39" s="532">
        <f t="shared" si="76"/>
        <v>0</v>
      </c>
      <c r="IB39" s="533">
        <f t="shared" si="188"/>
        <v>0</v>
      </c>
      <c r="IC39" s="531"/>
      <c r="ID39" s="532">
        <f t="shared" si="77"/>
        <v>0</v>
      </c>
      <c r="IE39" s="533">
        <f t="shared" si="189"/>
        <v>0</v>
      </c>
      <c r="IF39" s="531"/>
      <c r="IG39" s="532">
        <f t="shared" si="78"/>
        <v>0</v>
      </c>
      <c r="IH39" s="533">
        <f t="shared" si="190"/>
        <v>0</v>
      </c>
      <c r="II39" s="531"/>
      <c r="IJ39" s="532">
        <f t="shared" si="79"/>
        <v>0</v>
      </c>
      <c r="IK39" s="533">
        <f t="shared" si="191"/>
        <v>0</v>
      </c>
      <c r="IL39" s="531"/>
      <c r="IM39" s="532">
        <f t="shared" si="80"/>
        <v>0</v>
      </c>
      <c r="IN39" s="533">
        <f t="shared" si="192"/>
        <v>0</v>
      </c>
      <c r="IO39" s="531"/>
      <c r="IP39" s="532">
        <f t="shared" si="81"/>
        <v>0</v>
      </c>
      <c r="IQ39" s="533">
        <f t="shared" si="193"/>
        <v>0</v>
      </c>
      <c r="IR39" s="531"/>
      <c r="IS39" s="532">
        <f t="shared" si="82"/>
        <v>0</v>
      </c>
      <c r="IT39" s="533">
        <f t="shared" si="194"/>
        <v>0</v>
      </c>
      <c r="IU39" s="531"/>
      <c r="IV39" s="532">
        <f t="shared" si="83"/>
        <v>0</v>
      </c>
      <c r="IW39" s="533">
        <f t="shared" si="195"/>
        <v>0</v>
      </c>
      <c r="IX39" s="531"/>
      <c r="IY39" s="532">
        <f t="shared" si="84"/>
        <v>0</v>
      </c>
      <c r="IZ39" s="533">
        <f t="shared" si="196"/>
        <v>0</v>
      </c>
      <c r="JA39" s="531"/>
      <c r="JB39" s="532">
        <f t="shared" si="85"/>
        <v>0</v>
      </c>
      <c r="JC39" s="533">
        <f t="shared" si="197"/>
        <v>0</v>
      </c>
      <c r="JD39" s="531"/>
      <c r="JE39" s="532">
        <f t="shared" si="86"/>
        <v>0</v>
      </c>
      <c r="JF39" s="533">
        <f t="shared" si="198"/>
        <v>0</v>
      </c>
      <c r="JG39" s="531"/>
      <c r="JH39" s="532">
        <f t="shared" si="87"/>
        <v>0</v>
      </c>
      <c r="JI39" s="533">
        <f t="shared" si="199"/>
        <v>0</v>
      </c>
      <c r="JJ39" s="531"/>
      <c r="JK39" s="533" t="str">
        <f t="shared" si="88"/>
        <v>0</v>
      </c>
      <c r="JL39" s="533" t="str">
        <f t="shared" si="89"/>
        <v>0</v>
      </c>
      <c r="JM39" s="531"/>
      <c r="JN39" s="533" t="str">
        <f t="shared" si="90"/>
        <v>0</v>
      </c>
      <c r="JO39" s="533" t="str">
        <f t="shared" si="91"/>
        <v>0</v>
      </c>
      <c r="JP39" s="531"/>
      <c r="JQ39" s="533" t="str">
        <f t="shared" si="92"/>
        <v>0</v>
      </c>
      <c r="JR39" s="533" t="str">
        <f t="shared" si="93"/>
        <v>0</v>
      </c>
      <c r="JS39" s="531"/>
      <c r="JT39" s="533" t="str">
        <f t="shared" si="94"/>
        <v>0</v>
      </c>
      <c r="JU39" s="533" t="str">
        <f t="shared" si="95"/>
        <v>0</v>
      </c>
      <c r="JV39" s="531"/>
      <c r="JW39" s="533" t="str">
        <f t="shared" si="96"/>
        <v>0</v>
      </c>
      <c r="JX39" s="533" t="str">
        <f t="shared" si="97"/>
        <v>0</v>
      </c>
      <c r="JY39" s="531"/>
      <c r="JZ39" s="533" t="str">
        <f t="shared" si="98"/>
        <v>0</v>
      </c>
      <c r="KA39" s="533" t="str">
        <f t="shared" si="99"/>
        <v>0</v>
      </c>
      <c r="KB39" s="531"/>
      <c r="KC39" s="533" t="str">
        <f t="shared" si="100"/>
        <v>0</v>
      </c>
      <c r="KD39" s="533" t="str">
        <f t="shared" si="101"/>
        <v>0</v>
      </c>
      <c r="KE39" s="531"/>
      <c r="KF39" s="533" t="str">
        <f t="shared" si="102"/>
        <v>0</v>
      </c>
      <c r="KG39" s="533" t="str">
        <f t="shared" si="103"/>
        <v>0</v>
      </c>
      <c r="KH39" s="531"/>
      <c r="KI39" s="533" t="str">
        <f t="shared" si="104"/>
        <v>0</v>
      </c>
      <c r="KJ39" s="533" t="str">
        <f t="shared" si="105"/>
        <v>0</v>
      </c>
      <c r="KK39" s="531"/>
      <c r="KL39" s="533" t="str">
        <f t="shared" si="106"/>
        <v>0</v>
      </c>
      <c r="KM39" s="533" t="str">
        <f t="shared" si="107"/>
        <v>0</v>
      </c>
      <c r="KN39" s="531"/>
      <c r="KO39" s="533" t="str">
        <f t="shared" si="108"/>
        <v>0</v>
      </c>
      <c r="KP39" s="533" t="str">
        <f t="shared" si="109"/>
        <v>0</v>
      </c>
      <c r="KQ39" s="531"/>
      <c r="KR39" s="533" t="str">
        <f t="shared" si="110"/>
        <v>0</v>
      </c>
      <c r="KS39" s="533" t="str">
        <f t="shared" si="111"/>
        <v>0</v>
      </c>
      <c r="KT39" s="533">
        <f t="shared" si="201"/>
        <v>0</v>
      </c>
      <c r="KU39" s="533">
        <f t="shared" si="202"/>
        <v>0</v>
      </c>
      <c r="KV39" s="271">
        <f t="shared" si="241"/>
        <v>0</v>
      </c>
    </row>
    <row r="40" spans="1:16384" ht="15" customHeight="1" thickBot="1">
      <c r="A40" s="278"/>
      <c r="B40" s="279"/>
      <c r="C40" s="280"/>
      <c r="D40" s="280"/>
      <c r="E40" s="276"/>
      <c r="F40" s="531"/>
      <c r="G40" s="532"/>
      <c r="H40" s="533"/>
      <c r="I40" s="531"/>
      <c r="J40" s="532"/>
      <c r="K40" s="533"/>
      <c r="L40" s="531"/>
      <c r="M40" s="532"/>
      <c r="N40" s="533"/>
      <c r="O40" s="531"/>
      <c r="P40" s="532"/>
      <c r="Q40" s="533"/>
      <c r="R40" s="531"/>
      <c r="S40" s="532"/>
      <c r="T40" s="533"/>
      <c r="U40" s="531"/>
      <c r="V40" s="532"/>
      <c r="W40" s="533"/>
      <c r="X40" s="531"/>
      <c r="Y40" s="532"/>
      <c r="Z40" s="533"/>
      <c r="AA40" s="531"/>
      <c r="AB40" s="532"/>
      <c r="AC40" s="533"/>
      <c r="AD40" s="531"/>
      <c r="AE40" s="532"/>
      <c r="AF40" s="533"/>
      <c r="AG40" s="531"/>
      <c r="AH40" s="532"/>
      <c r="AI40" s="533"/>
      <c r="AJ40" s="531"/>
      <c r="AK40" s="532"/>
      <c r="AL40" s="533"/>
      <c r="AM40" s="531"/>
      <c r="AN40" s="532"/>
      <c r="AO40" s="533"/>
      <c r="AP40" s="531"/>
      <c r="AQ40" s="532"/>
      <c r="AR40" s="533"/>
      <c r="AS40" s="531"/>
      <c r="AT40" s="532"/>
      <c r="AU40" s="533"/>
      <c r="AV40" s="531"/>
      <c r="AW40" s="532"/>
      <c r="AX40" s="533"/>
      <c r="AY40" s="531"/>
      <c r="AZ40" s="532"/>
      <c r="BA40" s="533"/>
      <c r="BB40" s="531"/>
      <c r="BC40" s="532"/>
      <c r="BD40" s="533"/>
      <c r="BE40" s="531"/>
      <c r="BF40" s="532"/>
      <c r="BG40" s="533"/>
      <c r="BH40" s="531"/>
      <c r="BI40" s="532"/>
      <c r="BJ40" s="533"/>
      <c r="BK40" s="531"/>
      <c r="BL40" s="532"/>
      <c r="BM40" s="533"/>
      <c r="BN40" s="531"/>
      <c r="BO40" s="532"/>
      <c r="BP40" s="533"/>
      <c r="BQ40" s="531"/>
      <c r="BR40" s="532"/>
      <c r="BS40" s="533"/>
      <c r="BT40" s="531"/>
      <c r="BU40" s="532"/>
      <c r="BV40" s="533"/>
      <c r="BW40" s="531"/>
      <c r="BX40" s="532"/>
      <c r="BY40" s="533"/>
      <c r="BZ40" s="531"/>
      <c r="CA40" s="532"/>
      <c r="CB40" s="533"/>
      <c r="CC40" s="531"/>
      <c r="CD40" s="532"/>
      <c r="CE40" s="533"/>
      <c r="CF40" s="531"/>
      <c r="CG40" s="532"/>
      <c r="CH40" s="533"/>
      <c r="CI40" s="531"/>
      <c r="CJ40" s="532"/>
      <c r="CK40" s="533"/>
      <c r="CL40" s="531"/>
      <c r="CM40" s="532"/>
      <c r="CN40" s="533"/>
      <c r="CO40" s="531"/>
      <c r="CP40" s="532"/>
      <c r="CQ40" s="533"/>
      <c r="CR40" s="531"/>
      <c r="CS40" s="532"/>
      <c r="CT40" s="533"/>
      <c r="CU40" s="531"/>
      <c r="CV40" s="532"/>
      <c r="CW40" s="533"/>
      <c r="CX40" s="531"/>
      <c r="CY40" s="532"/>
      <c r="CZ40" s="533"/>
      <c r="DA40" s="531"/>
      <c r="DB40" s="532"/>
      <c r="DC40" s="533"/>
      <c r="DD40" s="531"/>
      <c r="DE40" s="532"/>
      <c r="DF40" s="533"/>
      <c r="DG40" s="531"/>
      <c r="DH40" s="532"/>
      <c r="DI40" s="533"/>
      <c r="DJ40" s="531"/>
      <c r="DK40" s="532"/>
      <c r="DL40" s="533"/>
      <c r="DM40" s="531"/>
      <c r="DN40" s="532"/>
      <c r="DO40" s="533"/>
      <c r="DP40" s="531"/>
      <c r="DQ40" s="532"/>
      <c r="DR40" s="533"/>
      <c r="DS40" s="531"/>
      <c r="DT40" s="532"/>
      <c r="DU40" s="533"/>
      <c r="DV40" s="531"/>
      <c r="DW40" s="532"/>
      <c r="DX40" s="533"/>
      <c r="DY40" s="531"/>
      <c r="DZ40" s="532"/>
      <c r="EA40" s="533"/>
      <c r="EB40" s="531"/>
      <c r="EC40" s="532"/>
      <c r="ED40" s="533"/>
      <c r="EE40" s="531"/>
      <c r="EF40" s="532"/>
      <c r="EG40" s="533"/>
      <c r="EH40" s="531"/>
      <c r="EI40" s="532"/>
      <c r="EJ40" s="533"/>
      <c r="EK40" s="531"/>
      <c r="EL40" s="532"/>
      <c r="EM40" s="533"/>
      <c r="EN40" s="531"/>
      <c r="EO40" s="532"/>
      <c r="EP40" s="533"/>
      <c r="EQ40" s="531"/>
      <c r="ER40" s="532"/>
      <c r="ES40" s="533"/>
      <c r="ET40" s="531"/>
      <c r="EU40" s="532"/>
      <c r="EV40" s="533"/>
      <c r="EW40" s="531"/>
      <c r="EX40" s="532"/>
      <c r="EY40" s="533"/>
      <c r="EZ40" s="531"/>
      <c r="FA40" s="532"/>
      <c r="FB40" s="533"/>
      <c r="FC40" s="531"/>
      <c r="FD40" s="532"/>
      <c r="FE40" s="533"/>
      <c r="FF40" s="531"/>
      <c r="FG40" s="532"/>
      <c r="FH40" s="533"/>
      <c r="FI40" s="531"/>
      <c r="FJ40" s="532"/>
      <c r="FK40" s="533"/>
      <c r="FL40" s="531"/>
      <c r="FM40" s="532"/>
      <c r="FN40" s="533"/>
      <c r="FO40" s="531"/>
      <c r="FP40" s="532"/>
      <c r="FQ40" s="533"/>
      <c r="FR40" s="531"/>
      <c r="FS40" s="532"/>
      <c r="FT40" s="533"/>
      <c r="FU40" s="531"/>
      <c r="FV40" s="532"/>
      <c r="FW40" s="533"/>
      <c r="FX40" s="531"/>
      <c r="FY40" s="532"/>
      <c r="FZ40" s="533"/>
      <c r="GA40" s="531"/>
      <c r="GB40" s="532"/>
      <c r="GC40" s="533"/>
      <c r="GD40" s="531"/>
      <c r="GE40" s="532"/>
      <c r="GF40" s="533"/>
      <c r="GG40" s="531"/>
      <c r="GH40" s="532"/>
      <c r="GI40" s="533"/>
      <c r="GJ40" s="531"/>
      <c r="GK40" s="532"/>
      <c r="GL40" s="533"/>
      <c r="GM40" s="531"/>
      <c r="GN40" s="532"/>
      <c r="GO40" s="533"/>
      <c r="GP40" s="531"/>
      <c r="GQ40" s="532"/>
      <c r="GR40" s="533"/>
      <c r="GS40" s="531"/>
      <c r="GT40" s="532"/>
      <c r="GU40" s="533"/>
      <c r="GV40" s="531"/>
      <c r="GW40" s="532"/>
      <c r="GX40" s="533"/>
      <c r="GY40" s="531"/>
      <c r="GZ40" s="532"/>
      <c r="HA40" s="533"/>
      <c r="HB40" s="531"/>
      <c r="HC40" s="532"/>
      <c r="HD40" s="533"/>
      <c r="HE40" s="531"/>
      <c r="HF40" s="532"/>
      <c r="HG40" s="533"/>
      <c r="HH40" s="531"/>
      <c r="HI40" s="532"/>
      <c r="HJ40" s="533"/>
      <c r="HK40" s="531"/>
      <c r="HL40" s="532"/>
      <c r="HM40" s="533"/>
      <c r="HN40" s="531"/>
      <c r="HO40" s="532"/>
      <c r="HP40" s="533"/>
      <c r="HQ40" s="531"/>
      <c r="HR40" s="532"/>
      <c r="HS40" s="533"/>
      <c r="HT40" s="531"/>
      <c r="HU40" s="532"/>
      <c r="HV40" s="533"/>
      <c r="HW40" s="531"/>
      <c r="HX40" s="532"/>
      <c r="HY40" s="533"/>
      <c r="HZ40" s="531"/>
      <c r="IA40" s="532"/>
      <c r="IB40" s="533"/>
      <c r="IC40" s="531"/>
      <c r="ID40" s="532"/>
      <c r="IE40" s="533"/>
      <c r="IF40" s="531"/>
      <c r="IG40" s="532"/>
      <c r="IH40" s="533"/>
      <c r="II40" s="531"/>
      <c r="IJ40" s="532"/>
      <c r="IK40" s="533"/>
      <c r="IL40" s="531"/>
      <c r="IM40" s="532"/>
      <c r="IN40" s="533"/>
      <c r="IO40" s="531"/>
      <c r="IP40" s="532"/>
      <c r="IQ40" s="533"/>
      <c r="IR40" s="531"/>
      <c r="IS40" s="532"/>
      <c r="IT40" s="533"/>
      <c r="IU40" s="531"/>
      <c r="IV40" s="532"/>
      <c r="IW40" s="533"/>
      <c r="IX40" s="531"/>
      <c r="IY40" s="532"/>
      <c r="IZ40" s="533"/>
      <c r="JA40" s="531"/>
      <c r="JB40" s="532"/>
      <c r="JC40" s="533"/>
      <c r="JD40" s="531"/>
      <c r="JE40" s="532"/>
      <c r="JF40" s="533"/>
      <c r="JG40" s="531"/>
      <c r="JH40" s="532"/>
      <c r="JI40" s="533"/>
      <c r="JJ40" s="531"/>
      <c r="JK40" s="533"/>
      <c r="JL40" s="533"/>
      <c r="JM40" s="531"/>
      <c r="JN40" s="533"/>
      <c r="JO40" s="533"/>
      <c r="JP40" s="531"/>
      <c r="JQ40" s="533"/>
      <c r="JR40" s="533"/>
      <c r="JS40" s="531"/>
      <c r="JT40" s="533"/>
      <c r="JU40" s="533"/>
      <c r="JV40" s="531"/>
      <c r="JW40" s="533"/>
      <c r="JX40" s="533"/>
      <c r="JY40" s="531"/>
      <c r="JZ40" s="533"/>
      <c r="KA40" s="533"/>
      <c r="KB40" s="531"/>
      <c r="KC40" s="533"/>
      <c r="KD40" s="533"/>
      <c r="KE40" s="531"/>
      <c r="KF40" s="533"/>
      <c r="KG40" s="533"/>
      <c r="KH40" s="531"/>
      <c r="KI40" s="533"/>
      <c r="KJ40" s="533"/>
      <c r="KK40" s="531"/>
      <c r="KL40" s="533"/>
      <c r="KM40" s="533"/>
      <c r="KN40" s="531"/>
      <c r="KO40" s="533"/>
      <c r="KP40" s="533"/>
      <c r="KQ40" s="531"/>
      <c r="KR40" s="533"/>
      <c r="KS40" s="533"/>
      <c r="KT40" s="533"/>
      <c r="KU40" s="533"/>
      <c r="KV40" s="271"/>
    </row>
    <row r="41" spans="1:16384" s="277" customFormat="1" ht="15" customHeight="1" thickTop="1" thickBot="1">
      <c r="A41" s="726" t="s">
        <v>29</v>
      </c>
      <c r="B41" s="727"/>
      <c r="C41" s="728"/>
      <c r="D41" s="281">
        <f>SUM(D9:D40)</f>
        <v>1365.2589999999998</v>
      </c>
      <c r="E41" s="276">
        <v>0</v>
      </c>
      <c r="F41" s="534">
        <f>SUM(F9:F39)</f>
        <v>0</v>
      </c>
      <c r="G41" s="534">
        <f>IFERROR((F41/$L$41),0)</f>
        <v>0</v>
      </c>
      <c r="H41" s="534">
        <f>IFERROR(((F41*H$8)/$L$41),0)</f>
        <v>0</v>
      </c>
      <c r="I41" s="534">
        <f>SUM(I9:I39)</f>
        <v>0</v>
      </c>
      <c r="J41" s="534">
        <f>IFERROR((I41/$L$41),0)</f>
        <v>0</v>
      </c>
      <c r="K41" s="534">
        <f>IFERROR(((I41*K$8)/$L$41),0)</f>
        <v>0</v>
      </c>
      <c r="L41" s="534">
        <f>SUM(L9:L39)</f>
        <v>0</v>
      </c>
      <c r="M41" s="534">
        <f>IFERROR((L41/$L$41),0)</f>
        <v>0</v>
      </c>
      <c r="N41" s="534">
        <f>IFERROR(((L41*N$8)/$L$41),0)</f>
        <v>0</v>
      </c>
      <c r="O41" s="534">
        <f>SUM(O9:O39)</f>
        <v>258</v>
      </c>
      <c r="P41" s="534">
        <f>IFERROR((O41/$L$41),0)</f>
        <v>0</v>
      </c>
      <c r="Q41" s="534">
        <f>IFERROR(((O41*Q$8)/$L$41),0)</f>
        <v>0</v>
      </c>
      <c r="R41" s="534">
        <f>SUM(R9:R39)</f>
        <v>0</v>
      </c>
      <c r="S41" s="534">
        <f>IFERROR((R41/$L$41),0)</f>
        <v>0</v>
      </c>
      <c r="T41" s="534">
        <f>IFERROR(((R41*T$8)/$L$41),0)</f>
        <v>0</v>
      </c>
      <c r="U41" s="534">
        <f>SUM(U9:U39)</f>
        <v>202.43749999999997</v>
      </c>
      <c r="V41" s="534">
        <f>IFERROR((U41/$L$41),0)</f>
        <v>0</v>
      </c>
      <c r="W41" s="534">
        <f>IFERROR(((U41*W$8)/$L$41),0)</f>
        <v>0</v>
      </c>
      <c r="X41" s="534">
        <f>SUM(X9:X39)</f>
        <v>0</v>
      </c>
      <c r="Y41" s="534">
        <f>IFERROR((X41/$L$41),0)</f>
        <v>0</v>
      </c>
      <c r="Z41" s="534">
        <f>IFERROR(((X41*Z$8)/$L$41),0)</f>
        <v>0</v>
      </c>
      <c r="AA41" s="534">
        <f>SUM(AA9:AA39)</f>
        <v>15.624999999999986</v>
      </c>
      <c r="AB41" s="534">
        <f>IFERROR((AA41/$L$41),0)</f>
        <v>0</v>
      </c>
      <c r="AC41" s="534">
        <f>IFERROR(((AA41*AC$8)/$L$41),0)</f>
        <v>0</v>
      </c>
      <c r="AD41" s="534">
        <f>SUM(AD9:AD39)</f>
        <v>0</v>
      </c>
      <c r="AE41" s="534">
        <f>IFERROR((AD41/$L$41),0)</f>
        <v>0</v>
      </c>
      <c r="AF41" s="534">
        <f>IFERROR(((AD41*AF$8)/$L$41),0)</f>
        <v>0</v>
      </c>
      <c r="AG41" s="534">
        <f>SUM(AG9:AG39)</f>
        <v>0</v>
      </c>
      <c r="AH41" s="534">
        <f>IFERROR((AG41/$L$41),0)</f>
        <v>0</v>
      </c>
      <c r="AI41" s="534">
        <f>IFERROR(((AG41*AI$8)/$L$41),0)</f>
        <v>0</v>
      </c>
      <c r="AJ41" s="534">
        <f>SUM(AJ9:AJ39)</f>
        <v>860.68749999999977</v>
      </c>
      <c r="AK41" s="534">
        <f>IFERROR((AJ41/$L$41),0)</f>
        <v>0</v>
      </c>
      <c r="AL41" s="534">
        <f>IFERROR(((AJ41*AL$8)/$L$41),0)</f>
        <v>0</v>
      </c>
      <c r="AM41" s="534">
        <f>SUM(AM9:AM39)</f>
        <v>0</v>
      </c>
      <c r="AN41" s="534">
        <f>IFERROR((AM41/$L$41),0)</f>
        <v>0</v>
      </c>
      <c r="AO41" s="534">
        <f>IFERROR(((AM41*AO$8)/$L$41),0)</f>
        <v>0</v>
      </c>
      <c r="AP41" s="534">
        <f>SUM(AP9:AP39)</f>
        <v>0</v>
      </c>
      <c r="AQ41" s="534">
        <f>IFERROR((AP41/$L$41),0)</f>
        <v>0</v>
      </c>
      <c r="AR41" s="534">
        <f>IFERROR(((AP41*AR$8)/$L$41),0)</f>
        <v>0</v>
      </c>
      <c r="AS41" s="534">
        <f>SUM(AS9:AS39)</f>
        <v>0</v>
      </c>
      <c r="AT41" s="534">
        <f>IFERROR((AS41/$L$41),0)</f>
        <v>0</v>
      </c>
      <c r="AU41" s="534">
        <f>IFERROR(((AS41*AU$8)/$L$41),0)</f>
        <v>0</v>
      </c>
      <c r="AV41" s="534">
        <f>SUM(AV9:AV39)</f>
        <v>0</v>
      </c>
      <c r="AW41" s="534">
        <f>IFERROR((AV41/$L$41),0)</f>
        <v>0</v>
      </c>
      <c r="AX41" s="534">
        <f>IFERROR(((AV41*AX$8)/$L$41),0)</f>
        <v>0</v>
      </c>
      <c r="AY41" s="534">
        <f>SUM(AY9:AY39)</f>
        <v>485.33333333333331</v>
      </c>
      <c r="AZ41" s="534">
        <f>IFERROR((AY41/$L$41),0)</f>
        <v>0</v>
      </c>
      <c r="BA41" s="534">
        <f>IFERROR(((AY41*BA$8)/$L$41),0)</f>
        <v>0</v>
      </c>
      <c r="BB41" s="534">
        <f>SUM(BB9:BB39)</f>
        <v>0</v>
      </c>
      <c r="BC41" s="534">
        <f>IFERROR((BB41/$L$41),0)</f>
        <v>0</v>
      </c>
      <c r="BD41" s="534">
        <f>IFERROR(((BB41*BD$8)/$L$41),0)</f>
        <v>0</v>
      </c>
      <c r="BE41" s="534">
        <f>SUM(BE9:BE39)</f>
        <v>0</v>
      </c>
      <c r="BF41" s="534">
        <f>IFERROR((BE41/$L$41),0)</f>
        <v>0</v>
      </c>
      <c r="BG41" s="534">
        <f>IFERROR(((BE41*BG$8)/$L$41),0)</f>
        <v>0</v>
      </c>
      <c r="BH41" s="534">
        <f>SUM(BH9:BH39)</f>
        <v>0</v>
      </c>
      <c r="BI41" s="534">
        <f>IFERROR((BH41/$L$41),0)</f>
        <v>0</v>
      </c>
      <c r="BJ41" s="534">
        <f>IFERROR(((BH41*BJ$8)/$L$41),0)</f>
        <v>0</v>
      </c>
      <c r="BK41" s="534">
        <f>SUM(BK9:BK39)</f>
        <v>0</v>
      </c>
      <c r="BL41" s="534">
        <f>IFERROR((BK41/$L$41),0)</f>
        <v>0</v>
      </c>
      <c r="BM41" s="534">
        <f>IFERROR(((BK41*BM$8)/$L$41),0)</f>
        <v>0</v>
      </c>
      <c r="BN41" s="534">
        <f>SUM(BN9:BN39)</f>
        <v>0</v>
      </c>
      <c r="BO41" s="534">
        <f>IFERROR((BN41/$L$41),0)</f>
        <v>0</v>
      </c>
      <c r="BP41" s="534">
        <f>IFERROR(((BN41*BP$8)/$L$41),0)</f>
        <v>0</v>
      </c>
      <c r="BQ41" s="534">
        <f>SUM(BQ9:BQ39)</f>
        <v>0</v>
      </c>
      <c r="BR41" s="534">
        <f>IFERROR((BQ41/$L$41),0)</f>
        <v>0</v>
      </c>
      <c r="BS41" s="534">
        <f>IFERROR(((BQ41*BS$8)/$L$41),0)</f>
        <v>0</v>
      </c>
      <c r="BT41" s="534">
        <f>SUM(BT9:BT39)</f>
        <v>0</v>
      </c>
      <c r="BU41" s="534">
        <f>IFERROR((BT41/$L$41),0)</f>
        <v>0</v>
      </c>
      <c r="BV41" s="534">
        <f>IFERROR(((BT41*BV$8)/$L$41),0)</f>
        <v>0</v>
      </c>
      <c r="BW41" s="534">
        <f>SUM(BW9:BW39)</f>
        <v>0</v>
      </c>
      <c r="BX41" s="534">
        <f>IFERROR((BW41/$L$41),0)</f>
        <v>0</v>
      </c>
      <c r="BY41" s="534">
        <f>IFERROR(((BW41*BY$8)/$L$41),0)</f>
        <v>0</v>
      </c>
      <c r="BZ41" s="534">
        <f>SUM(BZ9:BZ39)</f>
        <v>1055.6976744186047</v>
      </c>
      <c r="CA41" s="534">
        <f>IFERROR((BZ41/$L$41),0)</f>
        <v>0</v>
      </c>
      <c r="CB41" s="534">
        <f>IFERROR(((BZ41*CB$8)/$L$41),0)</f>
        <v>0</v>
      </c>
      <c r="CC41" s="534">
        <f>SUM(CC9:CC39)</f>
        <v>20</v>
      </c>
      <c r="CD41" s="534">
        <f>IFERROR((CC41/$L$41),0)</f>
        <v>0</v>
      </c>
      <c r="CE41" s="534">
        <f>IFERROR(((CC41*CE$8)/$L$41),0)</f>
        <v>0</v>
      </c>
      <c r="CF41" s="534">
        <f>SUM(CF9:CF39)</f>
        <v>152.74999999999994</v>
      </c>
      <c r="CG41" s="534">
        <f>IFERROR((CF41/$L$41),0)</f>
        <v>0</v>
      </c>
      <c r="CH41" s="534">
        <f>IFERROR(((CF41*CH$8)/$L$41),0)</f>
        <v>0</v>
      </c>
      <c r="CI41" s="534">
        <f>SUM(CI9:CI39)</f>
        <v>0</v>
      </c>
      <c r="CJ41" s="534">
        <f>IFERROR((CI41/$L$41),0)</f>
        <v>0</v>
      </c>
      <c r="CK41" s="534">
        <f>IFERROR(((CI41*CK$8)/$L$41),0)</f>
        <v>0</v>
      </c>
      <c r="CL41" s="534">
        <f>SUM(CL9:CL39)</f>
        <v>0</v>
      </c>
      <c r="CM41" s="534">
        <f>IFERROR((CL41/$L$41),0)</f>
        <v>0</v>
      </c>
      <c r="CN41" s="534">
        <f>IFERROR(((CL41*CN$8)/$L$41),0)</f>
        <v>0</v>
      </c>
      <c r="CO41" s="534">
        <f>SUM(CO9:CO39)</f>
        <v>0</v>
      </c>
      <c r="CP41" s="534">
        <f>IFERROR((CO41/$L$41),0)</f>
        <v>0</v>
      </c>
      <c r="CQ41" s="534">
        <f>IFERROR(((CO41*CQ$8)/$L$41),0)</f>
        <v>0</v>
      </c>
      <c r="CR41" s="534">
        <f>SUM(CR9:CR39)</f>
        <v>2</v>
      </c>
      <c r="CS41" s="534">
        <f>IFERROR((CR41/$L$41),0)</f>
        <v>0</v>
      </c>
      <c r="CT41" s="534">
        <f>IFERROR(((CR41*CT$8)/$L$41),0)</f>
        <v>0</v>
      </c>
      <c r="CU41" s="534">
        <f>SUM(CU9:CU39)</f>
        <v>0</v>
      </c>
      <c r="CV41" s="534">
        <f>IFERROR((CU41/$L$41),0)</f>
        <v>0</v>
      </c>
      <c r="CW41" s="534">
        <f>IFERROR(((CU41*CW$8)/$L$41),0)</f>
        <v>0</v>
      </c>
      <c r="CX41" s="534">
        <f>SUM(CX9:CX39)</f>
        <v>0</v>
      </c>
      <c r="CY41" s="534">
        <f>IFERROR((CX41/$L$41),0)</f>
        <v>0</v>
      </c>
      <c r="CZ41" s="534">
        <f>IFERROR(((CX41*CZ$8)/$L$41),0)</f>
        <v>0</v>
      </c>
      <c r="DA41" s="534">
        <f>SUM(DA9:DA39)</f>
        <v>6337.209302325582</v>
      </c>
      <c r="DB41" s="534">
        <f>IFERROR((DA41/$L$41),0)</f>
        <v>0</v>
      </c>
      <c r="DC41" s="534">
        <f>IFERROR(((DA41*DC$8)/$L$41),0)</f>
        <v>0</v>
      </c>
      <c r="DD41" s="534">
        <f>SUM(DD9:DD39)</f>
        <v>0</v>
      </c>
      <c r="DE41" s="534">
        <f>IFERROR((DD41/$L$41),0)</f>
        <v>0</v>
      </c>
      <c r="DF41" s="534">
        <f>IFERROR(((DD41*DF$8)/$L$41),0)</f>
        <v>0</v>
      </c>
      <c r="DG41" s="534">
        <f>SUM(DG14:DG39)</f>
        <v>0</v>
      </c>
      <c r="DH41" s="534">
        <f>IFERROR((DG41/$L$41),0)</f>
        <v>0</v>
      </c>
      <c r="DI41" s="534">
        <f>IFERROR(((DG41*DI$8)/$L$41),0)</f>
        <v>0</v>
      </c>
      <c r="DJ41" s="534">
        <f>SUM(DJ9:DJ39)</f>
        <v>0</v>
      </c>
      <c r="DK41" s="534">
        <f>IFERROR((DJ41/$L$41),0)</f>
        <v>0</v>
      </c>
      <c r="DL41" s="534">
        <f>IFERROR(((DJ41*DL$8)/$L$41),0)</f>
        <v>0</v>
      </c>
      <c r="DM41" s="534">
        <f>SUM(DM9:DM39)</f>
        <v>0</v>
      </c>
      <c r="DN41" s="534">
        <f>IFERROR((DM41/$L$41),0)</f>
        <v>0</v>
      </c>
      <c r="DO41" s="534">
        <f>IFERROR(((DM41*DO$8)/$L$41),0)</f>
        <v>0</v>
      </c>
      <c r="DP41" s="534">
        <f>SUM(DP9:DP39)</f>
        <v>0</v>
      </c>
      <c r="DQ41" s="534">
        <f>IFERROR((DP41/$L$41),0)</f>
        <v>0</v>
      </c>
      <c r="DR41" s="534">
        <f>IFERROR(((DP41*DR$8)/$L$41),0)</f>
        <v>0</v>
      </c>
      <c r="DS41" s="534">
        <f>SUM(DS9:DS39)</f>
        <v>0</v>
      </c>
      <c r="DT41" s="534">
        <f>IFERROR((DS41/$L$41),0)</f>
        <v>0</v>
      </c>
      <c r="DU41" s="534">
        <f>IFERROR(((DS41*DU$8)/$L$41),0)</f>
        <v>0</v>
      </c>
      <c r="DV41" s="534">
        <f>SUM(DV9:DV39)</f>
        <v>0</v>
      </c>
      <c r="DW41" s="534">
        <f>IFERROR((DV41/$L$41),0)</f>
        <v>0</v>
      </c>
      <c r="DX41" s="534">
        <f>IFERROR(((DV41*DX$8)/$L$41),0)</f>
        <v>0</v>
      </c>
      <c r="DY41" s="534">
        <f>SUM(DY9:DY39)</f>
        <v>10.78313253012049</v>
      </c>
      <c r="DZ41" s="534">
        <f>IFERROR((DY41/$L$41),0)</f>
        <v>0</v>
      </c>
      <c r="EA41" s="534">
        <f>IFERROR(((DY41*EA$8)/$L$41),0)</f>
        <v>0</v>
      </c>
      <c r="EB41" s="534">
        <f>SUM(EB9:EB39)</f>
        <v>0</v>
      </c>
      <c r="EC41" s="534">
        <f>IFERROR((EB41/$L$41),0)</f>
        <v>0</v>
      </c>
      <c r="ED41" s="534">
        <f>IFERROR(((EB41*ED$8)/$L$41),0)</f>
        <v>0</v>
      </c>
      <c r="EE41" s="534">
        <f>SUM(EE9:EE39)</f>
        <v>4367.7176470588247</v>
      </c>
      <c r="EF41" s="534">
        <f>IFERROR((EE41/$L$41),0)</f>
        <v>0</v>
      </c>
      <c r="EG41" s="534">
        <f>IFERROR(((EE41*EG$8)/$L$41),0)</f>
        <v>0</v>
      </c>
      <c r="EH41" s="534">
        <f>SUM(EH9:EH39)</f>
        <v>70.5</v>
      </c>
      <c r="EI41" s="534">
        <f>IFERROR((EH41/$L$41),0)</f>
        <v>0</v>
      </c>
      <c r="EJ41" s="534">
        <f>IFERROR(((EH41*EJ$8)/$L$41),0)</f>
        <v>0</v>
      </c>
      <c r="EK41" s="534">
        <f>SUM(EK9:EK39)</f>
        <v>1266.4492342853659</v>
      </c>
      <c r="EL41" s="534">
        <f>IFERROR((EK41/$L$41),0)</f>
        <v>0</v>
      </c>
      <c r="EM41" s="534">
        <f>IFERROR(((EK41*EM$8)/$L$41),0)</f>
        <v>0</v>
      </c>
      <c r="EN41" s="534">
        <f>SUM(EN9:EN39)</f>
        <v>1906.9767441860465</v>
      </c>
      <c r="EO41" s="534">
        <f>IFERROR((EN41/$L$41),0)</f>
        <v>0</v>
      </c>
      <c r="EP41" s="534">
        <f>IFERROR(((EN41*EP$8)/$L$41),0)</f>
        <v>0</v>
      </c>
      <c r="EQ41" s="534">
        <f>SUM(EQ9:EQ39)</f>
        <v>751.16279069767438</v>
      </c>
      <c r="ER41" s="534">
        <f>IFERROR((EQ41/$L$41),0)</f>
        <v>0</v>
      </c>
      <c r="ES41" s="534">
        <f>IFERROR(((EQ41*ES$8)/$L$41),0)</f>
        <v>0</v>
      </c>
      <c r="ET41" s="534">
        <f>SUM(ET9:ET39)</f>
        <v>218.02165116279036</v>
      </c>
      <c r="EU41" s="534">
        <f>IFERROR((ET41/$L$41),0)</f>
        <v>0</v>
      </c>
      <c r="EV41" s="534">
        <f>IFERROR(((ET41*EV$8)/$L$41),0)</f>
        <v>0</v>
      </c>
      <c r="EW41" s="534">
        <f>SUM(EW9:EW39)</f>
        <v>0</v>
      </c>
      <c r="EX41" s="534">
        <f>IFERROR((EW41/$L$41),0)</f>
        <v>0</v>
      </c>
      <c r="EY41" s="534">
        <f>IFERROR(((EW41*EY$8)/$L$41),0)</f>
        <v>0</v>
      </c>
      <c r="EZ41" s="534">
        <f>SUM(EZ9:EZ39)</f>
        <v>0</v>
      </c>
      <c r="FA41" s="534">
        <f>IFERROR((EZ41/$L$41),0)</f>
        <v>0</v>
      </c>
      <c r="FB41" s="534">
        <f>IFERROR(((EZ41*FB$8)/$L$41),0)</f>
        <v>0</v>
      </c>
      <c r="FC41" s="534">
        <f>SUM(FC9:FC39)</f>
        <v>0</v>
      </c>
      <c r="FD41" s="534">
        <f>IFERROR((FC41/$L$41),0)</f>
        <v>0</v>
      </c>
      <c r="FE41" s="534">
        <f>IFERROR(((FC41*FE$8)/$L$41),0)</f>
        <v>0</v>
      </c>
      <c r="FF41" s="534">
        <f>SUM(FF9:FF39)</f>
        <v>0</v>
      </c>
      <c r="FG41" s="534">
        <f>IFERROR((FF41/$L$41),0)</f>
        <v>0</v>
      </c>
      <c r="FH41" s="534">
        <f>IFERROR(((FF41*FH$8)/$L$41),0)</f>
        <v>0</v>
      </c>
      <c r="FI41" s="534">
        <f>SUM(FI9:FI39)</f>
        <v>0</v>
      </c>
      <c r="FJ41" s="534">
        <f>IFERROR((FI41/$L$41),0)</f>
        <v>0</v>
      </c>
      <c r="FK41" s="534">
        <f>IFERROR(((FI41*FK$8)/$L$41),0)</f>
        <v>0</v>
      </c>
      <c r="FL41" s="534">
        <f>SUM(FL9:FL39)</f>
        <v>0</v>
      </c>
      <c r="FM41" s="534">
        <f>IFERROR((FL41/$L$41),0)</f>
        <v>0</v>
      </c>
      <c r="FN41" s="534">
        <f>IFERROR(((FL41*FN$8)/$L$41),0)</f>
        <v>0</v>
      </c>
      <c r="FO41" s="534">
        <f>SUM(FO9:FO39)</f>
        <v>0</v>
      </c>
      <c r="FP41" s="534">
        <f>IFERROR((FO41/$L$41),0)</f>
        <v>0</v>
      </c>
      <c r="FQ41" s="534">
        <f>IFERROR(((FO41*FQ$8)/$L$41),0)</f>
        <v>0</v>
      </c>
      <c r="FR41" s="534">
        <f>SUM(FR9:FR39)</f>
        <v>0</v>
      </c>
      <c r="FS41" s="534">
        <f>IFERROR((FR41/$L$41),0)</f>
        <v>0</v>
      </c>
      <c r="FT41" s="534">
        <f>IFERROR(((FR41*FT$8)/$L$41),0)</f>
        <v>0</v>
      </c>
      <c r="FU41" s="534">
        <f>SUM(FU9:FU39)</f>
        <v>0</v>
      </c>
      <c r="FV41" s="534">
        <f>IFERROR((FU41/$L$41),0)</f>
        <v>0</v>
      </c>
      <c r="FW41" s="534">
        <f>IFERROR(((FU41*FW$8)/$L$41),0)</f>
        <v>0</v>
      </c>
      <c r="FX41" s="534">
        <f>SUM(FX9:FX39)</f>
        <v>0</v>
      </c>
      <c r="FY41" s="534">
        <f>IFERROR((FX41/$L$41),0)</f>
        <v>0</v>
      </c>
      <c r="FZ41" s="534">
        <f>IFERROR(((FX41*FZ$8)/$L$41),0)</f>
        <v>0</v>
      </c>
      <c r="GA41" s="534">
        <f>SUM(GA9:GA39)</f>
        <v>0</v>
      </c>
      <c r="GB41" s="534">
        <f>IFERROR((GA41/$L$41),0)</f>
        <v>0</v>
      </c>
      <c r="GC41" s="534">
        <f>IFERROR(((GA41*GC$8)/$L$41),0)</f>
        <v>0</v>
      </c>
      <c r="GD41" s="534">
        <f>SUM(GD9:GD39)</f>
        <v>2.3666495906243541</v>
      </c>
      <c r="GE41" s="534">
        <f>IFERROR((GD41/$L$41),0)</f>
        <v>0</v>
      </c>
      <c r="GF41" s="534">
        <f>IFERROR(((GD41*GF$8)/$L$41),0)</f>
        <v>0</v>
      </c>
      <c r="GG41" s="534">
        <f>SUM(GG9:GG39)</f>
        <v>491.05749437084853</v>
      </c>
      <c r="GH41" s="534">
        <f>IFERROR((GG41/$L$41),0)</f>
        <v>0</v>
      </c>
      <c r="GI41" s="534">
        <f>IFERROR(((GG41*GI$8)/$L$41),0)</f>
        <v>0</v>
      </c>
      <c r="GJ41" s="534">
        <f>SUM(GJ9:GJ39)</f>
        <v>575.81346236806257</v>
      </c>
      <c r="GK41" s="534">
        <f>IFERROR((GJ41/$L$41),0)</f>
        <v>0</v>
      </c>
      <c r="GL41" s="534">
        <f>IFERROR(((GJ41*GL$8)/$L$41),0)</f>
        <v>0</v>
      </c>
      <c r="GM41" s="534">
        <f>SUM(GM9:GM39)</f>
        <v>76.268794968756112</v>
      </c>
      <c r="GN41" s="534">
        <f>IFERROR((GM41/$L$41),0)</f>
        <v>0</v>
      </c>
      <c r="GO41" s="534">
        <f>IFERROR(((GM41*GO$8)/$L$41),0)</f>
        <v>0</v>
      </c>
      <c r="GP41" s="534">
        <f>SUM(GP9:GP39)</f>
        <v>786.48173407503407</v>
      </c>
      <c r="GQ41" s="534">
        <f>IFERROR((GP41/$L$41),0)</f>
        <v>0</v>
      </c>
      <c r="GR41" s="534">
        <f>IFERROR(((GP41*GR$8)/$L$41),0)</f>
        <v>0</v>
      </c>
      <c r="GS41" s="534">
        <f>SUM(GS9:GS39)</f>
        <v>4641.1569862976003</v>
      </c>
      <c r="GT41" s="534">
        <f>IFERROR((GS41/$L$41),0)</f>
        <v>0</v>
      </c>
      <c r="GU41" s="534">
        <f>IFERROR(((GS41*GU$8)/$L$41),0)</f>
        <v>0</v>
      </c>
      <c r="GV41" s="534">
        <f>SUM(GV9:GV39)</f>
        <v>1185.4507934694282</v>
      </c>
      <c r="GW41" s="534">
        <f>IFERROR((GV41/$L$41),0)</f>
        <v>0</v>
      </c>
      <c r="GX41" s="534">
        <f>IFERROR(((GV41*GX$8)/$L$41),0)</f>
        <v>0</v>
      </c>
      <c r="GY41" s="534">
        <f>SUM(GY9:GY39)</f>
        <v>0</v>
      </c>
      <c r="GZ41" s="534">
        <f>IFERROR((GY41/$L$41),0)</f>
        <v>0</v>
      </c>
      <c r="HA41" s="534">
        <f>IFERROR(((GY41*HA$8)/$L$41),0)</f>
        <v>0</v>
      </c>
      <c r="HB41" s="534">
        <f>SUM(HB9:HB39)</f>
        <v>0</v>
      </c>
      <c r="HC41" s="534">
        <f>IFERROR((HB41/$L$41),0)</f>
        <v>0</v>
      </c>
      <c r="HD41" s="534">
        <f>IFERROR(((HB41*HD$8)/$L$41),0)</f>
        <v>0</v>
      </c>
      <c r="HE41" s="534">
        <f>SUM(HE9:HE39)</f>
        <v>0</v>
      </c>
      <c r="HF41" s="534">
        <f>IFERROR((HE41/$L$41),0)</f>
        <v>0</v>
      </c>
      <c r="HG41" s="534">
        <f>IFERROR(((HE41*HG$8)/$L$41),0)</f>
        <v>0</v>
      </c>
      <c r="HH41" s="534">
        <f>SUM(HH9:HH39)</f>
        <v>0</v>
      </c>
      <c r="HI41" s="534">
        <f>IFERROR((HH41/$L$41),0)</f>
        <v>0</v>
      </c>
      <c r="HJ41" s="534">
        <f>IFERROR(((HH41*HJ$8)/$L$41),0)</f>
        <v>0</v>
      </c>
      <c r="HK41" s="534">
        <f>SUM(HK9:HK39)</f>
        <v>0</v>
      </c>
      <c r="HL41" s="534">
        <f>IFERROR((HK41/$L$41),0)</f>
        <v>0</v>
      </c>
      <c r="HM41" s="534">
        <f>IFERROR(((HK41*HM$8)/$L$41),0)</f>
        <v>0</v>
      </c>
      <c r="HN41" s="534">
        <f>SUM(HN9:HN39)</f>
        <v>26461.100111274598</v>
      </c>
      <c r="HO41" s="534">
        <f>IFERROR((HN41/$L$41),0)</f>
        <v>0</v>
      </c>
      <c r="HP41" s="534">
        <f>IFERROR(((HN41*HP$8)/$L$41),0)</f>
        <v>0</v>
      </c>
      <c r="HQ41" s="534">
        <f>SUM(HQ9:HQ39)</f>
        <v>0</v>
      </c>
      <c r="HR41" s="534">
        <f>IFERROR((HQ41/$L$41),0)</f>
        <v>0</v>
      </c>
      <c r="HS41" s="534">
        <f>IFERROR(((HQ41*HS$8)/$L$41),0)</f>
        <v>0</v>
      </c>
      <c r="HT41" s="534">
        <f>SUM(HT9:HT39)</f>
        <v>0</v>
      </c>
      <c r="HU41" s="534">
        <f>IFERROR((HT41/$L$41),0)</f>
        <v>0</v>
      </c>
      <c r="HV41" s="534">
        <f>IFERROR(((HT41*HV$8)/$L$41),0)</f>
        <v>0</v>
      </c>
      <c r="HW41" s="534">
        <f>SUM(HW9:HW39)</f>
        <v>0</v>
      </c>
      <c r="HX41" s="534">
        <f>IFERROR((HW41/$L$41),0)</f>
        <v>0</v>
      </c>
      <c r="HY41" s="534">
        <f>IFERROR(((HW41*HY$8)/$L$41),0)</f>
        <v>0</v>
      </c>
      <c r="HZ41" s="534">
        <f>SUM(HZ9:HZ39)</f>
        <v>0</v>
      </c>
      <c r="IA41" s="534">
        <f>IFERROR((HZ41/$L$41),0)</f>
        <v>0</v>
      </c>
      <c r="IB41" s="534">
        <f>IFERROR(((HZ41*IB$8)/$L$41),0)</f>
        <v>0</v>
      </c>
      <c r="IC41" s="534">
        <f>SUM(IC9:IC39)</f>
        <v>0</v>
      </c>
      <c r="ID41" s="534">
        <f>IFERROR((IC41/$L$41),0)</f>
        <v>0</v>
      </c>
      <c r="IE41" s="534">
        <f>IFERROR(((IC41*IE$8)/$L$41),0)</f>
        <v>0</v>
      </c>
      <c r="IF41" s="534">
        <f>SUM(IF9:IF39)</f>
        <v>0</v>
      </c>
      <c r="IG41" s="534">
        <f>IFERROR((IF41/$L$41),0)</f>
        <v>0</v>
      </c>
      <c r="IH41" s="534">
        <f>IFERROR(((IF41*IH$8)/$L$41),0)</f>
        <v>0</v>
      </c>
      <c r="II41" s="534">
        <f>SUM(II9:II39)</f>
        <v>706.1409882883662</v>
      </c>
      <c r="IJ41" s="534">
        <f>IFERROR((II41/$L$41),0)</f>
        <v>0</v>
      </c>
      <c r="IK41" s="534">
        <f>IFERROR(((II41*IK$8)/$L$41),0)</f>
        <v>0</v>
      </c>
      <c r="IL41" s="534">
        <f>SUM(IL9:IL39)</f>
        <v>0</v>
      </c>
      <c r="IM41" s="534">
        <f>IFERROR((IL41/$L$41),0)</f>
        <v>0</v>
      </c>
      <c r="IN41" s="534">
        <f>IFERROR(((IL41*IN$8)/$L$41),0)</f>
        <v>0</v>
      </c>
      <c r="IO41" s="534">
        <f>SUM(IO9:IO39)</f>
        <v>0</v>
      </c>
      <c r="IP41" s="534">
        <f>IFERROR((IO41/$L$41),0)</f>
        <v>0</v>
      </c>
      <c r="IQ41" s="534">
        <f>IFERROR(((IO41*IQ$8)/$L$41),0)</f>
        <v>0</v>
      </c>
      <c r="IR41" s="534">
        <f>SUM(IR9:IR39)</f>
        <v>1501.2809649673281</v>
      </c>
      <c r="IS41" s="534">
        <f>IFERROR((IR41/$L$41),0)</f>
        <v>0</v>
      </c>
      <c r="IT41" s="534">
        <f>IFERROR(((IR41*IT$8)/$L$41),0)</f>
        <v>0</v>
      </c>
      <c r="IU41" s="534">
        <f>SUM(IU9:IU39)</f>
        <v>20</v>
      </c>
      <c r="IV41" s="534">
        <f>IFERROR((IU41/$L$41),0)</f>
        <v>0</v>
      </c>
      <c r="IW41" s="534">
        <f>IFERROR(((IU41*IW$8)/$L$41),0)</f>
        <v>0</v>
      </c>
      <c r="IX41" s="534">
        <f>SUM(IX9:IX39)</f>
        <v>0</v>
      </c>
      <c r="IY41" s="534">
        <f>IFERROR((IX41/$L$41),0)</f>
        <v>0</v>
      </c>
      <c r="IZ41" s="534">
        <f>IFERROR(((IX41*IZ$8)/$L$41),0)</f>
        <v>0</v>
      </c>
      <c r="JA41" s="534">
        <f>SUM(JA9:JA39)</f>
        <v>15</v>
      </c>
      <c r="JB41" s="534">
        <f>IFERROR((JA41/$L$41),0)</f>
        <v>0</v>
      </c>
      <c r="JC41" s="534">
        <f>IFERROR(((JA41*JC$8)/$L$41),0)</f>
        <v>0</v>
      </c>
      <c r="JD41" s="534">
        <f>SUM(JD9:JD39)</f>
        <v>341.57949966923775</v>
      </c>
      <c r="JE41" s="534">
        <f>IFERROR((JD41/$L$41),0)</f>
        <v>0</v>
      </c>
      <c r="JF41" s="534">
        <f>IFERROR(((JD41*JF$8)/$L$41),0)</f>
        <v>0</v>
      </c>
      <c r="JG41" s="534">
        <f>SUM(JG9:JG39)</f>
        <v>69.782433821581364</v>
      </c>
      <c r="JH41" s="534">
        <f>IFERROR((JG41/$L$41),0)</f>
        <v>0</v>
      </c>
      <c r="JI41" s="534">
        <f>IFERROR(((JG41*JI$8)/$L$41),0)</f>
        <v>0</v>
      </c>
      <c r="JJ41" s="534">
        <f>SUM(JJ9:JJ39)</f>
        <v>738.5901949375608</v>
      </c>
      <c r="JK41" s="534">
        <f>IFERROR((JJ41/$L$41),0)</f>
        <v>0</v>
      </c>
      <c r="JL41" s="534">
        <f>IFERROR(((JJ41*JL$8)/$L$41),0)</f>
        <v>0</v>
      </c>
      <c r="JM41" s="534">
        <f>SUM(JM9:JM39)</f>
        <v>0</v>
      </c>
      <c r="JN41" s="534">
        <f>IFERROR((JM41/$L$41),0)</f>
        <v>0</v>
      </c>
      <c r="JO41" s="534">
        <f>IFERROR(((JM41*JO$8)/$L$41),0)</f>
        <v>0</v>
      </c>
      <c r="JP41" s="534">
        <f>SUM(JP9:JP39)</f>
        <v>0</v>
      </c>
      <c r="JQ41" s="534">
        <f>IFERROR((JP41/$L$41),0)</f>
        <v>0</v>
      </c>
      <c r="JR41" s="534">
        <f>IFERROR(((JP41*JR$8)/$L$41),0)</f>
        <v>0</v>
      </c>
      <c r="JS41" s="534">
        <f>SUM(JS9:JS39)</f>
        <v>0</v>
      </c>
      <c r="JT41" s="534">
        <f>IFERROR((JS41/$L$41),0)</f>
        <v>0</v>
      </c>
      <c r="JU41" s="534">
        <f>IFERROR(((JS41*JU$8)/$L$41),0)</f>
        <v>0</v>
      </c>
      <c r="JV41" s="534">
        <f>SUM(JV9:JV39)</f>
        <v>0</v>
      </c>
      <c r="JW41" s="534">
        <f>IFERROR((JV41/$L$41),0)</f>
        <v>0</v>
      </c>
      <c r="JX41" s="534">
        <f>IFERROR(((JV41*JX$8)/$L$41),0)</f>
        <v>0</v>
      </c>
      <c r="JY41" s="534">
        <f>SUM(JY9:JY39)</f>
        <v>0</v>
      </c>
      <c r="JZ41" s="534">
        <f>IFERROR((JY41/$L$41),0)</f>
        <v>0</v>
      </c>
      <c r="KA41" s="534">
        <f>IFERROR(((JY41*KA$8)/$L$41),0)</f>
        <v>0</v>
      </c>
      <c r="KB41" s="534">
        <f>SUM(KB9:KB39)</f>
        <v>0</v>
      </c>
      <c r="KC41" s="534">
        <f>IFERROR((KB41/$L$41),0)</f>
        <v>0</v>
      </c>
      <c r="KD41" s="534">
        <f>IFERROR(((KB41*KD$8)/$L$41),0)</f>
        <v>0</v>
      </c>
      <c r="KE41" s="534">
        <f>SUM(KE9:KE39)</f>
        <v>0</v>
      </c>
      <c r="KF41" s="534">
        <f>IFERROR((KE41/$L$41),0)</f>
        <v>0</v>
      </c>
      <c r="KG41" s="534">
        <f>IFERROR(((KE41*KG$8)/$L$41),0)</f>
        <v>0</v>
      </c>
      <c r="KH41" s="534">
        <f>SUM(KH9:KH39)</f>
        <v>0</v>
      </c>
      <c r="KI41" s="534">
        <f>IFERROR((KH41/$L$41),0)</f>
        <v>0</v>
      </c>
      <c r="KJ41" s="534">
        <f>IFERROR(((KH41*KJ$8)/$L$41),0)</f>
        <v>0</v>
      </c>
      <c r="KK41" s="534">
        <f>SUM(KK9:KK39)</f>
        <v>0</v>
      </c>
      <c r="KL41" s="534">
        <f>IFERROR((KK41/$L$41),0)</f>
        <v>0</v>
      </c>
      <c r="KM41" s="534">
        <f>IFERROR(((KK41*KM$8)/$L$41),0)</f>
        <v>0</v>
      </c>
      <c r="KN41" s="534">
        <f>SUM(KN9:KN39)</f>
        <v>0</v>
      </c>
      <c r="KO41" s="534">
        <f>IFERROR((KN41/$L$41),0)</f>
        <v>0</v>
      </c>
      <c r="KP41" s="534">
        <f>IFERROR(((KN41*KP$8)/$L$41),0)</f>
        <v>0</v>
      </c>
      <c r="KQ41" s="534">
        <f>SUM(KQ9:KQ39)</f>
        <v>0</v>
      </c>
      <c r="KR41" s="534">
        <f>IFERROR((KQ41/$L$41),0)</f>
        <v>0</v>
      </c>
      <c r="KS41" s="534">
        <f>IFERROR(((KQ41*KS$8)/$L$41),0)</f>
        <v>0</v>
      </c>
      <c r="KT41" s="535">
        <f t="shared" si="201"/>
        <v>0</v>
      </c>
      <c r="KU41" s="535">
        <f t="shared" si="202"/>
        <v>0</v>
      </c>
      <c r="KV41" s="271">
        <f t="shared" si="241"/>
        <v>53344.865374242072</v>
      </c>
      <c r="KW41" s="536"/>
      <c r="KX41" s="536"/>
      <c r="KY41" s="536"/>
      <c r="KZ41" s="536"/>
      <c r="LA41" s="536"/>
      <c r="LB41" s="536"/>
      <c r="LC41" s="536"/>
      <c r="LD41" s="536"/>
      <c r="LE41" s="536"/>
      <c r="LF41" s="536"/>
      <c r="LG41" s="536"/>
      <c r="LH41" s="536"/>
      <c r="LI41" s="536"/>
      <c r="LJ41" s="536"/>
      <c r="LK41" s="536"/>
      <c r="LL41" s="536"/>
      <c r="LM41" s="536"/>
      <c r="LN41" s="536"/>
      <c r="LO41" s="536"/>
      <c r="LP41" s="536"/>
      <c r="LQ41" s="536"/>
      <c r="LR41" s="536"/>
      <c r="LS41" s="536"/>
      <c r="LT41" s="536"/>
      <c r="LU41" s="536"/>
      <c r="LV41" s="536"/>
      <c r="LW41" s="536"/>
      <c r="LX41" s="536"/>
      <c r="LY41" s="536"/>
      <c r="LZ41" s="536"/>
      <c r="MA41" s="536"/>
      <c r="MB41" s="536"/>
      <c r="MC41" s="536"/>
      <c r="MD41" s="536"/>
      <c r="ME41" s="536"/>
      <c r="MF41" s="536"/>
      <c r="MG41" s="536"/>
      <c r="MH41" s="536"/>
      <c r="MI41" s="536"/>
      <c r="MJ41" s="536"/>
      <c r="MK41" s="536"/>
      <c r="ML41" s="536"/>
      <c r="MM41" s="536"/>
      <c r="MN41" s="536"/>
      <c r="MO41" s="536"/>
      <c r="MP41" s="536"/>
      <c r="MQ41" s="536"/>
      <c r="MR41" s="536"/>
      <c r="MS41" s="536"/>
      <c r="MT41" s="536"/>
      <c r="MU41" s="536"/>
      <c r="MV41" s="536"/>
      <c r="MW41" s="536"/>
      <c r="MX41" s="536"/>
      <c r="MY41" s="536"/>
      <c r="MZ41" s="536"/>
      <c r="NA41" s="536"/>
      <c r="NB41" s="536"/>
      <c r="NC41" s="536"/>
      <c r="ND41" s="536"/>
      <c r="NE41" s="536"/>
      <c r="NF41" s="536"/>
      <c r="NG41" s="536"/>
      <c r="NH41" s="536"/>
      <c r="NI41" s="536"/>
      <c r="NJ41" s="536"/>
      <c r="NK41" s="536"/>
      <c r="NL41" s="536"/>
      <c r="NM41" s="536"/>
      <c r="NN41" s="536"/>
      <c r="NO41" s="536"/>
      <c r="NP41" s="536"/>
      <c r="NQ41" s="536"/>
      <c r="NR41" s="536"/>
      <c r="NS41" s="536"/>
      <c r="NT41" s="536"/>
      <c r="NU41" s="536"/>
      <c r="NV41" s="536"/>
      <c r="NW41" s="536"/>
      <c r="NX41" s="536"/>
      <c r="NY41" s="536"/>
      <c r="NZ41" s="536"/>
      <c r="OA41" s="536"/>
      <c r="OB41" s="536"/>
      <c r="OC41" s="536"/>
      <c r="OD41" s="536"/>
      <c r="OE41" s="536"/>
      <c r="OF41" s="536"/>
      <c r="OG41" s="536"/>
      <c r="OH41" s="536"/>
      <c r="OI41" s="536"/>
      <c r="OJ41" s="536"/>
      <c r="OK41" s="536"/>
      <c r="OL41" s="536"/>
      <c r="OM41" s="536"/>
      <c r="ON41" s="536"/>
      <c r="OO41" s="536"/>
      <c r="OP41" s="536"/>
      <c r="OQ41" s="536"/>
      <c r="OR41" s="536"/>
      <c r="OS41" s="536"/>
      <c r="OT41" s="536"/>
      <c r="OU41" s="536"/>
      <c r="OV41" s="536"/>
      <c r="OW41" s="536"/>
      <c r="OX41" s="536"/>
      <c r="OY41" s="536"/>
      <c r="OZ41" s="536"/>
      <c r="PA41" s="536"/>
      <c r="PB41" s="536"/>
      <c r="PC41" s="536"/>
      <c r="PD41" s="536"/>
      <c r="PE41" s="536"/>
      <c r="PF41" s="536"/>
      <c r="PG41" s="536"/>
      <c r="PH41" s="536"/>
      <c r="PI41" s="536"/>
      <c r="PJ41" s="536"/>
      <c r="PK41" s="536"/>
      <c r="PL41" s="536"/>
      <c r="PM41" s="536"/>
      <c r="PN41" s="536"/>
      <c r="PO41" s="536"/>
      <c r="PP41" s="536"/>
      <c r="PQ41" s="536"/>
      <c r="PR41" s="536"/>
      <c r="PS41" s="536"/>
      <c r="PT41" s="536"/>
      <c r="PU41" s="536"/>
      <c r="PV41" s="536"/>
      <c r="PW41" s="536"/>
      <c r="PX41" s="536"/>
      <c r="PY41" s="536"/>
      <c r="PZ41" s="536"/>
      <c r="QA41" s="536"/>
      <c r="QB41" s="536"/>
      <c r="QC41" s="536"/>
      <c r="QD41" s="536"/>
      <c r="QE41" s="536"/>
      <c r="QF41" s="536"/>
      <c r="QG41" s="536"/>
      <c r="QH41" s="536"/>
      <c r="QI41" s="536"/>
      <c r="QJ41" s="536"/>
      <c r="QK41" s="536"/>
      <c r="QL41" s="536"/>
      <c r="QM41" s="536"/>
      <c r="QN41" s="536"/>
      <c r="QO41" s="536"/>
      <c r="QP41" s="536"/>
      <c r="QQ41" s="536"/>
      <c r="QR41" s="536"/>
      <c r="QS41" s="536"/>
      <c r="QT41" s="536"/>
      <c r="QU41" s="536"/>
      <c r="QV41" s="536"/>
      <c r="QW41" s="536"/>
      <c r="QX41" s="536"/>
      <c r="QY41" s="536"/>
      <c r="QZ41" s="536"/>
      <c r="RA41" s="536"/>
      <c r="RB41" s="536"/>
      <c r="RC41" s="536"/>
      <c r="RD41" s="536"/>
      <c r="RE41" s="536"/>
      <c r="RF41" s="536"/>
      <c r="RG41" s="536"/>
      <c r="RH41" s="536"/>
      <c r="RI41" s="536"/>
      <c r="RJ41" s="536"/>
      <c r="RK41" s="536"/>
      <c r="RL41" s="536"/>
      <c r="RM41" s="536"/>
      <c r="RN41" s="536"/>
      <c r="RO41" s="536"/>
      <c r="RP41" s="536"/>
      <c r="RQ41" s="536"/>
      <c r="RR41" s="536"/>
      <c r="RS41" s="536"/>
      <c r="RT41" s="536"/>
      <c r="RU41" s="536"/>
      <c r="RV41" s="536"/>
      <c r="RW41" s="536"/>
      <c r="RX41" s="536"/>
      <c r="RY41" s="536"/>
      <c r="RZ41" s="536"/>
      <c r="SA41" s="536"/>
      <c r="SB41" s="536"/>
      <c r="SC41" s="536"/>
      <c r="SD41" s="536"/>
      <c r="SE41" s="536"/>
      <c r="SF41" s="536"/>
      <c r="SG41" s="536"/>
      <c r="SH41" s="536"/>
      <c r="SI41" s="536"/>
      <c r="SJ41" s="536"/>
      <c r="SK41" s="536"/>
      <c r="SL41" s="536"/>
      <c r="SM41" s="536"/>
      <c r="SN41" s="536"/>
      <c r="SO41" s="536"/>
      <c r="SP41" s="536"/>
      <c r="SQ41" s="536"/>
      <c r="SR41" s="536"/>
      <c r="SS41" s="536"/>
      <c r="ST41" s="536"/>
      <c r="SU41" s="536"/>
      <c r="SV41" s="536"/>
      <c r="SW41" s="536"/>
      <c r="SX41" s="536"/>
      <c r="SY41" s="536"/>
      <c r="SZ41" s="536"/>
      <c r="TA41" s="536"/>
      <c r="TB41" s="536"/>
      <c r="TC41" s="536"/>
      <c r="TD41" s="536"/>
      <c r="TE41" s="536"/>
      <c r="TF41" s="536"/>
      <c r="TG41" s="536"/>
      <c r="TH41" s="536"/>
      <c r="TI41" s="536"/>
      <c r="TJ41" s="536"/>
      <c r="TK41" s="536"/>
      <c r="TL41" s="536"/>
      <c r="TM41" s="536"/>
      <c r="TN41" s="536"/>
      <c r="TO41" s="536"/>
      <c r="TP41" s="536"/>
      <c r="TQ41" s="536"/>
      <c r="TR41" s="536"/>
      <c r="TS41" s="536"/>
      <c r="TT41" s="536"/>
      <c r="TU41" s="536"/>
      <c r="TV41" s="536"/>
      <c r="TW41" s="536"/>
      <c r="TX41" s="536"/>
      <c r="TY41" s="536"/>
      <c r="TZ41" s="536"/>
      <c r="UA41" s="536"/>
      <c r="UB41" s="536"/>
      <c r="UC41" s="536"/>
      <c r="UD41" s="536"/>
      <c r="UE41" s="536"/>
      <c r="UF41" s="536"/>
      <c r="UG41" s="536"/>
      <c r="UH41" s="536"/>
      <c r="UI41" s="536"/>
      <c r="UJ41" s="536"/>
      <c r="UK41" s="536"/>
      <c r="UL41" s="536"/>
      <c r="UM41" s="536"/>
      <c r="UN41" s="536"/>
      <c r="UO41" s="536"/>
      <c r="UP41" s="536"/>
      <c r="UQ41" s="536"/>
      <c r="UR41" s="536"/>
      <c r="US41" s="536"/>
      <c r="UT41" s="536"/>
      <c r="UU41" s="536"/>
      <c r="UV41" s="536"/>
      <c r="UW41" s="536"/>
      <c r="UX41" s="536"/>
      <c r="UY41" s="536"/>
      <c r="UZ41" s="536"/>
      <c r="VA41" s="536"/>
      <c r="VB41" s="536"/>
      <c r="VC41" s="536"/>
      <c r="VD41" s="536"/>
      <c r="VE41" s="536"/>
      <c r="VF41" s="536"/>
      <c r="VG41" s="536"/>
      <c r="VH41" s="536"/>
      <c r="VI41" s="536"/>
      <c r="VJ41" s="536"/>
      <c r="VK41" s="536"/>
      <c r="VL41" s="536"/>
      <c r="VM41" s="536"/>
      <c r="VN41" s="536"/>
      <c r="VO41" s="536"/>
      <c r="VP41" s="536"/>
      <c r="VQ41" s="536"/>
      <c r="VR41" s="536"/>
      <c r="VS41" s="536"/>
      <c r="VT41" s="536"/>
      <c r="VU41" s="536"/>
      <c r="VV41" s="536"/>
      <c r="VW41" s="536"/>
      <c r="VX41" s="536"/>
      <c r="VY41" s="536"/>
      <c r="VZ41" s="536"/>
      <c r="WA41" s="536"/>
      <c r="WB41" s="536"/>
      <c r="WC41" s="536"/>
      <c r="WD41" s="536"/>
      <c r="WE41" s="536"/>
      <c r="WF41" s="536"/>
      <c r="WG41" s="536"/>
      <c r="WH41" s="536"/>
      <c r="WI41" s="536"/>
      <c r="WJ41" s="536"/>
      <c r="WK41" s="536"/>
      <c r="WL41" s="536"/>
      <c r="WM41" s="536"/>
      <c r="WN41" s="536"/>
      <c r="WO41" s="536"/>
      <c r="WP41" s="536"/>
      <c r="WQ41" s="536"/>
      <c r="WR41" s="536"/>
      <c r="WS41" s="536"/>
      <c r="WT41" s="536"/>
      <c r="WU41" s="536"/>
      <c r="WV41" s="536"/>
      <c r="WW41" s="536"/>
      <c r="WX41" s="536"/>
      <c r="WY41" s="536"/>
      <c r="WZ41" s="536"/>
      <c r="XA41" s="536"/>
      <c r="XB41" s="536"/>
      <c r="XC41" s="536"/>
      <c r="XD41" s="536"/>
      <c r="XE41" s="536"/>
      <c r="XF41" s="536"/>
      <c r="XG41" s="536"/>
      <c r="XH41" s="536"/>
      <c r="XI41" s="536"/>
      <c r="XJ41" s="536"/>
      <c r="XK41" s="536"/>
      <c r="XL41" s="536"/>
      <c r="XM41" s="536"/>
      <c r="XN41" s="536"/>
      <c r="XO41" s="536"/>
      <c r="XP41" s="536"/>
      <c r="XQ41" s="536"/>
      <c r="XR41" s="536"/>
      <c r="XS41" s="536"/>
      <c r="XT41" s="536"/>
      <c r="XU41" s="536"/>
      <c r="XV41" s="536"/>
      <c r="XW41" s="536"/>
      <c r="XX41" s="536"/>
      <c r="XY41" s="536"/>
      <c r="XZ41" s="536"/>
      <c r="YA41" s="536"/>
      <c r="YB41" s="536"/>
      <c r="YC41" s="536"/>
      <c r="YD41" s="536"/>
      <c r="YE41" s="536"/>
      <c r="YF41" s="536"/>
      <c r="YG41" s="536"/>
      <c r="YH41" s="536"/>
      <c r="YI41" s="536"/>
      <c r="YJ41" s="536"/>
      <c r="YK41" s="536"/>
      <c r="YL41" s="536"/>
      <c r="YM41" s="536"/>
      <c r="YN41" s="536"/>
      <c r="YO41" s="536"/>
      <c r="YP41" s="536"/>
      <c r="YQ41" s="536"/>
      <c r="YR41" s="536"/>
      <c r="YS41" s="536"/>
      <c r="YT41" s="536"/>
      <c r="YU41" s="536"/>
      <c r="YV41" s="536"/>
      <c r="YW41" s="536"/>
      <c r="YX41" s="536"/>
      <c r="YY41" s="536"/>
      <c r="YZ41" s="536"/>
      <c r="ZA41" s="536"/>
      <c r="ZB41" s="536"/>
      <c r="ZC41" s="536"/>
      <c r="ZD41" s="536"/>
      <c r="ZE41" s="536"/>
      <c r="ZF41" s="536"/>
      <c r="ZG41" s="536"/>
      <c r="ZH41" s="536"/>
      <c r="ZI41" s="536"/>
      <c r="ZJ41" s="536"/>
      <c r="ZK41" s="536"/>
      <c r="ZL41" s="536"/>
      <c r="ZM41" s="536"/>
      <c r="ZN41" s="536"/>
      <c r="ZO41" s="536"/>
      <c r="ZP41" s="536"/>
      <c r="ZQ41" s="536"/>
      <c r="ZR41" s="536"/>
      <c r="ZS41" s="536"/>
      <c r="ZT41" s="536"/>
      <c r="ZU41" s="536"/>
      <c r="ZV41" s="536"/>
      <c r="ZW41" s="536"/>
      <c r="ZX41" s="536"/>
      <c r="ZY41" s="536"/>
      <c r="ZZ41" s="536"/>
      <c r="AAA41" s="536"/>
      <c r="AAB41" s="536"/>
      <c r="AAC41" s="536"/>
      <c r="AAD41" s="536"/>
      <c r="AAE41" s="536"/>
      <c r="AAF41" s="536"/>
      <c r="AAG41" s="536"/>
      <c r="AAH41" s="536"/>
      <c r="AAI41" s="536"/>
      <c r="AAJ41" s="536"/>
      <c r="AAK41" s="536"/>
      <c r="AAL41" s="536"/>
      <c r="AAM41" s="536"/>
      <c r="AAN41" s="536"/>
      <c r="AAO41" s="536"/>
      <c r="AAP41" s="536"/>
      <c r="AAQ41" s="536"/>
      <c r="AAR41" s="536"/>
      <c r="AAS41" s="536"/>
      <c r="AAT41" s="536"/>
      <c r="AAU41" s="536"/>
      <c r="AAV41" s="536"/>
      <c r="AAW41" s="536"/>
      <c r="AAX41" s="536"/>
      <c r="AAY41" s="536"/>
      <c r="AAZ41" s="536"/>
      <c r="ABA41" s="536"/>
      <c r="ABB41" s="536"/>
      <c r="ABC41" s="536"/>
      <c r="ABD41" s="536"/>
      <c r="ABE41" s="536"/>
      <c r="ABF41" s="536"/>
      <c r="ABG41" s="536"/>
      <c r="ABH41" s="536"/>
      <c r="ABI41" s="536"/>
      <c r="ABJ41" s="536"/>
      <c r="ABK41" s="536"/>
      <c r="ABL41" s="536"/>
      <c r="ABM41" s="536"/>
      <c r="ABN41" s="536"/>
      <c r="ABO41" s="536"/>
      <c r="ABP41" s="536"/>
      <c r="ABQ41" s="536"/>
      <c r="ABR41" s="536"/>
      <c r="ABS41" s="536"/>
      <c r="ABT41" s="536"/>
      <c r="ABU41" s="536"/>
      <c r="ABV41" s="536"/>
      <c r="ABW41" s="536"/>
      <c r="ABX41" s="536"/>
      <c r="ABY41" s="536"/>
      <c r="ABZ41" s="536"/>
      <c r="ACA41" s="536"/>
      <c r="ACB41" s="536"/>
      <c r="ACC41" s="536"/>
      <c r="ACD41" s="536"/>
      <c r="ACE41" s="536"/>
      <c r="ACF41" s="536"/>
      <c r="ACG41" s="536"/>
      <c r="ACH41" s="536"/>
      <c r="ACI41" s="536"/>
      <c r="ACJ41" s="536"/>
      <c r="ACK41" s="536"/>
      <c r="ACL41" s="536"/>
      <c r="ACM41" s="536"/>
      <c r="ACN41" s="536"/>
      <c r="ACO41" s="536"/>
      <c r="ACP41" s="536"/>
      <c r="ACQ41" s="536"/>
      <c r="ACR41" s="536"/>
      <c r="ACS41" s="536"/>
      <c r="ACT41" s="536"/>
      <c r="ACU41" s="536"/>
      <c r="ACV41" s="536"/>
      <c r="ACW41" s="536"/>
      <c r="ACX41" s="536"/>
      <c r="ACY41" s="536"/>
      <c r="ACZ41" s="536"/>
      <c r="ADA41" s="536"/>
      <c r="ADB41" s="536"/>
      <c r="ADC41" s="536"/>
      <c r="ADD41" s="536"/>
      <c r="ADE41" s="536"/>
      <c r="ADF41" s="536"/>
      <c r="ADG41" s="536"/>
      <c r="ADH41" s="536"/>
      <c r="ADI41" s="536"/>
      <c r="ADJ41" s="536"/>
      <c r="ADK41" s="536"/>
      <c r="ADL41" s="536"/>
      <c r="ADM41" s="536"/>
      <c r="ADN41" s="536"/>
      <c r="ADO41" s="536"/>
      <c r="ADP41" s="536"/>
      <c r="ADQ41" s="536"/>
      <c r="ADR41" s="536"/>
      <c r="ADS41" s="536"/>
      <c r="ADT41" s="536"/>
      <c r="ADU41" s="536"/>
      <c r="ADV41" s="536"/>
      <c r="ADW41" s="536"/>
      <c r="ADX41" s="536"/>
      <c r="ADY41" s="536"/>
      <c r="ADZ41" s="536"/>
      <c r="AEA41" s="536"/>
      <c r="AEB41" s="536"/>
      <c r="AEC41" s="536"/>
      <c r="AED41" s="536"/>
      <c r="AEE41" s="536"/>
      <c r="AEF41" s="536"/>
      <c r="AEG41" s="536"/>
      <c r="AEH41" s="536"/>
      <c r="AEI41" s="536"/>
      <c r="AEJ41" s="536"/>
      <c r="AEK41" s="536"/>
      <c r="AEL41" s="536"/>
      <c r="AEM41" s="536"/>
      <c r="AEN41" s="536"/>
      <c r="AEO41" s="536"/>
      <c r="AEP41" s="536"/>
      <c r="AEQ41" s="536"/>
      <c r="AER41" s="536"/>
      <c r="AES41" s="536"/>
      <c r="AET41" s="536"/>
      <c r="AEU41" s="536"/>
      <c r="AEV41" s="536"/>
      <c r="AEW41" s="536"/>
      <c r="AEX41" s="536"/>
      <c r="AEY41" s="536"/>
      <c r="AEZ41" s="536"/>
      <c r="AFA41" s="536"/>
      <c r="AFB41" s="536"/>
      <c r="AFC41" s="536"/>
      <c r="AFD41" s="536"/>
      <c r="AFE41" s="536"/>
      <c r="AFF41" s="536"/>
      <c r="AFG41" s="536"/>
      <c r="AFH41" s="536"/>
      <c r="AFI41" s="536"/>
      <c r="AFJ41" s="536"/>
      <c r="AFK41" s="536"/>
      <c r="AFL41" s="536"/>
      <c r="AFM41" s="536"/>
      <c r="AFN41" s="536"/>
      <c r="AFO41" s="536"/>
      <c r="AFP41" s="536"/>
      <c r="AFQ41" s="536"/>
      <c r="AFR41" s="536"/>
      <c r="AFS41" s="536"/>
      <c r="AFT41" s="536"/>
      <c r="AFU41" s="536"/>
      <c r="AFV41" s="536"/>
      <c r="AFW41" s="536"/>
      <c r="AFX41" s="536"/>
      <c r="AFY41" s="536"/>
      <c r="AFZ41" s="536"/>
      <c r="AGA41" s="536"/>
      <c r="AGB41" s="536"/>
      <c r="AGC41" s="536"/>
      <c r="AGD41" s="536"/>
      <c r="AGE41" s="536"/>
      <c r="AGF41" s="536"/>
      <c r="AGG41" s="536"/>
      <c r="AGH41" s="536"/>
      <c r="AGI41" s="536"/>
      <c r="AGJ41" s="536"/>
      <c r="AGK41" s="536"/>
      <c r="AGL41" s="536"/>
      <c r="AGM41" s="536"/>
      <c r="AGN41" s="536"/>
      <c r="AGO41" s="536"/>
      <c r="AGP41" s="536"/>
      <c r="AGQ41" s="536"/>
      <c r="AGR41" s="536"/>
      <c r="AGS41" s="536"/>
      <c r="AGT41" s="536"/>
      <c r="AGU41" s="536"/>
      <c r="AGV41" s="536"/>
      <c r="AGW41" s="536"/>
      <c r="AGX41" s="536"/>
      <c r="AGY41" s="536"/>
      <c r="AGZ41" s="536"/>
      <c r="AHA41" s="536"/>
      <c r="AHB41" s="536"/>
      <c r="AHC41" s="536"/>
      <c r="AHD41" s="536"/>
      <c r="AHE41" s="536"/>
      <c r="AHF41" s="536"/>
      <c r="AHG41" s="536"/>
      <c r="AHH41" s="536"/>
      <c r="AHI41" s="536"/>
      <c r="AHJ41" s="536"/>
      <c r="AHK41" s="536"/>
      <c r="AHL41" s="536"/>
      <c r="AHM41" s="536"/>
      <c r="AHN41" s="536"/>
      <c r="AHO41" s="536"/>
      <c r="AHP41" s="536"/>
      <c r="AHQ41" s="536"/>
      <c r="AHR41" s="536"/>
      <c r="AHS41" s="536"/>
      <c r="AHT41" s="536"/>
      <c r="AHU41" s="536"/>
      <c r="AHV41" s="536"/>
      <c r="AHW41" s="536"/>
      <c r="AHX41" s="536"/>
      <c r="AHY41" s="536"/>
      <c r="AHZ41" s="536"/>
      <c r="AIA41" s="536"/>
      <c r="AIB41" s="536"/>
      <c r="AIC41" s="536"/>
      <c r="AID41" s="536"/>
      <c r="AIE41" s="536"/>
      <c r="AIF41" s="536"/>
      <c r="AIG41" s="536"/>
      <c r="AIH41" s="536"/>
      <c r="AII41" s="536"/>
      <c r="AIJ41" s="536"/>
      <c r="AIK41" s="536"/>
      <c r="AIL41" s="536"/>
      <c r="AIM41" s="536"/>
      <c r="AIN41" s="536"/>
      <c r="AIO41" s="536"/>
      <c r="AIP41" s="536"/>
      <c r="AIQ41" s="536"/>
      <c r="AIR41" s="536"/>
      <c r="AIS41" s="536"/>
      <c r="AIT41" s="536"/>
      <c r="AIU41" s="536"/>
      <c r="AIV41" s="536"/>
      <c r="AIW41" s="536"/>
      <c r="AIX41" s="536"/>
      <c r="AIY41" s="536"/>
      <c r="AIZ41" s="536"/>
      <c r="AJA41" s="536"/>
      <c r="AJB41" s="536"/>
      <c r="AJC41" s="536"/>
      <c r="AJD41" s="536"/>
      <c r="AJE41" s="536"/>
      <c r="AJF41" s="536"/>
      <c r="AJG41" s="536"/>
      <c r="AJH41" s="536"/>
      <c r="AJI41" s="536"/>
      <c r="AJJ41" s="536"/>
      <c r="AJK41" s="536"/>
      <c r="AJL41" s="536"/>
      <c r="AJM41" s="536"/>
      <c r="AJN41" s="536"/>
      <c r="AJO41" s="536"/>
      <c r="AJP41" s="536"/>
      <c r="AJQ41" s="536"/>
      <c r="AJR41" s="536"/>
      <c r="AJS41" s="536"/>
      <c r="AJT41" s="536"/>
      <c r="AJU41" s="536"/>
      <c r="AJV41" s="536"/>
      <c r="AJW41" s="536"/>
      <c r="AJX41" s="536"/>
      <c r="AJY41" s="536"/>
      <c r="AJZ41" s="536"/>
      <c r="AKA41" s="536"/>
      <c r="AKB41" s="536"/>
      <c r="AKC41" s="536"/>
      <c r="AKD41" s="536"/>
      <c r="AKE41" s="536"/>
      <c r="AKF41" s="536"/>
      <c r="AKG41" s="536"/>
      <c r="AKH41" s="536"/>
      <c r="AKI41" s="536"/>
      <c r="AKJ41" s="536"/>
      <c r="AKK41" s="536"/>
      <c r="AKL41" s="536"/>
      <c r="AKM41" s="536"/>
      <c r="AKN41" s="536"/>
      <c r="AKO41" s="536"/>
      <c r="AKP41" s="536"/>
      <c r="AKQ41" s="536"/>
      <c r="AKR41" s="536"/>
      <c r="AKS41" s="536"/>
      <c r="AKT41" s="536"/>
      <c r="AKU41" s="536"/>
      <c r="AKV41" s="536"/>
      <c r="AKW41" s="536"/>
      <c r="AKX41" s="536"/>
      <c r="AKY41" s="536"/>
      <c r="AKZ41" s="536"/>
      <c r="ALA41" s="536"/>
      <c r="ALB41" s="536"/>
      <c r="ALC41" s="536"/>
      <c r="ALD41" s="536"/>
      <c r="ALE41" s="536"/>
      <c r="ALF41" s="536"/>
      <c r="ALG41" s="536"/>
      <c r="ALH41" s="536"/>
      <c r="ALI41" s="536"/>
      <c r="ALJ41" s="536"/>
      <c r="ALK41" s="536"/>
      <c r="ALL41" s="536"/>
      <c r="ALM41" s="536"/>
      <c r="ALN41" s="536"/>
      <c r="ALO41" s="536"/>
      <c r="ALP41" s="536"/>
      <c r="ALQ41" s="536"/>
      <c r="ALR41" s="536"/>
      <c r="ALS41" s="536"/>
      <c r="ALT41" s="536"/>
      <c r="ALU41" s="536"/>
      <c r="ALV41" s="536"/>
      <c r="ALW41" s="536"/>
      <c r="ALX41" s="536"/>
      <c r="ALY41" s="536"/>
      <c r="ALZ41" s="536"/>
      <c r="AMA41" s="536"/>
      <c r="AMB41" s="536"/>
      <c r="AMC41" s="536"/>
      <c r="AMD41" s="536"/>
      <c r="AME41" s="536"/>
      <c r="AMF41" s="536"/>
      <c r="AMG41" s="536"/>
      <c r="AMH41" s="536"/>
      <c r="AMI41" s="536"/>
      <c r="AMJ41" s="536"/>
      <c r="AMK41" s="536"/>
      <c r="AML41" s="536"/>
      <c r="AMM41" s="536"/>
      <c r="AMN41" s="536"/>
      <c r="AMO41" s="536"/>
      <c r="AMP41" s="536"/>
      <c r="AMQ41" s="536"/>
      <c r="AMR41" s="536"/>
      <c r="AMS41" s="536"/>
      <c r="AMT41" s="536"/>
      <c r="AMU41" s="536"/>
      <c r="AMV41" s="536"/>
      <c r="AMW41" s="536"/>
      <c r="AMX41" s="536"/>
      <c r="AMY41" s="536"/>
      <c r="AMZ41" s="536"/>
      <c r="ANA41" s="536"/>
      <c r="ANB41" s="536"/>
      <c r="ANC41" s="536"/>
      <c r="AND41" s="536"/>
      <c r="ANE41" s="536"/>
      <c r="ANF41" s="536"/>
      <c r="ANG41" s="536"/>
      <c r="ANH41" s="536"/>
      <c r="ANI41" s="536"/>
      <c r="ANJ41" s="536"/>
      <c r="ANK41" s="536"/>
      <c r="ANL41" s="536"/>
      <c r="ANM41" s="536"/>
      <c r="ANN41" s="536"/>
      <c r="ANO41" s="536"/>
      <c r="ANP41" s="536"/>
      <c r="ANQ41" s="536"/>
      <c r="ANR41" s="536"/>
      <c r="ANS41" s="536"/>
      <c r="ANT41" s="536"/>
      <c r="ANU41" s="536"/>
      <c r="ANV41" s="536"/>
      <c r="ANW41" s="536"/>
      <c r="ANX41" s="536"/>
      <c r="ANY41" s="536"/>
      <c r="ANZ41" s="536"/>
      <c r="AOA41" s="536"/>
      <c r="AOB41" s="536"/>
      <c r="AOC41" s="536"/>
      <c r="AOD41" s="536"/>
      <c r="AOE41" s="536"/>
      <c r="AOF41" s="536"/>
      <c r="AOG41" s="536"/>
      <c r="AOH41" s="536"/>
      <c r="AOI41" s="536"/>
      <c r="AOJ41" s="536"/>
      <c r="AOK41" s="536"/>
      <c r="AOL41" s="536"/>
      <c r="AOM41" s="536"/>
      <c r="AON41" s="536"/>
      <c r="AOO41" s="536"/>
      <c r="AOP41" s="536"/>
      <c r="AOQ41" s="536"/>
      <c r="AOR41" s="536"/>
      <c r="AOS41" s="536"/>
      <c r="AOT41" s="536"/>
      <c r="AOU41" s="536"/>
      <c r="AOV41" s="536"/>
      <c r="AOW41" s="536"/>
      <c r="AOX41" s="536"/>
      <c r="AOY41" s="536"/>
      <c r="AOZ41" s="536"/>
      <c r="APA41" s="536"/>
      <c r="APB41" s="536"/>
      <c r="APC41" s="536"/>
      <c r="APD41" s="536"/>
      <c r="APE41" s="536"/>
      <c r="APF41" s="536"/>
      <c r="APG41" s="536"/>
      <c r="APH41" s="536"/>
      <c r="API41" s="536"/>
      <c r="APJ41" s="536"/>
      <c r="APK41" s="536"/>
      <c r="APL41" s="536"/>
      <c r="APM41" s="536"/>
      <c r="APN41" s="536"/>
      <c r="APO41" s="536"/>
      <c r="APP41" s="536"/>
      <c r="APQ41" s="536"/>
      <c r="APR41" s="536"/>
      <c r="APS41" s="536"/>
      <c r="APT41" s="536"/>
      <c r="APU41" s="536"/>
      <c r="APV41" s="536"/>
      <c r="APW41" s="536"/>
      <c r="APX41" s="536"/>
      <c r="APY41" s="536"/>
      <c r="APZ41" s="536"/>
      <c r="AQA41" s="536"/>
      <c r="AQB41" s="536"/>
      <c r="AQC41" s="536"/>
      <c r="AQD41" s="536"/>
      <c r="AQE41" s="536"/>
      <c r="AQF41" s="536"/>
      <c r="AQG41" s="536"/>
      <c r="AQH41" s="536"/>
      <c r="AQI41" s="536"/>
      <c r="AQJ41" s="536"/>
      <c r="AQK41" s="536"/>
      <c r="AQL41" s="536"/>
      <c r="AQM41" s="536"/>
      <c r="AQN41" s="536"/>
      <c r="AQO41" s="536"/>
      <c r="AQP41" s="536"/>
      <c r="AQQ41" s="536"/>
      <c r="AQR41" s="536"/>
      <c r="AQS41" s="536"/>
      <c r="AQT41" s="536"/>
      <c r="AQU41" s="536"/>
      <c r="AQV41" s="536"/>
      <c r="AQW41" s="536"/>
      <c r="AQX41" s="536"/>
      <c r="AQY41" s="536"/>
      <c r="AQZ41" s="536"/>
      <c r="ARA41" s="536"/>
      <c r="ARB41" s="536"/>
      <c r="ARC41" s="536"/>
      <c r="ARD41" s="536"/>
      <c r="ARE41" s="536"/>
      <c r="ARF41" s="536"/>
      <c r="ARG41" s="536"/>
      <c r="ARH41" s="536"/>
      <c r="ARI41" s="536"/>
      <c r="ARJ41" s="536"/>
      <c r="ARK41" s="536"/>
      <c r="ARL41" s="536"/>
      <c r="ARM41" s="536"/>
      <c r="ARN41" s="536"/>
      <c r="ARO41" s="536"/>
      <c r="ARP41" s="536"/>
      <c r="ARQ41" s="536"/>
      <c r="ARR41" s="536"/>
      <c r="ARS41" s="536"/>
      <c r="ART41" s="536"/>
      <c r="ARU41" s="536"/>
      <c r="ARV41" s="536"/>
      <c r="ARW41" s="536"/>
      <c r="ARX41" s="536"/>
      <c r="ARY41" s="536"/>
      <c r="ARZ41" s="536"/>
      <c r="ASA41" s="536"/>
      <c r="ASB41" s="536"/>
      <c r="ASC41" s="536"/>
      <c r="ASD41" s="536"/>
      <c r="ASE41" s="536"/>
      <c r="ASF41" s="536"/>
      <c r="ASG41" s="536"/>
      <c r="ASH41" s="536"/>
      <c r="ASI41" s="536"/>
      <c r="ASJ41" s="536"/>
      <c r="ASK41" s="536"/>
      <c r="ASL41" s="536"/>
      <c r="ASM41" s="536"/>
      <c r="ASN41" s="536"/>
      <c r="ASO41" s="536"/>
      <c r="ASP41" s="536"/>
      <c r="ASQ41" s="536"/>
      <c r="ASR41" s="536"/>
      <c r="ASS41" s="536"/>
      <c r="AST41" s="536"/>
      <c r="ASU41" s="536"/>
      <c r="ASV41" s="536"/>
      <c r="ASW41" s="536"/>
      <c r="ASX41" s="536"/>
      <c r="ASY41" s="536"/>
      <c r="ASZ41" s="536"/>
      <c r="ATA41" s="536"/>
      <c r="ATB41" s="536"/>
      <c r="ATC41" s="536"/>
      <c r="ATD41" s="536"/>
      <c r="ATE41" s="536"/>
      <c r="ATF41" s="536"/>
      <c r="ATG41" s="536"/>
      <c r="ATH41" s="536"/>
      <c r="ATI41" s="536"/>
      <c r="ATJ41" s="536"/>
      <c r="ATK41" s="536"/>
      <c r="ATL41" s="536"/>
      <c r="ATM41" s="536"/>
      <c r="ATN41" s="536"/>
      <c r="ATO41" s="536"/>
      <c r="ATP41" s="536"/>
      <c r="ATQ41" s="536"/>
      <c r="ATR41" s="536"/>
      <c r="ATS41" s="536"/>
      <c r="ATT41" s="536"/>
      <c r="ATU41" s="536"/>
      <c r="ATV41" s="536"/>
      <c r="ATW41" s="536"/>
      <c r="ATX41" s="536"/>
      <c r="ATY41" s="536"/>
      <c r="ATZ41" s="536"/>
      <c r="AUA41" s="536"/>
      <c r="AUB41" s="536"/>
      <c r="AUC41" s="536"/>
      <c r="AUD41" s="536"/>
      <c r="AUE41" s="536"/>
      <c r="AUF41" s="536"/>
      <c r="AUG41" s="536"/>
      <c r="AUH41" s="536"/>
      <c r="AUI41" s="536"/>
      <c r="AUJ41" s="536"/>
      <c r="AUK41" s="536"/>
      <c r="AUL41" s="536"/>
      <c r="AUM41" s="536"/>
      <c r="AUN41" s="536"/>
      <c r="AUO41" s="536"/>
      <c r="AUP41" s="536"/>
      <c r="AUQ41" s="536"/>
      <c r="AUR41" s="536"/>
      <c r="AUS41" s="536"/>
      <c r="AUT41" s="536"/>
      <c r="AUU41" s="536"/>
      <c r="AUV41" s="536"/>
      <c r="AUW41" s="536"/>
      <c r="AUX41" s="536"/>
      <c r="AUY41" s="536"/>
      <c r="AUZ41" s="536"/>
      <c r="AVA41" s="536"/>
      <c r="AVB41" s="536"/>
      <c r="AVC41" s="536"/>
      <c r="AVD41" s="536"/>
      <c r="AVE41" s="536"/>
      <c r="AVF41" s="536"/>
      <c r="AVG41" s="536"/>
      <c r="AVH41" s="536"/>
      <c r="AVI41" s="536"/>
      <c r="AVJ41" s="536"/>
      <c r="AVK41" s="536"/>
      <c r="AVL41" s="536"/>
      <c r="AVM41" s="536"/>
      <c r="AVN41" s="536"/>
      <c r="AVO41" s="536"/>
      <c r="AVP41" s="536"/>
      <c r="AVQ41" s="536"/>
      <c r="AVR41" s="536"/>
      <c r="AVS41" s="536"/>
      <c r="AVT41" s="536"/>
      <c r="AVU41" s="536"/>
      <c r="AVV41" s="536"/>
      <c r="AVW41" s="536"/>
      <c r="AVX41" s="536"/>
      <c r="AVY41" s="536"/>
      <c r="AVZ41" s="536"/>
      <c r="AWA41" s="536"/>
      <c r="AWB41" s="536"/>
      <c r="AWC41" s="536"/>
      <c r="AWD41" s="536"/>
      <c r="AWE41" s="536"/>
      <c r="AWF41" s="536"/>
      <c r="AWG41" s="536"/>
      <c r="AWH41" s="536"/>
      <c r="AWI41" s="536"/>
      <c r="AWJ41" s="536"/>
      <c r="AWK41" s="536"/>
      <c r="AWL41" s="536"/>
      <c r="AWM41" s="536"/>
      <c r="AWN41" s="536"/>
      <c r="AWO41" s="536"/>
      <c r="AWP41" s="536"/>
      <c r="AWQ41" s="536"/>
      <c r="AWR41" s="536"/>
      <c r="AWS41" s="536"/>
      <c r="AWT41" s="536"/>
      <c r="AWU41" s="536"/>
      <c r="AWV41" s="536"/>
      <c r="AWW41" s="536"/>
      <c r="AWX41" s="536"/>
      <c r="AWY41" s="536"/>
      <c r="AWZ41" s="536"/>
      <c r="AXA41" s="536"/>
      <c r="AXB41" s="536"/>
      <c r="AXC41" s="536"/>
      <c r="AXD41" s="536"/>
      <c r="AXE41" s="536"/>
      <c r="AXF41" s="536"/>
      <c r="AXG41" s="536"/>
      <c r="AXH41" s="536"/>
      <c r="AXI41" s="536"/>
      <c r="AXJ41" s="536"/>
      <c r="AXK41" s="536"/>
      <c r="AXL41" s="536"/>
      <c r="AXM41" s="536"/>
      <c r="AXN41" s="536"/>
      <c r="AXO41" s="536"/>
      <c r="AXP41" s="536"/>
      <c r="AXQ41" s="536"/>
      <c r="AXR41" s="536"/>
      <c r="AXS41" s="536"/>
      <c r="AXT41" s="536"/>
      <c r="AXU41" s="536"/>
      <c r="AXV41" s="536"/>
      <c r="AXW41" s="536"/>
      <c r="AXX41" s="536"/>
      <c r="AXY41" s="536"/>
      <c r="AXZ41" s="536"/>
      <c r="AYA41" s="536"/>
      <c r="AYB41" s="536"/>
      <c r="AYC41" s="536"/>
      <c r="AYD41" s="536"/>
      <c r="AYE41" s="536"/>
      <c r="AYF41" s="536"/>
      <c r="AYG41" s="536"/>
      <c r="AYH41" s="536"/>
      <c r="AYI41" s="536"/>
      <c r="AYJ41" s="536"/>
      <c r="AYK41" s="536"/>
      <c r="AYL41" s="536"/>
      <c r="AYM41" s="536"/>
      <c r="AYN41" s="536"/>
      <c r="AYO41" s="536"/>
      <c r="AYP41" s="536"/>
      <c r="AYQ41" s="536"/>
      <c r="AYR41" s="536"/>
      <c r="AYS41" s="536"/>
      <c r="AYT41" s="536"/>
      <c r="AYU41" s="536"/>
      <c r="AYV41" s="536"/>
      <c r="AYW41" s="536"/>
      <c r="AYX41" s="536"/>
      <c r="AYY41" s="536"/>
      <c r="AYZ41" s="536"/>
      <c r="AZA41" s="536"/>
      <c r="AZB41" s="536"/>
      <c r="AZC41" s="536"/>
      <c r="AZD41" s="536"/>
      <c r="AZE41" s="536"/>
      <c r="AZF41" s="536"/>
      <c r="AZG41" s="536"/>
      <c r="AZH41" s="536"/>
      <c r="AZI41" s="536"/>
      <c r="AZJ41" s="536"/>
      <c r="AZK41" s="536"/>
      <c r="AZL41" s="536"/>
      <c r="AZM41" s="536"/>
      <c r="AZN41" s="536"/>
      <c r="AZO41" s="536"/>
      <c r="AZP41" s="536"/>
      <c r="AZQ41" s="536"/>
      <c r="AZR41" s="536"/>
      <c r="AZS41" s="536"/>
      <c r="AZT41" s="536"/>
      <c r="AZU41" s="536"/>
      <c r="AZV41" s="536"/>
      <c r="AZW41" s="536"/>
      <c r="AZX41" s="536"/>
      <c r="AZY41" s="536"/>
      <c r="AZZ41" s="536"/>
      <c r="BAA41" s="536"/>
      <c r="BAB41" s="536"/>
      <c r="BAC41" s="536"/>
      <c r="BAD41" s="536"/>
      <c r="BAE41" s="536"/>
      <c r="BAF41" s="536"/>
      <c r="BAG41" s="536"/>
      <c r="BAH41" s="536"/>
      <c r="BAI41" s="536"/>
      <c r="BAJ41" s="536"/>
      <c r="BAK41" s="536"/>
      <c r="BAL41" s="536"/>
      <c r="BAM41" s="536"/>
      <c r="BAN41" s="536"/>
      <c r="BAO41" s="536"/>
      <c r="BAP41" s="536"/>
      <c r="BAQ41" s="536"/>
      <c r="BAR41" s="536"/>
      <c r="BAS41" s="536"/>
      <c r="BAT41" s="536"/>
      <c r="BAU41" s="536"/>
      <c r="BAV41" s="536"/>
      <c r="BAW41" s="536"/>
      <c r="BAX41" s="536"/>
      <c r="BAY41" s="536"/>
      <c r="BAZ41" s="536"/>
      <c r="BBA41" s="536"/>
      <c r="BBB41" s="536"/>
      <c r="BBC41" s="536"/>
      <c r="BBD41" s="536"/>
      <c r="BBE41" s="536"/>
      <c r="BBF41" s="536"/>
      <c r="BBG41" s="536"/>
      <c r="BBH41" s="536"/>
      <c r="BBI41" s="536"/>
      <c r="BBJ41" s="536"/>
      <c r="BBK41" s="536"/>
      <c r="BBL41" s="536"/>
      <c r="BBM41" s="536"/>
      <c r="BBN41" s="536"/>
      <c r="BBO41" s="536"/>
      <c r="BBP41" s="536"/>
      <c r="BBQ41" s="536"/>
      <c r="BBR41" s="536"/>
      <c r="BBS41" s="536"/>
      <c r="BBT41" s="536"/>
      <c r="BBU41" s="536"/>
      <c r="BBV41" s="536"/>
      <c r="BBW41" s="536"/>
      <c r="BBX41" s="536"/>
      <c r="BBY41" s="536"/>
      <c r="BBZ41" s="536"/>
      <c r="BCA41" s="536"/>
      <c r="BCB41" s="536"/>
      <c r="BCC41" s="536"/>
      <c r="BCD41" s="536"/>
      <c r="BCE41" s="536"/>
      <c r="BCF41" s="536"/>
      <c r="BCG41" s="536"/>
      <c r="BCH41" s="536"/>
      <c r="BCI41" s="536"/>
      <c r="BCJ41" s="536"/>
      <c r="BCK41" s="536"/>
      <c r="BCL41" s="536"/>
      <c r="BCM41" s="536"/>
      <c r="BCN41" s="536"/>
      <c r="BCO41" s="536"/>
      <c r="BCP41" s="536"/>
      <c r="BCQ41" s="536"/>
      <c r="BCR41" s="536"/>
      <c r="BCS41" s="536"/>
      <c r="BCT41" s="536"/>
      <c r="BCU41" s="536"/>
      <c r="BCV41" s="536"/>
      <c r="BCW41" s="536"/>
      <c r="BCX41" s="536"/>
      <c r="BCY41" s="536"/>
      <c r="BCZ41" s="536"/>
      <c r="BDA41" s="536"/>
      <c r="BDB41" s="536"/>
      <c r="BDC41" s="536"/>
      <c r="BDD41" s="536"/>
      <c r="BDE41" s="536"/>
      <c r="BDF41" s="536"/>
      <c r="BDG41" s="536"/>
      <c r="BDH41" s="536"/>
      <c r="BDI41" s="536"/>
      <c r="BDJ41" s="536"/>
      <c r="BDK41" s="536"/>
      <c r="BDL41" s="536"/>
      <c r="BDM41" s="536"/>
      <c r="BDN41" s="536"/>
      <c r="BDO41" s="536"/>
      <c r="BDP41" s="536"/>
      <c r="BDQ41" s="536"/>
      <c r="BDR41" s="536"/>
      <c r="BDS41" s="536"/>
      <c r="BDT41" s="536"/>
      <c r="BDU41" s="536"/>
      <c r="BDV41" s="536"/>
      <c r="BDW41" s="536"/>
      <c r="BDX41" s="536"/>
      <c r="BDY41" s="536"/>
      <c r="BDZ41" s="536"/>
      <c r="BEA41" s="536"/>
      <c r="BEB41" s="536"/>
      <c r="BEC41" s="536"/>
      <c r="BED41" s="536"/>
      <c r="BEE41" s="536"/>
      <c r="BEF41" s="536"/>
      <c r="BEG41" s="536"/>
      <c r="BEH41" s="536"/>
      <c r="BEI41" s="536"/>
      <c r="BEJ41" s="536"/>
      <c r="BEK41" s="536"/>
      <c r="BEL41" s="536"/>
      <c r="BEM41" s="536"/>
      <c r="BEN41" s="536"/>
      <c r="BEO41" s="536"/>
      <c r="BEP41" s="536"/>
      <c r="BEQ41" s="536"/>
      <c r="BER41" s="536"/>
      <c r="BES41" s="536"/>
      <c r="BET41" s="536"/>
      <c r="BEU41" s="536"/>
      <c r="BEV41" s="536"/>
      <c r="BEW41" s="536"/>
      <c r="BEX41" s="536"/>
      <c r="BEY41" s="536"/>
      <c r="BEZ41" s="536"/>
      <c r="BFA41" s="536"/>
      <c r="BFB41" s="536"/>
      <c r="BFC41" s="536"/>
      <c r="BFD41" s="536"/>
      <c r="BFE41" s="536"/>
      <c r="BFF41" s="536"/>
      <c r="BFG41" s="536"/>
      <c r="BFH41" s="536"/>
      <c r="BFI41" s="536"/>
      <c r="BFJ41" s="536"/>
      <c r="BFK41" s="536"/>
      <c r="BFL41" s="536"/>
      <c r="BFM41" s="536"/>
      <c r="BFN41" s="536"/>
      <c r="BFO41" s="536"/>
      <c r="BFP41" s="536"/>
      <c r="BFQ41" s="536"/>
      <c r="BFR41" s="536"/>
      <c r="BFS41" s="536"/>
      <c r="BFT41" s="536"/>
      <c r="BFU41" s="536"/>
      <c r="BFV41" s="536"/>
      <c r="BFW41" s="536"/>
      <c r="BFX41" s="536"/>
      <c r="BFY41" s="536"/>
      <c r="BFZ41" s="536"/>
      <c r="BGA41" s="536"/>
      <c r="BGB41" s="536"/>
      <c r="BGC41" s="536"/>
      <c r="BGD41" s="536"/>
      <c r="BGE41" s="536"/>
      <c r="BGF41" s="536"/>
      <c r="BGG41" s="536"/>
      <c r="BGH41" s="536"/>
      <c r="BGI41" s="536"/>
      <c r="BGJ41" s="536"/>
      <c r="BGK41" s="536"/>
      <c r="BGL41" s="536"/>
      <c r="BGM41" s="536"/>
      <c r="BGN41" s="536"/>
      <c r="BGO41" s="536"/>
      <c r="BGP41" s="536"/>
      <c r="BGQ41" s="536"/>
      <c r="BGR41" s="536"/>
      <c r="BGS41" s="536"/>
      <c r="BGT41" s="536"/>
      <c r="BGU41" s="536"/>
      <c r="BGV41" s="536"/>
      <c r="BGW41" s="536"/>
      <c r="BGX41" s="536"/>
      <c r="BGY41" s="536"/>
      <c r="BGZ41" s="536"/>
      <c r="BHA41" s="536"/>
      <c r="BHB41" s="536"/>
      <c r="BHC41" s="536"/>
      <c r="BHD41" s="536"/>
      <c r="BHE41" s="536"/>
      <c r="BHF41" s="536"/>
      <c r="BHG41" s="536"/>
      <c r="BHH41" s="536"/>
      <c r="BHI41" s="536"/>
      <c r="BHJ41" s="536"/>
      <c r="BHK41" s="536"/>
      <c r="BHL41" s="536"/>
      <c r="BHM41" s="536"/>
      <c r="BHN41" s="536"/>
      <c r="BHO41" s="536"/>
      <c r="BHP41" s="536"/>
      <c r="BHQ41" s="536"/>
      <c r="BHR41" s="536"/>
      <c r="BHS41" s="536"/>
      <c r="BHT41" s="536"/>
      <c r="BHU41" s="536"/>
      <c r="BHV41" s="536"/>
      <c r="BHW41" s="536"/>
      <c r="BHX41" s="536"/>
      <c r="BHY41" s="536"/>
      <c r="BHZ41" s="536"/>
      <c r="BIA41" s="536"/>
      <c r="BIB41" s="536"/>
      <c r="BIC41" s="536"/>
      <c r="BID41" s="536"/>
      <c r="BIE41" s="536"/>
      <c r="BIF41" s="536"/>
      <c r="BIG41" s="536"/>
      <c r="BIH41" s="536"/>
      <c r="BII41" s="536"/>
      <c r="BIJ41" s="536"/>
      <c r="BIK41" s="536"/>
      <c r="BIL41" s="536"/>
      <c r="BIM41" s="536"/>
      <c r="BIN41" s="536"/>
      <c r="BIO41" s="536"/>
      <c r="BIP41" s="536"/>
      <c r="BIQ41" s="536"/>
      <c r="BIR41" s="536"/>
      <c r="BIS41" s="536"/>
      <c r="BIT41" s="536"/>
      <c r="BIU41" s="536"/>
      <c r="BIV41" s="536"/>
      <c r="BIW41" s="536"/>
      <c r="BIX41" s="536"/>
      <c r="BIY41" s="536"/>
      <c r="BIZ41" s="536"/>
      <c r="BJA41" s="536"/>
      <c r="BJB41" s="536"/>
      <c r="BJC41" s="536"/>
      <c r="BJD41" s="536"/>
      <c r="BJE41" s="536"/>
      <c r="BJF41" s="536"/>
      <c r="BJG41" s="536"/>
      <c r="BJH41" s="536"/>
      <c r="BJI41" s="536"/>
      <c r="BJJ41" s="536"/>
      <c r="BJK41" s="536"/>
      <c r="BJL41" s="536"/>
      <c r="BJM41" s="536"/>
      <c r="BJN41" s="536"/>
      <c r="BJO41" s="536"/>
      <c r="BJP41" s="536"/>
      <c r="BJQ41" s="536"/>
      <c r="BJR41" s="536"/>
      <c r="BJS41" s="536"/>
      <c r="BJT41" s="536"/>
      <c r="BJU41" s="536"/>
      <c r="BJV41" s="536"/>
      <c r="BJW41" s="536"/>
      <c r="BJX41" s="536"/>
      <c r="BJY41" s="536"/>
      <c r="BJZ41" s="536"/>
      <c r="BKA41" s="536"/>
      <c r="BKB41" s="536"/>
      <c r="BKC41" s="536"/>
      <c r="BKD41" s="536"/>
      <c r="BKE41" s="536"/>
      <c r="BKF41" s="536"/>
      <c r="BKG41" s="536"/>
      <c r="BKH41" s="536"/>
      <c r="BKI41" s="536"/>
      <c r="BKJ41" s="536"/>
      <c r="BKK41" s="536"/>
      <c r="BKL41" s="536"/>
      <c r="BKM41" s="536"/>
      <c r="BKN41" s="536"/>
      <c r="BKO41" s="536"/>
      <c r="BKP41" s="536"/>
      <c r="BKQ41" s="536"/>
      <c r="BKR41" s="536"/>
      <c r="BKS41" s="536"/>
      <c r="BKT41" s="536"/>
      <c r="BKU41" s="536"/>
      <c r="BKV41" s="536"/>
      <c r="BKW41" s="536"/>
      <c r="BKX41" s="536"/>
      <c r="BKY41" s="536"/>
      <c r="BKZ41" s="536"/>
      <c r="BLA41" s="536"/>
      <c r="BLB41" s="536"/>
      <c r="BLC41" s="536"/>
      <c r="BLD41" s="536"/>
      <c r="BLE41" s="536"/>
      <c r="BLF41" s="536"/>
      <c r="BLG41" s="536"/>
      <c r="BLH41" s="536"/>
      <c r="BLI41" s="536"/>
      <c r="BLJ41" s="536"/>
      <c r="BLK41" s="536"/>
      <c r="BLL41" s="536"/>
      <c r="BLM41" s="536"/>
      <c r="BLN41" s="536"/>
      <c r="BLO41" s="536"/>
      <c r="BLP41" s="536"/>
      <c r="BLQ41" s="536"/>
      <c r="BLR41" s="536"/>
      <c r="BLS41" s="536"/>
      <c r="BLT41" s="536"/>
      <c r="BLU41" s="536"/>
      <c r="BLV41" s="536"/>
      <c r="BLW41" s="536"/>
      <c r="BLX41" s="536"/>
      <c r="BLY41" s="536"/>
      <c r="BLZ41" s="536"/>
      <c r="BMA41" s="536"/>
      <c r="BMB41" s="536"/>
      <c r="BMC41" s="536"/>
      <c r="BMD41" s="536"/>
      <c r="BME41" s="536"/>
      <c r="BMF41" s="536"/>
      <c r="BMG41" s="536"/>
      <c r="BMH41" s="536"/>
      <c r="BMI41" s="536"/>
      <c r="BMJ41" s="536"/>
      <c r="BMK41" s="536"/>
      <c r="BML41" s="536"/>
      <c r="BMM41" s="536"/>
      <c r="BMN41" s="536"/>
      <c r="BMO41" s="536"/>
      <c r="BMP41" s="536"/>
      <c r="BMQ41" s="536"/>
      <c r="BMR41" s="536"/>
      <c r="BMS41" s="536"/>
      <c r="BMT41" s="536"/>
      <c r="BMU41" s="536"/>
      <c r="BMV41" s="536"/>
      <c r="BMW41" s="536"/>
      <c r="BMX41" s="536"/>
      <c r="BMY41" s="536"/>
      <c r="BMZ41" s="536"/>
      <c r="BNA41" s="536"/>
      <c r="BNB41" s="536"/>
      <c r="BNC41" s="536"/>
      <c r="BND41" s="536"/>
      <c r="BNE41" s="536"/>
      <c r="BNF41" s="536"/>
      <c r="BNG41" s="536"/>
      <c r="BNH41" s="536"/>
      <c r="BNI41" s="536"/>
      <c r="BNJ41" s="536"/>
      <c r="BNK41" s="536"/>
      <c r="BNL41" s="536"/>
      <c r="BNM41" s="536"/>
      <c r="BNN41" s="536"/>
      <c r="BNO41" s="536"/>
      <c r="BNP41" s="536"/>
      <c r="BNQ41" s="536"/>
      <c r="BNR41" s="536"/>
      <c r="BNS41" s="536"/>
      <c r="BNT41" s="536"/>
      <c r="BNU41" s="536"/>
      <c r="BNV41" s="536"/>
      <c r="BNW41" s="536"/>
      <c r="BNX41" s="536"/>
      <c r="BNY41" s="536"/>
      <c r="BNZ41" s="536"/>
      <c r="BOA41" s="536"/>
      <c r="BOB41" s="536"/>
      <c r="BOC41" s="536"/>
      <c r="BOD41" s="536"/>
      <c r="BOE41" s="536"/>
      <c r="BOF41" s="536"/>
      <c r="BOG41" s="536"/>
      <c r="BOH41" s="536"/>
      <c r="BOI41" s="536"/>
      <c r="BOJ41" s="536"/>
      <c r="BOK41" s="536"/>
      <c r="BOL41" s="536"/>
      <c r="BOM41" s="536"/>
      <c r="BON41" s="536"/>
      <c r="BOO41" s="536"/>
      <c r="BOP41" s="536"/>
      <c r="BOQ41" s="536"/>
      <c r="BOR41" s="536"/>
      <c r="BOS41" s="536"/>
      <c r="BOT41" s="536"/>
      <c r="BOU41" s="536"/>
      <c r="BOV41" s="536"/>
      <c r="BOW41" s="536"/>
      <c r="BOX41" s="536"/>
      <c r="BOY41" s="536"/>
      <c r="BOZ41" s="536"/>
      <c r="BPA41" s="536"/>
      <c r="BPB41" s="536"/>
      <c r="BPC41" s="536"/>
      <c r="BPD41" s="536"/>
      <c r="BPE41" s="536"/>
      <c r="BPF41" s="536"/>
      <c r="BPG41" s="536"/>
      <c r="BPH41" s="536"/>
      <c r="BPI41" s="536"/>
      <c r="BPJ41" s="536"/>
      <c r="BPK41" s="536"/>
      <c r="BPL41" s="536"/>
      <c r="BPM41" s="536"/>
      <c r="BPN41" s="536"/>
      <c r="BPO41" s="536"/>
      <c r="BPP41" s="536"/>
      <c r="BPQ41" s="536"/>
      <c r="BPR41" s="536"/>
      <c r="BPS41" s="536"/>
      <c r="BPT41" s="536"/>
      <c r="BPU41" s="536"/>
      <c r="BPV41" s="536"/>
      <c r="BPW41" s="536"/>
      <c r="BPX41" s="536"/>
      <c r="BPY41" s="536"/>
      <c r="BPZ41" s="536"/>
      <c r="BQA41" s="536"/>
      <c r="BQB41" s="536"/>
      <c r="BQC41" s="536"/>
      <c r="BQD41" s="536"/>
      <c r="BQE41" s="536"/>
      <c r="BQF41" s="536"/>
      <c r="BQG41" s="536"/>
      <c r="BQH41" s="536"/>
      <c r="BQI41" s="536"/>
      <c r="BQJ41" s="536"/>
      <c r="BQK41" s="536"/>
      <c r="BQL41" s="536"/>
      <c r="BQM41" s="536"/>
      <c r="BQN41" s="536"/>
      <c r="BQO41" s="536"/>
      <c r="BQP41" s="536"/>
      <c r="BQQ41" s="536"/>
      <c r="BQR41" s="536"/>
      <c r="BQS41" s="536"/>
      <c r="BQT41" s="536"/>
      <c r="BQU41" s="536"/>
      <c r="BQV41" s="536"/>
      <c r="BQW41" s="536"/>
      <c r="BQX41" s="536"/>
      <c r="BQY41" s="536"/>
      <c r="BQZ41" s="536"/>
      <c r="BRA41" s="536"/>
      <c r="BRB41" s="536"/>
      <c r="BRC41" s="536"/>
      <c r="BRD41" s="536"/>
      <c r="BRE41" s="536"/>
      <c r="BRF41" s="536"/>
      <c r="BRG41" s="536"/>
      <c r="BRH41" s="536"/>
      <c r="BRI41" s="536"/>
      <c r="BRJ41" s="536"/>
      <c r="BRK41" s="536"/>
      <c r="BRL41" s="536"/>
      <c r="BRM41" s="536"/>
      <c r="BRN41" s="536"/>
      <c r="BRO41" s="536"/>
      <c r="BRP41" s="536"/>
      <c r="BRQ41" s="536"/>
      <c r="BRR41" s="536"/>
      <c r="BRS41" s="536"/>
      <c r="BRT41" s="536"/>
      <c r="BRU41" s="536"/>
      <c r="BRV41" s="536"/>
      <c r="BRW41" s="536"/>
      <c r="BRX41" s="536"/>
      <c r="BRY41" s="536"/>
      <c r="BRZ41" s="536"/>
      <c r="BSA41" s="536"/>
      <c r="BSB41" s="536"/>
      <c r="BSC41" s="536"/>
      <c r="BSD41" s="536"/>
      <c r="BSE41" s="536"/>
      <c r="BSF41" s="536"/>
      <c r="BSG41" s="536"/>
      <c r="BSH41" s="536"/>
      <c r="BSI41" s="536"/>
      <c r="BSJ41" s="536"/>
      <c r="BSK41" s="536"/>
      <c r="BSL41" s="536"/>
      <c r="BSM41" s="536"/>
      <c r="BSN41" s="536"/>
      <c r="BSO41" s="536"/>
      <c r="BSP41" s="536"/>
      <c r="BSQ41" s="536"/>
      <c r="BSR41" s="536"/>
      <c r="BSS41" s="536"/>
      <c r="BST41" s="536"/>
      <c r="BSU41" s="536"/>
      <c r="BSV41" s="536"/>
      <c r="BSW41" s="536"/>
      <c r="BSX41" s="536"/>
      <c r="BSY41" s="536"/>
      <c r="BSZ41" s="536"/>
      <c r="BTA41" s="536"/>
      <c r="BTB41" s="536"/>
      <c r="BTC41" s="536"/>
      <c r="BTD41" s="536"/>
      <c r="BTE41" s="536"/>
      <c r="BTF41" s="536"/>
      <c r="BTG41" s="536"/>
      <c r="BTH41" s="536"/>
      <c r="BTI41" s="536"/>
      <c r="BTJ41" s="536"/>
      <c r="BTK41" s="536"/>
      <c r="BTL41" s="536"/>
      <c r="BTM41" s="536"/>
      <c r="BTN41" s="536"/>
      <c r="BTO41" s="536"/>
      <c r="BTP41" s="536"/>
      <c r="BTQ41" s="536"/>
      <c r="BTR41" s="536"/>
      <c r="BTS41" s="536"/>
      <c r="BTT41" s="536"/>
      <c r="BTU41" s="536"/>
      <c r="BTV41" s="536"/>
      <c r="BTW41" s="536"/>
      <c r="BTX41" s="536"/>
      <c r="BTY41" s="536"/>
      <c r="BTZ41" s="536"/>
      <c r="BUA41" s="536"/>
      <c r="BUB41" s="536"/>
      <c r="BUC41" s="536"/>
      <c r="BUD41" s="536"/>
      <c r="BUE41" s="536"/>
      <c r="BUF41" s="536"/>
      <c r="BUG41" s="536"/>
      <c r="BUH41" s="536"/>
      <c r="BUI41" s="536"/>
      <c r="BUJ41" s="536"/>
      <c r="BUK41" s="536"/>
      <c r="BUL41" s="536"/>
      <c r="BUM41" s="536"/>
      <c r="BUN41" s="536"/>
      <c r="BUO41" s="536"/>
      <c r="BUP41" s="536"/>
      <c r="BUQ41" s="536"/>
      <c r="BUR41" s="536"/>
      <c r="BUS41" s="536"/>
      <c r="BUT41" s="536"/>
      <c r="BUU41" s="536"/>
      <c r="BUV41" s="536"/>
      <c r="BUW41" s="536"/>
      <c r="BUX41" s="536"/>
      <c r="BUY41" s="536"/>
      <c r="BUZ41" s="536"/>
      <c r="BVA41" s="536"/>
      <c r="BVB41" s="536"/>
      <c r="BVC41" s="536"/>
      <c r="BVD41" s="536"/>
      <c r="BVE41" s="536"/>
      <c r="BVF41" s="536"/>
      <c r="BVG41" s="536"/>
      <c r="BVH41" s="536"/>
      <c r="BVI41" s="536"/>
      <c r="BVJ41" s="536"/>
      <c r="BVK41" s="536"/>
      <c r="BVL41" s="536"/>
      <c r="BVM41" s="536"/>
      <c r="BVN41" s="536"/>
      <c r="BVO41" s="536"/>
      <c r="BVP41" s="536"/>
      <c r="BVQ41" s="536"/>
      <c r="BVR41" s="536"/>
      <c r="BVS41" s="536"/>
      <c r="BVT41" s="536"/>
      <c r="BVU41" s="536"/>
      <c r="BVV41" s="536"/>
      <c r="BVW41" s="536"/>
      <c r="BVX41" s="536"/>
      <c r="BVY41" s="536"/>
      <c r="BVZ41" s="536"/>
      <c r="BWA41" s="536"/>
      <c r="BWB41" s="536"/>
      <c r="BWC41" s="536"/>
      <c r="BWD41" s="536"/>
      <c r="BWE41" s="536"/>
      <c r="BWF41" s="536"/>
      <c r="BWG41" s="536"/>
      <c r="BWH41" s="536"/>
      <c r="BWI41" s="536"/>
      <c r="BWJ41" s="536"/>
      <c r="BWK41" s="536"/>
      <c r="BWL41" s="536"/>
      <c r="BWM41" s="536"/>
      <c r="BWN41" s="536"/>
      <c r="BWO41" s="536"/>
      <c r="BWP41" s="536"/>
      <c r="BWQ41" s="536"/>
      <c r="BWR41" s="536"/>
      <c r="BWS41" s="536"/>
      <c r="BWT41" s="536"/>
      <c r="BWU41" s="536"/>
      <c r="BWV41" s="536"/>
      <c r="BWW41" s="536"/>
      <c r="BWX41" s="536"/>
      <c r="BWY41" s="536"/>
      <c r="BWZ41" s="536"/>
      <c r="BXA41" s="536"/>
      <c r="BXB41" s="536"/>
      <c r="BXC41" s="536"/>
      <c r="BXD41" s="536"/>
      <c r="BXE41" s="536"/>
      <c r="BXF41" s="536"/>
      <c r="BXG41" s="536"/>
      <c r="BXH41" s="536"/>
      <c r="BXI41" s="536"/>
      <c r="BXJ41" s="536"/>
      <c r="BXK41" s="536"/>
      <c r="BXL41" s="536"/>
      <c r="BXM41" s="536"/>
      <c r="BXN41" s="536"/>
      <c r="BXO41" s="536"/>
      <c r="BXP41" s="536"/>
      <c r="BXQ41" s="536"/>
      <c r="BXR41" s="536"/>
      <c r="BXS41" s="536"/>
      <c r="BXT41" s="536"/>
      <c r="BXU41" s="536"/>
      <c r="BXV41" s="536"/>
      <c r="BXW41" s="536"/>
      <c r="BXX41" s="536"/>
      <c r="BXY41" s="536"/>
      <c r="BXZ41" s="536"/>
      <c r="BYA41" s="536"/>
      <c r="BYB41" s="536"/>
      <c r="BYC41" s="536"/>
      <c r="BYD41" s="536"/>
      <c r="BYE41" s="536"/>
      <c r="BYF41" s="536"/>
      <c r="BYG41" s="536"/>
      <c r="BYH41" s="536"/>
      <c r="BYI41" s="536"/>
      <c r="BYJ41" s="536"/>
      <c r="BYK41" s="536"/>
      <c r="BYL41" s="536"/>
      <c r="BYM41" s="536"/>
      <c r="BYN41" s="536"/>
      <c r="BYO41" s="536"/>
      <c r="BYP41" s="536"/>
      <c r="BYQ41" s="536"/>
      <c r="BYR41" s="536"/>
      <c r="BYS41" s="536"/>
      <c r="BYT41" s="536"/>
      <c r="BYU41" s="536"/>
      <c r="BYV41" s="536"/>
      <c r="BYW41" s="536"/>
      <c r="BYX41" s="536"/>
      <c r="BYY41" s="536"/>
      <c r="BYZ41" s="536"/>
      <c r="BZA41" s="536"/>
      <c r="BZB41" s="536"/>
      <c r="BZC41" s="536"/>
      <c r="BZD41" s="536"/>
      <c r="BZE41" s="536"/>
      <c r="BZF41" s="536"/>
      <c r="BZG41" s="536"/>
      <c r="BZH41" s="536"/>
      <c r="BZI41" s="536"/>
      <c r="BZJ41" s="536"/>
      <c r="BZK41" s="536"/>
      <c r="BZL41" s="536"/>
      <c r="BZM41" s="536"/>
      <c r="BZN41" s="536"/>
      <c r="BZO41" s="536"/>
      <c r="BZP41" s="536"/>
      <c r="BZQ41" s="536"/>
      <c r="BZR41" s="536"/>
      <c r="BZS41" s="536"/>
      <c r="BZT41" s="536"/>
      <c r="BZU41" s="536"/>
      <c r="BZV41" s="536"/>
      <c r="BZW41" s="536"/>
      <c r="BZX41" s="536"/>
      <c r="BZY41" s="536"/>
      <c r="BZZ41" s="536"/>
      <c r="CAA41" s="536"/>
      <c r="CAB41" s="536"/>
      <c r="CAC41" s="536"/>
      <c r="CAD41" s="536"/>
      <c r="CAE41" s="536"/>
      <c r="CAF41" s="536"/>
      <c r="CAG41" s="536"/>
      <c r="CAH41" s="536"/>
      <c r="CAI41" s="536"/>
      <c r="CAJ41" s="536"/>
      <c r="CAK41" s="536"/>
      <c r="CAL41" s="536"/>
      <c r="CAM41" s="536"/>
      <c r="CAN41" s="536"/>
      <c r="CAO41" s="536"/>
      <c r="CAP41" s="536"/>
      <c r="CAQ41" s="536"/>
      <c r="CAR41" s="536"/>
      <c r="CAS41" s="536"/>
      <c r="CAT41" s="536"/>
      <c r="CAU41" s="536"/>
      <c r="CAV41" s="536"/>
      <c r="CAW41" s="536"/>
      <c r="CAX41" s="536"/>
      <c r="CAY41" s="536"/>
      <c r="CAZ41" s="536"/>
      <c r="CBA41" s="536"/>
      <c r="CBB41" s="536"/>
      <c r="CBC41" s="536"/>
      <c r="CBD41" s="536"/>
      <c r="CBE41" s="536"/>
      <c r="CBF41" s="536"/>
      <c r="CBG41" s="536"/>
      <c r="CBH41" s="536"/>
      <c r="CBI41" s="536"/>
      <c r="CBJ41" s="536"/>
      <c r="CBK41" s="536"/>
      <c r="CBL41" s="536"/>
      <c r="CBM41" s="536"/>
      <c r="CBN41" s="536"/>
      <c r="CBO41" s="536"/>
      <c r="CBP41" s="536"/>
      <c r="CBQ41" s="536"/>
      <c r="CBR41" s="536"/>
      <c r="CBS41" s="536"/>
      <c r="CBT41" s="536"/>
      <c r="CBU41" s="536"/>
      <c r="CBV41" s="536"/>
      <c r="CBW41" s="536"/>
      <c r="CBX41" s="536"/>
      <c r="CBY41" s="536"/>
      <c r="CBZ41" s="536"/>
      <c r="CCA41" s="536"/>
      <c r="CCB41" s="536"/>
      <c r="CCC41" s="536"/>
      <c r="CCD41" s="536"/>
      <c r="CCE41" s="536"/>
      <c r="CCF41" s="536"/>
      <c r="CCG41" s="536"/>
      <c r="CCH41" s="536"/>
      <c r="CCI41" s="536"/>
      <c r="CCJ41" s="536"/>
      <c r="CCK41" s="536"/>
      <c r="CCL41" s="536"/>
      <c r="CCM41" s="536"/>
      <c r="CCN41" s="536"/>
      <c r="CCO41" s="536"/>
      <c r="CCP41" s="536"/>
      <c r="CCQ41" s="536"/>
      <c r="CCR41" s="536"/>
      <c r="CCS41" s="536"/>
      <c r="CCT41" s="536"/>
      <c r="CCU41" s="536"/>
      <c r="CCV41" s="536"/>
      <c r="CCW41" s="536"/>
      <c r="CCX41" s="536"/>
      <c r="CCY41" s="536"/>
      <c r="CCZ41" s="536"/>
      <c r="CDA41" s="536"/>
      <c r="CDB41" s="536"/>
      <c r="CDC41" s="536"/>
      <c r="CDD41" s="536"/>
      <c r="CDE41" s="536"/>
      <c r="CDF41" s="536"/>
      <c r="CDG41" s="536"/>
      <c r="CDH41" s="536"/>
      <c r="CDI41" s="536"/>
      <c r="CDJ41" s="536"/>
      <c r="CDK41" s="536"/>
      <c r="CDL41" s="536"/>
      <c r="CDM41" s="536"/>
      <c r="CDN41" s="536"/>
      <c r="CDO41" s="536"/>
      <c r="CDP41" s="536"/>
      <c r="CDQ41" s="536"/>
      <c r="CDR41" s="536"/>
      <c r="CDS41" s="536"/>
      <c r="CDT41" s="536"/>
      <c r="CDU41" s="536"/>
      <c r="CDV41" s="536"/>
      <c r="CDW41" s="536"/>
      <c r="CDX41" s="536"/>
      <c r="CDY41" s="536"/>
      <c r="CDZ41" s="536"/>
      <c r="CEA41" s="536"/>
      <c r="CEB41" s="536"/>
      <c r="CEC41" s="536"/>
      <c r="CED41" s="536"/>
      <c r="CEE41" s="536"/>
      <c r="CEF41" s="536"/>
      <c r="CEG41" s="536"/>
      <c r="CEH41" s="536"/>
      <c r="CEI41" s="536"/>
      <c r="CEJ41" s="536"/>
      <c r="CEK41" s="536"/>
      <c r="CEL41" s="536"/>
      <c r="CEM41" s="536"/>
      <c r="CEN41" s="536"/>
      <c r="CEO41" s="536"/>
      <c r="CEP41" s="536"/>
      <c r="CEQ41" s="536"/>
      <c r="CER41" s="536"/>
      <c r="CES41" s="536"/>
      <c r="CET41" s="536"/>
      <c r="CEU41" s="536"/>
      <c r="CEV41" s="536"/>
      <c r="CEW41" s="536"/>
      <c r="CEX41" s="536"/>
      <c r="CEY41" s="536"/>
      <c r="CEZ41" s="536"/>
      <c r="CFA41" s="536"/>
      <c r="CFB41" s="536"/>
      <c r="CFC41" s="536"/>
      <c r="CFD41" s="536"/>
      <c r="CFE41" s="536"/>
      <c r="CFF41" s="536"/>
      <c r="CFG41" s="536"/>
      <c r="CFH41" s="536"/>
      <c r="CFI41" s="536"/>
      <c r="CFJ41" s="536"/>
      <c r="CFK41" s="536"/>
      <c r="CFL41" s="536"/>
      <c r="CFM41" s="536"/>
      <c r="CFN41" s="536"/>
      <c r="CFO41" s="536"/>
      <c r="CFP41" s="536"/>
      <c r="CFQ41" s="536"/>
      <c r="CFR41" s="536"/>
      <c r="CFS41" s="536"/>
      <c r="CFT41" s="536"/>
      <c r="CFU41" s="536"/>
      <c r="CFV41" s="536"/>
      <c r="CFW41" s="536"/>
      <c r="CFX41" s="536"/>
      <c r="CFY41" s="536"/>
      <c r="CFZ41" s="536"/>
      <c r="CGA41" s="536"/>
      <c r="CGB41" s="536"/>
      <c r="CGC41" s="536"/>
      <c r="CGD41" s="536"/>
      <c r="CGE41" s="536"/>
      <c r="CGF41" s="536"/>
      <c r="CGG41" s="536"/>
      <c r="CGH41" s="536"/>
      <c r="CGI41" s="536"/>
      <c r="CGJ41" s="536"/>
      <c r="CGK41" s="536"/>
      <c r="CGL41" s="536"/>
      <c r="CGM41" s="536"/>
      <c r="CGN41" s="536"/>
      <c r="CGO41" s="536"/>
      <c r="CGP41" s="536"/>
      <c r="CGQ41" s="536"/>
      <c r="CGR41" s="536"/>
      <c r="CGS41" s="536"/>
      <c r="CGT41" s="536"/>
      <c r="CGU41" s="536"/>
      <c r="CGV41" s="536"/>
      <c r="CGW41" s="536"/>
      <c r="CGX41" s="536"/>
      <c r="CGY41" s="536"/>
      <c r="CGZ41" s="536"/>
      <c r="CHA41" s="536"/>
      <c r="CHB41" s="536"/>
      <c r="CHC41" s="536"/>
      <c r="CHD41" s="536"/>
      <c r="CHE41" s="536"/>
      <c r="CHF41" s="536"/>
      <c r="CHG41" s="536"/>
      <c r="CHH41" s="536"/>
      <c r="CHI41" s="536"/>
      <c r="CHJ41" s="536"/>
      <c r="CHK41" s="536"/>
      <c r="CHL41" s="536"/>
      <c r="CHM41" s="536"/>
      <c r="CHN41" s="536"/>
      <c r="CHO41" s="536"/>
      <c r="CHP41" s="536"/>
      <c r="CHQ41" s="536"/>
      <c r="CHR41" s="536"/>
      <c r="CHS41" s="536"/>
      <c r="CHT41" s="536"/>
      <c r="CHU41" s="536"/>
      <c r="CHV41" s="536"/>
      <c r="CHW41" s="536"/>
      <c r="CHX41" s="536"/>
      <c r="CHY41" s="536"/>
      <c r="CHZ41" s="536"/>
      <c r="CIA41" s="536"/>
      <c r="CIB41" s="536"/>
      <c r="CIC41" s="536"/>
      <c r="CID41" s="536"/>
      <c r="CIE41" s="536"/>
      <c r="CIF41" s="536"/>
      <c r="CIG41" s="536"/>
      <c r="CIH41" s="536"/>
      <c r="CII41" s="536"/>
      <c r="CIJ41" s="536"/>
      <c r="CIK41" s="536"/>
      <c r="CIL41" s="536"/>
      <c r="CIM41" s="536"/>
      <c r="CIN41" s="536"/>
      <c r="CIO41" s="536"/>
      <c r="CIP41" s="536"/>
      <c r="CIQ41" s="536"/>
      <c r="CIR41" s="536"/>
      <c r="CIS41" s="536"/>
      <c r="CIT41" s="536"/>
      <c r="CIU41" s="536"/>
      <c r="CIV41" s="536"/>
      <c r="CIW41" s="536"/>
      <c r="CIX41" s="536"/>
      <c r="CIY41" s="536"/>
      <c r="CIZ41" s="536"/>
      <c r="CJA41" s="536"/>
      <c r="CJB41" s="536"/>
      <c r="CJC41" s="536"/>
      <c r="CJD41" s="536"/>
      <c r="CJE41" s="536"/>
      <c r="CJF41" s="536"/>
      <c r="CJG41" s="536"/>
      <c r="CJH41" s="536"/>
      <c r="CJI41" s="536"/>
      <c r="CJJ41" s="536"/>
      <c r="CJK41" s="536"/>
      <c r="CJL41" s="536"/>
      <c r="CJM41" s="536"/>
      <c r="CJN41" s="536"/>
      <c r="CJO41" s="536"/>
      <c r="CJP41" s="536"/>
      <c r="CJQ41" s="536"/>
      <c r="CJR41" s="536"/>
      <c r="CJS41" s="536"/>
      <c r="CJT41" s="536"/>
      <c r="CJU41" s="536"/>
      <c r="CJV41" s="536"/>
      <c r="CJW41" s="536"/>
      <c r="CJX41" s="536"/>
      <c r="CJY41" s="536"/>
      <c r="CJZ41" s="536"/>
      <c r="CKA41" s="536"/>
      <c r="CKB41" s="536"/>
      <c r="CKC41" s="536"/>
      <c r="CKD41" s="536"/>
      <c r="CKE41" s="536"/>
      <c r="CKF41" s="536"/>
      <c r="CKG41" s="536"/>
      <c r="CKH41" s="536"/>
      <c r="CKI41" s="536"/>
      <c r="CKJ41" s="536"/>
      <c r="CKK41" s="536"/>
      <c r="CKL41" s="536"/>
      <c r="CKM41" s="536"/>
      <c r="CKN41" s="536"/>
      <c r="CKO41" s="536"/>
      <c r="CKP41" s="536"/>
      <c r="CKQ41" s="536"/>
      <c r="CKR41" s="536"/>
      <c r="CKS41" s="536"/>
      <c r="CKT41" s="536"/>
      <c r="CKU41" s="536"/>
      <c r="CKV41" s="536"/>
      <c r="CKW41" s="536"/>
      <c r="CKX41" s="536"/>
      <c r="CKY41" s="536"/>
      <c r="CKZ41" s="536"/>
      <c r="CLA41" s="536"/>
      <c r="CLB41" s="536"/>
      <c r="CLC41" s="536"/>
      <c r="CLD41" s="536"/>
      <c r="CLE41" s="536"/>
      <c r="CLF41" s="536"/>
      <c r="CLG41" s="536"/>
      <c r="CLH41" s="536"/>
      <c r="CLI41" s="536"/>
      <c r="CLJ41" s="536"/>
      <c r="CLK41" s="536"/>
      <c r="CLL41" s="536"/>
      <c r="CLM41" s="536"/>
      <c r="CLN41" s="536"/>
      <c r="CLO41" s="536"/>
      <c r="CLP41" s="536"/>
      <c r="CLQ41" s="536"/>
      <c r="CLR41" s="536"/>
      <c r="CLS41" s="536"/>
      <c r="CLT41" s="536"/>
      <c r="CLU41" s="536"/>
      <c r="CLV41" s="536"/>
      <c r="CLW41" s="536"/>
      <c r="CLX41" s="536"/>
      <c r="CLY41" s="536"/>
      <c r="CLZ41" s="536"/>
      <c r="CMA41" s="536"/>
      <c r="CMB41" s="536"/>
      <c r="CMC41" s="536"/>
      <c r="CMD41" s="536"/>
      <c r="CME41" s="536"/>
      <c r="CMF41" s="536"/>
      <c r="CMG41" s="536"/>
      <c r="CMH41" s="536"/>
      <c r="CMI41" s="536"/>
      <c r="CMJ41" s="536"/>
      <c r="CMK41" s="536"/>
      <c r="CML41" s="536"/>
      <c r="CMM41" s="536"/>
      <c r="CMN41" s="536"/>
      <c r="CMO41" s="536"/>
      <c r="CMP41" s="536"/>
      <c r="CMQ41" s="536"/>
      <c r="CMR41" s="536"/>
      <c r="CMS41" s="536"/>
      <c r="CMT41" s="536"/>
      <c r="CMU41" s="536"/>
      <c r="CMV41" s="536"/>
      <c r="CMW41" s="536"/>
      <c r="CMX41" s="536"/>
      <c r="CMY41" s="536"/>
      <c r="CMZ41" s="536"/>
      <c r="CNA41" s="536"/>
      <c r="CNB41" s="536"/>
      <c r="CNC41" s="536"/>
      <c r="CND41" s="536"/>
      <c r="CNE41" s="536"/>
      <c r="CNF41" s="536"/>
      <c r="CNG41" s="536"/>
      <c r="CNH41" s="536"/>
      <c r="CNI41" s="536"/>
      <c r="CNJ41" s="536"/>
      <c r="CNK41" s="536"/>
      <c r="CNL41" s="536"/>
      <c r="CNM41" s="536"/>
      <c r="CNN41" s="536"/>
      <c r="CNO41" s="536"/>
      <c r="CNP41" s="536"/>
      <c r="CNQ41" s="536"/>
      <c r="CNR41" s="536"/>
      <c r="CNS41" s="536"/>
      <c r="CNT41" s="536"/>
      <c r="CNU41" s="536"/>
      <c r="CNV41" s="536"/>
      <c r="CNW41" s="536"/>
      <c r="CNX41" s="536"/>
      <c r="CNY41" s="536"/>
      <c r="CNZ41" s="536"/>
      <c r="COA41" s="536"/>
      <c r="COB41" s="536"/>
      <c r="COC41" s="536"/>
      <c r="COD41" s="536"/>
      <c r="COE41" s="536"/>
      <c r="COF41" s="536"/>
      <c r="COG41" s="536"/>
      <c r="COH41" s="536"/>
      <c r="COI41" s="536"/>
      <c r="COJ41" s="536"/>
      <c r="COK41" s="536"/>
      <c r="COL41" s="536"/>
      <c r="COM41" s="536"/>
      <c r="CON41" s="536"/>
      <c r="COO41" s="536"/>
      <c r="COP41" s="536"/>
      <c r="COQ41" s="536"/>
      <c r="COR41" s="536"/>
      <c r="COS41" s="536"/>
      <c r="COT41" s="536"/>
      <c r="COU41" s="536"/>
      <c r="COV41" s="536"/>
      <c r="COW41" s="536"/>
      <c r="COX41" s="536"/>
      <c r="COY41" s="536"/>
      <c r="COZ41" s="536"/>
      <c r="CPA41" s="536"/>
      <c r="CPB41" s="536"/>
      <c r="CPC41" s="536"/>
      <c r="CPD41" s="536"/>
      <c r="CPE41" s="536"/>
      <c r="CPF41" s="536"/>
      <c r="CPG41" s="536"/>
      <c r="CPH41" s="536"/>
      <c r="CPI41" s="536"/>
      <c r="CPJ41" s="536"/>
      <c r="CPK41" s="536"/>
      <c r="CPL41" s="536"/>
      <c r="CPM41" s="536"/>
      <c r="CPN41" s="536"/>
      <c r="CPO41" s="536"/>
      <c r="CPP41" s="536"/>
      <c r="CPQ41" s="536"/>
      <c r="CPR41" s="536"/>
      <c r="CPS41" s="536"/>
      <c r="CPT41" s="536"/>
      <c r="CPU41" s="536"/>
      <c r="CPV41" s="536"/>
      <c r="CPW41" s="536"/>
      <c r="CPX41" s="536"/>
      <c r="CPY41" s="536"/>
      <c r="CPZ41" s="536"/>
      <c r="CQA41" s="536"/>
      <c r="CQB41" s="536"/>
      <c r="CQC41" s="536"/>
      <c r="CQD41" s="536"/>
      <c r="CQE41" s="536"/>
      <c r="CQF41" s="536"/>
      <c r="CQG41" s="536"/>
      <c r="CQH41" s="536"/>
      <c r="CQI41" s="536"/>
      <c r="CQJ41" s="536"/>
      <c r="CQK41" s="536"/>
      <c r="CQL41" s="536"/>
      <c r="CQM41" s="536"/>
      <c r="CQN41" s="536"/>
      <c r="CQO41" s="536"/>
      <c r="CQP41" s="536"/>
      <c r="CQQ41" s="536"/>
      <c r="CQR41" s="536"/>
      <c r="CQS41" s="536"/>
      <c r="CQT41" s="536"/>
      <c r="CQU41" s="536"/>
      <c r="CQV41" s="536"/>
      <c r="CQW41" s="536"/>
      <c r="CQX41" s="536"/>
      <c r="CQY41" s="536"/>
      <c r="CQZ41" s="536"/>
      <c r="CRA41" s="536"/>
      <c r="CRB41" s="536"/>
      <c r="CRC41" s="536"/>
      <c r="CRD41" s="536"/>
      <c r="CRE41" s="536"/>
      <c r="CRF41" s="536"/>
      <c r="CRG41" s="536"/>
      <c r="CRH41" s="536"/>
      <c r="CRI41" s="536"/>
      <c r="CRJ41" s="536"/>
      <c r="CRK41" s="536"/>
      <c r="CRL41" s="536"/>
      <c r="CRM41" s="536"/>
      <c r="CRN41" s="536"/>
      <c r="CRO41" s="536"/>
      <c r="CRP41" s="536"/>
      <c r="CRQ41" s="536"/>
      <c r="CRR41" s="536"/>
      <c r="CRS41" s="536"/>
      <c r="CRT41" s="536"/>
      <c r="CRU41" s="536"/>
      <c r="CRV41" s="536"/>
      <c r="CRW41" s="536"/>
      <c r="CRX41" s="536"/>
      <c r="CRY41" s="536"/>
      <c r="CRZ41" s="536"/>
      <c r="CSA41" s="536"/>
      <c r="CSB41" s="536"/>
      <c r="CSC41" s="536"/>
      <c r="CSD41" s="536"/>
      <c r="CSE41" s="536"/>
      <c r="CSF41" s="536"/>
      <c r="CSG41" s="536"/>
      <c r="CSH41" s="536"/>
      <c r="CSI41" s="536"/>
      <c r="CSJ41" s="536"/>
      <c r="CSK41" s="536"/>
      <c r="CSL41" s="536"/>
      <c r="CSM41" s="536"/>
      <c r="CSN41" s="536"/>
      <c r="CSO41" s="536"/>
      <c r="CSP41" s="536"/>
      <c r="CSQ41" s="536"/>
      <c r="CSR41" s="536"/>
      <c r="CSS41" s="536"/>
      <c r="CST41" s="536"/>
      <c r="CSU41" s="536"/>
      <c r="CSV41" s="536"/>
      <c r="CSW41" s="536"/>
      <c r="CSX41" s="536"/>
      <c r="CSY41" s="536"/>
      <c r="CSZ41" s="536"/>
      <c r="CTA41" s="536"/>
      <c r="CTB41" s="536"/>
      <c r="CTC41" s="536"/>
      <c r="CTD41" s="536"/>
      <c r="CTE41" s="536"/>
      <c r="CTF41" s="536"/>
      <c r="CTG41" s="536"/>
      <c r="CTH41" s="536"/>
      <c r="CTI41" s="536"/>
      <c r="CTJ41" s="536"/>
      <c r="CTK41" s="536"/>
      <c r="CTL41" s="536"/>
      <c r="CTM41" s="536"/>
      <c r="CTN41" s="536"/>
      <c r="CTO41" s="536"/>
      <c r="CTP41" s="536"/>
      <c r="CTQ41" s="536"/>
      <c r="CTR41" s="536"/>
      <c r="CTS41" s="536"/>
      <c r="CTT41" s="536"/>
      <c r="CTU41" s="536"/>
      <c r="CTV41" s="536"/>
      <c r="CTW41" s="536"/>
      <c r="CTX41" s="536"/>
      <c r="CTY41" s="536"/>
      <c r="CTZ41" s="536"/>
      <c r="CUA41" s="536"/>
      <c r="CUB41" s="536"/>
      <c r="CUC41" s="536"/>
      <c r="CUD41" s="536"/>
      <c r="CUE41" s="536"/>
      <c r="CUF41" s="536"/>
      <c r="CUG41" s="536"/>
      <c r="CUH41" s="536"/>
      <c r="CUI41" s="536"/>
      <c r="CUJ41" s="536"/>
      <c r="CUK41" s="536"/>
      <c r="CUL41" s="536"/>
      <c r="CUM41" s="536"/>
      <c r="CUN41" s="536"/>
      <c r="CUO41" s="536"/>
      <c r="CUP41" s="536"/>
      <c r="CUQ41" s="536"/>
      <c r="CUR41" s="536"/>
      <c r="CUS41" s="536"/>
      <c r="CUT41" s="536"/>
      <c r="CUU41" s="536"/>
      <c r="CUV41" s="536"/>
      <c r="CUW41" s="536"/>
      <c r="CUX41" s="536"/>
      <c r="CUY41" s="536"/>
      <c r="CUZ41" s="536"/>
      <c r="CVA41" s="536"/>
      <c r="CVB41" s="536"/>
      <c r="CVC41" s="536"/>
      <c r="CVD41" s="536"/>
      <c r="CVE41" s="536"/>
      <c r="CVF41" s="536"/>
      <c r="CVG41" s="536"/>
      <c r="CVH41" s="536"/>
      <c r="CVI41" s="536"/>
      <c r="CVJ41" s="536"/>
      <c r="CVK41" s="536"/>
      <c r="CVL41" s="536"/>
      <c r="CVM41" s="536"/>
      <c r="CVN41" s="536"/>
      <c r="CVO41" s="536"/>
      <c r="CVP41" s="536"/>
      <c r="CVQ41" s="536"/>
      <c r="CVR41" s="536"/>
      <c r="CVS41" s="536"/>
      <c r="CVT41" s="536"/>
      <c r="CVU41" s="536"/>
      <c r="CVV41" s="536"/>
      <c r="CVW41" s="536"/>
      <c r="CVX41" s="536"/>
      <c r="CVY41" s="536"/>
      <c r="CVZ41" s="536"/>
      <c r="CWA41" s="536"/>
      <c r="CWB41" s="536"/>
      <c r="CWC41" s="536"/>
      <c r="CWD41" s="536"/>
      <c r="CWE41" s="536"/>
      <c r="CWF41" s="536"/>
      <c r="CWG41" s="536"/>
      <c r="CWH41" s="536"/>
      <c r="CWI41" s="536"/>
      <c r="CWJ41" s="536"/>
      <c r="CWK41" s="536"/>
      <c r="CWL41" s="536"/>
      <c r="CWM41" s="536"/>
      <c r="CWN41" s="536"/>
      <c r="CWO41" s="536"/>
      <c r="CWP41" s="536"/>
      <c r="CWQ41" s="536"/>
      <c r="CWR41" s="536"/>
      <c r="CWS41" s="536"/>
      <c r="CWT41" s="536"/>
      <c r="CWU41" s="536"/>
      <c r="CWV41" s="536"/>
      <c r="CWW41" s="536"/>
      <c r="CWX41" s="536"/>
      <c r="CWY41" s="536"/>
      <c r="CWZ41" s="536"/>
      <c r="CXA41" s="536"/>
      <c r="CXB41" s="536"/>
      <c r="CXC41" s="536"/>
      <c r="CXD41" s="536"/>
      <c r="CXE41" s="536"/>
      <c r="CXF41" s="536"/>
      <c r="CXG41" s="536"/>
      <c r="CXH41" s="536"/>
      <c r="CXI41" s="536"/>
      <c r="CXJ41" s="536"/>
      <c r="CXK41" s="536"/>
      <c r="CXL41" s="536"/>
      <c r="CXM41" s="536"/>
      <c r="CXN41" s="536"/>
      <c r="CXO41" s="536"/>
      <c r="CXP41" s="536"/>
      <c r="CXQ41" s="536"/>
      <c r="CXR41" s="536"/>
      <c r="CXS41" s="536"/>
      <c r="CXT41" s="536"/>
      <c r="CXU41" s="536"/>
      <c r="CXV41" s="536"/>
      <c r="CXW41" s="536"/>
      <c r="CXX41" s="536"/>
      <c r="CXY41" s="536"/>
      <c r="CXZ41" s="536"/>
      <c r="CYA41" s="536"/>
      <c r="CYB41" s="536"/>
      <c r="CYC41" s="536"/>
      <c r="CYD41" s="536"/>
      <c r="CYE41" s="536"/>
      <c r="CYF41" s="536"/>
      <c r="CYG41" s="536"/>
      <c r="CYH41" s="536"/>
      <c r="CYI41" s="536"/>
      <c r="CYJ41" s="536"/>
      <c r="CYK41" s="536"/>
      <c r="CYL41" s="536"/>
      <c r="CYM41" s="536"/>
      <c r="CYN41" s="536"/>
      <c r="CYO41" s="536"/>
      <c r="CYP41" s="536"/>
      <c r="CYQ41" s="536"/>
      <c r="CYR41" s="536"/>
      <c r="CYS41" s="536"/>
      <c r="CYT41" s="536"/>
      <c r="CYU41" s="536"/>
      <c r="CYV41" s="536"/>
      <c r="CYW41" s="536"/>
      <c r="CYX41" s="536"/>
      <c r="CYY41" s="536"/>
      <c r="CYZ41" s="536"/>
      <c r="CZA41" s="536"/>
      <c r="CZB41" s="536"/>
      <c r="CZC41" s="536"/>
      <c r="CZD41" s="536"/>
      <c r="CZE41" s="536"/>
      <c r="CZF41" s="536"/>
      <c r="CZG41" s="536"/>
      <c r="CZH41" s="536"/>
      <c r="CZI41" s="536"/>
      <c r="CZJ41" s="536"/>
      <c r="CZK41" s="536"/>
      <c r="CZL41" s="536"/>
      <c r="CZM41" s="536"/>
      <c r="CZN41" s="536"/>
      <c r="CZO41" s="536"/>
      <c r="CZP41" s="536"/>
      <c r="CZQ41" s="536"/>
      <c r="CZR41" s="536"/>
      <c r="CZS41" s="536"/>
      <c r="CZT41" s="536"/>
      <c r="CZU41" s="536"/>
      <c r="CZV41" s="536"/>
      <c r="CZW41" s="536"/>
      <c r="CZX41" s="536"/>
      <c r="CZY41" s="536"/>
      <c r="CZZ41" s="536"/>
      <c r="DAA41" s="536"/>
      <c r="DAB41" s="536"/>
      <c r="DAC41" s="536"/>
      <c r="DAD41" s="536"/>
      <c r="DAE41" s="536"/>
      <c r="DAF41" s="536"/>
      <c r="DAG41" s="536"/>
      <c r="DAH41" s="536"/>
      <c r="DAI41" s="536"/>
      <c r="DAJ41" s="536"/>
      <c r="DAK41" s="536"/>
      <c r="DAL41" s="536"/>
      <c r="DAM41" s="536"/>
      <c r="DAN41" s="536"/>
      <c r="DAO41" s="536"/>
      <c r="DAP41" s="536"/>
      <c r="DAQ41" s="536"/>
      <c r="DAR41" s="536"/>
      <c r="DAS41" s="536"/>
      <c r="DAT41" s="536"/>
      <c r="DAU41" s="536"/>
      <c r="DAV41" s="536"/>
      <c r="DAW41" s="536"/>
      <c r="DAX41" s="536"/>
      <c r="DAY41" s="536"/>
      <c r="DAZ41" s="536"/>
      <c r="DBA41" s="536"/>
      <c r="DBB41" s="536"/>
      <c r="DBC41" s="536"/>
      <c r="DBD41" s="536"/>
      <c r="DBE41" s="536"/>
      <c r="DBF41" s="536"/>
      <c r="DBG41" s="536"/>
      <c r="DBH41" s="536"/>
      <c r="DBI41" s="536"/>
      <c r="DBJ41" s="536"/>
      <c r="DBK41" s="536"/>
      <c r="DBL41" s="536"/>
      <c r="DBM41" s="536"/>
      <c r="DBN41" s="536"/>
      <c r="DBO41" s="536"/>
      <c r="DBP41" s="536"/>
      <c r="DBQ41" s="536"/>
      <c r="DBR41" s="536"/>
      <c r="DBS41" s="536"/>
      <c r="DBT41" s="536"/>
      <c r="DBU41" s="536"/>
      <c r="DBV41" s="536"/>
      <c r="DBW41" s="536"/>
      <c r="DBX41" s="536"/>
      <c r="DBY41" s="536"/>
      <c r="DBZ41" s="536"/>
      <c r="DCA41" s="536"/>
      <c r="DCB41" s="536"/>
      <c r="DCC41" s="536"/>
      <c r="DCD41" s="536"/>
      <c r="DCE41" s="536"/>
      <c r="DCF41" s="536"/>
      <c r="DCG41" s="536"/>
      <c r="DCH41" s="536"/>
      <c r="DCI41" s="536"/>
      <c r="DCJ41" s="536"/>
      <c r="DCK41" s="536"/>
      <c r="DCL41" s="536"/>
      <c r="DCM41" s="536"/>
      <c r="DCN41" s="536"/>
      <c r="DCO41" s="536"/>
      <c r="DCP41" s="536"/>
      <c r="DCQ41" s="536"/>
      <c r="DCR41" s="536"/>
      <c r="DCS41" s="536"/>
      <c r="DCT41" s="536"/>
      <c r="DCU41" s="536"/>
      <c r="DCV41" s="536"/>
      <c r="DCW41" s="536"/>
      <c r="DCX41" s="536"/>
      <c r="DCY41" s="536"/>
      <c r="DCZ41" s="536"/>
      <c r="DDA41" s="536"/>
      <c r="DDB41" s="536"/>
      <c r="DDC41" s="536"/>
      <c r="DDD41" s="536"/>
      <c r="DDE41" s="536"/>
      <c r="DDF41" s="536"/>
      <c r="DDG41" s="536"/>
      <c r="DDH41" s="536"/>
      <c r="DDI41" s="536"/>
      <c r="DDJ41" s="536"/>
      <c r="DDK41" s="536"/>
      <c r="DDL41" s="536"/>
      <c r="DDM41" s="536"/>
      <c r="DDN41" s="536"/>
      <c r="DDO41" s="536"/>
      <c r="DDP41" s="536"/>
      <c r="DDQ41" s="536"/>
      <c r="DDR41" s="536"/>
      <c r="DDS41" s="536"/>
      <c r="DDT41" s="536"/>
      <c r="DDU41" s="536"/>
      <c r="DDV41" s="536"/>
      <c r="DDW41" s="536"/>
      <c r="DDX41" s="536"/>
      <c r="DDY41" s="536"/>
      <c r="DDZ41" s="536"/>
      <c r="DEA41" s="536"/>
      <c r="DEB41" s="536"/>
      <c r="DEC41" s="536"/>
      <c r="DED41" s="536"/>
      <c r="DEE41" s="536"/>
      <c r="DEF41" s="536"/>
      <c r="DEG41" s="536"/>
      <c r="DEH41" s="536"/>
      <c r="DEI41" s="536"/>
      <c r="DEJ41" s="536"/>
      <c r="DEK41" s="536"/>
      <c r="DEL41" s="536"/>
      <c r="DEM41" s="536"/>
      <c r="DEN41" s="536"/>
      <c r="DEO41" s="536"/>
      <c r="DEP41" s="536"/>
      <c r="DEQ41" s="536"/>
      <c r="DER41" s="536"/>
      <c r="DES41" s="536"/>
      <c r="DET41" s="536"/>
      <c r="DEU41" s="536"/>
      <c r="DEV41" s="536"/>
      <c r="DEW41" s="536"/>
      <c r="DEX41" s="536"/>
      <c r="DEY41" s="536"/>
      <c r="DEZ41" s="536"/>
      <c r="DFA41" s="536"/>
      <c r="DFB41" s="536"/>
      <c r="DFC41" s="536"/>
      <c r="DFD41" s="536"/>
      <c r="DFE41" s="536"/>
      <c r="DFF41" s="536"/>
      <c r="DFG41" s="536"/>
      <c r="DFH41" s="536"/>
      <c r="DFI41" s="536"/>
      <c r="DFJ41" s="536"/>
      <c r="DFK41" s="536"/>
      <c r="DFL41" s="536"/>
      <c r="DFM41" s="536"/>
      <c r="DFN41" s="536"/>
      <c r="DFO41" s="536"/>
      <c r="DFP41" s="536"/>
      <c r="DFQ41" s="536"/>
      <c r="DFR41" s="536"/>
      <c r="DFS41" s="536"/>
      <c r="DFT41" s="536"/>
      <c r="DFU41" s="536"/>
      <c r="DFV41" s="536"/>
      <c r="DFW41" s="536"/>
      <c r="DFX41" s="536"/>
      <c r="DFY41" s="536"/>
      <c r="DFZ41" s="536"/>
      <c r="DGA41" s="536"/>
      <c r="DGB41" s="536"/>
      <c r="DGC41" s="536"/>
      <c r="DGD41" s="536"/>
      <c r="DGE41" s="536"/>
      <c r="DGF41" s="536"/>
      <c r="DGG41" s="536"/>
      <c r="DGH41" s="536"/>
      <c r="DGI41" s="536"/>
      <c r="DGJ41" s="536"/>
      <c r="DGK41" s="536"/>
      <c r="DGL41" s="536"/>
      <c r="DGM41" s="536"/>
      <c r="DGN41" s="536"/>
      <c r="DGO41" s="536"/>
      <c r="DGP41" s="536"/>
      <c r="DGQ41" s="536"/>
      <c r="DGR41" s="536"/>
      <c r="DGS41" s="536"/>
      <c r="DGT41" s="536"/>
      <c r="DGU41" s="536"/>
      <c r="DGV41" s="536"/>
      <c r="DGW41" s="536"/>
      <c r="DGX41" s="536"/>
      <c r="DGY41" s="536"/>
      <c r="DGZ41" s="536"/>
      <c r="DHA41" s="536"/>
      <c r="DHB41" s="536"/>
      <c r="DHC41" s="536"/>
      <c r="DHD41" s="536"/>
      <c r="DHE41" s="536"/>
      <c r="DHF41" s="536"/>
      <c r="DHG41" s="536"/>
      <c r="DHH41" s="536"/>
      <c r="DHI41" s="536"/>
      <c r="DHJ41" s="536"/>
      <c r="DHK41" s="536"/>
      <c r="DHL41" s="536"/>
      <c r="DHM41" s="536"/>
      <c r="DHN41" s="536"/>
      <c r="DHO41" s="536"/>
      <c r="DHP41" s="536"/>
      <c r="DHQ41" s="536"/>
      <c r="DHR41" s="536"/>
      <c r="DHS41" s="536"/>
      <c r="DHT41" s="536"/>
      <c r="DHU41" s="536"/>
      <c r="DHV41" s="536"/>
      <c r="DHW41" s="536"/>
      <c r="DHX41" s="536"/>
      <c r="DHY41" s="536"/>
      <c r="DHZ41" s="536"/>
      <c r="DIA41" s="536"/>
      <c r="DIB41" s="536"/>
      <c r="DIC41" s="536"/>
      <c r="DID41" s="536"/>
      <c r="DIE41" s="536"/>
      <c r="DIF41" s="536"/>
      <c r="DIG41" s="536"/>
      <c r="DIH41" s="536"/>
      <c r="DII41" s="536"/>
      <c r="DIJ41" s="536"/>
      <c r="DIK41" s="536"/>
      <c r="DIL41" s="536"/>
      <c r="DIM41" s="536"/>
      <c r="DIN41" s="536"/>
      <c r="DIO41" s="536"/>
      <c r="DIP41" s="536"/>
      <c r="DIQ41" s="536"/>
      <c r="DIR41" s="536"/>
      <c r="DIS41" s="536"/>
      <c r="DIT41" s="536"/>
      <c r="DIU41" s="536"/>
      <c r="DIV41" s="536"/>
      <c r="DIW41" s="536"/>
      <c r="DIX41" s="536"/>
      <c r="DIY41" s="536"/>
      <c r="DIZ41" s="536"/>
      <c r="DJA41" s="536"/>
      <c r="DJB41" s="536"/>
      <c r="DJC41" s="536"/>
      <c r="DJD41" s="536"/>
      <c r="DJE41" s="536"/>
      <c r="DJF41" s="536"/>
      <c r="DJG41" s="536"/>
      <c r="DJH41" s="536"/>
      <c r="DJI41" s="536"/>
      <c r="DJJ41" s="536"/>
      <c r="DJK41" s="536"/>
      <c r="DJL41" s="536"/>
      <c r="DJM41" s="536"/>
      <c r="DJN41" s="536"/>
      <c r="DJO41" s="536"/>
      <c r="DJP41" s="536"/>
      <c r="DJQ41" s="536"/>
      <c r="DJR41" s="536"/>
      <c r="DJS41" s="536"/>
      <c r="DJT41" s="536"/>
      <c r="DJU41" s="536"/>
      <c r="DJV41" s="536"/>
      <c r="DJW41" s="536"/>
      <c r="DJX41" s="536"/>
      <c r="DJY41" s="536"/>
      <c r="DJZ41" s="536"/>
      <c r="DKA41" s="536"/>
      <c r="DKB41" s="536"/>
      <c r="DKC41" s="536"/>
      <c r="DKD41" s="536"/>
      <c r="DKE41" s="536"/>
      <c r="DKF41" s="536"/>
      <c r="DKG41" s="536"/>
      <c r="DKH41" s="536"/>
      <c r="DKI41" s="536"/>
      <c r="DKJ41" s="536"/>
      <c r="DKK41" s="536"/>
      <c r="DKL41" s="536"/>
      <c r="DKM41" s="536"/>
      <c r="DKN41" s="536"/>
      <c r="DKO41" s="536"/>
      <c r="DKP41" s="536"/>
      <c r="DKQ41" s="536"/>
      <c r="DKR41" s="536"/>
      <c r="DKS41" s="536"/>
      <c r="DKT41" s="536"/>
      <c r="DKU41" s="536"/>
      <c r="DKV41" s="536"/>
      <c r="DKW41" s="536"/>
      <c r="DKX41" s="536"/>
      <c r="DKY41" s="536"/>
      <c r="DKZ41" s="536"/>
      <c r="DLA41" s="536"/>
      <c r="DLB41" s="536"/>
      <c r="DLC41" s="536"/>
      <c r="DLD41" s="536"/>
      <c r="DLE41" s="536"/>
      <c r="DLF41" s="536"/>
      <c r="DLG41" s="536"/>
      <c r="DLH41" s="536"/>
      <c r="DLI41" s="536"/>
      <c r="DLJ41" s="536"/>
      <c r="DLK41" s="536"/>
      <c r="DLL41" s="536"/>
      <c r="DLM41" s="536"/>
      <c r="DLN41" s="536"/>
      <c r="DLO41" s="536"/>
      <c r="DLP41" s="536"/>
      <c r="DLQ41" s="536"/>
      <c r="DLR41" s="536"/>
      <c r="DLS41" s="536"/>
      <c r="DLT41" s="536"/>
      <c r="DLU41" s="536"/>
      <c r="DLV41" s="536"/>
      <c r="DLW41" s="536"/>
      <c r="DLX41" s="536"/>
      <c r="DLY41" s="536"/>
      <c r="DLZ41" s="536"/>
      <c r="DMA41" s="536"/>
      <c r="DMB41" s="536"/>
      <c r="DMC41" s="536"/>
      <c r="DMD41" s="536"/>
      <c r="DME41" s="536"/>
      <c r="DMF41" s="536"/>
      <c r="DMG41" s="536"/>
      <c r="DMH41" s="536"/>
      <c r="DMI41" s="536"/>
      <c r="DMJ41" s="536"/>
      <c r="DMK41" s="536"/>
      <c r="DML41" s="536"/>
      <c r="DMM41" s="536"/>
      <c r="DMN41" s="536"/>
      <c r="DMO41" s="536"/>
      <c r="DMP41" s="536"/>
      <c r="DMQ41" s="536"/>
      <c r="DMR41" s="536"/>
      <c r="DMS41" s="536"/>
      <c r="DMT41" s="536"/>
      <c r="DMU41" s="536"/>
      <c r="DMV41" s="536"/>
      <c r="DMW41" s="536"/>
      <c r="DMX41" s="536"/>
      <c r="DMY41" s="536"/>
      <c r="DMZ41" s="536"/>
      <c r="DNA41" s="536"/>
      <c r="DNB41" s="536"/>
      <c r="DNC41" s="536"/>
      <c r="DND41" s="536"/>
      <c r="DNE41" s="536"/>
      <c r="DNF41" s="536"/>
      <c r="DNG41" s="536"/>
      <c r="DNH41" s="536"/>
      <c r="DNI41" s="536"/>
      <c r="DNJ41" s="536"/>
      <c r="DNK41" s="536"/>
      <c r="DNL41" s="536"/>
      <c r="DNM41" s="536"/>
      <c r="DNN41" s="536"/>
      <c r="DNO41" s="536"/>
      <c r="DNP41" s="536"/>
      <c r="DNQ41" s="536"/>
      <c r="DNR41" s="536"/>
      <c r="DNS41" s="536"/>
      <c r="DNT41" s="536"/>
      <c r="DNU41" s="536"/>
      <c r="DNV41" s="536"/>
      <c r="DNW41" s="536"/>
      <c r="DNX41" s="536"/>
      <c r="DNY41" s="536"/>
      <c r="DNZ41" s="536"/>
      <c r="DOA41" s="536"/>
      <c r="DOB41" s="536"/>
      <c r="DOC41" s="536"/>
      <c r="DOD41" s="536"/>
      <c r="DOE41" s="536"/>
      <c r="DOF41" s="536"/>
      <c r="DOG41" s="536"/>
      <c r="DOH41" s="536"/>
      <c r="DOI41" s="536"/>
      <c r="DOJ41" s="536"/>
      <c r="DOK41" s="536"/>
      <c r="DOL41" s="536"/>
      <c r="DOM41" s="536"/>
      <c r="DON41" s="536"/>
      <c r="DOO41" s="536"/>
      <c r="DOP41" s="536"/>
      <c r="DOQ41" s="536"/>
      <c r="DOR41" s="536"/>
      <c r="DOS41" s="536"/>
      <c r="DOT41" s="536"/>
      <c r="DOU41" s="536"/>
      <c r="DOV41" s="536"/>
      <c r="DOW41" s="536"/>
      <c r="DOX41" s="536"/>
      <c r="DOY41" s="536"/>
      <c r="DOZ41" s="536"/>
      <c r="DPA41" s="536"/>
      <c r="DPB41" s="536"/>
      <c r="DPC41" s="536"/>
      <c r="DPD41" s="536"/>
      <c r="DPE41" s="536"/>
      <c r="DPF41" s="536"/>
      <c r="DPG41" s="536"/>
      <c r="DPH41" s="536"/>
      <c r="DPI41" s="536"/>
      <c r="DPJ41" s="536"/>
      <c r="DPK41" s="536"/>
      <c r="DPL41" s="536"/>
      <c r="DPM41" s="536"/>
      <c r="DPN41" s="536"/>
      <c r="DPO41" s="536"/>
      <c r="DPP41" s="536"/>
      <c r="DPQ41" s="536"/>
      <c r="DPR41" s="536"/>
      <c r="DPS41" s="536"/>
      <c r="DPT41" s="536"/>
      <c r="DPU41" s="536"/>
      <c r="DPV41" s="536"/>
      <c r="DPW41" s="536"/>
      <c r="DPX41" s="536"/>
      <c r="DPY41" s="536"/>
      <c r="DPZ41" s="536"/>
      <c r="DQA41" s="536"/>
      <c r="DQB41" s="536"/>
      <c r="DQC41" s="536"/>
      <c r="DQD41" s="536"/>
      <c r="DQE41" s="536"/>
      <c r="DQF41" s="536"/>
      <c r="DQG41" s="536"/>
      <c r="DQH41" s="536"/>
      <c r="DQI41" s="536"/>
      <c r="DQJ41" s="536"/>
      <c r="DQK41" s="536"/>
      <c r="DQL41" s="536"/>
      <c r="DQM41" s="536"/>
      <c r="DQN41" s="536"/>
      <c r="DQO41" s="536"/>
      <c r="DQP41" s="536"/>
      <c r="DQQ41" s="536"/>
      <c r="DQR41" s="536"/>
      <c r="DQS41" s="536"/>
      <c r="DQT41" s="536"/>
      <c r="DQU41" s="536"/>
      <c r="DQV41" s="536"/>
      <c r="DQW41" s="536"/>
      <c r="DQX41" s="536"/>
      <c r="DQY41" s="536"/>
      <c r="DQZ41" s="536"/>
      <c r="DRA41" s="536"/>
      <c r="DRB41" s="536"/>
      <c r="DRC41" s="536"/>
      <c r="DRD41" s="536"/>
      <c r="DRE41" s="536"/>
      <c r="DRF41" s="536"/>
      <c r="DRG41" s="536"/>
      <c r="DRH41" s="536"/>
      <c r="DRI41" s="536"/>
      <c r="DRJ41" s="536"/>
      <c r="DRK41" s="536"/>
      <c r="DRL41" s="536"/>
      <c r="DRM41" s="536"/>
      <c r="DRN41" s="536"/>
      <c r="DRO41" s="536"/>
      <c r="DRP41" s="536"/>
      <c r="DRQ41" s="536"/>
      <c r="DRR41" s="536"/>
      <c r="DRS41" s="536"/>
      <c r="DRT41" s="536"/>
      <c r="DRU41" s="536"/>
      <c r="DRV41" s="536"/>
      <c r="DRW41" s="536"/>
      <c r="DRX41" s="536"/>
      <c r="DRY41" s="536"/>
      <c r="DRZ41" s="536"/>
      <c r="DSA41" s="536"/>
      <c r="DSB41" s="536"/>
      <c r="DSC41" s="536"/>
      <c r="DSD41" s="536"/>
      <c r="DSE41" s="536"/>
      <c r="DSF41" s="536"/>
      <c r="DSG41" s="536"/>
      <c r="DSH41" s="536"/>
      <c r="DSI41" s="536"/>
      <c r="DSJ41" s="536"/>
      <c r="DSK41" s="536"/>
      <c r="DSL41" s="536"/>
      <c r="DSM41" s="536"/>
      <c r="DSN41" s="536"/>
      <c r="DSO41" s="536"/>
      <c r="DSP41" s="536"/>
      <c r="DSQ41" s="536"/>
      <c r="DSR41" s="536"/>
      <c r="DSS41" s="536"/>
      <c r="DST41" s="536"/>
      <c r="DSU41" s="536"/>
      <c r="DSV41" s="536"/>
      <c r="DSW41" s="536"/>
      <c r="DSX41" s="536"/>
      <c r="DSY41" s="536"/>
      <c r="DSZ41" s="536"/>
      <c r="DTA41" s="536"/>
      <c r="DTB41" s="536"/>
      <c r="DTC41" s="536"/>
      <c r="DTD41" s="536"/>
      <c r="DTE41" s="536"/>
      <c r="DTF41" s="536"/>
      <c r="DTG41" s="536"/>
      <c r="DTH41" s="536"/>
      <c r="DTI41" s="536"/>
      <c r="DTJ41" s="536"/>
      <c r="DTK41" s="536"/>
      <c r="DTL41" s="536"/>
      <c r="DTM41" s="536"/>
      <c r="DTN41" s="536"/>
      <c r="DTO41" s="536"/>
      <c r="DTP41" s="536"/>
      <c r="DTQ41" s="536"/>
      <c r="DTR41" s="536"/>
      <c r="DTS41" s="536"/>
      <c r="DTT41" s="536"/>
      <c r="DTU41" s="536"/>
      <c r="DTV41" s="536"/>
      <c r="DTW41" s="536"/>
      <c r="DTX41" s="536"/>
      <c r="DTY41" s="536"/>
      <c r="DTZ41" s="536"/>
      <c r="DUA41" s="536"/>
      <c r="DUB41" s="536"/>
      <c r="DUC41" s="536"/>
      <c r="DUD41" s="536"/>
      <c r="DUE41" s="536"/>
      <c r="DUF41" s="536"/>
      <c r="DUG41" s="536"/>
      <c r="DUH41" s="536"/>
      <c r="DUI41" s="536"/>
      <c r="DUJ41" s="536"/>
      <c r="DUK41" s="536"/>
      <c r="DUL41" s="536"/>
      <c r="DUM41" s="536"/>
      <c r="DUN41" s="536"/>
      <c r="DUO41" s="536"/>
      <c r="DUP41" s="536"/>
      <c r="DUQ41" s="536"/>
      <c r="DUR41" s="536"/>
      <c r="DUS41" s="536"/>
      <c r="DUT41" s="536"/>
      <c r="DUU41" s="536"/>
      <c r="DUV41" s="536"/>
      <c r="DUW41" s="536"/>
      <c r="DUX41" s="536"/>
      <c r="DUY41" s="536"/>
      <c r="DUZ41" s="536"/>
      <c r="DVA41" s="536"/>
      <c r="DVB41" s="536"/>
      <c r="DVC41" s="536"/>
      <c r="DVD41" s="536"/>
      <c r="DVE41" s="536"/>
      <c r="DVF41" s="536"/>
      <c r="DVG41" s="536"/>
      <c r="DVH41" s="536"/>
      <c r="DVI41" s="536"/>
      <c r="DVJ41" s="536"/>
      <c r="DVK41" s="536"/>
      <c r="DVL41" s="536"/>
      <c r="DVM41" s="536"/>
      <c r="DVN41" s="536"/>
      <c r="DVO41" s="536"/>
      <c r="DVP41" s="536"/>
      <c r="DVQ41" s="536"/>
      <c r="DVR41" s="536"/>
      <c r="DVS41" s="536"/>
      <c r="DVT41" s="536"/>
      <c r="DVU41" s="536"/>
      <c r="DVV41" s="536"/>
      <c r="DVW41" s="536"/>
      <c r="DVX41" s="536"/>
      <c r="DVY41" s="536"/>
      <c r="DVZ41" s="536"/>
      <c r="DWA41" s="536"/>
      <c r="DWB41" s="536"/>
      <c r="DWC41" s="536"/>
      <c r="DWD41" s="536"/>
      <c r="DWE41" s="536"/>
      <c r="DWF41" s="536"/>
      <c r="DWG41" s="536"/>
      <c r="DWH41" s="536"/>
      <c r="DWI41" s="536"/>
      <c r="DWJ41" s="536"/>
      <c r="DWK41" s="536"/>
      <c r="DWL41" s="536"/>
      <c r="DWM41" s="536"/>
      <c r="DWN41" s="536"/>
      <c r="DWO41" s="536"/>
      <c r="DWP41" s="536"/>
      <c r="DWQ41" s="536"/>
      <c r="DWR41" s="536"/>
      <c r="DWS41" s="536"/>
      <c r="DWT41" s="536"/>
      <c r="DWU41" s="536"/>
      <c r="DWV41" s="536"/>
      <c r="DWW41" s="536"/>
      <c r="DWX41" s="536"/>
      <c r="DWY41" s="536"/>
      <c r="DWZ41" s="536"/>
      <c r="DXA41" s="536"/>
      <c r="DXB41" s="536"/>
      <c r="DXC41" s="536"/>
      <c r="DXD41" s="536"/>
      <c r="DXE41" s="536"/>
      <c r="DXF41" s="536"/>
      <c r="DXG41" s="536"/>
      <c r="DXH41" s="536"/>
      <c r="DXI41" s="536"/>
      <c r="DXJ41" s="536"/>
      <c r="DXK41" s="536"/>
      <c r="DXL41" s="536"/>
      <c r="DXM41" s="536"/>
      <c r="DXN41" s="536"/>
      <c r="DXO41" s="536"/>
      <c r="DXP41" s="536"/>
      <c r="DXQ41" s="536"/>
      <c r="DXR41" s="536"/>
      <c r="DXS41" s="536"/>
      <c r="DXT41" s="536"/>
      <c r="DXU41" s="536"/>
      <c r="DXV41" s="536"/>
      <c r="DXW41" s="536"/>
      <c r="DXX41" s="536"/>
      <c r="DXY41" s="536"/>
      <c r="DXZ41" s="536"/>
      <c r="DYA41" s="536"/>
      <c r="DYB41" s="536"/>
      <c r="DYC41" s="536"/>
      <c r="DYD41" s="536"/>
      <c r="DYE41" s="536"/>
      <c r="DYF41" s="536"/>
      <c r="DYG41" s="536"/>
      <c r="DYH41" s="536"/>
      <c r="DYI41" s="536"/>
      <c r="DYJ41" s="536"/>
      <c r="DYK41" s="536"/>
      <c r="DYL41" s="536"/>
      <c r="DYM41" s="536"/>
      <c r="DYN41" s="536"/>
      <c r="DYO41" s="536"/>
      <c r="DYP41" s="536"/>
      <c r="DYQ41" s="536"/>
      <c r="DYR41" s="536"/>
      <c r="DYS41" s="536"/>
      <c r="DYT41" s="536"/>
      <c r="DYU41" s="536"/>
      <c r="DYV41" s="536"/>
      <c r="DYW41" s="536"/>
      <c r="DYX41" s="536"/>
      <c r="DYY41" s="536"/>
      <c r="DYZ41" s="536"/>
      <c r="DZA41" s="536"/>
      <c r="DZB41" s="536"/>
      <c r="DZC41" s="536"/>
      <c r="DZD41" s="536"/>
      <c r="DZE41" s="536"/>
      <c r="DZF41" s="536"/>
      <c r="DZG41" s="536"/>
      <c r="DZH41" s="536"/>
      <c r="DZI41" s="536"/>
      <c r="DZJ41" s="536"/>
      <c r="DZK41" s="536"/>
      <c r="DZL41" s="536"/>
      <c r="DZM41" s="536"/>
      <c r="DZN41" s="536"/>
      <c r="DZO41" s="536"/>
      <c r="DZP41" s="536"/>
      <c r="DZQ41" s="536"/>
      <c r="DZR41" s="536"/>
      <c r="DZS41" s="536"/>
      <c r="DZT41" s="536"/>
      <c r="DZU41" s="536"/>
      <c r="DZV41" s="536"/>
      <c r="DZW41" s="536"/>
      <c r="DZX41" s="536"/>
      <c r="DZY41" s="536"/>
      <c r="DZZ41" s="536"/>
      <c r="EAA41" s="536"/>
      <c r="EAB41" s="536"/>
      <c r="EAC41" s="536"/>
      <c r="EAD41" s="536"/>
      <c r="EAE41" s="536"/>
      <c r="EAF41" s="536"/>
      <c r="EAG41" s="536"/>
      <c r="EAH41" s="536"/>
      <c r="EAI41" s="536"/>
      <c r="EAJ41" s="536"/>
      <c r="EAK41" s="536"/>
      <c r="EAL41" s="536"/>
      <c r="EAM41" s="536"/>
      <c r="EAN41" s="536"/>
      <c r="EAO41" s="536"/>
      <c r="EAP41" s="536"/>
      <c r="EAQ41" s="536"/>
      <c r="EAR41" s="536"/>
      <c r="EAS41" s="536"/>
      <c r="EAT41" s="536"/>
      <c r="EAU41" s="536"/>
      <c r="EAV41" s="536"/>
      <c r="EAW41" s="536"/>
      <c r="EAX41" s="536"/>
      <c r="EAY41" s="536"/>
      <c r="EAZ41" s="536"/>
      <c r="EBA41" s="536"/>
      <c r="EBB41" s="536"/>
      <c r="EBC41" s="536"/>
      <c r="EBD41" s="536"/>
      <c r="EBE41" s="536"/>
      <c r="EBF41" s="536"/>
      <c r="EBG41" s="536"/>
      <c r="EBH41" s="536"/>
      <c r="EBI41" s="536"/>
      <c r="EBJ41" s="536"/>
      <c r="EBK41" s="536"/>
      <c r="EBL41" s="536"/>
      <c r="EBM41" s="536"/>
      <c r="EBN41" s="536"/>
      <c r="EBO41" s="536"/>
      <c r="EBP41" s="536"/>
      <c r="EBQ41" s="536"/>
      <c r="EBR41" s="536"/>
      <c r="EBS41" s="536"/>
      <c r="EBT41" s="536"/>
      <c r="EBU41" s="536"/>
      <c r="EBV41" s="536"/>
      <c r="EBW41" s="536"/>
      <c r="EBX41" s="536"/>
      <c r="EBY41" s="536"/>
      <c r="EBZ41" s="536"/>
      <c r="ECA41" s="536"/>
      <c r="ECB41" s="536"/>
      <c r="ECC41" s="536"/>
      <c r="ECD41" s="536"/>
      <c r="ECE41" s="536"/>
      <c r="ECF41" s="536"/>
      <c r="ECG41" s="536"/>
      <c r="ECH41" s="536"/>
      <c r="ECI41" s="536"/>
      <c r="ECJ41" s="536"/>
      <c r="ECK41" s="536"/>
      <c r="ECL41" s="536"/>
      <c r="ECM41" s="536"/>
      <c r="ECN41" s="536"/>
      <c r="ECO41" s="536"/>
      <c r="ECP41" s="536"/>
      <c r="ECQ41" s="536"/>
      <c r="ECR41" s="536"/>
      <c r="ECS41" s="536"/>
      <c r="ECT41" s="536"/>
      <c r="ECU41" s="536"/>
      <c r="ECV41" s="536"/>
      <c r="ECW41" s="536"/>
      <c r="ECX41" s="536"/>
      <c r="ECY41" s="536"/>
      <c r="ECZ41" s="536"/>
      <c r="EDA41" s="536"/>
      <c r="EDB41" s="536"/>
      <c r="EDC41" s="536"/>
      <c r="EDD41" s="536"/>
      <c r="EDE41" s="536"/>
      <c r="EDF41" s="536"/>
      <c r="EDG41" s="536"/>
      <c r="EDH41" s="536"/>
      <c r="EDI41" s="536"/>
      <c r="EDJ41" s="536"/>
      <c r="EDK41" s="536"/>
      <c r="EDL41" s="536"/>
      <c r="EDM41" s="536"/>
      <c r="EDN41" s="536"/>
      <c r="EDO41" s="536"/>
      <c r="EDP41" s="536"/>
      <c r="EDQ41" s="536"/>
      <c r="EDR41" s="536"/>
      <c r="EDS41" s="536"/>
      <c r="EDT41" s="536"/>
      <c r="EDU41" s="536"/>
      <c r="EDV41" s="536"/>
      <c r="EDW41" s="536"/>
      <c r="EDX41" s="536"/>
      <c r="EDY41" s="536"/>
      <c r="EDZ41" s="536"/>
      <c r="EEA41" s="536"/>
      <c r="EEB41" s="536"/>
      <c r="EEC41" s="536"/>
      <c r="EED41" s="536"/>
      <c r="EEE41" s="536"/>
      <c r="EEF41" s="536"/>
      <c r="EEG41" s="536"/>
      <c r="EEH41" s="536"/>
      <c r="EEI41" s="536"/>
      <c r="EEJ41" s="536"/>
      <c r="EEK41" s="536"/>
      <c r="EEL41" s="536"/>
      <c r="EEM41" s="536"/>
      <c r="EEN41" s="536"/>
      <c r="EEO41" s="536"/>
      <c r="EEP41" s="536"/>
      <c r="EEQ41" s="536"/>
      <c r="EER41" s="536"/>
      <c r="EES41" s="536"/>
      <c r="EET41" s="536"/>
      <c r="EEU41" s="536"/>
      <c r="EEV41" s="536"/>
      <c r="EEW41" s="536"/>
      <c r="EEX41" s="536"/>
      <c r="EEY41" s="536"/>
      <c r="EEZ41" s="536"/>
      <c r="EFA41" s="536"/>
      <c r="EFB41" s="536"/>
      <c r="EFC41" s="536"/>
      <c r="EFD41" s="536"/>
      <c r="EFE41" s="536"/>
      <c r="EFF41" s="536"/>
      <c r="EFG41" s="536"/>
      <c r="EFH41" s="536"/>
      <c r="EFI41" s="536"/>
      <c r="EFJ41" s="536"/>
      <c r="EFK41" s="536"/>
      <c r="EFL41" s="536"/>
      <c r="EFM41" s="536"/>
      <c r="EFN41" s="536"/>
      <c r="EFO41" s="536"/>
      <c r="EFP41" s="536"/>
      <c r="EFQ41" s="536"/>
      <c r="EFR41" s="536"/>
      <c r="EFS41" s="536"/>
      <c r="EFT41" s="536"/>
      <c r="EFU41" s="536"/>
      <c r="EFV41" s="536"/>
      <c r="EFW41" s="536"/>
      <c r="EFX41" s="536"/>
      <c r="EFY41" s="536"/>
      <c r="EFZ41" s="536"/>
      <c r="EGA41" s="536"/>
      <c r="EGB41" s="536"/>
      <c r="EGC41" s="536"/>
      <c r="EGD41" s="536"/>
      <c r="EGE41" s="536"/>
      <c r="EGF41" s="536"/>
      <c r="EGG41" s="536"/>
      <c r="EGH41" s="536"/>
      <c r="EGI41" s="536"/>
      <c r="EGJ41" s="536"/>
      <c r="EGK41" s="536"/>
      <c r="EGL41" s="536"/>
      <c r="EGM41" s="536"/>
      <c r="EGN41" s="536"/>
      <c r="EGO41" s="536"/>
      <c r="EGP41" s="536"/>
      <c r="EGQ41" s="536"/>
      <c r="EGR41" s="536"/>
      <c r="EGS41" s="536"/>
      <c r="EGT41" s="536"/>
      <c r="EGU41" s="536"/>
      <c r="EGV41" s="536"/>
      <c r="EGW41" s="536"/>
      <c r="EGX41" s="536"/>
      <c r="EGY41" s="536"/>
      <c r="EGZ41" s="536"/>
      <c r="EHA41" s="536"/>
      <c r="EHB41" s="536"/>
      <c r="EHC41" s="536"/>
      <c r="EHD41" s="536"/>
      <c r="EHE41" s="536"/>
      <c r="EHF41" s="536"/>
      <c r="EHG41" s="536"/>
      <c r="EHH41" s="536"/>
      <c r="EHI41" s="536"/>
      <c r="EHJ41" s="536"/>
      <c r="EHK41" s="536"/>
      <c r="EHL41" s="536"/>
      <c r="EHM41" s="536"/>
      <c r="EHN41" s="536"/>
      <c r="EHO41" s="536"/>
      <c r="EHP41" s="536"/>
      <c r="EHQ41" s="536"/>
      <c r="EHR41" s="536"/>
      <c r="EHS41" s="536"/>
      <c r="EHT41" s="536"/>
      <c r="EHU41" s="536"/>
      <c r="EHV41" s="536"/>
      <c r="EHW41" s="536"/>
      <c r="EHX41" s="536"/>
      <c r="EHY41" s="536"/>
      <c r="EHZ41" s="536"/>
      <c r="EIA41" s="536"/>
      <c r="EIB41" s="536"/>
      <c r="EIC41" s="536"/>
      <c r="EID41" s="536"/>
      <c r="EIE41" s="536"/>
      <c r="EIF41" s="536"/>
      <c r="EIG41" s="536"/>
      <c r="EIH41" s="536"/>
      <c r="EII41" s="536"/>
      <c r="EIJ41" s="536"/>
      <c r="EIK41" s="536"/>
      <c r="EIL41" s="536"/>
      <c r="EIM41" s="536"/>
      <c r="EIN41" s="536"/>
      <c r="EIO41" s="536"/>
      <c r="EIP41" s="536"/>
      <c r="EIQ41" s="536"/>
      <c r="EIR41" s="536"/>
      <c r="EIS41" s="536"/>
      <c r="EIT41" s="536"/>
      <c r="EIU41" s="536"/>
      <c r="EIV41" s="536"/>
      <c r="EIW41" s="536"/>
      <c r="EIX41" s="536"/>
      <c r="EIY41" s="536"/>
      <c r="EIZ41" s="536"/>
      <c r="EJA41" s="536"/>
      <c r="EJB41" s="536"/>
      <c r="EJC41" s="536"/>
      <c r="EJD41" s="536"/>
      <c r="EJE41" s="536"/>
      <c r="EJF41" s="536"/>
      <c r="EJG41" s="536"/>
      <c r="EJH41" s="536"/>
      <c r="EJI41" s="536"/>
      <c r="EJJ41" s="536"/>
      <c r="EJK41" s="536"/>
      <c r="EJL41" s="536"/>
      <c r="EJM41" s="536"/>
      <c r="EJN41" s="536"/>
      <c r="EJO41" s="536"/>
      <c r="EJP41" s="536"/>
      <c r="EJQ41" s="536"/>
      <c r="EJR41" s="536"/>
      <c r="EJS41" s="536"/>
      <c r="EJT41" s="536"/>
      <c r="EJU41" s="536"/>
      <c r="EJV41" s="536"/>
      <c r="EJW41" s="536"/>
      <c r="EJX41" s="536"/>
      <c r="EJY41" s="536"/>
      <c r="EJZ41" s="536"/>
      <c r="EKA41" s="536"/>
      <c r="EKB41" s="536"/>
      <c r="EKC41" s="536"/>
      <c r="EKD41" s="536"/>
      <c r="EKE41" s="536"/>
      <c r="EKF41" s="536"/>
      <c r="EKG41" s="536"/>
      <c r="EKH41" s="536"/>
      <c r="EKI41" s="536"/>
      <c r="EKJ41" s="536"/>
      <c r="EKK41" s="536"/>
      <c r="EKL41" s="536"/>
      <c r="EKM41" s="536"/>
      <c r="EKN41" s="536"/>
      <c r="EKO41" s="536"/>
      <c r="EKP41" s="536"/>
      <c r="EKQ41" s="536"/>
      <c r="EKR41" s="536"/>
      <c r="EKS41" s="536"/>
      <c r="EKT41" s="536"/>
      <c r="EKU41" s="536"/>
      <c r="EKV41" s="536"/>
      <c r="EKW41" s="536"/>
      <c r="EKX41" s="536"/>
      <c r="EKY41" s="536"/>
      <c r="EKZ41" s="536"/>
      <c r="ELA41" s="536"/>
      <c r="ELB41" s="536"/>
      <c r="ELC41" s="536"/>
      <c r="ELD41" s="536"/>
      <c r="ELE41" s="536"/>
      <c r="ELF41" s="536"/>
      <c r="ELG41" s="536"/>
      <c r="ELH41" s="536"/>
      <c r="ELI41" s="536"/>
      <c r="ELJ41" s="536"/>
      <c r="ELK41" s="536"/>
      <c r="ELL41" s="536"/>
      <c r="ELM41" s="536"/>
      <c r="ELN41" s="536"/>
      <c r="ELO41" s="536"/>
      <c r="ELP41" s="536"/>
      <c r="ELQ41" s="536"/>
      <c r="ELR41" s="536"/>
      <c r="ELS41" s="536"/>
      <c r="ELT41" s="536"/>
      <c r="ELU41" s="536"/>
      <c r="ELV41" s="536"/>
      <c r="ELW41" s="536"/>
      <c r="ELX41" s="536"/>
      <c r="ELY41" s="536"/>
      <c r="ELZ41" s="536"/>
      <c r="EMA41" s="536"/>
      <c r="EMB41" s="536"/>
      <c r="EMC41" s="536"/>
      <c r="EMD41" s="536"/>
      <c r="EME41" s="536"/>
      <c r="EMF41" s="536"/>
      <c r="EMG41" s="536"/>
      <c r="EMH41" s="536"/>
      <c r="EMI41" s="536"/>
      <c r="EMJ41" s="536"/>
      <c r="EMK41" s="536"/>
      <c r="EML41" s="536"/>
      <c r="EMM41" s="536"/>
      <c r="EMN41" s="536"/>
      <c r="EMO41" s="536"/>
      <c r="EMP41" s="536"/>
      <c r="EMQ41" s="536"/>
      <c r="EMR41" s="536"/>
      <c r="EMS41" s="536"/>
      <c r="EMT41" s="536"/>
      <c r="EMU41" s="536"/>
      <c r="EMV41" s="536"/>
      <c r="EMW41" s="536"/>
      <c r="EMX41" s="536"/>
      <c r="EMY41" s="536"/>
      <c r="EMZ41" s="536"/>
      <c r="ENA41" s="536"/>
      <c r="ENB41" s="536"/>
      <c r="ENC41" s="536"/>
      <c r="END41" s="536"/>
      <c r="ENE41" s="536"/>
      <c r="ENF41" s="536"/>
      <c r="ENG41" s="536"/>
      <c r="ENH41" s="536"/>
      <c r="ENI41" s="536"/>
      <c r="ENJ41" s="536"/>
      <c r="ENK41" s="536"/>
      <c r="ENL41" s="536"/>
      <c r="ENM41" s="536"/>
      <c r="ENN41" s="536"/>
      <c r="ENO41" s="536"/>
      <c r="ENP41" s="536"/>
      <c r="ENQ41" s="536"/>
      <c r="ENR41" s="536"/>
      <c r="ENS41" s="536"/>
      <c r="ENT41" s="536"/>
      <c r="ENU41" s="536"/>
      <c r="ENV41" s="536"/>
      <c r="ENW41" s="536"/>
      <c r="ENX41" s="536"/>
      <c r="ENY41" s="536"/>
      <c r="ENZ41" s="536"/>
      <c r="EOA41" s="536"/>
      <c r="EOB41" s="536"/>
      <c r="EOC41" s="536"/>
      <c r="EOD41" s="536"/>
      <c r="EOE41" s="536"/>
      <c r="EOF41" s="536"/>
      <c r="EOG41" s="536"/>
      <c r="EOH41" s="536"/>
      <c r="EOI41" s="536"/>
      <c r="EOJ41" s="536"/>
      <c r="EOK41" s="536"/>
      <c r="EOL41" s="536"/>
      <c r="EOM41" s="536"/>
      <c r="EON41" s="536"/>
      <c r="EOO41" s="536"/>
      <c r="EOP41" s="536"/>
      <c r="EOQ41" s="536"/>
      <c r="EOR41" s="536"/>
      <c r="EOS41" s="536"/>
      <c r="EOT41" s="536"/>
      <c r="EOU41" s="536"/>
      <c r="EOV41" s="536"/>
      <c r="EOW41" s="536"/>
      <c r="EOX41" s="536"/>
      <c r="EOY41" s="536"/>
      <c r="EOZ41" s="536"/>
      <c r="EPA41" s="536"/>
      <c r="EPB41" s="536"/>
      <c r="EPC41" s="536"/>
      <c r="EPD41" s="536"/>
      <c r="EPE41" s="536"/>
      <c r="EPF41" s="536"/>
      <c r="EPG41" s="536"/>
      <c r="EPH41" s="536"/>
      <c r="EPI41" s="536"/>
      <c r="EPJ41" s="536"/>
      <c r="EPK41" s="536"/>
      <c r="EPL41" s="536"/>
      <c r="EPM41" s="536"/>
      <c r="EPN41" s="536"/>
      <c r="EPO41" s="536"/>
      <c r="EPP41" s="536"/>
      <c r="EPQ41" s="536"/>
      <c r="EPR41" s="536"/>
      <c r="EPS41" s="536"/>
      <c r="EPT41" s="536"/>
      <c r="EPU41" s="536"/>
      <c r="EPV41" s="536"/>
      <c r="EPW41" s="536"/>
      <c r="EPX41" s="536"/>
      <c r="EPY41" s="536"/>
      <c r="EPZ41" s="536"/>
      <c r="EQA41" s="536"/>
      <c r="EQB41" s="536"/>
      <c r="EQC41" s="536"/>
      <c r="EQD41" s="536"/>
      <c r="EQE41" s="536"/>
      <c r="EQF41" s="536"/>
      <c r="EQG41" s="536"/>
      <c r="EQH41" s="536"/>
      <c r="EQI41" s="536"/>
      <c r="EQJ41" s="536"/>
      <c r="EQK41" s="536"/>
      <c r="EQL41" s="536"/>
      <c r="EQM41" s="536"/>
      <c r="EQN41" s="536"/>
      <c r="EQO41" s="536"/>
      <c r="EQP41" s="536"/>
      <c r="EQQ41" s="536"/>
      <c r="EQR41" s="536"/>
      <c r="EQS41" s="536"/>
      <c r="EQT41" s="536"/>
      <c r="EQU41" s="536"/>
      <c r="EQV41" s="536"/>
      <c r="EQW41" s="536"/>
      <c r="EQX41" s="536"/>
      <c r="EQY41" s="536"/>
      <c r="EQZ41" s="536"/>
      <c r="ERA41" s="536"/>
      <c r="ERB41" s="536"/>
      <c r="ERC41" s="536"/>
      <c r="ERD41" s="536"/>
      <c r="ERE41" s="536"/>
      <c r="ERF41" s="536"/>
      <c r="ERG41" s="536"/>
      <c r="ERH41" s="536"/>
      <c r="ERI41" s="536"/>
      <c r="ERJ41" s="536"/>
      <c r="ERK41" s="536"/>
      <c r="ERL41" s="536"/>
      <c r="ERM41" s="536"/>
      <c r="ERN41" s="536"/>
      <c r="ERO41" s="536"/>
      <c r="ERP41" s="536"/>
      <c r="ERQ41" s="536"/>
      <c r="ERR41" s="536"/>
      <c r="ERS41" s="536"/>
      <c r="ERT41" s="536"/>
      <c r="ERU41" s="536"/>
      <c r="ERV41" s="536"/>
      <c r="ERW41" s="536"/>
      <c r="ERX41" s="536"/>
      <c r="ERY41" s="536"/>
      <c r="ERZ41" s="536"/>
      <c r="ESA41" s="536"/>
      <c r="ESB41" s="536"/>
      <c r="ESC41" s="536"/>
      <c r="ESD41" s="536"/>
      <c r="ESE41" s="536"/>
      <c r="ESF41" s="536"/>
      <c r="ESG41" s="536"/>
      <c r="ESH41" s="536"/>
      <c r="ESI41" s="536"/>
      <c r="ESJ41" s="536"/>
      <c r="ESK41" s="536"/>
      <c r="ESL41" s="536"/>
      <c r="ESM41" s="536"/>
      <c r="ESN41" s="536"/>
      <c r="ESO41" s="536"/>
      <c r="ESP41" s="536"/>
      <c r="ESQ41" s="536"/>
      <c r="ESR41" s="536"/>
      <c r="ESS41" s="536"/>
      <c r="EST41" s="536"/>
      <c r="ESU41" s="536"/>
      <c r="ESV41" s="536"/>
      <c r="ESW41" s="536"/>
      <c r="ESX41" s="536"/>
      <c r="ESY41" s="536"/>
      <c r="ESZ41" s="536"/>
      <c r="ETA41" s="536"/>
      <c r="ETB41" s="536"/>
      <c r="ETC41" s="536"/>
      <c r="ETD41" s="536"/>
      <c r="ETE41" s="536"/>
      <c r="ETF41" s="536"/>
      <c r="ETG41" s="536"/>
      <c r="ETH41" s="536"/>
      <c r="ETI41" s="536"/>
      <c r="ETJ41" s="536"/>
      <c r="ETK41" s="536"/>
      <c r="ETL41" s="536"/>
      <c r="ETM41" s="536"/>
      <c r="ETN41" s="536"/>
      <c r="ETO41" s="536"/>
      <c r="ETP41" s="536"/>
      <c r="ETQ41" s="536"/>
      <c r="ETR41" s="536"/>
      <c r="ETS41" s="536"/>
      <c r="ETT41" s="536"/>
      <c r="ETU41" s="536"/>
      <c r="ETV41" s="536"/>
      <c r="ETW41" s="536"/>
      <c r="ETX41" s="536"/>
      <c r="ETY41" s="536"/>
      <c r="ETZ41" s="536"/>
      <c r="EUA41" s="536"/>
      <c r="EUB41" s="536"/>
      <c r="EUC41" s="536"/>
      <c r="EUD41" s="536"/>
      <c r="EUE41" s="536"/>
      <c r="EUF41" s="536"/>
      <c r="EUG41" s="536"/>
      <c r="EUH41" s="536"/>
      <c r="EUI41" s="536"/>
      <c r="EUJ41" s="536"/>
      <c r="EUK41" s="536"/>
      <c r="EUL41" s="536"/>
      <c r="EUM41" s="536"/>
      <c r="EUN41" s="536"/>
      <c r="EUO41" s="536"/>
      <c r="EUP41" s="536"/>
      <c r="EUQ41" s="536"/>
      <c r="EUR41" s="536"/>
      <c r="EUS41" s="536"/>
      <c r="EUT41" s="536"/>
      <c r="EUU41" s="536"/>
      <c r="EUV41" s="536"/>
      <c r="EUW41" s="536"/>
      <c r="EUX41" s="536"/>
      <c r="EUY41" s="536"/>
      <c r="EUZ41" s="536"/>
      <c r="EVA41" s="536"/>
      <c r="EVB41" s="536"/>
      <c r="EVC41" s="536"/>
      <c r="EVD41" s="536"/>
      <c r="EVE41" s="536"/>
      <c r="EVF41" s="536"/>
      <c r="EVG41" s="536"/>
      <c r="EVH41" s="536"/>
      <c r="EVI41" s="536"/>
      <c r="EVJ41" s="536"/>
      <c r="EVK41" s="536"/>
      <c r="EVL41" s="536"/>
      <c r="EVM41" s="536"/>
      <c r="EVN41" s="536"/>
      <c r="EVO41" s="536"/>
      <c r="EVP41" s="536"/>
      <c r="EVQ41" s="536"/>
      <c r="EVR41" s="536"/>
      <c r="EVS41" s="536"/>
      <c r="EVT41" s="536"/>
      <c r="EVU41" s="536"/>
      <c r="EVV41" s="536"/>
      <c r="EVW41" s="536"/>
      <c r="EVX41" s="536"/>
      <c r="EVY41" s="536"/>
      <c r="EVZ41" s="536"/>
      <c r="EWA41" s="536"/>
      <c r="EWB41" s="536"/>
      <c r="EWC41" s="536"/>
      <c r="EWD41" s="536"/>
      <c r="EWE41" s="536"/>
      <c r="EWF41" s="536"/>
      <c r="EWG41" s="536"/>
      <c r="EWH41" s="536"/>
      <c r="EWI41" s="536"/>
      <c r="EWJ41" s="536"/>
      <c r="EWK41" s="536"/>
      <c r="EWL41" s="536"/>
      <c r="EWM41" s="536"/>
      <c r="EWN41" s="536"/>
      <c r="EWO41" s="536"/>
      <c r="EWP41" s="536"/>
      <c r="EWQ41" s="536"/>
      <c r="EWR41" s="536"/>
      <c r="EWS41" s="536"/>
      <c r="EWT41" s="536"/>
      <c r="EWU41" s="536"/>
      <c r="EWV41" s="536"/>
      <c r="EWW41" s="536"/>
      <c r="EWX41" s="536"/>
      <c r="EWY41" s="536"/>
      <c r="EWZ41" s="536"/>
      <c r="EXA41" s="536"/>
      <c r="EXB41" s="536"/>
      <c r="EXC41" s="536"/>
      <c r="EXD41" s="536"/>
      <c r="EXE41" s="536"/>
      <c r="EXF41" s="536"/>
      <c r="EXG41" s="536"/>
      <c r="EXH41" s="536"/>
      <c r="EXI41" s="536"/>
      <c r="EXJ41" s="536"/>
      <c r="EXK41" s="536"/>
      <c r="EXL41" s="536"/>
      <c r="EXM41" s="536"/>
      <c r="EXN41" s="536"/>
      <c r="EXO41" s="536"/>
      <c r="EXP41" s="536"/>
      <c r="EXQ41" s="536"/>
      <c r="EXR41" s="536"/>
      <c r="EXS41" s="536"/>
      <c r="EXT41" s="536"/>
      <c r="EXU41" s="536"/>
      <c r="EXV41" s="536"/>
      <c r="EXW41" s="536"/>
      <c r="EXX41" s="536"/>
      <c r="EXY41" s="536"/>
      <c r="EXZ41" s="536"/>
      <c r="EYA41" s="536"/>
      <c r="EYB41" s="536"/>
      <c r="EYC41" s="536"/>
      <c r="EYD41" s="536"/>
      <c r="EYE41" s="536"/>
      <c r="EYF41" s="536"/>
      <c r="EYG41" s="536"/>
      <c r="EYH41" s="536"/>
      <c r="EYI41" s="536"/>
      <c r="EYJ41" s="536"/>
      <c r="EYK41" s="536"/>
      <c r="EYL41" s="536"/>
      <c r="EYM41" s="536"/>
      <c r="EYN41" s="536"/>
      <c r="EYO41" s="536"/>
      <c r="EYP41" s="536"/>
      <c r="EYQ41" s="536"/>
      <c r="EYR41" s="536"/>
      <c r="EYS41" s="536"/>
      <c r="EYT41" s="536"/>
      <c r="EYU41" s="536"/>
      <c r="EYV41" s="536"/>
      <c r="EYW41" s="536"/>
      <c r="EYX41" s="536"/>
      <c r="EYY41" s="536"/>
      <c r="EYZ41" s="536"/>
      <c r="EZA41" s="536"/>
      <c r="EZB41" s="536"/>
      <c r="EZC41" s="536"/>
      <c r="EZD41" s="536"/>
      <c r="EZE41" s="536"/>
      <c r="EZF41" s="536"/>
      <c r="EZG41" s="536"/>
      <c r="EZH41" s="536"/>
      <c r="EZI41" s="536"/>
      <c r="EZJ41" s="536"/>
      <c r="EZK41" s="536"/>
      <c r="EZL41" s="536"/>
      <c r="EZM41" s="536"/>
      <c r="EZN41" s="536"/>
      <c r="EZO41" s="536"/>
      <c r="EZP41" s="536"/>
      <c r="EZQ41" s="536"/>
      <c r="EZR41" s="536"/>
      <c r="EZS41" s="536"/>
      <c r="EZT41" s="536"/>
      <c r="EZU41" s="536"/>
      <c r="EZV41" s="536"/>
      <c r="EZW41" s="536"/>
      <c r="EZX41" s="536"/>
      <c r="EZY41" s="536"/>
      <c r="EZZ41" s="536"/>
      <c r="FAA41" s="536"/>
      <c r="FAB41" s="536"/>
      <c r="FAC41" s="536"/>
      <c r="FAD41" s="536"/>
      <c r="FAE41" s="536"/>
      <c r="FAF41" s="536"/>
      <c r="FAG41" s="536"/>
      <c r="FAH41" s="536"/>
      <c r="FAI41" s="536"/>
      <c r="FAJ41" s="536"/>
      <c r="FAK41" s="536"/>
      <c r="FAL41" s="536"/>
      <c r="FAM41" s="536"/>
      <c r="FAN41" s="536"/>
      <c r="FAO41" s="536"/>
      <c r="FAP41" s="536"/>
      <c r="FAQ41" s="536"/>
      <c r="FAR41" s="536"/>
      <c r="FAS41" s="536"/>
      <c r="FAT41" s="536"/>
      <c r="FAU41" s="536"/>
      <c r="FAV41" s="536"/>
      <c r="FAW41" s="536"/>
      <c r="FAX41" s="536"/>
      <c r="FAY41" s="536"/>
      <c r="FAZ41" s="536"/>
      <c r="FBA41" s="536"/>
      <c r="FBB41" s="536"/>
      <c r="FBC41" s="536"/>
      <c r="FBD41" s="536"/>
      <c r="FBE41" s="536"/>
      <c r="FBF41" s="536"/>
      <c r="FBG41" s="536"/>
      <c r="FBH41" s="536"/>
      <c r="FBI41" s="536"/>
      <c r="FBJ41" s="536"/>
      <c r="FBK41" s="536"/>
      <c r="FBL41" s="536"/>
      <c r="FBM41" s="536"/>
      <c r="FBN41" s="536"/>
      <c r="FBO41" s="536"/>
      <c r="FBP41" s="536"/>
      <c r="FBQ41" s="536"/>
      <c r="FBR41" s="536"/>
      <c r="FBS41" s="536"/>
      <c r="FBT41" s="536"/>
      <c r="FBU41" s="536"/>
      <c r="FBV41" s="536"/>
      <c r="FBW41" s="536"/>
      <c r="FBX41" s="536"/>
      <c r="FBY41" s="536"/>
      <c r="FBZ41" s="536"/>
      <c r="FCA41" s="536"/>
      <c r="FCB41" s="536"/>
      <c r="FCC41" s="536"/>
      <c r="FCD41" s="536"/>
      <c r="FCE41" s="536"/>
      <c r="FCF41" s="536"/>
      <c r="FCG41" s="536"/>
      <c r="FCH41" s="536"/>
      <c r="FCI41" s="536"/>
      <c r="FCJ41" s="536"/>
      <c r="FCK41" s="536"/>
      <c r="FCL41" s="536"/>
      <c r="FCM41" s="536"/>
      <c r="FCN41" s="536"/>
      <c r="FCO41" s="536"/>
      <c r="FCP41" s="536"/>
      <c r="FCQ41" s="536"/>
      <c r="FCR41" s="536"/>
      <c r="FCS41" s="536"/>
      <c r="FCT41" s="536"/>
      <c r="FCU41" s="536"/>
      <c r="FCV41" s="536"/>
      <c r="FCW41" s="536"/>
      <c r="FCX41" s="536"/>
      <c r="FCY41" s="536"/>
      <c r="FCZ41" s="536"/>
      <c r="FDA41" s="536"/>
      <c r="FDB41" s="536"/>
      <c r="FDC41" s="536"/>
      <c r="FDD41" s="536"/>
      <c r="FDE41" s="536"/>
      <c r="FDF41" s="536"/>
      <c r="FDG41" s="536"/>
      <c r="FDH41" s="536"/>
      <c r="FDI41" s="536"/>
      <c r="FDJ41" s="536"/>
      <c r="FDK41" s="536"/>
      <c r="FDL41" s="536"/>
      <c r="FDM41" s="536"/>
      <c r="FDN41" s="536"/>
      <c r="FDO41" s="536"/>
      <c r="FDP41" s="536"/>
      <c r="FDQ41" s="536"/>
      <c r="FDR41" s="536"/>
      <c r="FDS41" s="536"/>
      <c r="FDT41" s="536"/>
      <c r="FDU41" s="536"/>
      <c r="FDV41" s="536"/>
      <c r="FDW41" s="536"/>
      <c r="FDX41" s="536"/>
      <c r="FDY41" s="536"/>
      <c r="FDZ41" s="536"/>
      <c r="FEA41" s="536"/>
      <c r="FEB41" s="536"/>
      <c r="FEC41" s="536"/>
      <c r="FED41" s="536"/>
      <c r="FEE41" s="536"/>
      <c r="FEF41" s="536"/>
      <c r="FEG41" s="536"/>
      <c r="FEH41" s="536"/>
      <c r="FEI41" s="536"/>
      <c r="FEJ41" s="536"/>
      <c r="FEK41" s="536"/>
      <c r="FEL41" s="536"/>
      <c r="FEM41" s="536"/>
      <c r="FEN41" s="536"/>
      <c r="FEO41" s="536"/>
      <c r="FEP41" s="536"/>
      <c r="FEQ41" s="536"/>
      <c r="FER41" s="536"/>
      <c r="FES41" s="536"/>
      <c r="FET41" s="536"/>
      <c r="FEU41" s="536"/>
      <c r="FEV41" s="536"/>
      <c r="FEW41" s="536"/>
      <c r="FEX41" s="536"/>
      <c r="FEY41" s="536"/>
      <c r="FEZ41" s="536"/>
      <c r="FFA41" s="536"/>
      <c r="FFB41" s="536"/>
      <c r="FFC41" s="536"/>
      <c r="FFD41" s="536"/>
      <c r="FFE41" s="536"/>
      <c r="FFF41" s="536"/>
      <c r="FFG41" s="536"/>
      <c r="FFH41" s="536"/>
      <c r="FFI41" s="536"/>
      <c r="FFJ41" s="536"/>
      <c r="FFK41" s="536"/>
      <c r="FFL41" s="536"/>
      <c r="FFM41" s="536"/>
      <c r="FFN41" s="536"/>
      <c r="FFO41" s="536"/>
      <c r="FFP41" s="536"/>
      <c r="FFQ41" s="536"/>
      <c r="FFR41" s="536"/>
      <c r="FFS41" s="536"/>
      <c r="FFT41" s="536"/>
      <c r="FFU41" s="536"/>
      <c r="FFV41" s="536"/>
      <c r="FFW41" s="536"/>
      <c r="FFX41" s="536"/>
      <c r="FFY41" s="536"/>
      <c r="FFZ41" s="536"/>
      <c r="FGA41" s="536"/>
      <c r="FGB41" s="536"/>
      <c r="FGC41" s="536"/>
      <c r="FGD41" s="536"/>
      <c r="FGE41" s="536"/>
      <c r="FGF41" s="536"/>
      <c r="FGG41" s="536"/>
      <c r="FGH41" s="536"/>
      <c r="FGI41" s="536"/>
      <c r="FGJ41" s="536"/>
      <c r="FGK41" s="536"/>
      <c r="FGL41" s="536"/>
      <c r="FGM41" s="536"/>
      <c r="FGN41" s="536"/>
      <c r="FGO41" s="536"/>
      <c r="FGP41" s="536"/>
      <c r="FGQ41" s="536"/>
      <c r="FGR41" s="536"/>
      <c r="FGS41" s="536"/>
      <c r="FGT41" s="536"/>
      <c r="FGU41" s="536"/>
      <c r="FGV41" s="536"/>
      <c r="FGW41" s="536"/>
      <c r="FGX41" s="536"/>
      <c r="FGY41" s="536"/>
      <c r="FGZ41" s="536"/>
      <c r="FHA41" s="536"/>
      <c r="FHB41" s="536"/>
      <c r="FHC41" s="536"/>
      <c r="FHD41" s="536"/>
      <c r="FHE41" s="536"/>
      <c r="FHF41" s="536"/>
      <c r="FHG41" s="536"/>
      <c r="FHH41" s="536"/>
      <c r="FHI41" s="536"/>
      <c r="FHJ41" s="536"/>
      <c r="FHK41" s="536"/>
      <c r="FHL41" s="536"/>
      <c r="FHM41" s="536"/>
      <c r="FHN41" s="536"/>
      <c r="FHO41" s="536"/>
      <c r="FHP41" s="536"/>
      <c r="FHQ41" s="536"/>
      <c r="FHR41" s="536"/>
      <c r="FHS41" s="536"/>
      <c r="FHT41" s="536"/>
      <c r="FHU41" s="536"/>
      <c r="FHV41" s="536"/>
      <c r="FHW41" s="536"/>
      <c r="FHX41" s="536"/>
      <c r="FHY41" s="536"/>
      <c r="FHZ41" s="536"/>
      <c r="FIA41" s="536"/>
      <c r="FIB41" s="536"/>
      <c r="FIC41" s="536"/>
      <c r="FID41" s="536"/>
      <c r="FIE41" s="536"/>
      <c r="FIF41" s="536"/>
      <c r="FIG41" s="536"/>
      <c r="FIH41" s="536"/>
      <c r="FII41" s="536"/>
      <c r="FIJ41" s="536"/>
      <c r="FIK41" s="536"/>
      <c r="FIL41" s="536"/>
      <c r="FIM41" s="536"/>
      <c r="FIN41" s="536"/>
      <c r="FIO41" s="536"/>
      <c r="FIP41" s="536"/>
      <c r="FIQ41" s="536"/>
      <c r="FIR41" s="536"/>
      <c r="FIS41" s="536"/>
      <c r="FIT41" s="536"/>
      <c r="FIU41" s="536"/>
      <c r="FIV41" s="536"/>
      <c r="FIW41" s="536"/>
      <c r="FIX41" s="536"/>
      <c r="FIY41" s="536"/>
      <c r="FIZ41" s="536"/>
      <c r="FJA41" s="536"/>
      <c r="FJB41" s="536"/>
      <c r="FJC41" s="536"/>
      <c r="FJD41" s="536"/>
      <c r="FJE41" s="536"/>
      <c r="FJF41" s="536"/>
      <c r="FJG41" s="536"/>
      <c r="FJH41" s="536"/>
      <c r="FJI41" s="536"/>
      <c r="FJJ41" s="536"/>
      <c r="FJK41" s="536"/>
      <c r="FJL41" s="536"/>
      <c r="FJM41" s="536"/>
      <c r="FJN41" s="536"/>
      <c r="FJO41" s="536"/>
      <c r="FJP41" s="536"/>
      <c r="FJQ41" s="536"/>
      <c r="FJR41" s="536"/>
      <c r="FJS41" s="536"/>
      <c r="FJT41" s="536"/>
      <c r="FJU41" s="536"/>
      <c r="FJV41" s="536"/>
      <c r="FJW41" s="536"/>
      <c r="FJX41" s="536"/>
      <c r="FJY41" s="536"/>
      <c r="FJZ41" s="536"/>
      <c r="FKA41" s="536"/>
      <c r="FKB41" s="536"/>
      <c r="FKC41" s="536"/>
      <c r="FKD41" s="536"/>
      <c r="FKE41" s="536"/>
      <c r="FKF41" s="536"/>
      <c r="FKG41" s="536"/>
      <c r="FKH41" s="536"/>
      <c r="FKI41" s="536"/>
      <c r="FKJ41" s="536"/>
      <c r="FKK41" s="536"/>
      <c r="FKL41" s="536"/>
      <c r="FKM41" s="536"/>
      <c r="FKN41" s="536"/>
      <c r="FKO41" s="536"/>
      <c r="FKP41" s="536"/>
      <c r="FKQ41" s="536"/>
      <c r="FKR41" s="536"/>
      <c r="FKS41" s="536"/>
      <c r="FKT41" s="536"/>
      <c r="FKU41" s="536"/>
      <c r="FKV41" s="536"/>
      <c r="FKW41" s="536"/>
      <c r="FKX41" s="536"/>
      <c r="FKY41" s="536"/>
      <c r="FKZ41" s="536"/>
      <c r="FLA41" s="536"/>
      <c r="FLB41" s="536"/>
      <c r="FLC41" s="536"/>
      <c r="FLD41" s="536"/>
      <c r="FLE41" s="536"/>
      <c r="FLF41" s="536"/>
      <c r="FLG41" s="536"/>
      <c r="FLH41" s="536"/>
      <c r="FLI41" s="536"/>
      <c r="FLJ41" s="536"/>
      <c r="FLK41" s="536"/>
      <c r="FLL41" s="536"/>
      <c r="FLM41" s="536"/>
      <c r="FLN41" s="536"/>
      <c r="FLO41" s="536"/>
      <c r="FLP41" s="536"/>
      <c r="FLQ41" s="536"/>
      <c r="FLR41" s="536"/>
      <c r="FLS41" s="536"/>
      <c r="FLT41" s="536"/>
      <c r="FLU41" s="536"/>
      <c r="FLV41" s="536"/>
      <c r="FLW41" s="536"/>
      <c r="FLX41" s="536"/>
      <c r="FLY41" s="536"/>
      <c r="FLZ41" s="536"/>
      <c r="FMA41" s="536"/>
      <c r="FMB41" s="536"/>
      <c r="FMC41" s="536"/>
      <c r="FMD41" s="536"/>
      <c r="FME41" s="536"/>
      <c r="FMF41" s="536"/>
      <c r="FMG41" s="536"/>
      <c r="FMH41" s="536"/>
      <c r="FMI41" s="536"/>
      <c r="FMJ41" s="536"/>
      <c r="FMK41" s="536"/>
      <c r="FML41" s="536"/>
      <c r="FMM41" s="536"/>
      <c r="FMN41" s="536"/>
      <c r="FMO41" s="536"/>
      <c r="FMP41" s="536"/>
      <c r="FMQ41" s="536"/>
      <c r="FMR41" s="536"/>
      <c r="FMS41" s="536"/>
      <c r="FMT41" s="536"/>
      <c r="FMU41" s="536"/>
      <c r="FMV41" s="536"/>
      <c r="FMW41" s="536"/>
      <c r="FMX41" s="536"/>
      <c r="FMY41" s="536"/>
      <c r="FMZ41" s="536"/>
      <c r="FNA41" s="536"/>
      <c r="FNB41" s="536"/>
      <c r="FNC41" s="536"/>
      <c r="FND41" s="536"/>
      <c r="FNE41" s="536"/>
      <c r="FNF41" s="536"/>
      <c r="FNG41" s="536"/>
      <c r="FNH41" s="536"/>
      <c r="FNI41" s="536"/>
      <c r="FNJ41" s="536"/>
      <c r="FNK41" s="536"/>
      <c r="FNL41" s="536"/>
      <c r="FNM41" s="536"/>
      <c r="FNN41" s="536"/>
      <c r="FNO41" s="536"/>
      <c r="FNP41" s="536"/>
      <c r="FNQ41" s="536"/>
      <c r="FNR41" s="536"/>
      <c r="FNS41" s="536"/>
      <c r="FNT41" s="536"/>
      <c r="FNU41" s="536"/>
      <c r="FNV41" s="536"/>
      <c r="FNW41" s="536"/>
      <c r="FNX41" s="536"/>
      <c r="FNY41" s="536"/>
      <c r="FNZ41" s="536"/>
      <c r="FOA41" s="536"/>
      <c r="FOB41" s="536"/>
      <c r="FOC41" s="536"/>
      <c r="FOD41" s="536"/>
      <c r="FOE41" s="536"/>
      <c r="FOF41" s="536"/>
      <c r="FOG41" s="536"/>
      <c r="FOH41" s="536"/>
      <c r="FOI41" s="536"/>
      <c r="FOJ41" s="536"/>
      <c r="FOK41" s="536"/>
      <c r="FOL41" s="536"/>
      <c r="FOM41" s="536"/>
      <c r="FON41" s="536"/>
      <c r="FOO41" s="536"/>
      <c r="FOP41" s="536"/>
      <c r="FOQ41" s="536"/>
      <c r="FOR41" s="536"/>
      <c r="FOS41" s="536"/>
      <c r="FOT41" s="536"/>
      <c r="FOU41" s="536"/>
      <c r="FOV41" s="536"/>
      <c r="FOW41" s="536"/>
      <c r="FOX41" s="536"/>
      <c r="FOY41" s="536"/>
      <c r="FOZ41" s="536"/>
      <c r="FPA41" s="536"/>
      <c r="FPB41" s="536"/>
      <c r="FPC41" s="536"/>
      <c r="FPD41" s="536"/>
      <c r="FPE41" s="536"/>
      <c r="FPF41" s="536"/>
      <c r="FPG41" s="536"/>
      <c r="FPH41" s="536"/>
      <c r="FPI41" s="536"/>
      <c r="FPJ41" s="536"/>
      <c r="FPK41" s="536"/>
      <c r="FPL41" s="536"/>
      <c r="FPM41" s="536"/>
      <c r="FPN41" s="536"/>
      <c r="FPO41" s="536"/>
      <c r="FPP41" s="536"/>
      <c r="FPQ41" s="536"/>
      <c r="FPR41" s="536"/>
      <c r="FPS41" s="536"/>
      <c r="FPT41" s="536"/>
      <c r="FPU41" s="536"/>
      <c r="FPV41" s="536"/>
      <c r="FPW41" s="536"/>
      <c r="FPX41" s="536"/>
      <c r="FPY41" s="536"/>
      <c r="FPZ41" s="536"/>
      <c r="FQA41" s="536"/>
      <c r="FQB41" s="536"/>
      <c r="FQC41" s="536"/>
      <c r="FQD41" s="536"/>
      <c r="FQE41" s="536"/>
      <c r="FQF41" s="536"/>
      <c r="FQG41" s="536"/>
      <c r="FQH41" s="536"/>
      <c r="FQI41" s="536"/>
      <c r="FQJ41" s="536"/>
      <c r="FQK41" s="536"/>
      <c r="FQL41" s="536"/>
      <c r="FQM41" s="536"/>
      <c r="FQN41" s="536"/>
      <c r="FQO41" s="536"/>
      <c r="FQP41" s="536"/>
      <c r="FQQ41" s="536"/>
      <c r="FQR41" s="536"/>
      <c r="FQS41" s="536"/>
      <c r="FQT41" s="536"/>
      <c r="FQU41" s="536"/>
      <c r="FQV41" s="536"/>
      <c r="FQW41" s="536"/>
      <c r="FQX41" s="536"/>
      <c r="FQY41" s="536"/>
      <c r="FQZ41" s="536"/>
      <c r="FRA41" s="536"/>
      <c r="FRB41" s="536"/>
      <c r="FRC41" s="536"/>
      <c r="FRD41" s="536"/>
      <c r="FRE41" s="536"/>
      <c r="FRF41" s="536"/>
      <c r="FRG41" s="536"/>
      <c r="FRH41" s="536"/>
      <c r="FRI41" s="536"/>
      <c r="FRJ41" s="536"/>
      <c r="FRK41" s="536"/>
      <c r="FRL41" s="536"/>
      <c r="FRM41" s="536"/>
      <c r="FRN41" s="536"/>
      <c r="FRO41" s="536"/>
      <c r="FRP41" s="536"/>
      <c r="FRQ41" s="536"/>
      <c r="FRR41" s="536"/>
      <c r="FRS41" s="536"/>
      <c r="FRT41" s="536"/>
      <c r="FRU41" s="536"/>
      <c r="FRV41" s="536"/>
      <c r="FRW41" s="536"/>
      <c r="FRX41" s="536"/>
      <c r="FRY41" s="536"/>
      <c r="FRZ41" s="536"/>
      <c r="FSA41" s="536"/>
      <c r="FSB41" s="536"/>
      <c r="FSC41" s="536"/>
      <c r="FSD41" s="536"/>
      <c r="FSE41" s="536"/>
      <c r="FSF41" s="536"/>
      <c r="FSG41" s="536"/>
      <c r="FSH41" s="536"/>
      <c r="FSI41" s="536"/>
      <c r="FSJ41" s="536"/>
      <c r="FSK41" s="536"/>
      <c r="FSL41" s="536"/>
      <c r="FSM41" s="536"/>
      <c r="FSN41" s="536"/>
      <c r="FSO41" s="536"/>
      <c r="FSP41" s="536"/>
      <c r="FSQ41" s="536"/>
      <c r="FSR41" s="536"/>
      <c r="FSS41" s="536"/>
      <c r="FST41" s="536"/>
      <c r="FSU41" s="536"/>
      <c r="FSV41" s="536"/>
      <c r="FSW41" s="536"/>
      <c r="FSX41" s="536"/>
      <c r="FSY41" s="536"/>
      <c r="FSZ41" s="536"/>
      <c r="FTA41" s="536"/>
      <c r="FTB41" s="536"/>
      <c r="FTC41" s="536"/>
      <c r="FTD41" s="536"/>
      <c r="FTE41" s="536"/>
      <c r="FTF41" s="536"/>
      <c r="FTG41" s="536"/>
      <c r="FTH41" s="536"/>
      <c r="FTI41" s="536"/>
      <c r="FTJ41" s="536"/>
      <c r="FTK41" s="536"/>
      <c r="FTL41" s="536"/>
      <c r="FTM41" s="536"/>
      <c r="FTN41" s="536"/>
      <c r="FTO41" s="536"/>
      <c r="FTP41" s="536"/>
      <c r="FTQ41" s="536"/>
      <c r="FTR41" s="536"/>
      <c r="FTS41" s="536"/>
      <c r="FTT41" s="536"/>
      <c r="FTU41" s="536"/>
      <c r="FTV41" s="536"/>
      <c r="FTW41" s="536"/>
      <c r="FTX41" s="536"/>
      <c r="FTY41" s="536"/>
      <c r="FTZ41" s="536"/>
      <c r="FUA41" s="536"/>
      <c r="FUB41" s="536"/>
      <c r="FUC41" s="536"/>
      <c r="FUD41" s="536"/>
      <c r="FUE41" s="536"/>
      <c r="FUF41" s="536"/>
      <c r="FUG41" s="536"/>
      <c r="FUH41" s="536"/>
      <c r="FUI41" s="536"/>
      <c r="FUJ41" s="536"/>
      <c r="FUK41" s="536"/>
      <c r="FUL41" s="536"/>
      <c r="FUM41" s="536"/>
      <c r="FUN41" s="536"/>
      <c r="FUO41" s="536"/>
      <c r="FUP41" s="536"/>
      <c r="FUQ41" s="536"/>
      <c r="FUR41" s="536"/>
      <c r="FUS41" s="536"/>
      <c r="FUT41" s="536"/>
      <c r="FUU41" s="536"/>
      <c r="FUV41" s="536"/>
      <c r="FUW41" s="536"/>
      <c r="FUX41" s="536"/>
      <c r="FUY41" s="536"/>
      <c r="FUZ41" s="536"/>
      <c r="FVA41" s="536"/>
      <c r="FVB41" s="536"/>
      <c r="FVC41" s="536"/>
      <c r="FVD41" s="536"/>
      <c r="FVE41" s="536"/>
      <c r="FVF41" s="536"/>
      <c r="FVG41" s="536"/>
      <c r="FVH41" s="536"/>
      <c r="FVI41" s="536"/>
      <c r="FVJ41" s="536"/>
      <c r="FVK41" s="536"/>
      <c r="FVL41" s="536"/>
      <c r="FVM41" s="536"/>
      <c r="FVN41" s="536"/>
      <c r="FVO41" s="536"/>
      <c r="FVP41" s="536"/>
      <c r="FVQ41" s="536"/>
      <c r="FVR41" s="536"/>
      <c r="FVS41" s="536"/>
      <c r="FVT41" s="536"/>
      <c r="FVU41" s="536"/>
      <c r="FVV41" s="536"/>
      <c r="FVW41" s="536"/>
      <c r="FVX41" s="536"/>
      <c r="FVY41" s="536"/>
      <c r="FVZ41" s="536"/>
      <c r="FWA41" s="536"/>
      <c r="FWB41" s="536"/>
      <c r="FWC41" s="536"/>
      <c r="FWD41" s="536"/>
      <c r="FWE41" s="536"/>
      <c r="FWF41" s="536"/>
      <c r="FWG41" s="536"/>
      <c r="FWH41" s="536"/>
      <c r="FWI41" s="536"/>
      <c r="FWJ41" s="536"/>
      <c r="FWK41" s="536"/>
      <c r="FWL41" s="536"/>
      <c r="FWM41" s="536"/>
      <c r="FWN41" s="536"/>
      <c r="FWO41" s="536"/>
      <c r="FWP41" s="536"/>
      <c r="FWQ41" s="536"/>
      <c r="FWR41" s="536"/>
      <c r="FWS41" s="536"/>
      <c r="FWT41" s="536"/>
      <c r="FWU41" s="536"/>
      <c r="FWV41" s="536"/>
      <c r="FWW41" s="536"/>
      <c r="FWX41" s="536"/>
      <c r="FWY41" s="536"/>
      <c r="FWZ41" s="536"/>
      <c r="FXA41" s="536"/>
      <c r="FXB41" s="536"/>
      <c r="FXC41" s="536"/>
      <c r="FXD41" s="536"/>
      <c r="FXE41" s="536"/>
      <c r="FXF41" s="536"/>
      <c r="FXG41" s="536"/>
      <c r="FXH41" s="536"/>
      <c r="FXI41" s="536"/>
      <c r="FXJ41" s="536"/>
      <c r="FXK41" s="536"/>
      <c r="FXL41" s="536"/>
      <c r="FXM41" s="536"/>
      <c r="FXN41" s="536"/>
      <c r="FXO41" s="536"/>
      <c r="FXP41" s="536"/>
      <c r="FXQ41" s="536"/>
      <c r="FXR41" s="536"/>
      <c r="FXS41" s="536"/>
      <c r="FXT41" s="536"/>
      <c r="FXU41" s="536"/>
      <c r="FXV41" s="536"/>
      <c r="FXW41" s="536"/>
      <c r="FXX41" s="536"/>
      <c r="FXY41" s="536"/>
      <c r="FXZ41" s="536"/>
      <c r="FYA41" s="536"/>
      <c r="FYB41" s="536"/>
      <c r="FYC41" s="536"/>
      <c r="FYD41" s="536"/>
      <c r="FYE41" s="536"/>
      <c r="FYF41" s="536"/>
      <c r="FYG41" s="536"/>
      <c r="FYH41" s="536"/>
      <c r="FYI41" s="536"/>
      <c r="FYJ41" s="536"/>
      <c r="FYK41" s="536"/>
      <c r="FYL41" s="536"/>
      <c r="FYM41" s="536"/>
      <c r="FYN41" s="536"/>
      <c r="FYO41" s="536"/>
      <c r="FYP41" s="536"/>
      <c r="FYQ41" s="536"/>
      <c r="FYR41" s="536"/>
      <c r="FYS41" s="536"/>
      <c r="FYT41" s="536"/>
      <c r="FYU41" s="536"/>
      <c r="FYV41" s="536"/>
      <c r="FYW41" s="536"/>
      <c r="FYX41" s="536"/>
      <c r="FYY41" s="536"/>
      <c r="FYZ41" s="536"/>
      <c r="FZA41" s="536"/>
      <c r="FZB41" s="536"/>
      <c r="FZC41" s="536"/>
      <c r="FZD41" s="536"/>
      <c r="FZE41" s="536"/>
      <c r="FZF41" s="536"/>
      <c r="FZG41" s="536"/>
      <c r="FZH41" s="536"/>
      <c r="FZI41" s="536"/>
      <c r="FZJ41" s="536"/>
      <c r="FZK41" s="536"/>
      <c r="FZL41" s="536"/>
      <c r="FZM41" s="536"/>
      <c r="FZN41" s="536"/>
      <c r="FZO41" s="536"/>
      <c r="FZP41" s="536"/>
      <c r="FZQ41" s="536"/>
      <c r="FZR41" s="536"/>
      <c r="FZS41" s="536"/>
      <c r="FZT41" s="536"/>
      <c r="FZU41" s="536"/>
      <c r="FZV41" s="536"/>
      <c r="FZW41" s="536"/>
      <c r="FZX41" s="536"/>
      <c r="FZY41" s="536"/>
      <c r="FZZ41" s="536"/>
      <c r="GAA41" s="536"/>
      <c r="GAB41" s="536"/>
      <c r="GAC41" s="536"/>
      <c r="GAD41" s="536"/>
      <c r="GAE41" s="536"/>
      <c r="GAF41" s="536"/>
      <c r="GAG41" s="536"/>
      <c r="GAH41" s="536"/>
      <c r="GAI41" s="536"/>
      <c r="GAJ41" s="536"/>
      <c r="GAK41" s="536"/>
      <c r="GAL41" s="536"/>
      <c r="GAM41" s="536"/>
      <c r="GAN41" s="536"/>
      <c r="GAO41" s="536"/>
      <c r="GAP41" s="536"/>
      <c r="GAQ41" s="536"/>
      <c r="GAR41" s="536"/>
      <c r="GAS41" s="536"/>
      <c r="GAT41" s="536"/>
      <c r="GAU41" s="536"/>
      <c r="GAV41" s="536"/>
      <c r="GAW41" s="536"/>
      <c r="GAX41" s="536"/>
      <c r="GAY41" s="536"/>
      <c r="GAZ41" s="536"/>
      <c r="GBA41" s="536"/>
      <c r="GBB41" s="536"/>
      <c r="GBC41" s="536"/>
      <c r="GBD41" s="536"/>
      <c r="GBE41" s="536"/>
      <c r="GBF41" s="536"/>
      <c r="GBG41" s="536"/>
      <c r="GBH41" s="536"/>
      <c r="GBI41" s="536"/>
      <c r="GBJ41" s="536"/>
      <c r="GBK41" s="536"/>
      <c r="GBL41" s="536"/>
      <c r="GBM41" s="536"/>
      <c r="GBN41" s="536"/>
      <c r="GBO41" s="536"/>
      <c r="GBP41" s="536"/>
      <c r="GBQ41" s="536"/>
      <c r="GBR41" s="536"/>
      <c r="GBS41" s="536"/>
      <c r="GBT41" s="536"/>
      <c r="GBU41" s="536"/>
      <c r="GBV41" s="536"/>
      <c r="GBW41" s="536"/>
      <c r="GBX41" s="536"/>
      <c r="GBY41" s="536"/>
      <c r="GBZ41" s="536"/>
      <c r="GCA41" s="536"/>
      <c r="GCB41" s="536"/>
      <c r="GCC41" s="536"/>
      <c r="GCD41" s="536"/>
      <c r="GCE41" s="536"/>
      <c r="GCF41" s="536"/>
      <c r="GCG41" s="536"/>
      <c r="GCH41" s="536"/>
      <c r="GCI41" s="536"/>
      <c r="GCJ41" s="536"/>
      <c r="GCK41" s="536"/>
      <c r="GCL41" s="536"/>
      <c r="GCM41" s="536"/>
      <c r="GCN41" s="536"/>
      <c r="GCO41" s="536"/>
      <c r="GCP41" s="536"/>
      <c r="GCQ41" s="536"/>
      <c r="GCR41" s="536"/>
      <c r="GCS41" s="536"/>
      <c r="GCT41" s="536"/>
      <c r="GCU41" s="536"/>
      <c r="GCV41" s="536"/>
      <c r="GCW41" s="536"/>
      <c r="GCX41" s="536"/>
      <c r="GCY41" s="536"/>
      <c r="GCZ41" s="536"/>
      <c r="GDA41" s="536"/>
      <c r="GDB41" s="536"/>
      <c r="GDC41" s="536"/>
      <c r="GDD41" s="536"/>
      <c r="GDE41" s="536"/>
      <c r="GDF41" s="536"/>
      <c r="GDG41" s="536"/>
      <c r="GDH41" s="536"/>
      <c r="GDI41" s="536"/>
      <c r="GDJ41" s="536"/>
      <c r="GDK41" s="536"/>
      <c r="GDL41" s="536"/>
      <c r="GDM41" s="536"/>
      <c r="GDN41" s="536"/>
      <c r="GDO41" s="536"/>
      <c r="GDP41" s="536"/>
      <c r="GDQ41" s="536"/>
      <c r="GDR41" s="536"/>
      <c r="GDS41" s="536"/>
      <c r="GDT41" s="536"/>
      <c r="GDU41" s="536"/>
      <c r="GDV41" s="536"/>
      <c r="GDW41" s="536"/>
      <c r="GDX41" s="536"/>
      <c r="GDY41" s="536"/>
      <c r="GDZ41" s="536"/>
      <c r="GEA41" s="536"/>
      <c r="GEB41" s="536"/>
      <c r="GEC41" s="536"/>
      <c r="GED41" s="536"/>
      <c r="GEE41" s="536"/>
      <c r="GEF41" s="536"/>
      <c r="GEG41" s="536"/>
      <c r="GEH41" s="536"/>
      <c r="GEI41" s="536"/>
      <c r="GEJ41" s="536"/>
      <c r="GEK41" s="536"/>
      <c r="GEL41" s="536"/>
      <c r="GEM41" s="536"/>
      <c r="GEN41" s="536"/>
      <c r="GEO41" s="536"/>
      <c r="GEP41" s="536"/>
      <c r="GEQ41" s="536"/>
      <c r="GER41" s="536"/>
      <c r="GES41" s="536"/>
      <c r="GET41" s="536"/>
      <c r="GEU41" s="536"/>
      <c r="GEV41" s="536"/>
      <c r="GEW41" s="536"/>
      <c r="GEX41" s="536"/>
      <c r="GEY41" s="536"/>
      <c r="GEZ41" s="536"/>
      <c r="GFA41" s="536"/>
      <c r="GFB41" s="536"/>
      <c r="GFC41" s="536"/>
      <c r="GFD41" s="536"/>
      <c r="GFE41" s="536"/>
      <c r="GFF41" s="536"/>
      <c r="GFG41" s="536"/>
      <c r="GFH41" s="536"/>
      <c r="GFI41" s="536"/>
      <c r="GFJ41" s="536"/>
      <c r="GFK41" s="536"/>
      <c r="GFL41" s="536"/>
      <c r="GFM41" s="536"/>
      <c r="GFN41" s="536"/>
      <c r="GFO41" s="536"/>
      <c r="GFP41" s="536"/>
      <c r="GFQ41" s="536"/>
      <c r="GFR41" s="536"/>
      <c r="GFS41" s="536"/>
      <c r="GFT41" s="536"/>
      <c r="GFU41" s="536"/>
      <c r="GFV41" s="536"/>
      <c r="GFW41" s="536"/>
      <c r="GFX41" s="536"/>
      <c r="GFY41" s="536"/>
      <c r="GFZ41" s="536"/>
      <c r="GGA41" s="536"/>
      <c r="GGB41" s="536"/>
      <c r="GGC41" s="536"/>
      <c r="GGD41" s="536"/>
      <c r="GGE41" s="536"/>
      <c r="GGF41" s="536"/>
      <c r="GGG41" s="536"/>
      <c r="GGH41" s="536"/>
      <c r="GGI41" s="536"/>
      <c r="GGJ41" s="536"/>
      <c r="GGK41" s="536"/>
      <c r="GGL41" s="536"/>
      <c r="GGM41" s="536"/>
      <c r="GGN41" s="536"/>
      <c r="GGO41" s="536"/>
      <c r="GGP41" s="536"/>
      <c r="GGQ41" s="536"/>
      <c r="GGR41" s="536"/>
      <c r="GGS41" s="536"/>
      <c r="GGT41" s="536"/>
      <c r="GGU41" s="536"/>
      <c r="GGV41" s="536"/>
      <c r="GGW41" s="536"/>
      <c r="GGX41" s="536"/>
      <c r="GGY41" s="536"/>
      <c r="GGZ41" s="536"/>
      <c r="GHA41" s="536"/>
      <c r="GHB41" s="536"/>
      <c r="GHC41" s="536"/>
      <c r="GHD41" s="536"/>
      <c r="GHE41" s="536"/>
      <c r="GHF41" s="536"/>
      <c r="GHG41" s="536"/>
      <c r="GHH41" s="536"/>
      <c r="GHI41" s="536"/>
      <c r="GHJ41" s="536"/>
      <c r="GHK41" s="536"/>
      <c r="GHL41" s="536"/>
      <c r="GHM41" s="536"/>
      <c r="GHN41" s="536"/>
      <c r="GHO41" s="536"/>
      <c r="GHP41" s="536"/>
      <c r="GHQ41" s="536"/>
      <c r="GHR41" s="536"/>
      <c r="GHS41" s="536"/>
      <c r="GHT41" s="536"/>
      <c r="GHU41" s="536"/>
      <c r="GHV41" s="536"/>
      <c r="GHW41" s="536"/>
      <c r="GHX41" s="536"/>
      <c r="GHY41" s="536"/>
      <c r="GHZ41" s="536"/>
      <c r="GIA41" s="536"/>
      <c r="GIB41" s="536"/>
      <c r="GIC41" s="536"/>
      <c r="GID41" s="536"/>
      <c r="GIE41" s="536"/>
      <c r="GIF41" s="536"/>
      <c r="GIG41" s="536"/>
      <c r="GIH41" s="536"/>
      <c r="GII41" s="536"/>
      <c r="GIJ41" s="536"/>
      <c r="GIK41" s="536"/>
      <c r="GIL41" s="536"/>
      <c r="GIM41" s="536"/>
      <c r="GIN41" s="536"/>
      <c r="GIO41" s="536"/>
      <c r="GIP41" s="536"/>
      <c r="GIQ41" s="536"/>
      <c r="GIR41" s="536"/>
      <c r="GIS41" s="536"/>
      <c r="GIT41" s="536"/>
      <c r="GIU41" s="536"/>
      <c r="GIV41" s="536"/>
      <c r="GIW41" s="536"/>
      <c r="GIX41" s="536"/>
      <c r="GIY41" s="536"/>
      <c r="GIZ41" s="536"/>
      <c r="GJA41" s="536"/>
      <c r="GJB41" s="536"/>
      <c r="GJC41" s="536"/>
      <c r="GJD41" s="536"/>
      <c r="GJE41" s="536"/>
      <c r="GJF41" s="536"/>
      <c r="GJG41" s="536"/>
      <c r="GJH41" s="536"/>
      <c r="GJI41" s="536"/>
      <c r="GJJ41" s="536"/>
      <c r="GJK41" s="536"/>
      <c r="GJL41" s="536"/>
      <c r="GJM41" s="536"/>
      <c r="GJN41" s="536"/>
      <c r="GJO41" s="536"/>
      <c r="GJP41" s="536"/>
      <c r="GJQ41" s="536"/>
      <c r="GJR41" s="536"/>
      <c r="GJS41" s="536"/>
      <c r="GJT41" s="536"/>
      <c r="GJU41" s="536"/>
      <c r="GJV41" s="536"/>
      <c r="GJW41" s="536"/>
      <c r="GJX41" s="536"/>
      <c r="GJY41" s="536"/>
      <c r="GJZ41" s="536"/>
      <c r="GKA41" s="536"/>
      <c r="GKB41" s="536"/>
      <c r="GKC41" s="536"/>
      <c r="GKD41" s="536"/>
      <c r="GKE41" s="536"/>
      <c r="GKF41" s="536"/>
      <c r="GKG41" s="536"/>
      <c r="GKH41" s="536"/>
      <c r="GKI41" s="536"/>
      <c r="GKJ41" s="536"/>
      <c r="GKK41" s="536"/>
      <c r="GKL41" s="536"/>
      <c r="GKM41" s="536"/>
      <c r="GKN41" s="536"/>
      <c r="GKO41" s="536"/>
      <c r="GKP41" s="536"/>
      <c r="GKQ41" s="536"/>
      <c r="GKR41" s="536"/>
      <c r="GKS41" s="536"/>
      <c r="GKT41" s="536"/>
      <c r="GKU41" s="536"/>
      <c r="GKV41" s="536"/>
      <c r="GKW41" s="536"/>
      <c r="GKX41" s="536"/>
      <c r="GKY41" s="536"/>
      <c r="GKZ41" s="536"/>
      <c r="GLA41" s="536"/>
      <c r="GLB41" s="536"/>
      <c r="GLC41" s="536"/>
      <c r="GLD41" s="536"/>
      <c r="GLE41" s="536"/>
      <c r="GLF41" s="536"/>
      <c r="GLG41" s="536"/>
      <c r="GLH41" s="536"/>
      <c r="GLI41" s="536"/>
      <c r="GLJ41" s="536"/>
      <c r="GLK41" s="536"/>
      <c r="GLL41" s="536"/>
      <c r="GLM41" s="536"/>
      <c r="GLN41" s="536"/>
      <c r="GLO41" s="536"/>
      <c r="GLP41" s="536"/>
      <c r="GLQ41" s="536"/>
      <c r="GLR41" s="536"/>
      <c r="GLS41" s="536"/>
      <c r="GLT41" s="536"/>
      <c r="GLU41" s="536"/>
      <c r="GLV41" s="536"/>
      <c r="GLW41" s="536"/>
      <c r="GLX41" s="536"/>
      <c r="GLY41" s="536"/>
      <c r="GLZ41" s="536"/>
      <c r="GMA41" s="536"/>
      <c r="GMB41" s="536"/>
      <c r="GMC41" s="536"/>
      <c r="GMD41" s="536"/>
      <c r="GME41" s="536"/>
      <c r="GMF41" s="536"/>
      <c r="GMG41" s="536"/>
      <c r="GMH41" s="536"/>
      <c r="GMI41" s="536"/>
      <c r="GMJ41" s="536"/>
      <c r="GMK41" s="536"/>
      <c r="GML41" s="536"/>
      <c r="GMM41" s="536"/>
      <c r="GMN41" s="536"/>
      <c r="GMO41" s="536"/>
      <c r="GMP41" s="536"/>
      <c r="GMQ41" s="536"/>
      <c r="GMR41" s="536"/>
      <c r="GMS41" s="536"/>
      <c r="GMT41" s="536"/>
      <c r="GMU41" s="536"/>
      <c r="GMV41" s="536"/>
      <c r="GMW41" s="536"/>
      <c r="GMX41" s="536"/>
      <c r="GMY41" s="536"/>
      <c r="GMZ41" s="536"/>
      <c r="GNA41" s="536"/>
      <c r="GNB41" s="536"/>
      <c r="GNC41" s="536"/>
      <c r="GND41" s="536"/>
      <c r="GNE41" s="536"/>
      <c r="GNF41" s="536"/>
      <c r="GNG41" s="536"/>
      <c r="GNH41" s="536"/>
      <c r="GNI41" s="536"/>
      <c r="GNJ41" s="536"/>
      <c r="GNK41" s="536"/>
      <c r="GNL41" s="536"/>
      <c r="GNM41" s="536"/>
      <c r="GNN41" s="536"/>
      <c r="GNO41" s="536"/>
      <c r="GNP41" s="536"/>
      <c r="GNQ41" s="536"/>
      <c r="GNR41" s="536"/>
      <c r="GNS41" s="536"/>
      <c r="GNT41" s="536"/>
      <c r="GNU41" s="536"/>
      <c r="GNV41" s="536"/>
      <c r="GNW41" s="536"/>
      <c r="GNX41" s="536"/>
      <c r="GNY41" s="536"/>
      <c r="GNZ41" s="536"/>
      <c r="GOA41" s="536"/>
      <c r="GOB41" s="536"/>
      <c r="GOC41" s="536"/>
      <c r="GOD41" s="536"/>
      <c r="GOE41" s="536"/>
      <c r="GOF41" s="536"/>
      <c r="GOG41" s="536"/>
      <c r="GOH41" s="536"/>
      <c r="GOI41" s="536"/>
      <c r="GOJ41" s="536"/>
      <c r="GOK41" s="536"/>
      <c r="GOL41" s="536"/>
      <c r="GOM41" s="536"/>
      <c r="GON41" s="536"/>
      <c r="GOO41" s="536"/>
      <c r="GOP41" s="536"/>
      <c r="GOQ41" s="536"/>
      <c r="GOR41" s="536"/>
      <c r="GOS41" s="536"/>
      <c r="GOT41" s="536"/>
      <c r="GOU41" s="536"/>
      <c r="GOV41" s="536"/>
      <c r="GOW41" s="536"/>
      <c r="GOX41" s="536"/>
      <c r="GOY41" s="536"/>
      <c r="GOZ41" s="536"/>
      <c r="GPA41" s="536"/>
      <c r="GPB41" s="536"/>
      <c r="GPC41" s="536"/>
      <c r="GPD41" s="536"/>
      <c r="GPE41" s="536"/>
      <c r="GPF41" s="536"/>
      <c r="GPG41" s="536"/>
      <c r="GPH41" s="536"/>
      <c r="GPI41" s="536"/>
      <c r="GPJ41" s="536"/>
      <c r="GPK41" s="536"/>
      <c r="GPL41" s="536"/>
      <c r="GPM41" s="536"/>
      <c r="GPN41" s="536"/>
      <c r="GPO41" s="536"/>
      <c r="GPP41" s="536"/>
      <c r="GPQ41" s="536"/>
      <c r="GPR41" s="536"/>
      <c r="GPS41" s="536"/>
      <c r="GPT41" s="536"/>
      <c r="GPU41" s="536"/>
      <c r="GPV41" s="536"/>
      <c r="GPW41" s="536"/>
      <c r="GPX41" s="536"/>
      <c r="GPY41" s="536"/>
      <c r="GPZ41" s="536"/>
      <c r="GQA41" s="536"/>
      <c r="GQB41" s="536"/>
      <c r="GQC41" s="536"/>
      <c r="GQD41" s="536"/>
      <c r="GQE41" s="536"/>
      <c r="GQF41" s="536"/>
      <c r="GQG41" s="536"/>
      <c r="GQH41" s="536"/>
      <c r="GQI41" s="536"/>
      <c r="GQJ41" s="536"/>
      <c r="GQK41" s="536"/>
      <c r="GQL41" s="536"/>
      <c r="GQM41" s="536"/>
      <c r="GQN41" s="536"/>
      <c r="GQO41" s="536"/>
      <c r="GQP41" s="536"/>
      <c r="GQQ41" s="536"/>
      <c r="GQR41" s="536"/>
      <c r="GQS41" s="536"/>
      <c r="GQT41" s="536"/>
      <c r="GQU41" s="536"/>
      <c r="GQV41" s="536"/>
      <c r="GQW41" s="536"/>
      <c r="GQX41" s="536"/>
      <c r="GQY41" s="536"/>
      <c r="GQZ41" s="536"/>
      <c r="GRA41" s="536"/>
      <c r="GRB41" s="536"/>
      <c r="GRC41" s="536"/>
      <c r="GRD41" s="536"/>
      <c r="GRE41" s="536"/>
      <c r="GRF41" s="536"/>
      <c r="GRG41" s="536"/>
      <c r="GRH41" s="536"/>
      <c r="GRI41" s="536"/>
      <c r="GRJ41" s="536"/>
      <c r="GRK41" s="536"/>
      <c r="GRL41" s="536"/>
      <c r="GRM41" s="536"/>
      <c r="GRN41" s="536"/>
      <c r="GRO41" s="536"/>
      <c r="GRP41" s="536"/>
      <c r="GRQ41" s="536"/>
      <c r="GRR41" s="536"/>
      <c r="GRS41" s="536"/>
      <c r="GRT41" s="536"/>
      <c r="GRU41" s="536"/>
      <c r="GRV41" s="536"/>
      <c r="GRW41" s="536"/>
      <c r="GRX41" s="536"/>
      <c r="GRY41" s="536"/>
      <c r="GRZ41" s="536"/>
      <c r="GSA41" s="536"/>
      <c r="GSB41" s="536"/>
      <c r="GSC41" s="536"/>
      <c r="GSD41" s="536"/>
      <c r="GSE41" s="536"/>
      <c r="GSF41" s="536"/>
      <c r="GSG41" s="536"/>
      <c r="GSH41" s="536"/>
      <c r="GSI41" s="536"/>
      <c r="GSJ41" s="536"/>
      <c r="GSK41" s="536"/>
      <c r="GSL41" s="536"/>
      <c r="GSM41" s="536"/>
      <c r="GSN41" s="536"/>
      <c r="GSO41" s="536"/>
      <c r="GSP41" s="536"/>
      <c r="GSQ41" s="536"/>
      <c r="GSR41" s="536"/>
      <c r="GSS41" s="536"/>
      <c r="GST41" s="536"/>
      <c r="GSU41" s="536"/>
      <c r="GSV41" s="536"/>
      <c r="GSW41" s="536"/>
      <c r="GSX41" s="536"/>
      <c r="GSY41" s="536"/>
      <c r="GSZ41" s="536"/>
      <c r="GTA41" s="536"/>
      <c r="GTB41" s="536"/>
      <c r="GTC41" s="536"/>
      <c r="GTD41" s="536"/>
      <c r="GTE41" s="536"/>
      <c r="GTF41" s="536"/>
      <c r="GTG41" s="536"/>
      <c r="GTH41" s="536"/>
      <c r="GTI41" s="536"/>
      <c r="GTJ41" s="536"/>
      <c r="GTK41" s="536"/>
      <c r="GTL41" s="536"/>
      <c r="GTM41" s="536"/>
      <c r="GTN41" s="536"/>
      <c r="GTO41" s="536"/>
      <c r="GTP41" s="536"/>
      <c r="GTQ41" s="536"/>
      <c r="GTR41" s="536"/>
      <c r="GTS41" s="536"/>
      <c r="GTT41" s="536"/>
      <c r="GTU41" s="536"/>
      <c r="GTV41" s="536"/>
      <c r="GTW41" s="536"/>
      <c r="GTX41" s="536"/>
      <c r="GTY41" s="536"/>
      <c r="GTZ41" s="536"/>
      <c r="GUA41" s="536"/>
      <c r="GUB41" s="536"/>
      <c r="GUC41" s="536"/>
      <c r="GUD41" s="536"/>
      <c r="GUE41" s="536"/>
      <c r="GUF41" s="536"/>
      <c r="GUG41" s="536"/>
      <c r="GUH41" s="536"/>
      <c r="GUI41" s="536"/>
      <c r="GUJ41" s="536"/>
      <c r="GUK41" s="536"/>
      <c r="GUL41" s="536"/>
      <c r="GUM41" s="536"/>
      <c r="GUN41" s="536"/>
      <c r="GUO41" s="536"/>
      <c r="GUP41" s="536"/>
      <c r="GUQ41" s="536"/>
      <c r="GUR41" s="536"/>
      <c r="GUS41" s="536"/>
      <c r="GUT41" s="536"/>
      <c r="GUU41" s="536"/>
      <c r="GUV41" s="536"/>
      <c r="GUW41" s="536"/>
      <c r="GUX41" s="536"/>
      <c r="GUY41" s="536"/>
      <c r="GUZ41" s="536"/>
      <c r="GVA41" s="536"/>
      <c r="GVB41" s="536"/>
      <c r="GVC41" s="536"/>
      <c r="GVD41" s="536"/>
      <c r="GVE41" s="536"/>
      <c r="GVF41" s="536"/>
      <c r="GVG41" s="536"/>
      <c r="GVH41" s="536"/>
      <c r="GVI41" s="536"/>
      <c r="GVJ41" s="536"/>
      <c r="GVK41" s="536"/>
      <c r="GVL41" s="536"/>
      <c r="GVM41" s="536"/>
      <c r="GVN41" s="536"/>
      <c r="GVO41" s="536"/>
      <c r="GVP41" s="536"/>
      <c r="GVQ41" s="536"/>
      <c r="GVR41" s="536"/>
      <c r="GVS41" s="536"/>
      <c r="GVT41" s="536"/>
      <c r="GVU41" s="536"/>
      <c r="GVV41" s="536"/>
      <c r="GVW41" s="536"/>
      <c r="GVX41" s="536"/>
      <c r="GVY41" s="536"/>
      <c r="GVZ41" s="536"/>
      <c r="GWA41" s="536"/>
      <c r="GWB41" s="536"/>
      <c r="GWC41" s="536"/>
      <c r="GWD41" s="536"/>
      <c r="GWE41" s="536"/>
      <c r="GWF41" s="536"/>
      <c r="GWG41" s="536"/>
      <c r="GWH41" s="536"/>
      <c r="GWI41" s="536"/>
      <c r="GWJ41" s="536"/>
      <c r="GWK41" s="536"/>
      <c r="GWL41" s="536"/>
      <c r="GWM41" s="536"/>
      <c r="GWN41" s="536"/>
      <c r="GWO41" s="536"/>
      <c r="GWP41" s="536"/>
      <c r="GWQ41" s="536"/>
      <c r="GWR41" s="536"/>
      <c r="GWS41" s="536"/>
      <c r="GWT41" s="536"/>
      <c r="GWU41" s="536"/>
      <c r="GWV41" s="536"/>
      <c r="GWW41" s="536"/>
      <c r="GWX41" s="536"/>
      <c r="GWY41" s="536"/>
      <c r="GWZ41" s="536"/>
      <c r="GXA41" s="536"/>
      <c r="GXB41" s="536"/>
      <c r="GXC41" s="536"/>
      <c r="GXD41" s="536"/>
      <c r="GXE41" s="536"/>
      <c r="GXF41" s="536"/>
      <c r="GXG41" s="536"/>
      <c r="GXH41" s="536"/>
      <c r="GXI41" s="536"/>
      <c r="GXJ41" s="536"/>
      <c r="GXK41" s="536"/>
      <c r="GXL41" s="536"/>
      <c r="GXM41" s="536"/>
      <c r="GXN41" s="536"/>
      <c r="GXO41" s="536"/>
      <c r="GXP41" s="536"/>
      <c r="GXQ41" s="536"/>
      <c r="GXR41" s="536"/>
      <c r="GXS41" s="536"/>
      <c r="GXT41" s="536"/>
      <c r="GXU41" s="536"/>
      <c r="GXV41" s="536"/>
      <c r="GXW41" s="536"/>
      <c r="GXX41" s="536"/>
      <c r="GXY41" s="536"/>
      <c r="GXZ41" s="536"/>
      <c r="GYA41" s="536"/>
      <c r="GYB41" s="536"/>
      <c r="GYC41" s="536"/>
      <c r="GYD41" s="536"/>
      <c r="GYE41" s="536"/>
      <c r="GYF41" s="536"/>
      <c r="GYG41" s="536"/>
      <c r="GYH41" s="536"/>
      <c r="GYI41" s="536"/>
      <c r="GYJ41" s="536"/>
      <c r="GYK41" s="536"/>
      <c r="GYL41" s="536"/>
      <c r="GYM41" s="536"/>
      <c r="GYN41" s="536"/>
      <c r="GYO41" s="536"/>
      <c r="GYP41" s="536"/>
      <c r="GYQ41" s="536"/>
      <c r="GYR41" s="536"/>
      <c r="GYS41" s="536"/>
      <c r="GYT41" s="536"/>
      <c r="GYU41" s="536"/>
      <c r="GYV41" s="536"/>
      <c r="GYW41" s="536"/>
      <c r="GYX41" s="536"/>
      <c r="GYY41" s="536"/>
      <c r="GYZ41" s="536"/>
      <c r="GZA41" s="536"/>
      <c r="GZB41" s="536"/>
      <c r="GZC41" s="536"/>
      <c r="GZD41" s="536"/>
      <c r="GZE41" s="536"/>
      <c r="GZF41" s="536"/>
      <c r="GZG41" s="536"/>
      <c r="GZH41" s="536"/>
      <c r="GZI41" s="536"/>
      <c r="GZJ41" s="536"/>
      <c r="GZK41" s="536"/>
      <c r="GZL41" s="536"/>
      <c r="GZM41" s="536"/>
      <c r="GZN41" s="536"/>
      <c r="GZO41" s="536"/>
      <c r="GZP41" s="536"/>
      <c r="GZQ41" s="536"/>
      <c r="GZR41" s="536"/>
      <c r="GZS41" s="536"/>
      <c r="GZT41" s="536"/>
      <c r="GZU41" s="536"/>
      <c r="GZV41" s="536"/>
      <c r="GZW41" s="536"/>
      <c r="GZX41" s="536"/>
      <c r="GZY41" s="536"/>
      <c r="GZZ41" s="536"/>
      <c r="HAA41" s="536"/>
      <c r="HAB41" s="536"/>
      <c r="HAC41" s="536"/>
      <c r="HAD41" s="536"/>
      <c r="HAE41" s="536"/>
      <c r="HAF41" s="536"/>
      <c r="HAG41" s="536"/>
      <c r="HAH41" s="536"/>
      <c r="HAI41" s="536"/>
      <c r="HAJ41" s="536"/>
      <c r="HAK41" s="536"/>
      <c r="HAL41" s="536"/>
      <c r="HAM41" s="536"/>
      <c r="HAN41" s="536"/>
      <c r="HAO41" s="536"/>
      <c r="HAP41" s="536"/>
      <c r="HAQ41" s="536"/>
      <c r="HAR41" s="536"/>
      <c r="HAS41" s="536"/>
      <c r="HAT41" s="536"/>
      <c r="HAU41" s="536"/>
      <c r="HAV41" s="536"/>
      <c r="HAW41" s="536"/>
      <c r="HAX41" s="536"/>
      <c r="HAY41" s="536"/>
      <c r="HAZ41" s="536"/>
      <c r="HBA41" s="536"/>
      <c r="HBB41" s="536"/>
      <c r="HBC41" s="536"/>
      <c r="HBD41" s="536"/>
      <c r="HBE41" s="536"/>
      <c r="HBF41" s="536"/>
      <c r="HBG41" s="536"/>
      <c r="HBH41" s="536"/>
      <c r="HBI41" s="536"/>
      <c r="HBJ41" s="536"/>
      <c r="HBK41" s="536"/>
      <c r="HBL41" s="536"/>
      <c r="HBM41" s="536"/>
      <c r="HBN41" s="536"/>
      <c r="HBO41" s="536"/>
      <c r="HBP41" s="536"/>
      <c r="HBQ41" s="536"/>
      <c r="HBR41" s="536"/>
      <c r="HBS41" s="536"/>
      <c r="HBT41" s="536"/>
      <c r="HBU41" s="536"/>
      <c r="HBV41" s="536"/>
      <c r="HBW41" s="536"/>
      <c r="HBX41" s="536"/>
      <c r="HBY41" s="536"/>
      <c r="HBZ41" s="536"/>
      <c r="HCA41" s="536"/>
      <c r="HCB41" s="536"/>
      <c r="HCC41" s="536"/>
      <c r="HCD41" s="536"/>
      <c r="HCE41" s="536"/>
      <c r="HCF41" s="536"/>
      <c r="HCG41" s="536"/>
      <c r="HCH41" s="536"/>
      <c r="HCI41" s="536"/>
      <c r="HCJ41" s="536"/>
      <c r="HCK41" s="536"/>
      <c r="HCL41" s="536"/>
      <c r="HCM41" s="536"/>
      <c r="HCN41" s="536"/>
      <c r="HCO41" s="536"/>
      <c r="HCP41" s="536"/>
      <c r="HCQ41" s="536"/>
      <c r="HCR41" s="536"/>
      <c r="HCS41" s="536"/>
      <c r="HCT41" s="536"/>
      <c r="HCU41" s="536"/>
      <c r="HCV41" s="536"/>
      <c r="HCW41" s="536"/>
      <c r="HCX41" s="536"/>
      <c r="HCY41" s="536"/>
      <c r="HCZ41" s="536"/>
      <c r="HDA41" s="536"/>
      <c r="HDB41" s="536"/>
      <c r="HDC41" s="536"/>
      <c r="HDD41" s="536"/>
      <c r="HDE41" s="536"/>
      <c r="HDF41" s="536"/>
      <c r="HDG41" s="536"/>
      <c r="HDH41" s="536"/>
      <c r="HDI41" s="536"/>
      <c r="HDJ41" s="536"/>
      <c r="HDK41" s="536"/>
      <c r="HDL41" s="536"/>
      <c r="HDM41" s="536"/>
      <c r="HDN41" s="536"/>
      <c r="HDO41" s="536"/>
      <c r="HDP41" s="536"/>
      <c r="HDQ41" s="536"/>
      <c r="HDR41" s="536"/>
      <c r="HDS41" s="536"/>
      <c r="HDT41" s="536"/>
      <c r="HDU41" s="536"/>
      <c r="HDV41" s="536"/>
      <c r="HDW41" s="536"/>
      <c r="HDX41" s="536"/>
      <c r="HDY41" s="536"/>
      <c r="HDZ41" s="536"/>
      <c r="HEA41" s="536"/>
      <c r="HEB41" s="536"/>
      <c r="HEC41" s="536"/>
      <c r="HED41" s="536"/>
      <c r="HEE41" s="536"/>
      <c r="HEF41" s="536"/>
      <c r="HEG41" s="536"/>
      <c r="HEH41" s="536"/>
      <c r="HEI41" s="536"/>
      <c r="HEJ41" s="536"/>
      <c r="HEK41" s="536"/>
      <c r="HEL41" s="536"/>
      <c r="HEM41" s="536"/>
      <c r="HEN41" s="536"/>
      <c r="HEO41" s="536"/>
      <c r="HEP41" s="536"/>
      <c r="HEQ41" s="536"/>
      <c r="HER41" s="536"/>
      <c r="HES41" s="536"/>
      <c r="HET41" s="536"/>
      <c r="HEU41" s="536"/>
      <c r="HEV41" s="536"/>
      <c r="HEW41" s="536"/>
      <c r="HEX41" s="536"/>
      <c r="HEY41" s="536"/>
      <c r="HEZ41" s="536"/>
      <c r="HFA41" s="536"/>
      <c r="HFB41" s="536"/>
      <c r="HFC41" s="536"/>
      <c r="HFD41" s="536"/>
      <c r="HFE41" s="536"/>
      <c r="HFF41" s="536"/>
      <c r="HFG41" s="536"/>
      <c r="HFH41" s="536"/>
      <c r="HFI41" s="536"/>
      <c r="HFJ41" s="536"/>
      <c r="HFK41" s="536"/>
      <c r="HFL41" s="536"/>
      <c r="HFM41" s="536"/>
      <c r="HFN41" s="536"/>
      <c r="HFO41" s="536"/>
      <c r="HFP41" s="536"/>
      <c r="HFQ41" s="536"/>
      <c r="HFR41" s="536"/>
      <c r="HFS41" s="536"/>
      <c r="HFT41" s="536"/>
      <c r="HFU41" s="536"/>
      <c r="HFV41" s="536"/>
      <c r="HFW41" s="536"/>
      <c r="HFX41" s="536"/>
      <c r="HFY41" s="536"/>
      <c r="HFZ41" s="536"/>
      <c r="HGA41" s="536"/>
      <c r="HGB41" s="536"/>
      <c r="HGC41" s="536"/>
      <c r="HGD41" s="536"/>
      <c r="HGE41" s="536"/>
      <c r="HGF41" s="536"/>
      <c r="HGG41" s="536"/>
      <c r="HGH41" s="536"/>
      <c r="HGI41" s="536"/>
      <c r="HGJ41" s="536"/>
      <c r="HGK41" s="536"/>
      <c r="HGL41" s="536"/>
      <c r="HGM41" s="536"/>
      <c r="HGN41" s="536"/>
      <c r="HGO41" s="536"/>
      <c r="HGP41" s="536"/>
      <c r="HGQ41" s="536"/>
      <c r="HGR41" s="536"/>
      <c r="HGS41" s="536"/>
      <c r="HGT41" s="536"/>
      <c r="HGU41" s="536"/>
      <c r="HGV41" s="536"/>
      <c r="HGW41" s="536"/>
      <c r="HGX41" s="536"/>
      <c r="HGY41" s="536"/>
      <c r="HGZ41" s="536"/>
      <c r="HHA41" s="536"/>
      <c r="HHB41" s="536"/>
      <c r="HHC41" s="536"/>
      <c r="HHD41" s="536"/>
      <c r="HHE41" s="536"/>
      <c r="HHF41" s="536"/>
      <c r="HHG41" s="536"/>
      <c r="HHH41" s="536"/>
      <c r="HHI41" s="536"/>
      <c r="HHJ41" s="536"/>
      <c r="HHK41" s="536"/>
      <c r="HHL41" s="536"/>
      <c r="HHM41" s="536"/>
      <c r="HHN41" s="536"/>
      <c r="HHO41" s="536"/>
      <c r="HHP41" s="536"/>
      <c r="HHQ41" s="536"/>
      <c r="HHR41" s="536"/>
      <c r="HHS41" s="536"/>
      <c r="HHT41" s="536"/>
      <c r="HHU41" s="536"/>
      <c r="HHV41" s="536"/>
      <c r="HHW41" s="536"/>
      <c r="HHX41" s="536"/>
      <c r="HHY41" s="536"/>
      <c r="HHZ41" s="536"/>
      <c r="HIA41" s="536"/>
      <c r="HIB41" s="536"/>
      <c r="HIC41" s="536"/>
      <c r="HID41" s="536"/>
      <c r="HIE41" s="536"/>
      <c r="HIF41" s="536"/>
      <c r="HIG41" s="536"/>
      <c r="HIH41" s="536"/>
      <c r="HII41" s="536"/>
      <c r="HIJ41" s="536"/>
      <c r="HIK41" s="536"/>
      <c r="HIL41" s="536"/>
      <c r="HIM41" s="536"/>
      <c r="HIN41" s="536"/>
      <c r="HIO41" s="536"/>
      <c r="HIP41" s="536"/>
      <c r="HIQ41" s="536"/>
      <c r="HIR41" s="536"/>
      <c r="HIS41" s="536"/>
      <c r="HIT41" s="536"/>
      <c r="HIU41" s="536"/>
      <c r="HIV41" s="536"/>
      <c r="HIW41" s="536"/>
      <c r="HIX41" s="536"/>
      <c r="HIY41" s="536"/>
      <c r="HIZ41" s="536"/>
      <c r="HJA41" s="536"/>
      <c r="HJB41" s="536"/>
      <c r="HJC41" s="536"/>
      <c r="HJD41" s="536"/>
      <c r="HJE41" s="536"/>
      <c r="HJF41" s="536"/>
      <c r="HJG41" s="536"/>
      <c r="HJH41" s="536"/>
      <c r="HJI41" s="536"/>
      <c r="HJJ41" s="536"/>
      <c r="HJK41" s="536"/>
      <c r="HJL41" s="536"/>
      <c r="HJM41" s="536"/>
      <c r="HJN41" s="536"/>
      <c r="HJO41" s="536"/>
      <c r="HJP41" s="536"/>
      <c r="HJQ41" s="536"/>
      <c r="HJR41" s="536"/>
      <c r="HJS41" s="536"/>
      <c r="HJT41" s="536"/>
      <c r="HJU41" s="536"/>
      <c r="HJV41" s="536"/>
      <c r="HJW41" s="536"/>
      <c r="HJX41" s="536"/>
      <c r="HJY41" s="536"/>
      <c r="HJZ41" s="536"/>
      <c r="HKA41" s="536"/>
      <c r="HKB41" s="536"/>
      <c r="HKC41" s="536"/>
      <c r="HKD41" s="536"/>
      <c r="HKE41" s="536"/>
      <c r="HKF41" s="536"/>
      <c r="HKG41" s="536"/>
      <c r="HKH41" s="536"/>
      <c r="HKI41" s="536"/>
      <c r="HKJ41" s="536"/>
      <c r="HKK41" s="536"/>
      <c r="HKL41" s="536"/>
      <c r="HKM41" s="536"/>
      <c r="HKN41" s="536"/>
      <c r="HKO41" s="536"/>
      <c r="HKP41" s="536"/>
      <c r="HKQ41" s="536"/>
      <c r="HKR41" s="536"/>
      <c r="HKS41" s="536"/>
      <c r="HKT41" s="536"/>
      <c r="HKU41" s="536"/>
      <c r="HKV41" s="536"/>
      <c r="HKW41" s="536"/>
      <c r="HKX41" s="536"/>
      <c r="HKY41" s="536"/>
      <c r="HKZ41" s="536"/>
      <c r="HLA41" s="536"/>
      <c r="HLB41" s="536"/>
      <c r="HLC41" s="536"/>
      <c r="HLD41" s="536"/>
      <c r="HLE41" s="536"/>
      <c r="HLF41" s="536"/>
      <c r="HLG41" s="536"/>
      <c r="HLH41" s="536"/>
      <c r="HLI41" s="536"/>
      <c r="HLJ41" s="536"/>
      <c r="HLK41" s="536"/>
      <c r="HLL41" s="536"/>
      <c r="HLM41" s="536"/>
      <c r="HLN41" s="536"/>
      <c r="HLO41" s="536"/>
      <c r="HLP41" s="536"/>
      <c r="HLQ41" s="536"/>
      <c r="HLR41" s="536"/>
      <c r="HLS41" s="536"/>
      <c r="HLT41" s="536"/>
      <c r="HLU41" s="536"/>
      <c r="HLV41" s="536"/>
      <c r="HLW41" s="536"/>
      <c r="HLX41" s="536"/>
      <c r="HLY41" s="536"/>
      <c r="HLZ41" s="536"/>
      <c r="HMA41" s="536"/>
      <c r="HMB41" s="536"/>
      <c r="HMC41" s="536"/>
      <c r="HMD41" s="536"/>
      <c r="HME41" s="536"/>
      <c r="HMF41" s="536"/>
      <c r="HMG41" s="536"/>
      <c r="HMH41" s="536"/>
      <c r="HMI41" s="536"/>
      <c r="HMJ41" s="536"/>
      <c r="HMK41" s="536"/>
      <c r="HML41" s="536"/>
      <c r="HMM41" s="536"/>
      <c r="HMN41" s="536"/>
      <c r="HMO41" s="536"/>
      <c r="HMP41" s="536"/>
      <c r="HMQ41" s="536"/>
      <c r="HMR41" s="536"/>
      <c r="HMS41" s="536"/>
      <c r="HMT41" s="536"/>
      <c r="HMU41" s="536"/>
      <c r="HMV41" s="536"/>
      <c r="HMW41" s="536"/>
      <c r="HMX41" s="536"/>
      <c r="HMY41" s="536"/>
      <c r="HMZ41" s="536"/>
      <c r="HNA41" s="536"/>
      <c r="HNB41" s="536"/>
      <c r="HNC41" s="536"/>
      <c r="HND41" s="536"/>
      <c r="HNE41" s="536"/>
      <c r="HNF41" s="536"/>
      <c r="HNG41" s="536"/>
      <c r="HNH41" s="536"/>
      <c r="HNI41" s="536"/>
      <c r="HNJ41" s="536"/>
      <c r="HNK41" s="536"/>
      <c r="HNL41" s="536"/>
      <c r="HNM41" s="536"/>
      <c r="HNN41" s="536"/>
      <c r="HNO41" s="536"/>
      <c r="HNP41" s="536"/>
      <c r="HNQ41" s="536"/>
      <c r="HNR41" s="536"/>
      <c r="HNS41" s="536"/>
      <c r="HNT41" s="536"/>
      <c r="HNU41" s="536"/>
      <c r="HNV41" s="536"/>
      <c r="HNW41" s="536"/>
      <c r="HNX41" s="536"/>
      <c r="HNY41" s="536"/>
      <c r="HNZ41" s="536"/>
      <c r="HOA41" s="536"/>
      <c r="HOB41" s="536"/>
      <c r="HOC41" s="536"/>
      <c r="HOD41" s="536"/>
      <c r="HOE41" s="536"/>
      <c r="HOF41" s="536"/>
      <c r="HOG41" s="536"/>
      <c r="HOH41" s="536"/>
      <c r="HOI41" s="536"/>
      <c r="HOJ41" s="536"/>
      <c r="HOK41" s="536"/>
      <c r="HOL41" s="536"/>
      <c r="HOM41" s="536"/>
      <c r="HON41" s="536"/>
      <c r="HOO41" s="536"/>
      <c r="HOP41" s="536"/>
      <c r="HOQ41" s="536"/>
      <c r="HOR41" s="536"/>
      <c r="HOS41" s="536"/>
      <c r="HOT41" s="536"/>
      <c r="HOU41" s="536"/>
      <c r="HOV41" s="536"/>
      <c r="HOW41" s="536"/>
      <c r="HOX41" s="536"/>
      <c r="HOY41" s="536"/>
      <c r="HOZ41" s="536"/>
      <c r="HPA41" s="536"/>
      <c r="HPB41" s="536"/>
      <c r="HPC41" s="536"/>
      <c r="HPD41" s="536"/>
      <c r="HPE41" s="536"/>
      <c r="HPF41" s="536"/>
      <c r="HPG41" s="536"/>
      <c r="HPH41" s="536"/>
      <c r="HPI41" s="536"/>
      <c r="HPJ41" s="536"/>
      <c r="HPK41" s="536"/>
      <c r="HPL41" s="536"/>
      <c r="HPM41" s="536"/>
      <c r="HPN41" s="536"/>
      <c r="HPO41" s="536"/>
      <c r="HPP41" s="536"/>
      <c r="HPQ41" s="536"/>
      <c r="HPR41" s="536"/>
      <c r="HPS41" s="536"/>
      <c r="HPT41" s="536"/>
      <c r="HPU41" s="536"/>
      <c r="HPV41" s="536"/>
      <c r="HPW41" s="536"/>
      <c r="HPX41" s="536"/>
      <c r="HPY41" s="536"/>
      <c r="HPZ41" s="536"/>
      <c r="HQA41" s="536"/>
      <c r="HQB41" s="536"/>
      <c r="HQC41" s="536"/>
      <c r="HQD41" s="536"/>
      <c r="HQE41" s="536"/>
      <c r="HQF41" s="536"/>
      <c r="HQG41" s="536"/>
      <c r="HQH41" s="536"/>
      <c r="HQI41" s="536"/>
      <c r="HQJ41" s="536"/>
      <c r="HQK41" s="536"/>
      <c r="HQL41" s="536"/>
      <c r="HQM41" s="536"/>
      <c r="HQN41" s="536"/>
      <c r="HQO41" s="536"/>
      <c r="HQP41" s="536"/>
      <c r="HQQ41" s="536"/>
      <c r="HQR41" s="536"/>
      <c r="HQS41" s="536"/>
      <c r="HQT41" s="536"/>
      <c r="HQU41" s="536"/>
      <c r="HQV41" s="536"/>
      <c r="HQW41" s="536"/>
      <c r="HQX41" s="536"/>
      <c r="HQY41" s="536"/>
      <c r="HQZ41" s="536"/>
      <c r="HRA41" s="536"/>
      <c r="HRB41" s="536"/>
      <c r="HRC41" s="536"/>
      <c r="HRD41" s="536"/>
      <c r="HRE41" s="536"/>
      <c r="HRF41" s="536"/>
      <c r="HRG41" s="536"/>
      <c r="HRH41" s="536"/>
      <c r="HRI41" s="536"/>
      <c r="HRJ41" s="536"/>
      <c r="HRK41" s="536"/>
      <c r="HRL41" s="536"/>
      <c r="HRM41" s="536"/>
      <c r="HRN41" s="536"/>
      <c r="HRO41" s="536"/>
      <c r="HRP41" s="536"/>
      <c r="HRQ41" s="536"/>
      <c r="HRR41" s="536"/>
      <c r="HRS41" s="536"/>
      <c r="HRT41" s="536"/>
      <c r="HRU41" s="536"/>
      <c r="HRV41" s="536"/>
      <c r="HRW41" s="536"/>
      <c r="HRX41" s="536"/>
      <c r="HRY41" s="536"/>
      <c r="HRZ41" s="536"/>
      <c r="HSA41" s="536"/>
      <c r="HSB41" s="536"/>
      <c r="HSC41" s="536"/>
      <c r="HSD41" s="536"/>
      <c r="HSE41" s="536"/>
      <c r="HSF41" s="536"/>
      <c r="HSG41" s="536"/>
      <c r="HSH41" s="536"/>
      <c r="HSI41" s="536"/>
      <c r="HSJ41" s="536"/>
      <c r="HSK41" s="536"/>
      <c r="HSL41" s="536"/>
      <c r="HSM41" s="536"/>
      <c r="HSN41" s="536"/>
      <c r="HSO41" s="536"/>
      <c r="HSP41" s="536"/>
      <c r="HSQ41" s="536"/>
      <c r="HSR41" s="536"/>
      <c r="HSS41" s="536"/>
      <c r="HST41" s="536"/>
      <c r="HSU41" s="536"/>
      <c r="HSV41" s="536"/>
      <c r="HSW41" s="536"/>
      <c r="HSX41" s="536"/>
      <c r="HSY41" s="536"/>
      <c r="HSZ41" s="536"/>
      <c r="HTA41" s="536"/>
      <c r="HTB41" s="536"/>
      <c r="HTC41" s="536"/>
      <c r="HTD41" s="536"/>
      <c r="HTE41" s="536"/>
      <c r="HTF41" s="536"/>
      <c r="HTG41" s="536"/>
      <c r="HTH41" s="536"/>
      <c r="HTI41" s="536"/>
      <c r="HTJ41" s="536"/>
      <c r="HTK41" s="536"/>
      <c r="HTL41" s="536"/>
      <c r="HTM41" s="536"/>
      <c r="HTN41" s="536"/>
      <c r="HTO41" s="536"/>
      <c r="HTP41" s="536"/>
      <c r="HTQ41" s="536"/>
      <c r="HTR41" s="536"/>
      <c r="HTS41" s="536"/>
      <c r="HTT41" s="536"/>
      <c r="HTU41" s="536"/>
      <c r="HTV41" s="536"/>
      <c r="HTW41" s="536"/>
      <c r="HTX41" s="536"/>
      <c r="HTY41" s="536"/>
      <c r="HTZ41" s="536"/>
      <c r="HUA41" s="536"/>
      <c r="HUB41" s="536"/>
      <c r="HUC41" s="536"/>
      <c r="HUD41" s="536"/>
      <c r="HUE41" s="536"/>
      <c r="HUF41" s="536"/>
      <c r="HUG41" s="536"/>
      <c r="HUH41" s="536"/>
      <c r="HUI41" s="536"/>
      <c r="HUJ41" s="536"/>
      <c r="HUK41" s="536"/>
      <c r="HUL41" s="536"/>
      <c r="HUM41" s="536"/>
      <c r="HUN41" s="536"/>
      <c r="HUO41" s="536"/>
      <c r="HUP41" s="536"/>
      <c r="HUQ41" s="536"/>
      <c r="HUR41" s="536"/>
      <c r="HUS41" s="536"/>
      <c r="HUT41" s="536"/>
      <c r="HUU41" s="536"/>
      <c r="HUV41" s="536"/>
      <c r="HUW41" s="536"/>
      <c r="HUX41" s="536"/>
      <c r="HUY41" s="536"/>
      <c r="HUZ41" s="536"/>
      <c r="HVA41" s="536"/>
      <c r="HVB41" s="536"/>
      <c r="HVC41" s="536"/>
      <c r="HVD41" s="536"/>
      <c r="HVE41" s="536"/>
      <c r="HVF41" s="536"/>
      <c r="HVG41" s="536"/>
      <c r="HVH41" s="536"/>
      <c r="HVI41" s="536"/>
      <c r="HVJ41" s="536"/>
      <c r="HVK41" s="536"/>
      <c r="HVL41" s="536"/>
      <c r="HVM41" s="536"/>
      <c r="HVN41" s="536"/>
      <c r="HVO41" s="536"/>
      <c r="HVP41" s="536"/>
      <c r="HVQ41" s="536"/>
      <c r="HVR41" s="536"/>
      <c r="HVS41" s="536"/>
      <c r="HVT41" s="536"/>
      <c r="HVU41" s="536"/>
      <c r="HVV41" s="536"/>
      <c r="HVW41" s="536"/>
      <c r="HVX41" s="536"/>
      <c r="HVY41" s="536"/>
      <c r="HVZ41" s="536"/>
      <c r="HWA41" s="536"/>
      <c r="HWB41" s="536"/>
      <c r="HWC41" s="536"/>
      <c r="HWD41" s="536"/>
      <c r="HWE41" s="536"/>
      <c r="HWF41" s="536"/>
      <c r="HWG41" s="536"/>
      <c r="HWH41" s="536"/>
      <c r="HWI41" s="536"/>
      <c r="HWJ41" s="536"/>
      <c r="HWK41" s="536"/>
      <c r="HWL41" s="536"/>
      <c r="HWM41" s="536"/>
      <c r="HWN41" s="536"/>
      <c r="HWO41" s="536"/>
      <c r="HWP41" s="536"/>
      <c r="HWQ41" s="536"/>
      <c r="HWR41" s="536"/>
      <c r="HWS41" s="536"/>
      <c r="HWT41" s="536"/>
      <c r="HWU41" s="536"/>
      <c r="HWV41" s="536"/>
      <c r="HWW41" s="536"/>
      <c r="HWX41" s="536"/>
      <c r="HWY41" s="536"/>
      <c r="HWZ41" s="536"/>
      <c r="HXA41" s="536"/>
      <c r="HXB41" s="536"/>
      <c r="HXC41" s="536"/>
      <c r="HXD41" s="536"/>
      <c r="HXE41" s="536"/>
      <c r="HXF41" s="536"/>
      <c r="HXG41" s="536"/>
      <c r="HXH41" s="536"/>
      <c r="HXI41" s="536"/>
      <c r="HXJ41" s="536"/>
      <c r="HXK41" s="536"/>
      <c r="HXL41" s="536"/>
      <c r="HXM41" s="536"/>
      <c r="HXN41" s="536"/>
      <c r="HXO41" s="536"/>
      <c r="HXP41" s="536"/>
      <c r="HXQ41" s="536"/>
      <c r="HXR41" s="536"/>
      <c r="HXS41" s="536"/>
      <c r="HXT41" s="536"/>
      <c r="HXU41" s="536"/>
      <c r="HXV41" s="536"/>
      <c r="HXW41" s="536"/>
      <c r="HXX41" s="536"/>
      <c r="HXY41" s="536"/>
      <c r="HXZ41" s="536"/>
      <c r="HYA41" s="536"/>
      <c r="HYB41" s="536"/>
      <c r="HYC41" s="536"/>
      <c r="HYD41" s="536"/>
      <c r="HYE41" s="536"/>
      <c r="HYF41" s="536"/>
      <c r="HYG41" s="536"/>
      <c r="HYH41" s="536"/>
      <c r="HYI41" s="536"/>
      <c r="HYJ41" s="536"/>
      <c r="HYK41" s="536"/>
      <c r="HYL41" s="536"/>
      <c r="HYM41" s="536"/>
      <c r="HYN41" s="536"/>
      <c r="HYO41" s="536"/>
      <c r="HYP41" s="536"/>
      <c r="HYQ41" s="536"/>
      <c r="HYR41" s="536"/>
      <c r="HYS41" s="536"/>
      <c r="HYT41" s="536"/>
      <c r="HYU41" s="536"/>
      <c r="HYV41" s="536"/>
      <c r="HYW41" s="536"/>
      <c r="HYX41" s="536"/>
      <c r="HYY41" s="536"/>
      <c r="HYZ41" s="536"/>
      <c r="HZA41" s="536"/>
      <c r="HZB41" s="536"/>
      <c r="HZC41" s="536"/>
      <c r="HZD41" s="536"/>
      <c r="HZE41" s="536"/>
      <c r="HZF41" s="536"/>
      <c r="HZG41" s="536"/>
      <c r="HZH41" s="536"/>
      <c r="HZI41" s="536"/>
      <c r="HZJ41" s="536"/>
      <c r="HZK41" s="536"/>
      <c r="HZL41" s="536"/>
      <c r="HZM41" s="536"/>
      <c r="HZN41" s="536"/>
      <c r="HZO41" s="536"/>
      <c r="HZP41" s="536"/>
      <c r="HZQ41" s="536"/>
      <c r="HZR41" s="536"/>
      <c r="HZS41" s="536"/>
      <c r="HZT41" s="536"/>
      <c r="HZU41" s="536"/>
      <c r="HZV41" s="536"/>
      <c r="HZW41" s="536"/>
      <c r="HZX41" s="536"/>
      <c r="HZY41" s="536"/>
      <c r="HZZ41" s="536"/>
      <c r="IAA41" s="536"/>
      <c r="IAB41" s="536"/>
      <c r="IAC41" s="536"/>
      <c r="IAD41" s="536"/>
      <c r="IAE41" s="536"/>
      <c r="IAF41" s="536"/>
      <c r="IAG41" s="536"/>
      <c r="IAH41" s="536"/>
      <c r="IAI41" s="536"/>
      <c r="IAJ41" s="536"/>
      <c r="IAK41" s="536"/>
      <c r="IAL41" s="536"/>
      <c r="IAM41" s="536"/>
      <c r="IAN41" s="536"/>
      <c r="IAO41" s="536"/>
      <c r="IAP41" s="536"/>
      <c r="IAQ41" s="536"/>
      <c r="IAR41" s="536"/>
      <c r="IAS41" s="536"/>
      <c r="IAT41" s="536"/>
      <c r="IAU41" s="536"/>
      <c r="IAV41" s="536"/>
      <c r="IAW41" s="536"/>
      <c r="IAX41" s="536"/>
      <c r="IAY41" s="536"/>
      <c r="IAZ41" s="536"/>
      <c r="IBA41" s="536"/>
      <c r="IBB41" s="536"/>
      <c r="IBC41" s="536"/>
      <c r="IBD41" s="536"/>
      <c r="IBE41" s="536"/>
      <c r="IBF41" s="536"/>
      <c r="IBG41" s="536"/>
      <c r="IBH41" s="536"/>
      <c r="IBI41" s="536"/>
      <c r="IBJ41" s="536"/>
      <c r="IBK41" s="536"/>
      <c r="IBL41" s="536"/>
      <c r="IBM41" s="536"/>
      <c r="IBN41" s="536"/>
      <c r="IBO41" s="536"/>
      <c r="IBP41" s="536"/>
      <c r="IBQ41" s="536"/>
      <c r="IBR41" s="536"/>
      <c r="IBS41" s="536"/>
      <c r="IBT41" s="536"/>
      <c r="IBU41" s="536"/>
      <c r="IBV41" s="536"/>
      <c r="IBW41" s="536"/>
      <c r="IBX41" s="536"/>
      <c r="IBY41" s="536"/>
      <c r="IBZ41" s="536"/>
      <c r="ICA41" s="536"/>
      <c r="ICB41" s="536"/>
      <c r="ICC41" s="536"/>
      <c r="ICD41" s="536"/>
      <c r="ICE41" s="536"/>
      <c r="ICF41" s="536"/>
      <c r="ICG41" s="536"/>
      <c r="ICH41" s="536"/>
      <c r="ICI41" s="536"/>
      <c r="ICJ41" s="536"/>
      <c r="ICK41" s="536"/>
      <c r="ICL41" s="536"/>
      <c r="ICM41" s="536"/>
      <c r="ICN41" s="536"/>
      <c r="ICO41" s="536"/>
      <c r="ICP41" s="536"/>
      <c r="ICQ41" s="536"/>
      <c r="ICR41" s="536"/>
      <c r="ICS41" s="536"/>
      <c r="ICT41" s="536"/>
      <c r="ICU41" s="536"/>
      <c r="ICV41" s="536"/>
      <c r="ICW41" s="536"/>
      <c r="ICX41" s="536"/>
      <c r="ICY41" s="536"/>
      <c r="ICZ41" s="536"/>
      <c r="IDA41" s="536"/>
      <c r="IDB41" s="536"/>
      <c r="IDC41" s="536"/>
      <c r="IDD41" s="536"/>
      <c r="IDE41" s="536"/>
      <c r="IDF41" s="536"/>
      <c r="IDG41" s="536"/>
      <c r="IDH41" s="536"/>
      <c r="IDI41" s="536"/>
      <c r="IDJ41" s="536"/>
      <c r="IDK41" s="536"/>
      <c r="IDL41" s="536"/>
      <c r="IDM41" s="536"/>
      <c r="IDN41" s="536"/>
      <c r="IDO41" s="536"/>
      <c r="IDP41" s="536"/>
      <c r="IDQ41" s="536"/>
      <c r="IDR41" s="536"/>
      <c r="IDS41" s="536"/>
      <c r="IDT41" s="536"/>
      <c r="IDU41" s="536"/>
      <c r="IDV41" s="536"/>
      <c r="IDW41" s="536"/>
      <c r="IDX41" s="536"/>
      <c r="IDY41" s="536"/>
      <c r="IDZ41" s="536"/>
      <c r="IEA41" s="536"/>
      <c r="IEB41" s="536"/>
      <c r="IEC41" s="536"/>
      <c r="IED41" s="536"/>
      <c r="IEE41" s="536"/>
      <c r="IEF41" s="536"/>
      <c r="IEG41" s="536"/>
      <c r="IEH41" s="536"/>
      <c r="IEI41" s="536"/>
      <c r="IEJ41" s="536"/>
      <c r="IEK41" s="536"/>
      <c r="IEL41" s="536"/>
      <c r="IEM41" s="536"/>
      <c r="IEN41" s="536"/>
      <c r="IEO41" s="536"/>
      <c r="IEP41" s="536"/>
      <c r="IEQ41" s="536"/>
      <c r="IER41" s="536"/>
      <c r="IES41" s="536"/>
      <c r="IET41" s="536"/>
      <c r="IEU41" s="536"/>
      <c r="IEV41" s="536"/>
      <c r="IEW41" s="536"/>
      <c r="IEX41" s="536"/>
      <c r="IEY41" s="536"/>
      <c r="IEZ41" s="536"/>
      <c r="IFA41" s="536"/>
      <c r="IFB41" s="536"/>
      <c r="IFC41" s="536"/>
      <c r="IFD41" s="536"/>
      <c r="IFE41" s="536"/>
      <c r="IFF41" s="536"/>
      <c r="IFG41" s="536"/>
      <c r="IFH41" s="536"/>
      <c r="IFI41" s="536"/>
      <c r="IFJ41" s="536"/>
      <c r="IFK41" s="536"/>
      <c r="IFL41" s="536"/>
      <c r="IFM41" s="536"/>
      <c r="IFN41" s="536"/>
      <c r="IFO41" s="536"/>
      <c r="IFP41" s="536"/>
      <c r="IFQ41" s="536"/>
      <c r="IFR41" s="536"/>
      <c r="IFS41" s="536"/>
      <c r="IFT41" s="536"/>
      <c r="IFU41" s="536"/>
      <c r="IFV41" s="536"/>
      <c r="IFW41" s="536"/>
      <c r="IFX41" s="536"/>
      <c r="IFY41" s="536"/>
      <c r="IFZ41" s="536"/>
      <c r="IGA41" s="536"/>
      <c r="IGB41" s="536"/>
      <c r="IGC41" s="536"/>
      <c r="IGD41" s="536"/>
      <c r="IGE41" s="536"/>
      <c r="IGF41" s="536"/>
      <c r="IGG41" s="536"/>
      <c r="IGH41" s="536"/>
      <c r="IGI41" s="536"/>
      <c r="IGJ41" s="536"/>
      <c r="IGK41" s="536"/>
      <c r="IGL41" s="536"/>
      <c r="IGM41" s="536"/>
      <c r="IGN41" s="536"/>
      <c r="IGO41" s="536"/>
      <c r="IGP41" s="536"/>
      <c r="IGQ41" s="536"/>
      <c r="IGR41" s="536"/>
      <c r="IGS41" s="536"/>
      <c r="IGT41" s="536"/>
      <c r="IGU41" s="536"/>
      <c r="IGV41" s="536"/>
      <c r="IGW41" s="536"/>
      <c r="IGX41" s="536"/>
      <c r="IGY41" s="536"/>
      <c r="IGZ41" s="536"/>
      <c r="IHA41" s="536"/>
      <c r="IHB41" s="536"/>
      <c r="IHC41" s="536"/>
      <c r="IHD41" s="536"/>
      <c r="IHE41" s="536"/>
      <c r="IHF41" s="536"/>
      <c r="IHG41" s="536"/>
      <c r="IHH41" s="536"/>
      <c r="IHI41" s="536"/>
      <c r="IHJ41" s="536"/>
      <c r="IHK41" s="536"/>
      <c r="IHL41" s="536"/>
      <c r="IHM41" s="536"/>
      <c r="IHN41" s="536"/>
      <c r="IHO41" s="536"/>
      <c r="IHP41" s="536"/>
      <c r="IHQ41" s="536"/>
      <c r="IHR41" s="536"/>
      <c r="IHS41" s="536"/>
      <c r="IHT41" s="536"/>
      <c r="IHU41" s="536"/>
      <c r="IHV41" s="536"/>
      <c r="IHW41" s="536"/>
      <c r="IHX41" s="536"/>
      <c r="IHY41" s="536"/>
      <c r="IHZ41" s="536"/>
      <c r="IIA41" s="536"/>
      <c r="IIB41" s="536"/>
      <c r="IIC41" s="536"/>
      <c r="IID41" s="536"/>
      <c r="IIE41" s="536"/>
      <c r="IIF41" s="536"/>
      <c r="IIG41" s="536"/>
      <c r="IIH41" s="536"/>
      <c r="III41" s="536"/>
      <c r="IIJ41" s="536"/>
      <c r="IIK41" s="536"/>
      <c r="IIL41" s="536"/>
      <c r="IIM41" s="536"/>
      <c r="IIN41" s="536"/>
      <c r="IIO41" s="536"/>
      <c r="IIP41" s="536"/>
      <c r="IIQ41" s="536"/>
      <c r="IIR41" s="536"/>
      <c r="IIS41" s="536"/>
      <c r="IIT41" s="536"/>
      <c r="IIU41" s="536"/>
      <c r="IIV41" s="536"/>
      <c r="IIW41" s="536"/>
      <c r="IIX41" s="536"/>
      <c r="IIY41" s="536"/>
      <c r="IIZ41" s="536"/>
      <c r="IJA41" s="536"/>
      <c r="IJB41" s="536"/>
      <c r="IJC41" s="536"/>
      <c r="IJD41" s="536"/>
      <c r="IJE41" s="536"/>
      <c r="IJF41" s="536"/>
      <c r="IJG41" s="536"/>
      <c r="IJH41" s="536"/>
      <c r="IJI41" s="536"/>
      <c r="IJJ41" s="536"/>
      <c r="IJK41" s="536"/>
      <c r="IJL41" s="536"/>
      <c r="IJM41" s="536"/>
      <c r="IJN41" s="536"/>
      <c r="IJO41" s="536"/>
      <c r="IJP41" s="536"/>
      <c r="IJQ41" s="536"/>
      <c r="IJR41" s="536"/>
      <c r="IJS41" s="536"/>
      <c r="IJT41" s="536"/>
      <c r="IJU41" s="536"/>
      <c r="IJV41" s="536"/>
      <c r="IJW41" s="536"/>
      <c r="IJX41" s="536"/>
      <c r="IJY41" s="536"/>
      <c r="IJZ41" s="536"/>
      <c r="IKA41" s="536"/>
      <c r="IKB41" s="536"/>
      <c r="IKC41" s="536"/>
      <c r="IKD41" s="536"/>
      <c r="IKE41" s="536"/>
      <c r="IKF41" s="536"/>
      <c r="IKG41" s="536"/>
      <c r="IKH41" s="536"/>
      <c r="IKI41" s="536"/>
      <c r="IKJ41" s="536"/>
      <c r="IKK41" s="536"/>
      <c r="IKL41" s="536"/>
      <c r="IKM41" s="536"/>
      <c r="IKN41" s="536"/>
      <c r="IKO41" s="536"/>
      <c r="IKP41" s="536"/>
      <c r="IKQ41" s="536"/>
      <c r="IKR41" s="536"/>
      <c r="IKS41" s="536"/>
      <c r="IKT41" s="536"/>
      <c r="IKU41" s="536"/>
      <c r="IKV41" s="536"/>
      <c r="IKW41" s="536"/>
      <c r="IKX41" s="536"/>
      <c r="IKY41" s="536"/>
      <c r="IKZ41" s="536"/>
      <c r="ILA41" s="536"/>
      <c r="ILB41" s="536"/>
      <c r="ILC41" s="536"/>
      <c r="ILD41" s="536"/>
      <c r="ILE41" s="536"/>
      <c r="ILF41" s="536"/>
      <c r="ILG41" s="536"/>
      <c r="ILH41" s="536"/>
      <c r="ILI41" s="536"/>
      <c r="ILJ41" s="536"/>
      <c r="ILK41" s="536"/>
      <c r="ILL41" s="536"/>
      <c r="ILM41" s="536"/>
      <c r="ILN41" s="536"/>
      <c r="ILO41" s="536"/>
      <c r="ILP41" s="536"/>
      <c r="ILQ41" s="536"/>
      <c r="ILR41" s="536"/>
      <c r="ILS41" s="536"/>
      <c r="ILT41" s="536"/>
      <c r="ILU41" s="536"/>
      <c r="ILV41" s="536"/>
      <c r="ILW41" s="536"/>
      <c r="ILX41" s="536"/>
      <c r="ILY41" s="536"/>
      <c r="ILZ41" s="536"/>
      <c r="IMA41" s="536"/>
      <c r="IMB41" s="536"/>
      <c r="IMC41" s="536"/>
      <c r="IMD41" s="536"/>
      <c r="IME41" s="536"/>
      <c r="IMF41" s="536"/>
      <c r="IMG41" s="536"/>
      <c r="IMH41" s="536"/>
      <c r="IMI41" s="536"/>
      <c r="IMJ41" s="536"/>
      <c r="IMK41" s="536"/>
      <c r="IML41" s="536"/>
      <c r="IMM41" s="536"/>
      <c r="IMN41" s="536"/>
      <c r="IMO41" s="536"/>
      <c r="IMP41" s="536"/>
      <c r="IMQ41" s="536"/>
      <c r="IMR41" s="536"/>
      <c r="IMS41" s="536"/>
      <c r="IMT41" s="536"/>
      <c r="IMU41" s="536"/>
      <c r="IMV41" s="536"/>
      <c r="IMW41" s="536"/>
      <c r="IMX41" s="536"/>
      <c r="IMY41" s="536"/>
      <c r="IMZ41" s="536"/>
      <c r="INA41" s="536"/>
      <c r="INB41" s="536"/>
      <c r="INC41" s="536"/>
      <c r="IND41" s="536"/>
      <c r="INE41" s="536"/>
      <c r="INF41" s="536"/>
      <c r="ING41" s="536"/>
      <c r="INH41" s="536"/>
      <c r="INI41" s="536"/>
      <c r="INJ41" s="536"/>
      <c r="INK41" s="536"/>
      <c r="INL41" s="536"/>
      <c r="INM41" s="536"/>
      <c r="INN41" s="536"/>
      <c r="INO41" s="536"/>
      <c r="INP41" s="536"/>
      <c r="INQ41" s="536"/>
      <c r="INR41" s="536"/>
      <c r="INS41" s="536"/>
      <c r="INT41" s="536"/>
      <c r="INU41" s="536"/>
      <c r="INV41" s="536"/>
      <c r="INW41" s="536"/>
      <c r="INX41" s="536"/>
      <c r="INY41" s="536"/>
      <c r="INZ41" s="536"/>
      <c r="IOA41" s="536"/>
      <c r="IOB41" s="536"/>
      <c r="IOC41" s="536"/>
      <c r="IOD41" s="536"/>
      <c r="IOE41" s="536"/>
      <c r="IOF41" s="536"/>
      <c r="IOG41" s="536"/>
      <c r="IOH41" s="536"/>
      <c r="IOI41" s="536"/>
      <c r="IOJ41" s="536"/>
      <c r="IOK41" s="536"/>
      <c r="IOL41" s="536"/>
      <c r="IOM41" s="536"/>
      <c r="ION41" s="536"/>
      <c r="IOO41" s="536"/>
      <c r="IOP41" s="536"/>
      <c r="IOQ41" s="536"/>
      <c r="IOR41" s="536"/>
      <c r="IOS41" s="536"/>
      <c r="IOT41" s="536"/>
      <c r="IOU41" s="536"/>
      <c r="IOV41" s="536"/>
      <c r="IOW41" s="536"/>
      <c r="IOX41" s="536"/>
      <c r="IOY41" s="536"/>
      <c r="IOZ41" s="536"/>
      <c r="IPA41" s="536"/>
      <c r="IPB41" s="536"/>
      <c r="IPC41" s="536"/>
      <c r="IPD41" s="536"/>
      <c r="IPE41" s="536"/>
      <c r="IPF41" s="536"/>
      <c r="IPG41" s="536"/>
      <c r="IPH41" s="536"/>
      <c r="IPI41" s="536"/>
      <c r="IPJ41" s="536"/>
      <c r="IPK41" s="536"/>
      <c r="IPL41" s="536"/>
      <c r="IPM41" s="536"/>
      <c r="IPN41" s="536"/>
      <c r="IPO41" s="536"/>
      <c r="IPP41" s="536"/>
      <c r="IPQ41" s="536"/>
      <c r="IPR41" s="536"/>
      <c r="IPS41" s="536"/>
      <c r="IPT41" s="536"/>
      <c r="IPU41" s="536"/>
      <c r="IPV41" s="536"/>
      <c r="IPW41" s="536"/>
      <c r="IPX41" s="536"/>
      <c r="IPY41" s="536"/>
      <c r="IPZ41" s="536"/>
      <c r="IQA41" s="536"/>
      <c r="IQB41" s="536"/>
      <c r="IQC41" s="536"/>
      <c r="IQD41" s="536"/>
      <c r="IQE41" s="536"/>
      <c r="IQF41" s="536"/>
      <c r="IQG41" s="536"/>
      <c r="IQH41" s="536"/>
      <c r="IQI41" s="536"/>
      <c r="IQJ41" s="536"/>
      <c r="IQK41" s="536"/>
      <c r="IQL41" s="536"/>
      <c r="IQM41" s="536"/>
      <c r="IQN41" s="536"/>
      <c r="IQO41" s="536"/>
      <c r="IQP41" s="536"/>
      <c r="IQQ41" s="536"/>
      <c r="IQR41" s="536"/>
      <c r="IQS41" s="536"/>
      <c r="IQT41" s="536"/>
      <c r="IQU41" s="536"/>
      <c r="IQV41" s="536"/>
      <c r="IQW41" s="536"/>
      <c r="IQX41" s="536"/>
      <c r="IQY41" s="536"/>
      <c r="IQZ41" s="536"/>
      <c r="IRA41" s="536"/>
      <c r="IRB41" s="536"/>
      <c r="IRC41" s="536"/>
      <c r="IRD41" s="536"/>
      <c r="IRE41" s="536"/>
      <c r="IRF41" s="536"/>
      <c r="IRG41" s="536"/>
      <c r="IRH41" s="536"/>
      <c r="IRI41" s="536"/>
      <c r="IRJ41" s="536"/>
      <c r="IRK41" s="536"/>
      <c r="IRL41" s="536"/>
      <c r="IRM41" s="536"/>
      <c r="IRN41" s="536"/>
      <c r="IRO41" s="536"/>
      <c r="IRP41" s="536"/>
      <c r="IRQ41" s="536"/>
      <c r="IRR41" s="536"/>
      <c r="IRS41" s="536"/>
      <c r="IRT41" s="536"/>
      <c r="IRU41" s="536"/>
      <c r="IRV41" s="536"/>
      <c r="IRW41" s="536"/>
      <c r="IRX41" s="536"/>
      <c r="IRY41" s="536"/>
      <c r="IRZ41" s="536"/>
      <c r="ISA41" s="536"/>
      <c r="ISB41" s="536"/>
      <c r="ISC41" s="536"/>
      <c r="ISD41" s="536"/>
      <c r="ISE41" s="536"/>
      <c r="ISF41" s="536"/>
      <c r="ISG41" s="536"/>
      <c r="ISH41" s="536"/>
      <c r="ISI41" s="536"/>
      <c r="ISJ41" s="536"/>
      <c r="ISK41" s="536"/>
      <c r="ISL41" s="536"/>
      <c r="ISM41" s="536"/>
      <c r="ISN41" s="536"/>
      <c r="ISO41" s="536"/>
      <c r="ISP41" s="536"/>
      <c r="ISQ41" s="536"/>
      <c r="ISR41" s="536"/>
      <c r="ISS41" s="536"/>
      <c r="IST41" s="536"/>
      <c r="ISU41" s="536"/>
      <c r="ISV41" s="536"/>
      <c r="ISW41" s="536"/>
      <c r="ISX41" s="536"/>
      <c r="ISY41" s="536"/>
      <c r="ISZ41" s="536"/>
      <c r="ITA41" s="536"/>
      <c r="ITB41" s="536"/>
      <c r="ITC41" s="536"/>
      <c r="ITD41" s="536"/>
      <c r="ITE41" s="536"/>
      <c r="ITF41" s="536"/>
      <c r="ITG41" s="536"/>
      <c r="ITH41" s="536"/>
      <c r="ITI41" s="536"/>
      <c r="ITJ41" s="536"/>
      <c r="ITK41" s="536"/>
      <c r="ITL41" s="536"/>
      <c r="ITM41" s="536"/>
      <c r="ITN41" s="536"/>
      <c r="ITO41" s="536"/>
      <c r="ITP41" s="536"/>
      <c r="ITQ41" s="536"/>
      <c r="ITR41" s="536"/>
      <c r="ITS41" s="536"/>
      <c r="ITT41" s="536"/>
      <c r="ITU41" s="536"/>
      <c r="ITV41" s="536"/>
      <c r="ITW41" s="536"/>
      <c r="ITX41" s="536"/>
      <c r="ITY41" s="536"/>
      <c r="ITZ41" s="536"/>
      <c r="IUA41" s="536"/>
      <c r="IUB41" s="536"/>
      <c r="IUC41" s="536"/>
      <c r="IUD41" s="536"/>
      <c r="IUE41" s="536"/>
      <c r="IUF41" s="536"/>
      <c r="IUG41" s="536"/>
      <c r="IUH41" s="536"/>
      <c r="IUI41" s="536"/>
      <c r="IUJ41" s="536"/>
      <c r="IUK41" s="536"/>
      <c r="IUL41" s="536"/>
      <c r="IUM41" s="536"/>
      <c r="IUN41" s="536"/>
      <c r="IUO41" s="536"/>
      <c r="IUP41" s="536"/>
      <c r="IUQ41" s="536"/>
      <c r="IUR41" s="536"/>
      <c r="IUS41" s="536"/>
      <c r="IUT41" s="536"/>
      <c r="IUU41" s="536"/>
      <c r="IUV41" s="536"/>
      <c r="IUW41" s="536"/>
      <c r="IUX41" s="536"/>
      <c r="IUY41" s="536"/>
      <c r="IUZ41" s="536"/>
      <c r="IVA41" s="536"/>
      <c r="IVB41" s="536"/>
      <c r="IVC41" s="536"/>
      <c r="IVD41" s="536"/>
      <c r="IVE41" s="536"/>
      <c r="IVF41" s="536"/>
      <c r="IVG41" s="536"/>
      <c r="IVH41" s="536"/>
      <c r="IVI41" s="536"/>
      <c r="IVJ41" s="536"/>
      <c r="IVK41" s="536"/>
      <c r="IVL41" s="536"/>
      <c r="IVM41" s="536"/>
      <c r="IVN41" s="536"/>
      <c r="IVO41" s="536"/>
      <c r="IVP41" s="536"/>
      <c r="IVQ41" s="536"/>
      <c r="IVR41" s="536"/>
      <c r="IVS41" s="536"/>
      <c r="IVT41" s="536"/>
      <c r="IVU41" s="536"/>
      <c r="IVV41" s="536"/>
      <c r="IVW41" s="536"/>
      <c r="IVX41" s="536"/>
      <c r="IVY41" s="536"/>
      <c r="IVZ41" s="536"/>
      <c r="IWA41" s="536"/>
      <c r="IWB41" s="536"/>
      <c r="IWC41" s="536"/>
      <c r="IWD41" s="536"/>
      <c r="IWE41" s="536"/>
      <c r="IWF41" s="536"/>
      <c r="IWG41" s="536"/>
      <c r="IWH41" s="536"/>
      <c r="IWI41" s="536"/>
      <c r="IWJ41" s="536"/>
      <c r="IWK41" s="536"/>
      <c r="IWL41" s="536"/>
      <c r="IWM41" s="536"/>
      <c r="IWN41" s="536"/>
      <c r="IWO41" s="536"/>
      <c r="IWP41" s="536"/>
      <c r="IWQ41" s="536"/>
      <c r="IWR41" s="536"/>
      <c r="IWS41" s="536"/>
      <c r="IWT41" s="536"/>
      <c r="IWU41" s="536"/>
      <c r="IWV41" s="536"/>
      <c r="IWW41" s="536"/>
      <c r="IWX41" s="536"/>
      <c r="IWY41" s="536"/>
      <c r="IWZ41" s="536"/>
      <c r="IXA41" s="536"/>
      <c r="IXB41" s="536"/>
      <c r="IXC41" s="536"/>
      <c r="IXD41" s="536"/>
      <c r="IXE41" s="536"/>
      <c r="IXF41" s="536"/>
      <c r="IXG41" s="536"/>
      <c r="IXH41" s="536"/>
      <c r="IXI41" s="536"/>
      <c r="IXJ41" s="536"/>
      <c r="IXK41" s="536"/>
      <c r="IXL41" s="536"/>
      <c r="IXM41" s="536"/>
      <c r="IXN41" s="536"/>
      <c r="IXO41" s="536"/>
      <c r="IXP41" s="536"/>
      <c r="IXQ41" s="536"/>
      <c r="IXR41" s="536"/>
      <c r="IXS41" s="536"/>
      <c r="IXT41" s="536"/>
      <c r="IXU41" s="536"/>
      <c r="IXV41" s="536"/>
      <c r="IXW41" s="536"/>
      <c r="IXX41" s="536"/>
      <c r="IXY41" s="536"/>
      <c r="IXZ41" s="536"/>
      <c r="IYA41" s="536"/>
      <c r="IYB41" s="536"/>
      <c r="IYC41" s="536"/>
      <c r="IYD41" s="536"/>
      <c r="IYE41" s="536"/>
      <c r="IYF41" s="536"/>
      <c r="IYG41" s="536"/>
      <c r="IYH41" s="536"/>
      <c r="IYI41" s="536"/>
      <c r="IYJ41" s="536"/>
      <c r="IYK41" s="536"/>
      <c r="IYL41" s="536"/>
      <c r="IYM41" s="536"/>
      <c r="IYN41" s="536"/>
      <c r="IYO41" s="536"/>
      <c r="IYP41" s="536"/>
      <c r="IYQ41" s="536"/>
      <c r="IYR41" s="536"/>
      <c r="IYS41" s="536"/>
      <c r="IYT41" s="536"/>
      <c r="IYU41" s="536"/>
      <c r="IYV41" s="536"/>
      <c r="IYW41" s="536"/>
      <c r="IYX41" s="536"/>
      <c r="IYY41" s="536"/>
      <c r="IYZ41" s="536"/>
      <c r="IZA41" s="536"/>
      <c r="IZB41" s="536"/>
      <c r="IZC41" s="536"/>
      <c r="IZD41" s="536"/>
      <c r="IZE41" s="536"/>
      <c r="IZF41" s="536"/>
      <c r="IZG41" s="536"/>
      <c r="IZH41" s="536"/>
      <c r="IZI41" s="536"/>
      <c r="IZJ41" s="536"/>
      <c r="IZK41" s="536"/>
      <c r="IZL41" s="536"/>
      <c r="IZM41" s="536"/>
      <c r="IZN41" s="536"/>
      <c r="IZO41" s="536"/>
      <c r="IZP41" s="536"/>
      <c r="IZQ41" s="536"/>
      <c r="IZR41" s="536"/>
      <c r="IZS41" s="536"/>
      <c r="IZT41" s="536"/>
      <c r="IZU41" s="536"/>
      <c r="IZV41" s="536"/>
      <c r="IZW41" s="536"/>
      <c r="IZX41" s="536"/>
      <c r="IZY41" s="536"/>
      <c r="IZZ41" s="536"/>
      <c r="JAA41" s="536"/>
      <c r="JAB41" s="536"/>
      <c r="JAC41" s="536"/>
      <c r="JAD41" s="536"/>
      <c r="JAE41" s="536"/>
      <c r="JAF41" s="536"/>
      <c r="JAG41" s="536"/>
      <c r="JAH41" s="536"/>
      <c r="JAI41" s="536"/>
      <c r="JAJ41" s="536"/>
      <c r="JAK41" s="536"/>
      <c r="JAL41" s="536"/>
      <c r="JAM41" s="536"/>
      <c r="JAN41" s="536"/>
      <c r="JAO41" s="536"/>
      <c r="JAP41" s="536"/>
      <c r="JAQ41" s="536"/>
      <c r="JAR41" s="536"/>
      <c r="JAS41" s="536"/>
      <c r="JAT41" s="536"/>
      <c r="JAU41" s="536"/>
      <c r="JAV41" s="536"/>
      <c r="JAW41" s="536"/>
      <c r="JAX41" s="536"/>
      <c r="JAY41" s="536"/>
      <c r="JAZ41" s="536"/>
      <c r="JBA41" s="536"/>
      <c r="JBB41" s="536"/>
      <c r="JBC41" s="536"/>
      <c r="JBD41" s="536"/>
      <c r="JBE41" s="536"/>
      <c r="JBF41" s="536"/>
      <c r="JBG41" s="536"/>
      <c r="JBH41" s="536"/>
      <c r="JBI41" s="536"/>
      <c r="JBJ41" s="536"/>
      <c r="JBK41" s="536"/>
      <c r="JBL41" s="536"/>
      <c r="JBM41" s="536"/>
      <c r="JBN41" s="536"/>
      <c r="JBO41" s="536"/>
      <c r="JBP41" s="536"/>
      <c r="JBQ41" s="536"/>
      <c r="JBR41" s="536"/>
      <c r="JBS41" s="536"/>
      <c r="JBT41" s="536"/>
      <c r="JBU41" s="536"/>
      <c r="JBV41" s="536"/>
      <c r="JBW41" s="536"/>
      <c r="JBX41" s="536"/>
      <c r="JBY41" s="536"/>
      <c r="JBZ41" s="536"/>
      <c r="JCA41" s="536"/>
      <c r="JCB41" s="536"/>
      <c r="JCC41" s="536"/>
      <c r="JCD41" s="536"/>
      <c r="JCE41" s="536"/>
      <c r="JCF41" s="536"/>
      <c r="JCG41" s="536"/>
      <c r="JCH41" s="536"/>
      <c r="JCI41" s="536"/>
      <c r="JCJ41" s="536"/>
      <c r="JCK41" s="536"/>
      <c r="JCL41" s="536"/>
      <c r="JCM41" s="536"/>
      <c r="JCN41" s="536"/>
      <c r="JCO41" s="536"/>
      <c r="JCP41" s="536"/>
      <c r="JCQ41" s="536"/>
      <c r="JCR41" s="536"/>
      <c r="JCS41" s="536"/>
      <c r="JCT41" s="536"/>
      <c r="JCU41" s="536"/>
      <c r="JCV41" s="536"/>
      <c r="JCW41" s="536"/>
      <c r="JCX41" s="536"/>
      <c r="JCY41" s="536"/>
      <c r="JCZ41" s="536"/>
      <c r="JDA41" s="536"/>
      <c r="JDB41" s="536"/>
      <c r="JDC41" s="536"/>
      <c r="JDD41" s="536"/>
      <c r="JDE41" s="536"/>
      <c r="JDF41" s="536"/>
      <c r="JDG41" s="536"/>
      <c r="JDH41" s="536"/>
      <c r="JDI41" s="536"/>
      <c r="JDJ41" s="536"/>
      <c r="JDK41" s="536"/>
      <c r="JDL41" s="536"/>
      <c r="JDM41" s="536"/>
      <c r="JDN41" s="536"/>
      <c r="JDO41" s="536"/>
      <c r="JDP41" s="536"/>
      <c r="JDQ41" s="536"/>
      <c r="JDR41" s="536"/>
      <c r="JDS41" s="536"/>
      <c r="JDT41" s="536"/>
      <c r="JDU41" s="536"/>
      <c r="JDV41" s="536"/>
      <c r="JDW41" s="536"/>
      <c r="JDX41" s="536"/>
      <c r="JDY41" s="536"/>
      <c r="JDZ41" s="536"/>
      <c r="JEA41" s="536"/>
      <c r="JEB41" s="536"/>
      <c r="JEC41" s="536"/>
      <c r="JED41" s="536"/>
      <c r="JEE41" s="536"/>
      <c r="JEF41" s="536"/>
      <c r="JEG41" s="536"/>
      <c r="JEH41" s="536"/>
      <c r="JEI41" s="536"/>
      <c r="JEJ41" s="536"/>
      <c r="JEK41" s="536"/>
      <c r="JEL41" s="536"/>
      <c r="JEM41" s="536"/>
      <c r="JEN41" s="536"/>
      <c r="JEO41" s="536"/>
      <c r="JEP41" s="536"/>
      <c r="JEQ41" s="536"/>
      <c r="JER41" s="536"/>
      <c r="JES41" s="536"/>
      <c r="JET41" s="536"/>
      <c r="JEU41" s="536"/>
      <c r="JEV41" s="536"/>
      <c r="JEW41" s="536"/>
      <c r="JEX41" s="536"/>
      <c r="JEY41" s="536"/>
      <c r="JEZ41" s="536"/>
      <c r="JFA41" s="536"/>
      <c r="JFB41" s="536"/>
      <c r="JFC41" s="536"/>
      <c r="JFD41" s="536"/>
      <c r="JFE41" s="536"/>
      <c r="JFF41" s="536"/>
      <c r="JFG41" s="536"/>
      <c r="JFH41" s="536"/>
      <c r="JFI41" s="536"/>
      <c r="JFJ41" s="536"/>
      <c r="JFK41" s="536"/>
      <c r="JFL41" s="536"/>
      <c r="JFM41" s="536"/>
      <c r="JFN41" s="536"/>
      <c r="JFO41" s="536"/>
      <c r="JFP41" s="536"/>
      <c r="JFQ41" s="536"/>
      <c r="JFR41" s="536"/>
      <c r="JFS41" s="536"/>
      <c r="JFT41" s="536"/>
      <c r="JFU41" s="536"/>
      <c r="JFV41" s="536"/>
      <c r="JFW41" s="536"/>
      <c r="JFX41" s="536"/>
      <c r="JFY41" s="536"/>
      <c r="JFZ41" s="536"/>
      <c r="JGA41" s="536"/>
      <c r="JGB41" s="536"/>
      <c r="JGC41" s="536"/>
      <c r="JGD41" s="536"/>
      <c r="JGE41" s="536"/>
      <c r="JGF41" s="536"/>
      <c r="JGG41" s="536"/>
      <c r="JGH41" s="536"/>
      <c r="JGI41" s="536"/>
      <c r="JGJ41" s="536"/>
      <c r="JGK41" s="536"/>
      <c r="JGL41" s="536"/>
      <c r="JGM41" s="536"/>
      <c r="JGN41" s="536"/>
      <c r="JGO41" s="536"/>
      <c r="JGP41" s="536"/>
      <c r="JGQ41" s="536"/>
      <c r="JGR41" s="536"/>
      <c r="JGS41" s="536"/>
      <c r="JGT41" s="536"/>
      <c r="JGU41" s="536"/>
      <c r="JGV41" s="536"/>
      <c r="JGW41" s="536"/>
      <c r="JGX41" s="536"/>
      <c r="JGY41" s="536"/>
      <c r="JGZ41" s="536"/>
      <c r="JHA41" s="536"/>
      <c r="JHB41" s="536"/>
      <c r="JHC41" s="536"/>
      <c r="JHD41" s="536"/>
      <c r="JHE41" s="536"/>
      <c r="JHF41" s="536"/>
      <c r="JHG41" s="536"/>
      <c r="JHH41" s="536"/>
      <c r="JHI41" s="536"/>
      <c r="JHJ41" s="536"/>
      <c r="JHK41" s="536"/>
      <c r="JHL41" s="536"/>
      <c r="JHM41" s="536"/>
      <c r="JHN41" s="536"/>
      <c r="JHO41" s="536"/>
      <c r="JHP41" s="536"/>
      <c r="JHQ41" s="536"/>
      <c r="JHR41" s="536"/>
      <c r="JHS41" s="536"/>
      <c r="JHT41" s="536"/>
      <c r="JHU41" s="536"/>
      <c r="JHV41" s="536"/>
      <c r="JHW41" s="536"/>
      <c r="JHX41" s="536"/>
      <c r="JHY41" s="536"/>
      <c r="JHZ41" s="536"/>
      <c r="JIA41" s="536"/>
      <c r="JIB41" s="536"/>
      <c r="JIC41" s="536"/>
      <c r="JID41" s="536"/>
      <c r="JIE41" s="536"/>
      <c r="JIF41" s="536"/>
      <c r="JIG41" s="536"/>
      <c r="JIH41" s="536"/>
      <c r="JII41" s="536"/>
      <c r="JIJ41" s="536"/>
      <c r="JIK41" s="536"/>
      <c r="JIL41" s="536"/>
      <c r="JIM41" s="536"/>
      <c r="JIN41" s="536"/>
      <c r="JIO41" s="536"/>
      <c r="JIP41" s="536"/>
      <c r="JIQ41" s="536"/>
      <c r="JIR41" s="536"/>
      <c r="JIS41" s="536"/>
      <c r="JIT41" s="536"/>
      <c r="JIU41" s="536"/>
      <c r="JIV41" s="536"/>
      <c r="JIW41" s="536"/>
      <c r="JIX41" s="536"/>
      <c r="JIY41" s="536"/>
      <c r="JIZ41" s="536"/>
      <c r="JJA41" s="536"/>
      <c r="JJB41" s="536"/>
      <c r="JJC41" s="536"/>
      <c r="JJD41" s="536"/>
      <c r="JJE41" s="536"/>
      <c r="JJF41" s="536"/>
      <c r="JJG41" s="536"/>
      <c r="JJH41" s="536"/>
      <c r="JJI41" s="536"/>
      <c r="JJJ41" s="536"/>
      <c r="JJK41" s="536"/>
      <c r="JJL41" s="536"/>
      <c r="JJM41" s="536"/>
      <c r="JJN41" s="536"/>
      <c r="JJO41" s="536"/>
      <c r="JJP41" s="536"/>
      <c r="JJQ41" s="536"/>
      <c r="JJR41" s="536"/>
      <c r="JJS41" s="536"/>
      <c r="JJT41" s="536"/>
      <c r="JJU41" s="536"/>
      <c r="JJV41" s="536"/>
      <c r="JJW41" s="536"/>
      <c r="JJX41" s="536"/>
      <c r="JJY41" s="536"/>
      <c r="JJZ41" s="536"/>
      <c r="JKA41" s="536"/>
      <c r="JKB41" s="536"/>
      <c r="JKC41" s="536"/>
      <c r="JKD41" s="536"/>
      <c r="JKE41" s="536"/>
      <c r="JKF41" s="536"/>
      <c r="JKG41" s="536"/>
      <c r="JKH41" s="536"/>
      <c r="JKI41" s="536"/>
      <c r="JKJ41" s="536"/>
      <c r="JKK41" s="536"/>
      <c r="JKL41" s="536"/>
      <c r="JKM41" s="536"/>
      <c r="JKN41" s="536"/>
      <c r="JKO41" s="536"/>
      <c r="JKP41" s="536"/>
      <c r="JKQ41" s="536"/>
      <c r="JKR41" s="536"/>
      <c r="JKS41" s="536"/>
      <c r="JKT41" s="536"/>
      <c r="JKU41" s="536"/>
      <c r="JKV41" s="536"/>
      <c r="JKW41" s="536"/>
      <c r="JKX41" s="536"/>
      <c r="JKY41" s="536"/>
      <c r="JKZ41" s="536"/>
      <c r="JLA41" s="536"/>
      <c r="JLB41" s="536"/>
      <c r="JLC41" s="536"/>
      <c r="JLD41" s="536"/>
      <c r="JLE41" s="536"/>
      <c r="JLF41" s="536"/>
      <c r="JLG41" s="536"/>
      <c r="JLH41" s="536"/>
      <c r="JLI41" s="536"/>
      <c r="JLJ41" s="536"/>
      <c r="JLK41" s="536"/>
      <c r="JLL41" s="536"/>
      <c r="JLM41" s="536"/>
      <c r="JLN41" s="536"/>
      <c r="JLO41" s="536"/>
      <c r="JLP41" s="536"/>
      <c r="JLQ41" s="536"/>
      <c r="JLR41" s="536"/>
      <c r="JLS41" s="536"/>
      <c r="JLT41" s="536"/>
      <c r="JLU41" s="536"/>
      <c r="JLV41" s="536"/>
      <c r="JLW41" s="536"/>
      <c r="JLX41" s="536"/>
      <c r="JLY41" s="536"/>
      <c r="JLZ41" s="536"/>
      <c r="JMA41" s="536"/>
      <c r="JMB41" s="536"/>
      <c r="JMC41" s="536"/>
      <c r="JMD41" s="536"/>
      <c r="JME41" s="536"/>
      <c r="JMF41" s="536"/>
      <c r="JMG41" s="536"/>
      <c r="JMH41" s="536"/>
      <c r="JMI41" s="536"/>
      <c r="JMJ41" s="536"/>
      <c r="JMK41" s="536"/>
      <c r="JML41" s="536"/>
      <c r="JMM41" s="536"/>
      <c r="JMN41" s="536"/>
      <c r="JMO41" s="536"/>
      <c r="JMP41" s="536"/>
      <c r="JMQ41" s="536"/>
      <c r="JMR41" s="536"/>
      <c r="JMS41" s="536"/>
      <c r="JMT41" s="536"/>
      <c r="JMU41" s="536"/>
      <c r="JMV41" s="536"/>
      <c r="JMW41" s="536"/>
      <c r="JMX41" s="536"/>
      <c r="JMY41" s="536"/>
      <c r="JMZ41" s="536"/>
      <c r="JNA41" s="536"/>
      <c r="JNB41" s="536"/>
      <c r="JNC41" s="536"/>
      <c r="JND41" s="536"/>
      <c r="JNE41" s="536"/>
      <c r="JNF41" s="536"/>
      <c r="JNG41" s="536"/>
      <c r="JNH41" s="536"/>
      <c r="JNI41" s="536"/>
      <c r="JNJ41" s="536"/>
      <c r="JNK41" s="536"/>
      <c r="JNL41" s="536"/>
      <c r="JNM41" s="536"/>
      <c r="JNN41" s="536"/>
      <c r="JNO41" s="536"/>
      <c r="JNP41" s="536"/>
      <c r="JNQ41" s="536"/>
      <c r="JNR41" s="536"/>
      <c r="JNS41" s="536"/>
      <c r="JNT41" s="536"/>
      <c r="JNU41" s="536"/>
      <c r="JNV41" s="536"/>
      <c r="JNW41" s="536"/>
      <c r="JNX41" s="536"/>
      <c r="JNY41" s="536"/>
      <c r="JNZ41" s="536"/>
      <c r="JOA41" s="536"/>
      <c r="JOB41" s="536"/>
      <c r="JOC41" s="536"/>
      <c r="JOD41" s="536"/>
      <c r="JOE41" s="536"/>
      <c r="JOF41" s="536"/>
      <c r="JOG41" s="536"/>
      <c r="JOH41" s="536"/>
      <c r="JOI41" s="536"/>
      <c r="JOJ41" s="536"/>
      <c r="JOK41" s="536"/>
      <c r="JOL41" s="536"/>
      <c r="JOM41" s="536"/>
      <c r="JON41" s="536"/>
      <c r="JOO41" s="536"/>
      <c r="JOP41" s="536"/>
      <c r="JOQ41" s="536"/>
      <c r="JOR41" s="536"/>
      <c r="JOS41" s="536"/>
      <c r="JOT41" s="536"/>
      <c r="JOU41" s="536"/>
      <c r="JOV41" s="536"/>
      <c r="JOW41" s="536"/>
      <c r="JOX41" s="536"/>
      <c r="JOY41" s="536"/>
      <c r="JOZ41" s="536"/>
      <c r="JPA41" s="536"/>
      <c r="JPB41" s="536"/>
      <c r="JPC41" s="536"/>
      <c r="JPD41" s="536"/>
      <c r="JPE41" s="536"/>
      <c r="JPF41" s="536"/>
      <c r="JPG41" s="536"/>
      <c r="JPH41" s="536"/>
      <c r="JPI41" s="536"/>
      <c r="JPJ41" s="536"/>
      <c r="JPK41" s="536"/>
      <c r="JPL41" s="536"/>
      <c r="JPM41" s="536"/>
      <c r="JPN41" s="536"/>
      <c r="JPO41" s="536"/>
      <c r="JPP41" s="536"/>
      <c r="JPQ41" s="536"/>
      <c r="JPR41" s="536"/>
      <c r="JPS41" s="536"/>
      <c r="JPT41" s="536"/>
      <c r="JPU41" s="536"/>
      <c r="JPV41" s="536"/>
      <c r="JPW41" s="536"/>
      <c r="JPX41" s="536"/>
      <c r="JPY41" s="536"/>
      <c r="JPZ41" s="536"/>
      <c r="JQA41" s="536"/>
      <c r="JQB41" s="536"/>
      <c r="JQC41" s="536"/>
      <c r="JQD41" s="536"/>
      <c r="JQE41" s="536"/>
      <c r="JQF41" s="536"/>
      <c r="JQG41" s="536"/>
      <c r="JQH41" s="536"/>
      <c r="JQI41" s="536"/>
      <c r="JQJ41" s="536"/>
      <c r="JQK41" s="536"/>
      <c r="JQL41" s="536"/>
      <c r="JQM41" s="536"/>
      <c r="JQN41" s="536"/>
      <c r="JQO41" s="536"/>
      <c r="JQP41" s="536"/>
      <c r="JQQ41" s="536"/>
      <c r="JQR41" s="536"/>
      <c r="JQS41" s="536"/>
      <c r="JQT41" s="536"/>
      <c r="JQU41" s="536"/>
      <c r="JQV41" s="536"/>
      <c r="JQW41" s="536"/>
      <c r="JQX41" s="536"/>
      <c r="JQY41" s="536"/>
      <c r="JQZ41" s="536"/>
      <c r="JRA41" s="536"/>
      <c r="JRB41" s="536"/>
      <c r="JRC41" s="536"/>
      <c r="JRD41" s="536"/>
      <c r="JRE41" s="536"/>
      <c r="JRF41" s="536"/>
      <c r="JRG41" s="536"/>
      <c r="JRH41" s="536"/>
      <c r="JRI41" s="536"/>
      <c r="JRJ41" s="536"/>
      <c r="JRK41" s="536"/>
      <c r="JRL41" s="536"/>
      <c r="JRM41" s="536"/>
      <c r="JRN41" s="536"/>
      <c r="JRO41" s="536"/>
      <c r="JRP41" s="536"/>
      <c r="JRQ41" s="536"/>
      <c r="JRR41" s="536"/>
      <c r="JRS41" s="536"/>
      <c r="JRT41" s="536"/>
      <c r="JRU41" s="536"/>
      <c r="JRV41" s="536"/>
      <c r="JRW41" s="536"/>
      <c r="JRX41" s="536"/>
      <c r="JRY41" s="536"/>
      <c r="JRZ41" s="536"/>
      <c r="JSA41" s="536"/>
      <c r="JSB41" s="536"/>
      <c r="JSC41" s="536"/>
      <c r="JSD41" s="536"/>
      <c r="JSE41" s="536"/>
      <c r="JSF41" s="536"/>
      <c r="JSG41" s="536"/>
      <c r="JSH41" s="536"/>
      <c r="JSI41" s="536"/>
      <c r="JSJ41" s="536"/>
      <c r="JSK41" s="536"/>
      <c r="JSL41" s="536"/>
      <c r="JSM41" s="536"/>
      <c r="JSN41" s="536"/>
      <c r="JSO41" s="536"/>
      <c r="JSP41" s="536"/>
      <c r="JSQ41" s="536"/>
      <c r="JSR41" s="536"/>
      <c r="JSS41" s="536"/>
      <c r="JST41" s="536"/>
      <c r="JSU41" s="536"/>
      <c r="JSV41" s="536"/>
      <c r="JSW41" s="536"/>
      <c r="JSX41" s="536"/>
      <c r="JSY41" s="536"/>
      <c r="JSZ41" s="536"/>
      <c r="JTA41" s="536"/>
      <c r="JTB41" s="536"/>
      <c r="JTC41" s="536"/>
      <c r="JTD41" s="536"/>
      <c r="JTE41" s="536"/>
      <c r="JTF41" s="536"/>
      <c r="JTG41" s="536"/>
      <c r="JTH41" s="536"/>
      <c r="JTI41" s="536"/>
      <c r="JTJ41" s="536"/>
      <c r="JTK41" s="536"/>
      <c r="JTL41" s="536"/>
      <c r="JTM41" s="536"/>
      <c r="JTN41" s="536"/>
      <c r="JTO41" s="536"/>
      <c r="JTP41" s="536"/>
      <c r="JTQ41" s="536"/>
      <c r="JTR41" s="536"/>
      <c r="JTS41" s="536"/>
      <c r="JTT41" s="536"/>
      <c r="JTU41" s="536"/>
      <c r="JTV41" s="536"/>
      <c r="JTW41" s="536"/>
      <c r="JTX41" s="536"/>
      <c r="JTY41" s="536"/>
      <c r="JTZ41" s="536"/>
      <c r="JUA41" s="536"/>
      <c r="JUB41" s="536"/>
      <c r="JUC41" s="536"/>
      <c r="JUD41" s="536"/>
      <c r="JUE41" s="536"/>
      <c r="JUF41" s="536"/>
      <c r="JUG41" s="536"/>
      <c r="JUH41" s="536"/>
      <c r="JUI41" s="536"/>
      <c r="JUJ41" s="536"/>
      <c r="JUK41" s="536"/>
      <c r="JUL41" s="536"/>
      <c r="JUM41" s="536"/>
      <c r="JUN41" s="536"/>
      <c r="JUO41" s="536"/>
      <c r="JUP41" s="536"/>
      <c r="JUQ41" s="536"/>
      <c r="JUR41" s="536"/>
      <c r="JUS41" s="536"/>
      <c r="JUT41" s="536"/>
      <c r="JUU41" s="536"/>
      <c r="JUV41" s="536"/>
      <c r="JUW41" s="536"/>
      <c r="JUX41" s="536"/>
      <c r="JUY41" s="536"/>
      <c r="JUZ41" s="536"/>
      <c r="JVA41" s="536"/>
      <c r="JVB41" s="536"/>
      <c r="JVC41" s="536"/>
      <c r="JVD41" s="536"/>
      <c r="JVE41" s="536"/>
      <c r="JVF41" s="536"/>
      <c r="JVG41" s="536"/>
      <c r="JVH41" s="536"/>
      <c r="JVI41" s="536"/>
      <c r="JVJ41" s="536"/>
      <c r="JVK41" s="536"/>
      <c r="JVL41" s="536"/>
      <c r="JVM41" s="536"/>
      <c r="JVN41" s="536"/>
      <c r="JVO41" s="536"/>
      <c r="JVP41" s="536"/>
      <c r="JVQ41" s="536"/>
      <c r="JVR41" s="536"/>
      <c r="JVS41" s="536"/>
      <c r="JVT41" s="536"/>
      <c r="JVU41" s="536"/>
      <c r="JVV41" s="536"/>
      <c r="JVW41" s="536"/>
      <c r="JVX41" s="536"/>
      <c r="JVY41" s="536"/>
      <c r="JVZ41" s="536"/>
      <c r="JWA41" s="536"/>
      <c r="JWB41" s="536"/>
      <c r="JWC41" s="536"/>
      <c r="JWD41" s="536"/>
      <c r="JWE41" s="536"/>
      <c r="JWF41" s="536"/>
      <c r="JWG41" s="536"/>
      <c r="JWH41" s="536"/>
      <c r="JWI41" s="536"/>
      <c r="JWJ41" s="536"/>
      <c r="JWK41" s="536"/>
      <c r="JWL41" s="536"/>
      <c r="JWM41" s="536"/>
      <c r="JWN41" s="536"/>
      <c r="JWO41" s="536"/>
      <c r="JWP41" s="536"/>
      <c r="JWQ41" s="536"/>
      <c r="JWR41" s="536"/>
      <c r="JWS41" s="536"/>
      <c r="JWT41" s="536"/>
      <c r="JWU41" s="536"/>
      <c r="JWV41" s="536"/>
      <c r="JWW41" s="536"/>
      <c r="JWX41" s="536"/>
      <c r="JWY41" s="536"/>
      <c r="JWZ41" s="536"/>
      <c r="JXA41" s="536"/>
      <c r="JXB41" s="536"/>
      <c r="JXC41" s="536"/>
      <c r="JXD41" s="536"/>
      <c r="JXE41" s="536"/>
      <c r="JXF41" s="536"/>
      <c r="JXG41" s="536"/>
      <c r="JXH41" s="536"/>
      <c r="JXI41" s="536"/>
      <c r="JXJ41" s="536"/>
      <c r="JXK41" s="536"/>
      <c r="JXL41" s="536"/>
      <c r="JXM41" s="536"/>
      <c r="JXN41" s="536"/>
      <c r="JXO41" s="536"/>
      <c r="JXP41" s="536"/>
      <c r="JXQ41" s="536"/>
      <c r="JXR41" s="536"/>
      <c r="JXS41" s="536"/>
      <c r="JXT41" s="536"/>
      <c r="JXU41" s="536"/>
      <c r="JXV41" s="536"/>
      <c r="JXW41" s="536"/>
      <c r="JXX41" s="536"/>
      <c r="JXY41" s="536"/>
      <c r="JXZ41" s="536"/>
      <c r="JYA41" s="536"/>
      <c r="JYB41" s="536"/>
      <c r="JYC41" s="536"/>
      <c r="JYD41" s="536"/>
      <c r="JYE41" s="536"/>
      <c r="JYF41" s="536"/>
      <c r="JYG41" s="536"/>
      <c r="JYH41" s="536"/>
      <c r="JYI41" s="536"/>
      <c r="JYJ41" s="536"/>
      <c r="JYK41" s="536"/>
      <c r="JYL41" s="536"/>
      <c r="JYM41" s="536"/>
      <c r="JYN41" s="536"/>
      <c r="JYO41" s="536"/>
      <c r="JYP41" s="536"/>
      <c r="JYQ41" s="536"/>
      <c r="JYR41" s="536"/>
      <c r="JYS41" s="536"/>
      <c r="JYT41" s="536"/>
      <c r="JYU41" s="536"/>
      <c r="JYV41" s="536"/>
      <c r="JYW41" s="536"/>
      <c r="JYX41" s="536"/>
      <c r="JYY41" s="536"/>
      <c r="JYZ41" s="536"/>
      <c r="JZA41" s="536"/>
      <c r="JZB41" s="536"/>
      <c r="JZC41" s="536"/>
      <c r="JZD41" s="536"/>
      <c r="JZE41" s="536"/>
      <c r="JZF41" s="536"/>
      <c r="JZG41" s="536"/>
      <c r="JZH41" s="536"/>
      <c r="JZI41" s="536"/>
      <c r="JZJ41" s="536"/>
      <c r="JZK41" s="536"/>
      <c r="JZL41" s="536"/>
      <c r="JZM41" s="536"/>
      <c r="JZN41" s="536"/>
      <c r="JZO41" s="536"/>
      <c r="JZP41" s="536"/>
      <c r="JZQ41" s="536"/>
      <c r="JZR41" s="536"/>
      <c r="JZS41" s="536"/>
      <c r="JZT41" s="536"/>
      <c r="JZU41" s="536"/>
      <c r="JZV41" s="536"/>
      <c r="JZW41" s="536"/>
      <c r="JZX41" s="536"/>
      <c r="JZY41" s="536"/>
      <c r="JZZ41" s="536"/>
      <c r="KAA41" s="536"/>
      <c r="KAB41" s="536"/>
      <c r="KAC41" s="536"/>
      <c r="KAD41" s="536"/>
      <c r="KAE41" s="536"/>
      <c r="KAF41" s="536"/>
      <c r="KAG41" s="536"/>
      <c r="KAH41" s="536"/>
      <c r="KAI41" s="536"/>
      <c r="KAJ41" s="536"/>
      <c r="KAK41" s="536"/>
      <c r="KAL41" s="536"/>
      <c r="KAM41" s="536"/>
      <c r="KAN41" s="536"/>
      <c r="KAO41" s="536"/>
      <c r="KAP41" s="536"/>
      <c r="KAQ41" s="536"/>
      <c r="KAR41" s="536"/>
      <c r="KAS41" s="536"/>
      <c r="KAT41" s="536"/>
      <c r="KAU41" s="536"/>
      <c r="KAV41" s="536"/>
      <c r="KAW41" s="536"/>
      <c r="KAX41" s="536"/>
      <c r="KAY41" s="536"/>
      <c r="KAZ41" s="536"/>
      <c r="KBA41" s="536"/>
      <c r="KBB41" s="536"/>
      <c r="KBC41" s="536"/>
      <c r="KBD41" s="536"/>
      <c r="KBE41" s="536"/>
      <c r="KBF41" s="536"/>
      <c r="KBG41" s="536"/>
      <c r="KBH41" s="536"/>
      <c r="KBI41" s="536"/>
      <c r="KBJ41" s="536"/>
      <c r="KBK41" s="536"/>
      <c r="KBL41" s="536"/>
      <c r="KBM41" s="536"/>
      <c r="KBN41" s="536"/>
      <c r="KBO41" s="536"/>
      <c r="KBP41" s="536"/>
      <c r="KBQ41" s="536"/>
      <c r="KBR41" s="536"/>
      <c r="KBS41" s="536"/>
      <c r="KBT41" s="536"/>
      <c r="KBU41" s="536"/>
      <c r="KBV41" s="536"/>
      <c r="KBW41" s="536"/>
      <c r="KBX41" s="536"/>
      <c r="KBY41" s="536"/>
      <c r="KBZ41" s="536"/>
      <c r="KCA41" s="536"/>
      <c r="KCB41" s="536"/>
      <c r="KCC41" s="536"/>
      <c r="KCD41" s="536"/>
      <c r="KCE41" s="536"/>
      <c r="KCF41" s="536"/>
      <c r="KCG41" s="536"/>
      <c r="KCH41" s="536"/>
      <c r="KCI41" s="536"/>
      <c r="KCJ41" s="536"/>
      <c r="KCK41" s="536"/>
      <c r="KCL41" s="536"/>
      <c r="KCM41" s="536"/>
      <c r="KCN41" s="536"/>
      <c r="KCO41" s="536"/>
      <c r="KCP41" s="536"/>
      <c r="KCQ41" s="536"/>
      <c r="KCR41" s="536"/>
      <c r="KCS41" s="536"/>
      <c r="KCT41" s="536"/>
      <c r="KCU41" s="536"/>
      <c r="KCV41" s="536"/>
      <c r="KCW41" s="536"/>
      <c r="KCX41" s="536"/>
      <c r="KCY41" s="536"/>
      <c r="KCZ41" s="536"/>
      <c r="KDA41" s="536"/>
      <c r="KDB41" s="536"/>
      <c r="KDC41" s="536"/>
      <c r="KDD41" s="536"/>
      <c r="KDE41" s="536"/>
      <c r="KDF41" s="536"/>
      <c r="KDG41" s="536"/>
      <c r="KDH41" s="536"/>
      <c r="KDI41" s="536"/>
      <c r="KDJ41" s="536"/>
      <c r="KDK41" s="536"/>
      <c r="KDL41" s="536"/>
      <c r="KDM41" s="536"/>
      <c r="KDN41" s="536"/>
      <c r="KDO41" s="536"/>
      <c r="KDP41" s="536"/>
      <c r="KDQ41" s="536"/>
      <c r="KDR41" s="536"/>
      <c r="KDS41" s="536"/>
      <c r="KDT41" s="536"/>
      <c r="KDU41" s="536"/>
      <c r="KDV41" s="536"/>
      <c r="KDW41" s="536"/>
      <c r="KDX41" s="536"/>
      <c r="KDY41" s="536"/>
      <c r="KDZ41" s="536"/>
      <c r="KEA41" s="536"/>
      <c r="KEB41" s="536"/>
      <c r="KEC41" s="536"/>
      <c r="KED41" s="536"/>
      <c r="KEE41" s="536"/>
      <c r="KEF41" s="536"/>
      <c r="KEG41" s="536"/>
      <c r="KEH41" s="536"/>
      <c r="KEI41" s="536"/>
      <c r="KEJ41" s="536"/>
      <c r="KEK41" s="536"/>
      <c r="KEL41" s="536"/>
      <c r="KEM41" s="536"/>
      <c r="KEN41" s="536"/>
      <c r="KEO41" s="536"/>
      <c r="KEP41" s="536"/>
      <c r="KEQ41" s="536"/>
      <c r="KER41" s="536"/>
      <c r="KES41" s="536"/>
      <c r="KET41" s="536"/>
      <c r="KEU41" s="536"/>
      <c r="KEV41" s="536"/>
      <c r="KEW41" s="536"/>
      <c r="KEX41" s="536"/>
      <c r="KEY41" s="536"/>
      <c r="KEZ41" s="536"/>
      <c r="KFA41" s="536"/>
      <c r="KFB41" s="536"/>
      <c r="KFC41" s="536"/>
      <c r="KFD41" s="536"/>
      <c r="KFE41" s="536"/>
      <c r="KFF41" s="536"/>
      <c r="KFG41" s="536"/>
      <c r="KFH41" s="536"/>
      <c r="KFI41" s="536"/>
      <c r="KFJ41" s="536"/>
      <c r="KFK41" s="536"/>
      <c r="KFL41" s="536"/>
      <c r="KFM41" s="536"/>
      <c r="KFN41" s="536"/>
      <c r="KFO41" s="536"/>
      <c r="KFP41" s="536"/>
      <c r="KFQ41" s="536"/>
      <c r="KFR41" s="536"/>
      <c r="KFS41" s="536"/>
      <c r="KFT41" s="536"/>
      <c r="KFU41" s="536"/>
      <c r="KFV41" s="536"/>
      <c r="KFW41" s="536"/>
      <c r="KFX41" s="536"/>
      <c r="KFY41" s="536"/>
      <c r="KFZ41" s="536"/>
      <c r="KGA41" s="536"/>
      <c r="KGB41" s="536"/>
      <c r="KGC41" s="536"/>
      <c r="KGD41" s="536"/>
      <c r="KGE41" s="536"/>
      <c r="KGF41" s="536"/>
      <c r="KGG41" s="536"/>
      <c r="KGH41" s="536"/>
      <c r="KGI41" s="536"/>
      <c r="KGJ41" s="536"/>
      <c r="KGK41" s="536"/>
      <c r="KGL41" s="536"/>
      <c r="KGM41" s="536"/>
      <c r="KGN41" s="536"/>
      <c r="KGO41" s="536"/>
      <c r="KGP41" s="536"/>
      <c r="KGQ41" s="536"/>
      <c r="KGR41" s="536"/>
      <c r="KGS41" s="536"/>
      <c r="KGT41" s="536"/>
      <c r="KGU41" s="536"/>
      <c r="KGV41" s="536"/>
      <c r="KGW41" s="536"/>
      <c r="KGX41" s="536"/>
      <c r="KGY41" s="536"/>
      <c r="KGZ41" s="536"/>
      <c r="KHA41" s="536"/>
      <c r="KHB41" s="536"/>
      <c r="KHC41" s="536"/>
      <c r="KHD41" s="536"/>
      <c r="KHE41" s="536"/>
      <c r="KHF41" s="536"/>
      <c r="KHG41" s="536"/>
      <c r="KHH41" s="536"/>
      <c r="KHI41" s="536"/>
      <c r="KHJ41" s="536"/>
      <c r="KHK41" s="536"/>
      <c r="KHL41" s="536"/>
      <c r="KHM41" s="536"/>
      <c r="KHN41" s="536"/>
      <c r="KHO41" s="536"/>
      <c r="KHP41" s="536"/>
      <c r="KHQ41" s="536"/>
      <c r="KHR41" s="536"/>
      <c r="KHS41" s="536"/>
      <c r="KHT41" s="536"/>
      <c r="KHU41" s="536"/>
      <c r="KHV41" s="536"/>
      <c r="KHW41" s="536"/>
      <c r="KHX41" s="536"/>
      <c r="KHY41" s="536"/>
      <c r="KHZ41" s="536"/>
      <c r="KIA41" s="536"/>
      <c r="KIB41" s="536"/>
      <c r="KIC41" s="536"/>
      <c r="KID41" s="536"/>
      <c r="KIE41" s="536"/>
      <c r="KIF41" s="536"/>
      <c r="KIG41" s="536"/>
      <c r="KIH41" s="536"/>
      <c r="KII41" s="536"/>
      <c r="KIJ41" s="536"/>
      <c r="KIK41" s="536"/>
      <c r="KIL41" s="536"/>
      <c r="KIM41" s="536"/>
      <c r="KIN41" s="536"/>
      <c r="KIO41" s="536"/>
      <c r="KIP41" s="536"/>
      <c r="KIQ41" s="536"/>
      <c r="KIR41" s="536"/>
      <c r="KIS41" s="536"/>
      <c r="KIT41" s="536"/>
      <c r="KIU41" s="536"/>
      <c r="KIV41" s="536"/>
      <c r="KIW41" s="536"/>
      <c r="KIX41" s="536"/>
      <c r="KIY41" s="536"/>
      <c r="KIZ41" s="536"/>
      <c r="KJA41" s="536"/>
      <c r="KJB41" s="536"/>
      <c r="KJC41" s="536"/>
      <c r="KJD41" s="536"/>
      <c r="KJE41" s="536"/>
      <c r="KJF41" s="536"/>
      <c r="KJG41" s="536"/>
      <c r="KJH41" s="536"/>
      <c r="KJI41" s="536"/>
      <c r="KJJ41" s="536"/>
      <c r="KJK41" s="536"/>
      <c r="KJL41" s="536"/>
      <c r="KJM41" s="536"/>
      <c r="KJN41" s="536"/>
      <c r="KJO41" s="536"/>
      <c r="KJP41" s="536"/>
      <c r="KJQ41" s="536"/>
      <c r="KJR41" s="536"/>
      <c r="KJS41" s="536"/>
      <c r="KJT41" s="536"/>
      <c r="KJU41" s="536"/>
      <c r="KJV41" s="536"/>
      <c r="KJW41" s="536"/>
      <c r="KJX41" s="536"/>
      <c r="KJY41" s="536"/>
      <c r="KJZ41" s="536"/>
      <c r="KKA41" s="536"/>
      <c r="KKB41" s="536"/>
      <c r="KKC41" s="536"/>
      <c r="KKD41" s="536"/>
      <c r="KKE41" s="536"/>
      <c r="KKF41" s="536"/>
      <c r="KKG41" s="536"/>
      <c r="KKH41" s="536"/>
      <c r="KKI41" s="536"/>
      <c r="KKJ41" s="536"/>
      <c r="KKK41" s="536"/>
      <c r="KKL41" s="536"/>
      <c r="KKM41" s="536"/>
      <c r="KKN41" s="536"/>
      <c r="KKO41" s="536"/>
      <c r="KKP41" s="536"/>
      <c r="KKQ41" s="536"/>
      <c r="KKR41" s="536"/>
      <c r="KKS41" s="536"/>
      <c r="KKT41" s="536"/>
      <c r="KKU41" s="536"/>
      <c r="KKV41" s="536"/>
      <c r="KKW41" s="536"/>
      <c r="KKX41" s="536"/>
      <c r="KKY41" s="536"/>
      <c r="KKZ41" s="536"/>
      <c r="KLA41" s="536"/>
      <c r="KLB41" s="536"/>
      <c r="KLC41" s="536"/>
      <c r="KLD41" s="536"/>
      <c r="KLE41" s="536"/>
      <c r="KLF41" s="536"/>
      <c r="KLG41" s="536"/>
      <c r="KLH41" s="536"/>
      <c r="KLI41" s="536"/>
      <c r="KLJ41" s="536"/>
      <c r="KLK41" s="536"/>
      <c r="KLL41" s="536"/>
      <c r="KLM41" s="536"/>
      <c r="KLN41" s="536"/>
      <c r="KLO41" s="536"/>
      <c r="KLP41" s="536"/>
      <c r="KLQ41" s="536"/>
      <c r="KLR41" s="536"/>
      <c r="KLS41" s="536"/>
      <c r="KLT41" s="536"/>
      <c r="KLU41" s="536"/>
      <c r="KLV41" s="536"/>
      <c r="KLW41" s="536"/>
      <c r="KLX41" s="536"/>
      <c r="KLY41" s="536"/>
      <c r="KLZ41" s="536"/>
      <c r="KMA41" s="536"/>
      <c r="KMB41" s="536"/>
      <c r="KMC41" s="536"/>
      <c r="KMD41" s="536"/>
      <c r="KME41" s="536"/>
      <c r="KMF41" s="536"/>
      <c r="KMG41" s="536"/>
      <c r="KMH41" s="536"/>
      <c r="KMI41" s="536"/>
      <c r="KMJ41" s="536"/>
      <c r="KMK41" s="536"/>
      <c r="KML41" s="536"/>
      <c r="KMM41" s="536"/>
      <c r="KMN41" s="536"/>
      <c r="KMO41" s="536"/>
      <c r="KMP41" s="536"/>
      <c r="KMQ41" s="536"/>
      <c r="KMR41" s="536"/>
      <c r="KMS41" s="536"/>
      <c r="KMT41" s="536"/>
      <c r="KMU41" s="536"/>
      <c r="KMV41" s="536"/>
      <c r="KMW41" s="536"/>
      <c r="KMX41" s="536"/>
      <c r="KMY41" s="536"/>
      <c r="KMZ41" s="536"/>
      <c r="KNA41" s="536"/>
      <c r="KNB41" s="536"/>
      <c r="KNC41" s="536"/>
      <c r="KND41" s="536"/>
      <c r="KNE41" s="536"/>
      <c r="KNF41" s="536"/>
      <c r="KNG41" s="536"/>
      <c r="KNH41" s="536"/>
      <c r="KNI41" s="536"/>
      <c r="KNJ41" s="536"/>
      <c r="KNK41" s="536"/>
      <c r="KNL41" s="536"/>
      <c r="KNM41" s="536"/>
      <c r="KNN41" s="536"/>
      <c r="KNO41" s="536"/>
      <c r="KNP41" s="536"/>
      <c r="KNQ41" s="536"/>
      <c r="KNR41" s="536"/>
      <c r="KNS41" s="536"/>
      <c r="KNT41" s="536"/>
      <c r="KNU41" s="536"/>
      <c r="KNV41" s="536"/>
      <c r="KNW41" s="536"/>
      <c r="KNX41" s="536"/>
      <c r="KNY41" s="536"/>
      <c r="KNZ41" s="536"/>
      <c r="KOA41" s="536"/>
      <c r="KOB41" s="536"/>
      <c r="KOC41" s="536"/>
      <c r="KOD41" s="536"/>
      <c r="KOE41" s="536"/>
      <c r="KOF41" s="536"/>
      <c r="KOG41" s="536"/>
      <c r="KOH41" s="536"/>
      <c r="KOI41" s="536"/>
      <c r="KOJ41" s="536"/>
      <c r="KOK41" s="536"/>
      <c r="KOL41" s="536"/>
      <c r="KOM41" s="536"/>
      <c r="KON41" s="536"/>
      <c r="KOO41" s="536"/>
      <c r="KOP41" s="536"/>
      <c r="KOQ41" s="536"/>
      <c r="KOR41" s="536"/>
      <c r="KOS41" s="536"/>
      <c r="KOT41" s="536"/>
      <c r="KOU41" s="536"/>
      <c r="KOV41" s="536"/>
      <c r="KOW41" s="536"/>
      <c r="KOX41" s="536"/>
      <c r="KOY41" s="536"/>
      <c r="KOZ41" s="536"/>
      <c r="KPA41" s="536"/>
      <c r="KPB41" s="536"/>
      <c r="KPC41" s="536"/>
      <c r="KPD41" s="536"/>
      <c r="KPE41" s="536"/>
      <c r="KPF41" s="536"/>
      <c r="KPG41" s="536"/>
      <c r="KPH41" s="536"/>
      <c r="KPI41" s="536"/>
      <c r="KPJ41" s="536"/>
      <c r="KPK41" s="536"/>
      <c r="KPL41" s="536"/>
      <c r="KPM41" s="536"/>
      <c r="KPN41" s="536"/>
      <c r="KPO41" s="536"/>
      <c r="KPP41" s="536"/>
      <c r="KPQ41" s="536"/>
      <c r="KPR41" s="536"/>
      <c r="KPS41" s="536"/>
      <c r="KPT41" s="536"/>
      <c r="KPU41" s="536"/>
      <c r="KPV41" s="536"/>
      <c r="KPW41" s="536"/>
      <c r="KPX41" s="536"/>
      <c r="KPY41" s="536"/>
      <c r="KPZ41" s="536"/>
      <c r="KQA41" s="536"/>
      <c r="KQB41" s="536"/>
      <c r="KQC41" s="536"/>
      <c r="KQD41" s="536"/>
      <c r="KQE41" s="536"/>
      <c r="KQF41" s="536"/>
      <c r="KQG41" s="536"/>
      <c r="KQH41" s="536"/>
      <c r="KQI41" s="536"/>
      <c r="KQJ41" s="536"/>
      <c r="KQK41" s="536"/>
      <c r="KQL41" s="536"/>
      <c r="KQM41" s="536"/>
      <c r="KQN41" s="536"/>
      <c r="KQO41" s="536"/>
      <c r="KQP41" s="536"/>
      <c r="KQQ41" s="536"/>
      <c r="KQR41" s="536"/>
      <c r="KQS41" s="536"/>
      <c r="KQT41" s="536"/>
      <c r="KQU41" s="536"/>
      <c r="KQV41" s="536"/>
      <c r="KQW41" s="536"/>
      <c r="KQX41" s="536"/>
      <c r="KQY41" s="536"/>
      <c r="KQZ41" s="536"/>
      <c r="KRA41" s="536"/>
      <c r="KRB41" s="536"/>
      <c r="KRC41" s="536"/>
      <c r="KRD41" s="536"/>
      <c r="KRE41" s="536"/>
      <c r="KRF41" s="536"/>
      <c r="KRG41" s="536"/>
      <c r="KRH41" s="536"/>
      <c r="KRI41" s="536"/>
      <c r="KRJ41" s="536"/>
      <c r="KRK41" s="536"/>
      <c r="KRL41" s="536"/>
      <c r="KRM41" s="536"/>
      <c r="KRN41" s="536"/>
      <c r="KRO41" s="536"/>
      <c r="KRP41" s="536"/>
      <c r="KRQ41" s="536"/>
      <c r="KRR41" s="536"/>
      <c r="KRS41" s="536"/>
      <c r="KRT41" s="536"/>
      <c r="KRU41" s="536"/>
      <c r="KRV41" s="536"/>
      <c r="KRW41" s="536"/>
      <c r="KRX41" s="536"/>
      <c r="KRY41" s="536"/>
      <c r="KRZ41" s="536"/>
      <c r="KSA41" s="536"/>
      <c r="KSB41" s="536"/>
      <c r="KSC41" s="536"/>
      <c r="KSD41" s="536"/>
      <c r="KSE41" s="536"/>
      <c r="KSF41" s="536"/>
      <c r="KSG41" s="536"/>
      <c r="KSH41" s="536"/>
      <c r="KSI41" s="536"/>
      <c r="KSJ41" s="536"/>
      <c r="KSK41" s="536"/>
      <c r="KSL41" s="536"/>
      <c r="KSM41" s="536"/>
      <c r="KSN41" s="536"/>
      <c r="KSO41" s="536"/>
      <c r="KSP41" s="536"/>
      <c r="KSQ41" s="536"/>
      <c r="KSR41" s="536"/>
      <c r="KSS41" s="536"/>
      <c r="KST41" s="536"/>
      <c r="KSU41" s="536"/>
      <c r="KSV41" s="536"/>
      <c r="KSW41" s="536"/>
      <c r="KSX41" s="536"/>
      <c r="KSY41" s="536"/>
      <c r="KSZ41" s="536"/>
      <c r="KTA41" s="536"/>
      <c r="KTB41" s="536"/>
      <c r="KTC41" s="536"/>
      <c r="KTD41" s="536"/>
      <c r="KTE41" s="536"/>
      <c r="KTF41" s="536"/>
      <c r="KTG41" s="536"/>
      <c r="KTH41" s="536"/>
      <c r="KTI41" s="536"/>
      <c r="KTJ41" s="536"/>
      <c r="KTK41" s="536"/>
      <c r="KTL41" s="536"/>
      <c r="KTM41" s="536"/>
      <c r="KTN41" s="536"/>
      <c r="KTO41" s="536"/>
      <c r="KTP41" s="536"/>
      <c r="KTQ41" s="536"/>
      <c r="KTR41" s="536"/>
      <c r="KTS41" s="536"/>
      <c r="KTT41" s="536"/>
      <c r="KTU41" s="536"/>
      <c r="KTV41" s="536"/>
      <c r="KTW41" s="536"/>
      <c r="KTX41" s="536"/>
      <c r="KTY41" s="536"/>
      <c r="KTZ41" s="536"/>
      <c r="KUA41" s="536"/>
      <c r="KUB41" s="536"/>
      <c r="KUC41" s="536"/>
      <c r="KUD41" s="536"/>
      <c r="KUE41" s="536"/>
      <c r="KUF41" s="536"/>
      <c r="KUG41" s="536"/>
      <c r="KUH41" s="536"/>
      <c r="KUI41" s="536"/>
      <c r="KUJ41" s="536"/>
      <c r="KUK41" s="536"/>
      <c r="KUL41" s="536"/>
      <c r="KUM41" s="536"/>
      <c r="KUN41" s="536"/>
      <c r="KUO41" s="536"/>
      <c r="KUP41" s="536"/>
      <c r="KUQ41" s="536"/>
      <c r="KUR41" s="536"/>
      <c r="KUS41" s="536"/>
      <c r="KUT41" s="536"/>
      <c r="KUU41" s="536"/>
      <c r="KUV41" s="536"/>
      <c r="KUW41" s="536"/>
      <c r="KUX41" s="536"/>
      <c r="KUY41" s="536"/>
      <c r="KUZ41" s="536"/>
      <c r="KVA41" s="536"/>
      <c r="KVB41" s="536"/>
      <c r="KVC41" s="536"/>
      <c r="KVD41" s="536"/>
      <c r="KVE41" s="536"/>
      <c r="KVF41" s="536"/>
      <c r="KVG41" s="536"/>
      <c r="KVH41" s="536"/>
      <c r="KVI41" s="536"/>
      <c r="KVJ41" s="536"/>
      <c r="KVK41" s="536"/>
      <c r="KVL41" s="536"/>
      <c r="KVM41" s="536"/>
      <c r="KVN41" s="536"/>
      <c r="KVO41" s="536"/>
      <c r="KVP41" s="536"/>
      <c r="KVQ41" s="536"/>
      <c r="KVR41" s="536"/>
      <c r="KVS41" s="536"/>
      <c r="KVT41" s="536"/>
      <c r="KVU41" s="536"/>
      <c r="KVV41" s="536"/>
      <c r="KVW41" s="536"/>
      <c r="KVX41" s="536"/>
      <c r="KVY41" s="536"/>
      <c r="KVZ41" s="536"/>
      <c r="KWA41" s="536"/>
      <c r="KWB41" s="536"/>
      <c r="KWC41" s="536"/>
      <c r="KWD41" s="536"/>
      <c r="KWE41" s="536"/>
      <c r="KWF41" s="536"/>
      <c r="KWG41" s="536"/>
      <c r="KWH41" s="536"/>
      <c r="KWI41" s="536"/>
      <c r="KWJ41" s="536"/>
      <c r="KWK41" s="536"/>
      <c r="KWL41" s="536"/>
      <c r="KWM41" s="536"/>
      <c r="KWN41" s="536"/>
      <c r="KWO41" s="536"/>
      <c r="KWP41" s="536"/>
      <c r="KWQ41" s="536"/>
      <c r="KWR41" s="536"/>
      <c r="KWS41" s="536"/>
      <c r="KWT41" s="536"/>
      <c r="KWU41" s="536"/>
      <c r="KWV41" s="536"/>
      <c r="KWW41" s="536"/>
      <c r="KWX41" s="536"/>
      <c r="KWY41" s="536"/>
      <c r="KWZ41" s="536"/>
      <c r="KXA41" s="536"/>
      <c r="KXB41" s="536"/>
      <c r="KXC41" s="536"/>
      <c r="KXD41" s="536"/>
      <c r="KXE41" s="536"/>
      <c r="KXF41" s="536"/>
      <c r="KXG41" s="536"/>
      <c r="KXH41" s="536"/>
      <c r="KXI41" s="536"/>
      <c r="KXJ41" s="536"/>
      <c r="KXK41" s="536"/>
      <c r="KXL41" s="536"/>
      <c r="KXM41" s="536"/>
      <c r="KXN41" s="536"/>
      <c r="KXO41" s="536"/>
      <c r="KXP41" s="536"/>
      <c r="KXQ41" s="536"/>
      <c r="KXR41" s="536"/>
      <c r="KXS41" s="536"/>
      <c r="KXT41" s="536"/>
      <c r="KXU41" s="536"/>
      <c r="KXV41" s="536"/>
      <c r="KXW41" s="536"/>
      <c r="KXX41" s="536"/>
      <c r="KXY41" s="536"/>
      <c r="KXZ41" s="536"/>
      <c r="KYA41" s="536"/>
      <c r="KYB41" s="536"/>
      <c r="KYC41" s="536"/>
      <c r="KYD41" s="536"/>
      <c r="KYE41" s="536"/>
      <c r="KYF41" s="536"/>
      <c r="KYG41" s="536"/>
      <c r="KYH41" s="536"/>
      <c r="KYI41" s="536"/>
      <c r="KYJ41" s="536"/>
      <c r="KYK41" s="536"/>
      <c r="KYL41" s="536"/>
      <c r="KYM41" s="536"/>
      <c r="KYN41" s="536"/>
      <c r="KYO41" s="536"/>
      <c r="KYP41" s="536"/>
      <c r="KYQ41" s="536"/>
      <c r="KYR41" s="536"/>
      <c r="KYS41" s="536"/>
      <c r="KYT41" s="536"/>
      <c r="KYU41" s="536"/>
      <c r="KYV41" s="536"/>
      <c r="KYW41" s="536"/>
      <c r="KYX41" s="536"/>
      <c r="KYY41" s="536"/>
      <c r="KYZ41" s="536"/>
      <c r="KZA41" s="536"/>
      <c r="KZB41" s="536"/>
      <c r="KZC41" s="536"/>
      <c r="KZD41" s="536"/>
      <c r="KZE41" s="536"/>
      <c r="KZF41" s="536"/>
      <c r="KZG41" s="536"/>
      <c r="KZH41" s="536"/>
      <c r="KZI41" s="536"/>
      <c r="KZJ41" s="536"/>
      <c r="KZK41" s="536"/>
      <c r="KZL41" s="536"/>
      <c r="KZM41" s="536"/>
      <c r="KZN41" s="536"/>
      <c r="KZO41" s="536"/>
      <c r="KZP41" s="536"/>
      <c r="KZQ41" s="536"/>
      <c r="KZR41" s="536"/>
      <c r="KZS41" s="536"/>
      <c r="KZT41" s="536"/>
      <c r="KZU41" s="536"/>
      <c r="KZV41" s="536"/>
      <c r="KZW41" s="536"/>
      <c r="KZX41" s="536"/>
      <c r="KZY41" s="536"/>
      <c r="KZZ41" s="536"/>
      <c r="LAA41" s="536"/>
      <c r="LAB41" s="536"/>
      <c r="LAC41" s="536"/>
      <c r="LAD41" s="536"/>
      <c r="LAE41" s="536"/>
      <c r="LAF41" s="536"/>
      <c r="LAG41" s="536"/>
      <c r="LAH41" s="536"/>
      <c r="LAI41" s="536"/>
      <c r="LAJ41" s="536"/>
      <c r="LAK41" s="536"/>
      <c r="LAL41" s="536"/>
      <c r="LAM41" s="536"/>
      <c r="LAN41" s="536"/>
      <c r="LAO41" s="536"/>
      <c r="LAP41" s="536"/>
      <c r="LAQ41" s="536"/>
      <c r="LAR41" s="536"/>
      <c r="LAS41" s="536"/>
      <c r="LAT41" s="536"/>
      <c r="LAU41" s="536"/>
      <c r="LAV41" s="536"/>
      <c r="LAW41" s="536"/>
      <c r="LAX41" s="536"/>
      <c r="LAY41" s="536"/>
      <c r="LAZ41" s="536"/>
      <c r="LBA41" s="536"/>
      <c r="LBB41" s="536"/>
      <c r="LBC41" s="536"/>
      <c r="LBD41" s="536"/>
      <c r="LBE41" s="536"/>
      <c r="LBF41" s="536"/>
      <c r="LBG41" s="536"/>
      <c r="LBH41" s="536"/>
      <c r="LBI41" s="536"/>
      <c r="LBJ41" s="536"/>
      <c r="LBK41" s="536"/>
      <c r="LBL41" s="536"/>
      <c r="LBM41" s="536"/>
      <c r="LBN41" s="536"/>
      <c r="LBO41" s="536"/>
      <c r="LBP41" s="536"/>
      <c r="LBQ41" s="536"/>
      <c r="LBR41" s="536"/>
      <c r="LBS41" s="536"/>
      <c r="LBT41" s="536"/>
      <c r="LBU41" s="536"/>
      <c r="LBV41" s="536"/>
      <c r="LBW41" s="536"/>
      <c r="LBX41" s="536"/>
      <c r="LBY41" s="536"/>
      <c r="LBZ41" s="536"/>
      <c r="LCA41" s="536"/>
      <c r="LCB41" s="536"/>
      <c r="LCC41" s="536"/>
      <c r="LCD41" s="536"/>
      <c r="LCE41" s="536"/>
      <c r="LCF41" s="536"/>
      <c r="LCG41" s="536"/>
      <c r="LCH41" s="536"/>
      <c r="LCI41" s="536"/>
      <c r="LCJ41" s="536"/>
      <c r="LCK41" s="536"/>
      <c r="LCL41" s="536"/>
      <c r="LCM41" s="536"/>
      <c r="LCN41" s="536"/>
      <c r="LCO41" s="536"/>
      <c r="LCP41" s="536"/>
      <c r="LCQ41" s="536"/>
      <c r="LCR41" s="536"/>
      <c r="LCS41" s="536"/>
      <c r="LCT41" s="536"/>
      <c r="LCU41" s="536"/>
      <c r="LCV41" s="536"/>
      <c r="LCW41" s="536"/>
      <c r="LCX41" s="536"/>
      <c r="LCY41" s="536"/>
      <c r="LCZ41" s="536"/>
      <c r="LDA41" s="536"/>
      <c r="LDB41" s="536"/>
      <c r="LDC41" s="536"/>
      <c r="LDD41" s="536"/>
      <c r="LDE41" s="536"/>
      <c r="LDF41" s="536"/>
      <c r="LDG41" s="536"/>
      <c r="LDH41" s="536"/>
      <c r="LDI41" s="536"/>
      <c r="LDJ41" s="536"/>
      <c r="LDK41" s="536"/>
      <c r="LDL41" s="536"/>
      <c r="LDM41" s="536"/>
      <c r="LDN41" s="536"/>
      <c r="LDO41" s="536"/>
      <c r="LDP41" s="536"/>
      <c r="LDQ41" s="536"/>
      <c r="LDR41" s="536"/>
      <c r="LDS41" s="536"/>
      <c r="LDT41" s="536"/>
      <c r="LDU41" s="536"/>
      <c r="LDV41" s="536"/>
      <c r="LDW41" s="536"/>
      <c r="LDX41" s="536"/>
      <c r="LDY41" s="536"/>
      <c r="LDZ41" s="536"/>
      <c r="LEA41" s="536"/>
      <c r="LEB41" s="536"/>
      <c r="LEC41" s="536"/>
      <c r="LED41" s="536"/>
      <c r="LEE41" s="536"/>
      <c r="LEF41" s="536"/>
      <c r="LEG41" s="536"/>
      <c r="LEH41" s="536"/>
      <c r="LEI41" s="536"/>
      <c r="LEJ41" s="536"/>
      <c r="LEK41" s="536"/>
      <c r="LEL41" s="536"/>
      <c r="LEM41" s="536"/>
      <c r="LEN41" s="536"/>
      <c r="LEO41" s="536"/>
      <c r="LEP41" s="536"/>
      <c r="LEQ41" s="536"/>
      <c r="LER41" s="536"/>
      <c r="LES41" s="536"/>
      <c r="LET41" s="536"/>
      <c r="LEU41" s="536"/>
      <c r="LEV41" s="536"/>
      <c r="LEW41" s="536"/>
      <c r="LEX41" s="536"/>
      <c r="LEY41" s="536"/>
      <c r="LEZ41" s="536"/>
      <c r="LFA41" s="536"/>
      <c r="LFB41" s="536"/>
      <c r="LFC41" s="536"/>
      <c r="LFD41" s="536"/>
      <c r="LFE41" s="536"/>
      <c r="LFF41" s="536"/>
      <c r="LFG41" s="536"/>
      <c r="LFH41" s="536"/>
      <c r="LFI41" s="536"/>
      <c r="LFJ41" s="536"/>
      <c r="LFK41" s="536"/>
      <c r="LFL41" s="536"/>
      <c r="LFM41" s="536"/>
      <c r="LFN41" s="536"/>
      <c r="LFO41" s="536"/>
      <c r="LFP41" s="536"/>
      <c r="LFQ41" s="536"/>
      <c r="LFR41" s="536"/>
      <c r="LFS41" s="536"/>
      <c r="LFT41" s="536"/>
      <c r="LFU41" s="536"/>
      <c r="LFV41" s="536"/>
      <c r="LFW41" s="536"/>
      <c r="LFX41" s="536"/>
      <c r="LFY41" s="536"/>
      <c r="LFZ41" s="536"/>
      <c r="LGA41" s="536"/>
      <c r="LGB41" s="536"/>
      <c r="LGC41" s="536"/>
      <c r="LGD41" s="536"/>
      <c r="LGE41" s="536"/>
      <c r="LGF41" s="536"/>
      <c r="LGG41" s="536"/>
      <c r="LGH41" s="536"/>
      <c r="LGI41" s="536"/>
      <c r="LGJ41" s="536"/>
      <c r="LGK41" s="536"/>
      <c r="LGL41" s="536"/>
      <c r="LGM41" s="536"/>
      <c r="LGN41" s="536"/>
      <c r="LGO41" s="536"/>
      <c r="LGP41" s="536"/>
      <c r="LGQ41" s="536"/>
      <c r="LGR41" s="536"/>
      <c r="LGS41" s="536"/>
      <c r="LGT41" s="536"/>
      <c r="LGU41" s="536"/>
      <c r="LGV41" s="536"/>
      <c r="LGW41" s="536"/>
      <c r="LGX41" s="536"/>
      <c r="LGY41" s="536"/>
      <c r="LGZ41" s="536"/>
      <c r="LHA41" s="536"/>
      <c r="LHB41" s="536"/>
      <c r="LHC41" s="536"/>
      <c r="LHD41" s="536"/>
      <c r="LHE41" s="536"/>
      <c r="LHF41" s="536"/>
      <c r="LHG41" s="536"/>
      <c r="LHH41" s="536"/>
      <c r="LHI41" s="536"/>
      <c r="LHJ41" s="536"/>
      <c r="LHK41" s="536"/>
      <c r="LHL41" s="536"/>
      <c r="LHM41" s="536"/>
      <c r="LHN41" s="536"/>
      <c r="LHO41" s="536"/>
      <c r="LHP41" s="536"/>
      <c r="LHQ41" s="536"/>
      <c r="LHR41" s="536"/>
      <c r="LHS41" s="536"/>
      <c r="LHT41" s="536"/>
      <c r="LHU41" s="536"/>
      <c r="LHV41" s="536"/>
      <c r="LHW41" s="536"/>
      <c r="LHX41" s="536"/>
      <c r="LHY41" s="536"/>
      <c r="LHZ41" s="536"/>
      <c r="LIA41" s="536"/>
      <c r="LIB41" s="536"/>
      <c r="LIC41" s="536"/>
      <c r="LID41" s="536"/>
      <c r="LIE41" s="536"/>
      <c r="LIF41" s="536"/>
      <c r="LIG41" s="536"/>
      <c r="LIH41" s="536"/>
      <c r="LII41" s="536"/>
      <c r="LIJ41" s="536"/>
      <c r="LIK41" s="536"/>
      <c r="LIL41" s="536"/>
      <c r="LIM41" s="536"/>
      <c r="LIN41" s="536"/>
      <c r="LIO41" s="536"/>
      <c r="LIP41" s="536"/>
      <c r="LIQ41" s="536"/>
      <c r="LIR41" s="536"/>
      <c r="LIS41" s="536"/>
      <c r="LIT41" s="536"/>
      <c r="LIU41" s="536"/>
      <c r="LIV41" s="536"/>
      <c r="LIW41" s="536"/>
      <c r="LIX41" s="536"/>
      <c r="LIY41" s="536"/>
      <c r="LIZ41" s="536"/>
      <c r="LJA41" s="536"/>
      <c r="LJB41" s="536"/>
      <c r="LJC41" s="536"/>
      <c r="LJD41" s="536"/>
      <c r="LJE41" s="536"/>
      <c r="LJF41" s="536"/>
      <c r="LJG41" s="536"/>
      <c r="LJH41" s="536"/>
      <c r="LJI41" s="536"/>
      <c r="LJJ41" s="536"/>
      <c r="LJK41" s="536"/>
      <c r="LJL41" s="536"/>
      <c r="LJM41" s="536"/>
      <c r="LJN41" s="536"/>
      <c r="LJO41" s="536"/>
      <c r="LJP41" s="536"/>
      <c r="LJQ41" s="536"/>
      <c r="LJR41" s="536"/>
      <c r="LJS41" s="536"/>
      <c r="LJT41" s="536"/>
      <c r="LJU41" s="536"/>
      <c r="LJV41" s="536"/>
      <c r="LJW41" s="536"/>
      <c r="LJX41" s="536"/>
      <c r="LJY41" s="536"/>
      <c r="LJZ41" s="536"/>
      <c r="LKA41" s="536"/>
      <c r="LKB41" s="536"/>
      <c r="LKC41" s="536"/>
      <c r="LKD41" s="536"/>
      <c r="LKE41" s="536"/>
      <c r="LKF41" s="536"/>
      <c r="LKG41" s="536"/>
      <c r="LKH41" s="536"/>
      <c r="LKI41" s="536"/>
      <c r="LKJ41" s="536"/>
      <c r="LKK41" s="536"/>
      <c r="LKL41" s="536"/>
      <c r="LKM41" s="536"/>
      <c r="LKN41" s="536"/>
      <c r="LKO41" s="536"/>
      <c r="LKP41" s="536"/>
      <c r="LKQ41" s="536"/>
      <c r="LKR41" s="536"/>
      <c r="LKS41" s="536"/>
      <c r="LKT41" s="536"/>
      <c r="LKU41" s="536"/>
      <c r="LKV41" s="536"/>
      <c r="LKW41" s="536"/>
      <c r="LKX41" s="536"/>
      <c r="LKY41" s="536"/>
      <c r="LKZ41" s="536"/>
      <c r="LLA41" s="536"/>
      <c r="LLB41" s="536"/>
      <c r="LLC41" s="536"/>
      <c r="LLD41" s="536"/>
      <c r="LLE41" s="536"/>
      <c r="LLF41" s="536"/>
      <c r="LLG41" s="536"/>
      <c r="LLH41" s="536"/>
      <c r="LLI41" s="536"/>
      <c r="LLJ41" s="536"/>
      <c r="LLK41" s="536"/>
      <c r="LLL41" s="536"/>
      <c r="LLM41" s="536"/>
      <c r="LLN41" s="536"/>
      <c r="LLO41" s="536"/>
      <c r="LLP41" s="536"/>
      <c r="LLQ41" s="536"/>
      <c r="LLR41" s="536"/>
      <c r="LLS41" s="536"/>
      <c r="LLT41" s="536"/>
      <c r="LLU41" s="536"/>
      <c r="LLV41" s="536"/>
      <c r="LLW41" s="536"/>
      <c r="LLX41" s="536"/>
      <c r="LLY41" s="536"/>
      <c r="LLZ41" s="536"/>
      <c r="LMA41" s="536"/>
      <c r="LMB41" s="536"/>
      <c r="LMC41" s="536"/>
      <c r="LMD41" s="536"/>
      <c r="LME41" s="536"/>
      <c r="LMF41" s="536"/>
      <c r="LMG41" s="536"/>
      <c r="LMH41" s="536"/>
      <c r="LMI41" s="536"/>
      <c r="LMJ41" s="536"/>
      <c r="LMK41" s="536"/>
      <c r="LML41" s="536"/>
      <c r="LMM41" s="536"/>
      <c r="LMN41" s="536"/>
      <c r="LMO41" s="536"/>
      <c r="LMP41" s="536"/>
      <c r="LMQ41" s="536"/>
      <c r="LMR41" s="536"/>
      <c r="LMS41" s="536"/>
      <c r="LMT41" s="536"/>
      <c r="LMU41" s="536"/>
      <c r="LMV41" s="536"/>
      <c r="LMW41" s="536"/>
      <c r="LMX41" s="536"/>
      <c r="LMY41" s="536"/>
      <c r="LMZ41" s="536"/>
      <c r="LNA41" s="536"/>
      <c r="LNB41" s="536"/>
      <c r="LNC41" s="536"/>
      <c r="LND41" s="536"/>
      <c r="LNE41" s="536"/>
      <c r="LNF41" s="536"/>
      <c r="LNG41" s="536"/>
      <c r="LNH41" s="536"/>
      <c r="LNI41" s="536"/>
      <c r="LNJ41" s="536"/>
      <c r="LNK41" s="536"/>
      <c r="LNL41" s="536"/>
      <c r="LNM41" s="536"/>
      <c r="LNN41" s="536"/>
      <c r="LNO41" s="536"/>
      <c r="LNP41" s="536"/>
      <c r="LNQ41" s="536"/>
      <c r="LNR41" s="536"/>
      <c r="LNS41" s="536"/>
      <c r="LNT41" s="536"/>
      <c r="LNU41" s="536"/>
      <c r="LNV41" s="536"/>
      <c r="LNW41" s="536"/>
      <c r="LNX41" s="536"/>
      <c r="LNY41" s="536"/>
      <c r="LNZ41" s="536"/>
      <c r="LOA41" s="536"/>
      <c r="LOB41" s="536"/>
      <c r="LOC41" s="536"/>
      <c r="LOD41" s="536"/>
      <c r="LOE41" s="536"/>
      <c r="LOF41" s="536"/>
      <c r="LOG41" s="536"/>
      <c r="LOH41" s="536"/>
      <c r="LOI41" s="536"/>
      <c r="LOJ41" s="536"/>
      <c r="LOK41" s="536"/>
      <c r="LOL41" s="536"/>
      <c r="LOM41" s="536"/>
      <c r="LON41" s="536"/>
      <c r="LOO41" s="536"/>
      <c r="LOP41" s="536"/>
      <c r="LOQ41" s="536"/>
      <c r="LOR41" s="536"/>
      <c r="LOS41" s="536"/>
      <c r="LOT41" s="536"/>
      <c r="LOU41" s="536"/>
      <c r="LOV41" s="536"/>
      <c r="LOW41" s="536"/>
      <c r="LOX41" s="536"/>
      <c r="LOY41" s="536"/>
      <c r="LOZ41" s="536"/>
      <c r="LPA41" s="536"/>
      <c r="LPB41" s="536"/>
      <c r="LPC41" s="536"/>
      <c r="LPD41" s="536"/>
      <c r="LPE41" s="536"/>
      <c r="LPF41" s="536"/>
      <c r="LPG41" s="536"/>
      <c r="LPH41" s="536"/>
      <c r="LPI41" s="536"/>
      <c r="LPJ41" s="536"/>
      <c r="LPK41" s="536"/>
      <c r="LPL41" s="536"/>
      <c r="LPM41" s="536"/>
      <c r="LPN41" s="536"/>
      <c r="LPO41" s="536"/>
      <c r="LPP41" s="536"/>
      <c r="LPQ41" s="536"/>
      <c r="LPR41" s="536"/>
      <c r="LPS41" s="536"/>
      <c r="LPT41" s="536"/>
      <c r="LPU41" s="536"/>
      <c r="LPV41" s="536"/>
      <c r="LPW41" s="536"/>
      <c r="LPX41" s="536"/>
      <c r="LPY41" s="536"/>
      <c r="LPZ41" s="536"/>
      <c r="LQA41" s="536"/>
      <c r="LQB41" s="536"/>
      <c r="LQC41" s="536"/>
      <c r="LQD41" s="536"/>
      <c r="LQE41" s="536"/>
      <c r="LQF41" s="536"/>
      <c r="LQG41" s="536"/>
      <c r="LQH41" s="536"/>
      <c r="LQI41" s="536"/>
      <c r="LQJ41" s="536"/>
      <c r="LQK41" s="536"/>
      <c r="LQL41" s="536"/>
      <c r="LQM41" s="536"/>
      <c r="LQN41" s="536"/>
      <c r="LQO41" s="536"/>
      <c r="LQP41" s="536"/>
      <c r="LQQ41" s="536"/>
      <c r="LQR41" s="536"/>
      <c r="LQS41" s="536"/>
      <c r="LQT41" s="536"/>
      <c r="LQU41" s="536"/>
      <c r="LQV41" s="536"/>
      <c r="LQW41" s="536"/>
      <c r="LQX41" s="536"/>
      <c r="LQY41" s="536"/>
      <c r="LQZ41" s="536"/>
      <c r="LRA41" s="536"/>
      <c r="LRB41" s="536"/>
      <c r="LRC41" s="536"/>
      <c r="LRD41" s="536"/>
      <c r="LRE41" s="536"/>
      <c r="LRF41" s="536"/>
      <c r="LRG41" s="536"/>
      <c r="LRH41" s="536"/>
      <c r="LRI41" s="536"/>
      <c r="LRJ41" s="536"/>
      <c r="LRK41" s="536"/>
      <c r="LRL41" s="536"/>
      <c r="LRM41" s="536"/>
      <c r="LRN41" s="536"/>
      <c r="LRO41" s="536"/>
      <c r="LRP41" s="536"/>
      <c r="LRQ41" s="536"/>
      <c r="LRR41" s="536"/>
      <c r="LRS41" s="536"/>
      <c r="LRT41" s="536"/>
      <c r="LRU41" s="536"/>
      <c r="LRV41" s="536"/>
      <c r="LRW41" s="536"/>
      <c r="LRX41" s="536"/>
      <c r="LRY41" s="536"/>
      <c r="LRZ41" s="536"/>
      <c r="LSA41" s="536"/>
      <c r="LSB41" s="536"/>
      <c r="LSC41" s="536"/>
      <c r="LSD41" s="536"/>
      <c r="LSE41" s="536"/>
      <c r="LSF41" s="536"/>
      <c r="LSG41" s="536"/>
      <c r="LSH41" s="536"/>
      <c r="LSI41" s="536"/>
      <c r="LSJ41" s="536"/>
      <c r="LSK41" s="536"/>
      <c r="LSL41" s="536"/>
      <c r="LSM41" s="536"/>
      <c r="LSN41" s="536"/>
      <c r="LSO41" s="536"/>
      <c r="LSP41" s="536"/>
      <c r="LSQ41" s="536"/>
      <c r="LSR41" s="536"/>
      <c r="LSS41" s="536"/>
      <c r="LST41" s="536"/>
      <c r="LSU41" s="536"/>
      <c r="LSV41" s="536"/>
      <c r="LSW41" s="536"/>
      <c r="LSX41" s="536"/>
      <c r="LSY41" s="536"/>
      <c r="LSZ41" s="536"/>
      <c r="LTA41" s="536"/>
      <c r="LTB41" s="536"/>
      <c r="LTC41" s="536"/>
      <c r="LTD41" s="536"/>
      <c r="LTE41" s="536"/>
      <c r="LTF41" s="536"/>
      <c r="LTG41" s="536"/>
      <c r="LTH41" s="536"/>
      <c r="LTI41" s="536"/>
      <c r="LTJ41" s="536"/>
      <c r="LTK41" s="536"/>
      <c r="LTL41" s="536"/>
      <c r="LTM41" s="536"/>
      <c r="LTN41" s="536"/>
      <c r="LTO41" s="536"/>
      <c r="LTP41" s="536"/>
      <c r="LTQ41" s="536"/>
      <c r="LTR41" s="536"/>
      <c r="LTS41" s="536"/>
      <c r="LTT41" s="536"/>
      <c r="LTU41" s="536"/>
      <c r="LTV41" s="536"/>
      <c r="LTW41" s="536"/>
      <c r="LTX41" s="536"/>
      <c r="LTY41" s="536"/>
      <c r="LTZ41" s="536"/>
      <c r="LUA41" s="536"/>
      <c r="LUB41" s="536"/>
      <c r="LUC41" s="536"/>
      <c r="LUD41" s="536"/>
      <c r="LUE41" s="536"/>
      <c r="LUF41" s="536"/>
      <c r="LUG41" s="536"/>
      <c r="LUH41" s="536"/>
      <c r="LUI41" s="536"/>
      <c r="LUJ41" s="536"/>
      <c r="LUK41" s="536"/>
      <c r="LUL41" s="536"/>
      <c r="LUM41" s="536"/>
      <c r="LUN41" s="536"/>
      <c r="LUO41" s="536"/>
      <c r="LUP41" s="536"/>
      <c r="LUQ41" s="536"/>
      <c r="LUR41" s="536"/>
      <c r="LUS41" s="536"/>
      <c r="LUT41" s="536"/>
      <c r="LUU41" s="536"/>
      <c r="LUV41" s="536"/>
      <c r="LUW41" s="536"/>
      <c r="LUX41" s="536"/>
      <c r="LUY41" s="536"/>
      <c r="LUZ41" s="536"/>
      <c r="LVA41" s="536"/>
      <c r="LVB41" s="536"/>
      <c r="LVC41" s="536"/>
      <c r="LVD41" s="536"/>
      <c r="LVE41" s="536"/>
      <c r="LVF41" s="536"/>
      <c r="LVG41" s="536"/>
      <c r="LVH41" s="536"/>
      <c r="LVI41" s="536"/>
      <c r="LVJ41" s="536"/>
      <c r="LVK41" s="536"/>
      <c r="LVL41" s="536"/>
      <c r="LVM41" s="536"/>
      <c r="LVN41" s="536"/>
      <c r="LVO41" s="536"/>
      <c r="LVP41" s="536"/>
      <c r="LVQ41" s="536"/>
      <c r="LVR41" s="536"/>
      <c r="LVS41" s="536"/>
      <c r="LVT41" s="536"/>
      <c r="LVU41" s="536"/>
      <c r="LVV41" s="536"/>
      <c r="LVW41" s="536"/>
      <c r="LVX41" s="536"/>
      <c r="LVY41" s="536"/>
      <c r="LVZ41" s="536"/>
      <c r="LWA41" s="536"/>
      <c r="LWB41" s="536"/>
      <c r="LWC41" s="536"/>
      <c r="LWD41" s="536"/>
      <c r="LWE41" s="536"/>
      <c r="LWF41" s="536"/>
      <c r="LWG41" s="536"/>
      <c r="LWH41" s="536"/>
      <c r="LWI41" s="536"/>
      <c r="LWJ41" s="536"/>
      <c r="LWK41" s="536"/>
      <c r="LWL41" s="536"/>
      <c r="LWM41" s="536"/>
      <c r="LWN41" s="536"/>
      <c r="LWO41" s="536"/>
      <c r="LWP41" s="536"/>
      <c r="LWQ41" s="536"/>
      <c r="LWR41" s="536"/>
      <c r="LWS41" s="536"/>
      <c r="LWT41" s="536"/>
      <c r="LWU41" s="536"/>
      <c r="LWV41" s="536"/>
      <c r="LWW41" s="536"/>
      <c r="LWX41" s="536"/>
      <c r="LWY41" s="536"/>
      <c r="LWZ41" s="536"/>
      <c r="LXA41" s="536"/>
      <c r="LXB41" s="536"/>
      <c r="LXC41" s="536"/>
      <c r="LXD41" s="536"/>
      <c r="LXE41" s="536"/>
      <c r="LXF41" s="536"/>
      <c r="LXG41" s="536"/>
      <c r="LXH41" s="536"/>
      <c r="LXI41" s="536"/>
      <c r="LXJ41" s="536"/>
      <c r="LXK41" s="536"/>
      <c r="LXL41" s="536"/>
      <c r="LXM41" s="536"/>
      <c r="LXN41" s="536"/>
      <c r="LXO41" s="536"/>
      <c r="LXP41" s="536"/>
      <c r="LXQ41" s="536"/>
      <c r="LXR41" s="536"/>
      <c r="LXS41" s="536"/>
      <c r="LXT41" s="536"/>
      <c r="LXU41" s="536"/>
      <c r="LXV41" s="536"/>
      <c r="LXW41" s="536"/>
      <c r="LXX41" s="536"/>
      <c r="LXY41" s="536"/>
      <c r="LXZ41" s="536"/>
      <c r="LYA41" s="536"/>
      <c r="LYB41" s="536"/>
      <c r="LYC41" s="536"/>
      <c r="LYD41" s="536"/>
      <c r="LYE41" s="536"/>
      <c r="LYF41" s="536"/>
      <c r="LYG41" s="536"/>
      <c r="LYH41" s="536"/>
      <c r="LYI41" s="536"/>
      <c r="LYJ41" s="536"/>
      <c r="LYK41" s="536"/>
      <c r="LYL41" s="536"/>
      <c r="LYM41" s="536"/>
      <c r="LYN41" s="536"/>
      <c r="LYO41" s="536"/>
      <c r="LYP41" s="536"/>
      <c r="LYQ41" s="536"/>
      <c r="LYR41" s="536"/>
      <c r="LYS41" s="536"/>
      <c r="LYT41" s="536"/>
      <c r="LYU41" s="536"/>
      <c r="LYV41" s="536"/>
      <c r="LYW41" s="536"/>
      <c r="LYX41" s="536"/>
      <c r="LYY41" s="536"/>
      <c r="LYZ41" s="536"/>
      <c r="LZA41" s="536"/>
      <c r="LZB41" s="536"/>
      <c r="LZC41" s="536"/>
      <c r="LZD41" s="536"/>
      <c r="LZE41" s="536"/>
      <c r="LZF41" s="536"/>
      <c r="LZG41" s="536"/>
      <c r="LZH41" s="536"/>
      <c r="LZI41" s="536"/>
      <c r="LZJ41" s="536"/>
      <c r="LZK41" s="536"/>
      <c r="LZL41" s="536"/>
      <c r="LZM41" s="536"/>
      <c r="LZN41" s="536"/>
      <c r="LZO41" s="536"/>
      <c r="LZP41" s="536"/>
      <c r="LZQ41" s="536"/>
      <c r="LZR41" s="536"/>
      <c r="LZS41" s="536"/>
      <c r="LZT41" s="536"/>
      <c r="LZU41" s="536"/>
      <c r="LZV41" s="536"/>
      <c r="LZW41" s="536"/>
      <c r="LZX41" s="536"/>
      <c r="LZY41" s="536"/>
      <c r="LZZ41" s="536"/>
      <c r="MAA41" s="536"/>
      <c r="MAB41" s="536"/>
      <c r="MAC41" s="536"/>
      <c r="MAD41" s="536"/>
      <c r="MAE41" s="536"/>
      <c r="MAF41" s="536"/>
      <c r="MAG41" s="536"/>
      <c r="MAH41" s="536"/>
      <c r="MAI41" s="536"/>
      <c r="MAJ41" s="536"/>
      <c r="MAK41" s="536"/>
      <c r="MAL41" s="536"/>
      <c r="MAM41" s="536"/>
      <c r="MAN41" s="536"/>
      <c r="MAO41" s="536"/>
      <c r="MAP41" s="536"/>
      <c r="MAQ41" s="536"/>
      <c r="MAR41" s="536"/>
      <c r="MAS41" s="536"/>
      <c r="MAT41" s="536"/>
      <c r="MAU41" s="536"/>
      <c r="MAV41" s="536"/>
      <c r="MAW41" s="536"/>
      <c r="MAX41" s="536"/>
      <c r="MAY41" s="536"/>
      <c r="MAZ41" s="536"/>
      <c r="MBA41" s="536"/>
      <c r="MBB41" s="536"/>
      <c r="MBC41" s="536"/>
      <c r="MBD41" s="536"/>
      <c r="MBE41" s="536"/>
      <c r="MBF41" s="536"/>
      <c r="MBG41" s="536"/>
      <c r="MBH41" s="536"/>
      <c r="MBI41" s="536"/>
      <c r="MBJ41" s="536"/>
      <c r="MBK41" s="536"/>
      <c r="MBL41" s="536"/>
      <c r="MBM41" s="536"/>
      <c r="MBN41" s="536"/>
      <c r="MBO41" s="536"/>
      <c r="MBP41" s="536"/>
      <c r="MBQ41" s="536"/>
      <c r="MBR41" s="536"/>
      <c r="MBS41" s="536"/>
      <c r="MBT41" s="536"/>
      <c r="MBU41" s="536"/>
      <c r="MBV41" s="536"/>
      <c r="MBW41" s="536"/>
      <c r="MBX41" s="536"/>
      <c r="MBY41" s="536"/>
      <c r="MBZ41" s="536"/>
      <c r="MCA41" s="536"/>
      <c r="MCB41" s="536"/>
      <c r="MCC41" s="536"/>
      <c r="MCD41" s="536"/>
      <c r="MCE41" s="536"/>
      <c r="MCF41" s="536"/>
      <c r="MCG41" s="536"/>
      <c r="MCH41" s="536"/>
      <c r="MCI41" s="536"/>
      <c r="MCJ41" s="536"/>
      <c r="MCK41" s="536"/>
      <c r="MCL41" s="536"/>
      <c r="MCM41" s="536"/>
      <c r="MCN41" s="536"/>
      <c r="MCO41" s="536"/>
      <c r="MCP41" s="536"/>
      <c r="MCQ41" s="536"/>
      <c r="MCR41" s="536"/>
      <c r="MCS41" s="536"/>
      <c r="MCT41" s="536"/>
      <c r="MCU41" s="536"/>
      <c r="MCV41" s="536"/>
      <c r="MCW41" s="536"/>
      <c r="MCX41" s="536"/>
      <c r="MCY41" s="536"/>
      <c r="MCZ41" s="536"/>
      <c r="MDA41" s="536"/>
      <c r="MDB41" s="536"/>
      <c r="MDC41" s="536"/>
      <c r="MDD41" s="536"/>
      <c r="MDE41" s="536"/>
      <c r="MDF41" s="536"/>
      <c r="MDG41" s="536"/>
      <c r="MDH41" s="536"/>
      <c r="MDI41" s="536"/>
      <c r="MDJ41" s="536"/>
      <c r="MDK41" s="536"/>
      <c r="MDL41" s="536"/>
      <c r="MDM41" s="536"/>
      <c r="MDN41" s="536"/>
      <c r="MDO41" s="536"/>
      <c r="MDP41" s="536"/>
      <c r="MDQ41" s="536"/>
      <c r="MDR41" s="536"/>
      <c r="MDS41" s="536"/>
      <c r="MDT41" s="536"/>
      <c r="MDU41" s="536"/>
      <c r="MDV41" s="536"/>
      <c r="MDW41" s="536"/>
      <c r="MDX41" s="536"/>
      <c r="MDY41" s="536"/>
      <c r="MDZ41" s="536"/>
      <c r="MEA41" s="536"/>
      <c r="MEB41" s="536"/>
      <c r="MEC41" s="536"/>
      <c r="MED41" s="536"/>
      <c r="MEE41" s="536"/>
      <c r="MEF41" s="536"/>
      <c r="MEG41" s="536"/>
      <c r="MEH41" s="536"/>
      <c r="MEI41" s="536"/>
      <c r="MEJ41" s="536"/>
      <c r="MEK41" s="536"/>
      <c r="MEL41" s="536"/>
      <c r="MEM41" s="536"/>
      <c r="MEN41" s="536"/>
      <c r="MEO41" s="536"/>
      <c r="MEP41" s="536"/>
      <c r="MEQ41" s="536"/>
      <c r="MER41" s="536"/>
      <c r="MES41" s="536"/>
      <c r="MET41" s="536"/>
      <c r="MEU41" s="536"/>
      <c r="MEV41" s="536"/>
      <c r="MEW41" s="536"/>
      <c r="MEX41" s="536"/>
      <c r="MEY41" s="536"/>
      <c r="MEZ41" s="536"/>
      <c r="MFA41" s="536"/>
      <c r="MFB41" s="536"/>
      <c r="MFC41" s="536"/>
      <c r="MFD41" s="536"/>
      <c r="MFE41" s="536"/>
      <c r="MFF41" s="536"/>
      <c r="MFG41" s="536"/>
      <c r="MFH41" s="536"/>
      <c r="MFI41" s="536"/>
      <c r="MFJ41" s="536"/>
      <c r="MFK41" s="536"/>
      <c r="MFL41" s="536"/>
      <c r="MFM41" s="536"/>
      <c r="MFN41" s="536"/>
      <c r="MFO41" s="536"/>
      <c r="MFP41" s="536"/>
      <c r="MFQ41" s="536"/>
      <c r="MFR41" s="536"/>
      <c r="MFS41" s="536"/>
      <c r="MFT41" s="536"/>
      <c r="MFU41" s="536"/>
      <c r="MFV41" s="536"/>
      <c r="MFW41" s="536"/>
      <c r="MFX41" s="536"/>
      <c r="MFY41" s="536"/>
      <c r="MFZ41" s="536"/>
      <c r="MGA41" s="536"/>
      <c r="MGB41" s="536"/>
      <c r="MGC41" s="536"/>
      <c r="MGD41" s="536"/>
      <c r="MGE41" s="536"/>
      <c r="MGF41" s="536"/>
      <c r="MGG41" s="536"/>
      <c r="MGH41" s="536"/>
      <c r="MGI41" s="536"/>
      <c r="MGJ41" s="536"/>
      <c r="MGK41" s="536"/>
      <c r="MGL41" s="536"/>
      <c r="MGM41" s="536"/>
      <c r="MGN41" s="536"/>
      <c r="MGO41" s="536"/>
      <c r="MGP41" s="536"/>
      <c r="MGQ41" s="536"/>
      <c r="MGR41" s="536"/>
      <c r="MGS41" s="536"/>
      <c r="MGT41" s="536"/>
      <c r="MGU41" s="536"/>
      <c r="MGV41" s="536"/>
      <c r="MGW41" s="536"/>
      <c r="MGX41" s="536"/>
      <c r="MGY41" s="536"/>
      <c r="MGZ41" s="536"/>
      <c r="MHA41" s="536"/>
      <c r="MHB41" s="536"/>
      <c r="MHC41" s="536"/>
      <c r="MHD41" s="536"/>
      <c r="MHE41" s="536"/>
      <c r="MHF41" s="536"/>
      <c r="MHG41" s="536"/>
      <c r="MHH41" s="536"/>
      <c r="MHI41" s="536"/>
      <c r="MHJ41" s="536"/>
      <c r="MHK41" s="536"/>
      <c r="MHL41" s="536"/>
      <c r="MHM41" s="536"/>
      <c r="MHN41" s="536"/>
      <c r="MHO41" s="536"/>
      <c r="MHP41" s="536"/>
      <c r="MHQ41" s="536"/>
      <c r="MHR41" s="536"/>
      <c r="MHS41" s="536"/>
      <c r="MHT41" s="536"/>
      <c r="MHU41" s="536"/>
      <c r="MHV41" s="536"/>
      <c r="MHW41" s="536"/>
      <c r="MHX41" s="536"/>
      <c r="MHY41" s="536"/>
      <c r="MHZ41" s="536"/>
      <c r="MIA41" s="536"/>
      <c r="MIB41" s="536"/>
      <c r="MIC41" s="536"/>
      <c r="MID41" s="536"/>
      <c r="MIE41" s="536"/>
      <c r="MIF41" s="536"/>
      <c r="MIG41" s="536"/>
      <c r="MIH41" s="536"/>
      <c r="MII41" s="536"/>
      <c r="MIJ41" s="536"/>
      <c r="MIK41" s="536"/>
      <c r="MIL41" s="536"/>
      <c r="MIM41" s="536"/>
      <c r="MIN41" s="536"/>
      <c r="MIO41" s="536"/>
      <c r="MIP41" s="536"/>
      <c r="MIQ41" s="536"/>
      <c r="MIR41" s="536"/>
      <c r="MIS41" s="536"/>
      <c r="MIT41" s="536"/>
      <c r="MIU41" s="536"/>
      <c r="MIV41" s="536"/>
      <c r="MIW41" s="536"/>
      <c r="MIX41" s="536"/>
      <c r="MIY41" s="536"/>
      <c r="MIZ41" s="536"/>
      <c r="MJA41" s="536"/>
      <c r="MJB41" s="536"/>
      <c r="MJC41" s="536"/>
      <c r="MJD41" s="536"/>
      <c r="MJE41" s="536"/>
      <c r="MJF41" s="536"/>
      <c r="MJG41" s="536"/>
      <c r="MJH41" s="536"/>
      <c r="MJI41" s="536"/>
      <c r="MJJ41" s="536"/>
      <c r="MJK41" s="536"/>
      <c r="MJL41" s="536"/>
      <c r="MJM41" s="536"/>
      <c r="MJN41" s="536"/>
      <c r="MJO41" s="536"/>
      <c r="MJP41" s="536"/>
      <c r="MJQ41" s="536"/>
      <c r="MJR41" s="536"/>
      <c r="MJS41" s="536"/>
      <c r="MJT41" s="536"/>
      <c r="MJU41" s="536"/>
      <c r="MJV41" s="536"/>
      <c r="MJW41" s="536"/>
      <c r="MJX41" s="536"/>
      <c r="MJY41" s="536"/>
      <c r="MJZ41" s="536"/>
      <c r="MKA41" s="536"/>
      <c r="MKB41" s="536"/>
      <c r="MKC41" s="536"/>
      <c r="MKD41" s="536"/>
      <c r="MKE41" s="536"/>
      <c r="MKF41" s="536"/>
      <c r="MKG41" s="536"/>
      <c r="MKH41" s="536"/>
      <c r="MKI41" s="536"/>
      <c r="MKJ41" s="536"/>
      <c r="MKK41" s="536"/>
      <c r="MKL41" s="536"/>
      <c r="MKM41" s="536"/>
      <c r="MKN41" s="536"/>
      <c r="MKO41" s="536"/>
      <c r="MKP41" s="536"/>
      <c r="MKQ41" s="536"/>
      <c r="MKR41" s="536"/>
      <c r="MKS41" s="536"/>
      <c r="MKT41" s="536"/>
      <c r="MKU41" s="536"/>
      <c r="MKV41" s="536"/>
      <c r="MKW41" s="536"/>
      <c r="MKX41" s="536"/>
      <c r="MKY41" s="536"/>
      <c r="MKZ41" s="536"/>
      <c r="MLA41" s="536"/>
      <c r="MLB41" s="536"/>
      <c r="MLC41" s="536"/>
      <c r="MLD41" s="536"/>
      <c r="MLE41" s="536"/>
      <c r="MLF41" s="536"/>
      <c r="MLG41" s="536"/>
      <c r="MLH41" s="536"/>
      <c r="MLI41" s="536"/>
      <c r="MLJ41" s="536"/>
      <c r="MLK41" s="536"/>
      <c r="MLL41" s="536"/>
      <c r="MLM41" s="536"/>
      <c r="MLN41" s="536"/>
      <c r="MLO41" s="536"/>
      <c r="MLP41" s="536"/>
      <c r="MLQ41" s="536"/>
      <c r="MLR41" s="536"/>
      <c r="MLS41" s="536"/>
      <c r="MLT41" s="536"/>
      <c r="MLU41" s="536"/>
      <c r="MLV41" s="536"/>
      <c r="MLW41" s="536"/>
      <c r="MLX41" s="536"/>
      <c r="MLY41" s="536"/>
      <c r="MLZ41" s="536"/>
      <c r="MMA41" s="536"/>
      <c r="MMB41" s="536"/>
      <c r="MMC41" s="536"/>
      <c r="MMD41" s="536"/>
      <c r="MME41" s="536"/>
      <c r="MMF41" s="536"/>
      <c r="MMG41" s="536"/>
      <c r="MMH41" s="536"/>
      <c r="MMI41" s="536"/>
      <c r="MMJ41" s="536"/>
      <c r="MMK41" s="536"/>
      <c r="MML41" s="536"/>
      <c r="MMM41" s="536"/>
      <c r="MMN41" s="536"/>
      <c r="MMO41" s="536"/>
      <c r="MMP41" s="536"/>
      <c r="MMQ41" s="536"/>
      <c r="MMR41" s="536"/>
      <c r="MMS41" s="536"/>
      <c r="MMT41" s="536"/>
      <c r="MMU41" s="536"/>
      <c r="MMV41" s="536"/>
      <c r="MMW41" s="536"/>
      <c r="MMX41" s="536"/>
      <c r="MMY41" s="536"/>
      <c r="MMZ41" s="536"/>
      <c r="MNA41" s="536"/>
      <c r="MNB41" s="536"/>
      <c r="MNC41" s="536"/>
      <c r="MND41" s="536"/>
      <c r="MNE41" s="536"/>
      <c r="MNF41" s="536"/>
      <c r="MNG41" s="536"/>
      <c r="MNH41" s="536"/>
      <c r="MNI41" s="536"/>
      <c r="MNJ41" s="536"/>
      <c r="MNK41" s="536"/>
      <c r="MNL41" s="536"/>
      <c r="MNM41" s="536"/>
      <c r="MNN41" s="536"/>
      <c r="MNO41" s="536"/>
      <c r="MNP41" s="536"/>
      <c r="MNQ41" s="536"/>
      <c r="MNR41" s="536"/>
      <c r="MNS41" s="536"/>
      <c r="MNT41" s="536"/>
      <c r="MNU41" s="536"/>
      <c r="MNV41" s="536"/>
      <c r="MNW41" s="536"/>
      <c r="MNX41" s="536"/>
      <c r="MNY41" s="536"/>
      <c r="MNZ41" s="536"/>
      <c r="MOA41" s="536"/>
      <c r="MOB41" s="536"/>
      <c r="MOC41" s="536"/>
      <c r="MOD41" s="536"/>
      <c r="MOE41" s="536"/>
      <c r="MOF41" s="536"/>
      <c r="MOG41" s="536"/>
      <c r="MOH41" s="536"/>
      <c r="MOI41" s="536"/>
      <c r="MOJ41" s="536"/>
      <c r="MOK41" s="536"/>
      <c r="MOL41" s="536"/>
      <c r="MOM41" s="536"/>
      <c r="MON41" s="536"/>
      <c r="MOO41" s="536"/>
      <c r="MOP41" s="536"/>
      <c r="MOQ41" s="536"/>
      <c r="MOR41" s="536"/>
      <c r="MOS41" s="536"/>
      <c r="MOT41" s="536"/>
      <c r="MOU41" s="536"/>
      <c r="MOV41" s="536"/>
      <c r="MOW41" s="536"/>
      <c r="MOX41" s="536"/>
      <c r="MOY41" s="536"/>
      <c r="MOZ41" s="536"/>
      <c r="MPA41" s="536"/>
      <c r="MPB41" s="536"/>
      <c r="MPC41" s="536"/>
      <c r="MPD41" s="536"/>
      <c r="MPE41" s="536"/>
      <c r="MPF41" s="536"/>
      <c r="MPG41" s="536"/>
      <c r="MPH41" s="536"/>
      <c r="MPI41" s="536"/>
      <c r="MPJ41" s="536"/>
      <c r="MPK41" s="536"/>
      <c r="MPL41" s="536"/>
      <c r="MPM41" s="536"/>
      <c r="MPN41" s="536"/>
      <c r="MPO41" s="536"/>
      <c r="MPP41" s="536"/>
      <c r="MPQ41" s="536"/>
      <c r="MPR41" s="536"/>
      <c r="MPS41" s="536"/>
      <c r="MPT41" s="536"/>
      <c r="MPU41" s="536"/>
      <c r="MPV41" s="536"/>
      <c r="MPW41" s="536"/>
      <c r="MPX41" s="536"/>
      <c r="MPY41" s="536"/>
      <c r="MPZ41" s="536"/>
      <c r="MQA41" s="536"/>
      <c r="MQB41" s="536"/>
      <c r="MQC41" s="536"/>
      <c r="MQD41" s="536"/>
      <c r="MQE41" s="536"/>
      <c r="MQF41" s="536"/>
      <c r="MQG41" s="536"/>
      <c r="MQH41" s="536"/>
      <c r="MQI41" s="536"/>
      <c r="MQJ41" s="536"/>
      <c r="MQK41" s="536"/>
      <c r="MQL41" s="536"/>
      <c r="MQM41" s="536"/>
      <c r="MQN41" s="536"/>
      <c r="MQO41" s="536"/>
      <c r="MQP41" s="536"/>
      <c r="MQQ41" s="536"/>
      <c r="MQR41" s="536"/>
      <c r="MQS41" s="536"/>
      <c r="MQT41" s="536"/>
      <c r="MQU41" s="536"/>
      <c r="MQV41" s="536"/>
      <c r="MQW41" s="536"/>
      <c r="MQX41" s="536"/>
      <c r="MQY41" s="536"/>
      <c r="MQZ41" s="536"/>
      <c r="MRA41" s="536"/>
      <c r="MRB41" s="536"/>
      <c r="MRC41" s="536"/>
      <c r="MRD41" s="536"/>
      <c r="MRE41" s="536"/>
      <c r="MRF41" s="536"/>
      <c r="MRG41" s="536"/>
      <c r="MRH41" s="536"/>
      <c r="MRI41" s="536"/>
      <c r="MRJ41" s="536"/>
      <c r="MRK41" s="536"/>
      <c r="MRL41" s="536"/>
      <c r="MRM41" s="536"/>
      <c r="MRN41" s="536"/>
      <c r="MRO41" s="536"/>
      <c r="MRP41" s="536"/>
      <c r="MRQ41" s="536"/>
      <c r="MRR41" s="536"/>
      <c r="MRS41" s="536"/>
      <c r="MRT41" s="536"/>
      <c r="MRU41" s="536"/>
      <c r="MRV41" s="536"/>
      <c r="MRW41" s="536"/>
      <c r="MRX41" s="536"/>
      <c r="MRY41" s="536"/>
      <c r="MRZ41" s="536"/>
      <c r="MSA41" s="536"/>
      <c r="MSB41" s="536"/>
      <c r="MSC41" s="536"/>
      <c r="MSD41" s="536"/>
      <c r="MSE41" s="536"/>
      <c r="MSF41" s="536"/>
      <c r="MSG41" s="536"/>
      <c r="MSH41" s="536"/>
      <c r="MSI41" s="536"/>
      <c r="MSJ41" s="536"/>
      <c r="MSK41" s="536"/>
      <c r="MSL41" s="536"/>
      <c r="MSM41" s="536"/>
      <c r="MSN41" s="536"/>
      <c r="MSO41" s="536"/>
      <c r="MSP41" s="536"/>
      <c r="MSQ41" s="536"/>
      <c r="MSR41" s="536"/>
      <c r="MSS41" s="536"/>
      <c r="MST41" s="536"/>
      <c r="MSU41" s="536"/>
      <c r="MSV41" s="536"/>
      <c r="MSW41" s="536"/>
      <c r="MSX41" s="536"/>
      <c r="MSY41" s="536"/>
      <c r="MSZ41" s="536"/>
      <c r="MTA41" s="536"/>
      <c r="MTB41" s="536"/>
      <c r="MTC41" s="536"/>
      <c r="MTD41" s="536"/>
      <c r="MTE41" s="536"/>
      <c r="MTF41" s="536"/>
      <c r="MTG41" s="536"/>
      <c r="MTH41" s="536"/>
      <c r="MTI41" s="536"/>
      <c r="MTJ41" s="536"/>
      <c r="MTK41" s="536"/>
      <c r="MTL41" s="536"/>
      <c r="MTM41" s="536"/>
      <c r="MTN41" s="536"/>
      <c r="MTO41" s="536"/>
      <c r="MTP41" s="536"/>
      <c r="MTQ41" s="536"/>
      <c r="MTR41" s="536"/>
      <c r="MTS41" s="536"/>
      <c r="MTT41" s="536"/>
      <c r="MTU41" s="536"/>
      <c r="MTV41" s="536"/>
      <c r="MTW41" s="536"/>
      <c r="MTX41" s="536"/>
      <c r="MTY41" s="536"/>
      <c r="MTZ41" s="536"/>
      <c r="MUA41" s="536"/>
      <c r="MUB41" s="536"/>
      <c r="MUC41" s="536"/>
      <c r="MUD41" s="536"/>
      <c r="MUE41" s="536"/>
      <c r="MUF41" s="536"/>
      <c r="MUG41" s="536"/>
      <c r="MUH41" s="536"/>
      <c r="MUI41" s="536"/>
      <c r="MUJ41" s="536"/>
      <c r="MUK41" s="536"/>
      <c r="MUL41" s="536"/>
      <c r="MUM41" s="536"/>
      <c r="MUN41" s="536"/>
      <c r="MUO41" s="536"/>
      <c r="MUP41" s="536"/>
      <c r="MUQ41" s="536"/>
      <c r="MUR41" s="536"/>
      <c r="MUS41" s="536"/>
      <c r="MUT41" s="536"/>
      <c r="MUU41" s="536"/>
      <c r="MUV41" s="536"/>
      <c r="MUW41" s="536"/>
      <c r="MUX41" s="536"/>
      <c r="MUY41" s="536"/>
      <c r="MUZ41" s="536"/>
      <c r="MVA41" s="536"/>
      <c r="MVB41" s="536"/>
      <c r="MVC41" s="536"/>
      <c r="MVD41" s="536"/>
      <c r="MVE41" s="536"/>
      <c r="MVF41" s="536"/>
      <c r="MVG41" s="536"/>
      <c r="MVH41" s="536"/>
      <c r="MVI41" s="536"/>
      <c r="MVJ41" s="536"/>
      <c r="MVK41" s="536"/>
      <c r="MVL41" s="536"/>
      <c r="MVM41" s="536"/>
      <c r="MVN41" s="536"/>
      <c r="MVO41" s="536"/>
      <c r="MVP41" s="536"/>
      <c r="MVQ41" s="536"/>
      <c r="MVR41" s="536"/>
      <c r="MVS41" s="536"/>
      <c r="MVT41" s="536"/>
      <c r="MVU41" s="536"/>
      <c r="MVV41" s="536"/>
      <c r="MVW41" s="536"/>
      <c r="MVX41" s="536"/>
      <c r="MVY41" s="536"/>
      <c r="MVZ41" s="536"/>
      <c r="MWA41" s="536"/>
      <c r="MWB41" s="536"/>
      <c r="MWC41" s="536"/>
      <c r="MWD41" s="536"/>
      <c r="MWE41" s="536"/>
      <c r="MWF41" s="536"/>
      <c r="MWG41" s="536"/>
      <c r="MWH41" s="536"/>
      <c r="MWI41" s="536"/>
      <c r="MWJ41" s="536"/>
      <c r="MWK41" s="536"/>
      <c r="MWL41" s="536"/>
      <c r="MWM41" s="536"/>
      <c r="MWN41" s="536"/>
      <c r="MWO41" s="536"/>
      <c r="MWP41" s="536"/>
      <c r="MWQ41" s="536"/>
      <c r="MWR41" s="536"/>
      <c r="MWS41" s="536"/>
      <c r="MWT41" s="536"/>
      <c r="MWU41" s="536"/>
      <c r="MWV41" s="536"/>
      <c r="MWW41" s="536"/>
      <c r="MWX41" s="536"/>
      <c r="MWY41" s="536"/>
      <c r="MWZ41" s="536"/>
      <c r="MXA41" s="536"/>
      <c r="MXB41" s="536"/>
      <c r="MXC41" s="536"/>
      <c r="MXD41" s="536"/>
      <c r="MXE41" s="536"/>
      <c r="MXF41" s="536"/>
      <c r="MXG41" s="536"/>
      <c r="MXH41" s="536"/>
      <c r="MXI41" s="536"/>
      <c r="MXJ41" s="536"/>
      <c r="MXK41" s="536"/>
      <c r="MXL41" s="536"/>
      <c r="MXM41" s="536"/>
      <c r="MXN41" s="536"/>
      <c r="MXO41" s="536"/>
      <c r="MXP41" s="536"/>
      <c r="MXQ41" s="536"/>
      <c r="MXR41" s="536"/>
      <c r="MXS41" s="536"/>
      <c r="MXT41" s="536"/>
      <c r="MXU41" s="536"/>
      <c r="MXV41" s="536"/>
      <c r="MXW41" s="536"/>
      <c r="MXX41" s="536"/>
      <c r="MXY41" s="536"/>
      <c r="MXZ41" s="536"/>
      <c r="MYA41" s="536"/>
      <c r="MYB41" s="536"/>
      <c r="MYC41" s="536"/>
      <c r="MYD41" s="536"/>
      <c r="MYE41" s="536"/>
      <c r="MYF41" s="536"/>
      <c r="MYG41" s="536"/>
      <c r="MYH41" s="536"/>
      <c r="MYI41" s="536"/>
      <c r="MYJ41" s="536"/>
      <c r="MYK41" s="536"/>
      <c r="MYL41" s="536"/>
      <c r="MYM41" s="536"/>
      <c r="MYN41" s="536"/>
      <c r="MYO41" s="536"/>
      <c r="MYP41" s="536"/>
      <c r="MYQ41" s="536"/>
      <c r="MYR41" s="536"/>
      <c r="MYS41" s="536"/>
      <c r="MYT41" s="536"/>
      <c r="MYU41" s="536"/>
      <c r="MYV41" s="536"/>
      <c r="MYW41" s="536"/>
      <c r="MYX41" s="536"/>
      <c r="MYY41" s="536"/>
      <c r="MYZ41" s="536"/>
      <c r="MZA41" s="536"/>
      <c r="MZB41" s="536"/>
      <c r="MZC41" s="536"/>
      <c r="MZD41" s="536"/>
      <c r="MZE41" s="536"/>
      <c r="MZF41" s="536"/>
      <c r="MZG41" s="536"/>
      <c r="MZH41" s="536"/>
      <c r="MZI41" s="536"/>
      <c r="MZJ41" s="536"/>
      <c r="MZK41" s="536"/>
      <c r="MZL41" s="536"/>
      <c r="MZM41" s="536"/>
      <c r="MZN41" s="536"/>
      <c r="MZO41" s="536"/>
      <c r="MZP41" s="536"/>
      <c r="MZQ41" s="536"/>
      <c r="MZR41" s="536"/>
      <c r="MZS41" s="536"/>
      <c r="MZT41" s="536"/>
      <c r="MZU41" s="536"/>
      <c r="MZV41" s="536"/>
      <c r="MZW41" s="536"/>
      <c r="MZX41" s="536"/>
      <c r="MZY41" s="536"/>
      <c r="MZZ41" s="536"/>
      <c r="NAA41" s="536"/>
      <c r="NAB41" s="536"/>
      <c r="NAC41" s="536"/>
      <c r="NAD41" s="536"/>
      <c r="NAE41" s="536"/>
      <c r="NAF41" s="536"/>
      <c r="NAG41" s="536"/>
      <c r="NAH41" s="536"/>
      <c r="NAI41" s="536"/>
      <c r="NAJ41" s="536"/>
      <c r="NAK41" s="536"/>
      <c r="NAL41" s="536"/>
      <c r="NAM41" s="536"/>
      <c r="NAN41" s="536"/>
      <c r="NAO41" s="536"/>
      <c r="NAP41" s="536"/>
      <c r="NAQ41" s="536"/>
      <c r="NAR41" s="536"/>
      <c r="NAS41" s="536"/>
      <c r="NAT41" s="536"/>
      <c r="NAU41" s="536"/>
      <c r="NAV41" s="536"/>
      <c r="NAW41" s="536"/>
      <c r="NAX41" s="536"/>
      <c r="NAY41" s="536"/>
      <c r="NAZ41" s="536"/>
      <c r="NBA41" s="536"/>
      <c r="NBB41" s="536"/>
      <c r="NBC41" s="536"/>
      <c r="NBD41" s="536"/>
      <c r="NBE41" s="536"/>
      <c r="NBF41" s="536"/>
      <c r="NBG41" s="536"/>
      <c r="NBH41" s="536"/>
      <c r="NBI41" s="536"/>
      <c r="NBJ41" s="536"/>
      <c r="NBK41" s="536"/>
      <c r="NBL41" s="536"/>
      <c r="NBM41" s="536"/>
      <c r="NBN41" s="536"/>
      <c r="NBO41" s="536"/>
      <c r="NBP41" s="536"/>
      <c r="NBQ41" s="536"/>
      <c r="NBR41" s="536"/>
      <c r="NBS41" s="536"/>
      <c r="NBT41" s="536"/>
      <c r="NBU41" s="536"/>
      <c r="NBV41" s="536"/>
      <c r="NBW41" s="536"/>
      <c r="NBX41" s="536"/>
      <c r="NBY41" s="536"/>
      <c r="NBZ41" s="536"/>
      <c r="NCA41" s="536"/>
      <c r="NCB41" s="536"/>
      <c r="NCC41" s="536"/>
      <c r="NCD41" s="536"/>
      <c r="NCE41" s="536"/>
      <c r="NCF41" s="536"/>
      <c r="NCG41" s="536"/>
      <c r="NCH41" s="536"/>
      <c r="NCI41" s="536"/>
      <c r="NCJ41" s="536"/>
      <c r="NCK41" s="536"/>
      <c r="NCL41" s="536"/>
      <c r="NCM41" s="536"/>
      <c r="NCN41" s="536"/>
      <c r="NCO41" s="536"/>
      <c r="NCP41" s="536"/>
      <c r="NCQ41" s="536"/>
      <c r="NCR41" s="536"/>
      <c r="NCS41" s="536"/>
      <c r="NCT41" s="536"/>
      <c r="NCU41" s="536"/>
      <c r="NCV41" s="536"/>
      <c r="NCW41" s="536"/>
      <c r="NCX41" s="536"/>
      <c r="NCY41" s="536"/>
      <c r="NCZ41" s="536"/>
      <c r="NDA41" s="536"/>
      <c r="NDB41" s="536"/>
      <c r="NDC41" s="536"/>
      <c r="NDD41" s="536"/>
      <c r="NDE41" s="536"/>
      <c r="NDF41" s="536"/>
      <c r="NDG41" s="536"/>
      <c r="NDH41" s="536"/>
      <c r="NDI41" s="536"/>
      <c r="NDJ41" s="536"/>
      <c r="NDK41" s="536"/>
      <c r="NDL41" s="536"/>
      <c r="NDM41" s="536"/>
      <c r="NDN41" s="536"/>
      <c r="NDO41" s="536"/>
      <c r="NDP41" s="536"/>
      <c r="NDQ41" s="536"/>
      <c r="NDR41" s="536"/>
      <c r="NDS41" s="536"/>
      <c r="NDT41" s="536"/>
      <c r="NDU41" s="536"/>
      <c r="NDV41" s="536"/>
      <c r="NDW41" s="536"/>
      <c r="NDX41" s="536"/>
      <c r="NDY41" s="536"/>
      <c r="NDZ41" s="536"/>
      <c r="NEA41" s="536"/>
      <c r="NEB41" s="536"/>
      <c r="NEC41" s="536"/>
      <c r="NED41" s="536"/>
      <c r="NEE41" s="536"/>
      <c r="NEF41" s="536"/>
      <c r="NEG41" s="536"/>
      <c r="NEH41" s="536"/>
      <c r="NEI41" s="536"/>
      <c r="NEJ41" s="536"/>
      <c r="NEK41" s="536"/>
      <c r="NEL41" s="536"/>
      <c r="NEM41" s="536"/>
      <c r="NEN41" s="536"/>
      <c r="NEO41" s="536"/>
      <c r="NEP41" s="536"/>
      <c r="NEQ41" s="536"/>
      <c r="NER41" s="536"/>
      <c r="NES41" s="536"/>
      <c r="NET41" s="536"/>
      <c r="NEU41" s="536"/>
      <c r="NEV41" s="536"/>
      <c r="NEW41" s="536"/>
      <c r="NEX41" s="536"/>
      <c r="NEY41" s="536"/>
      <c r="NEZ41" s="536"/>
      <c r="NFA41" s="536"/>
      <c r="NFB41" s="536"/>
      <c r="NFC41" s="536"/>
      <c r="NFD41" s="536"/>
      <c r="NFE41" s="536"/>
      <c r="NFF41" s="536"/>
      <c r="NFG41" s="536"/>
      <c r="NFH41" s="536"/>
      <c r="NFI41" s="536"/>
      <c r="NFJ41" s="536"/>
      <c r="NFK41" s="536"/>
      <c r="NFL41" s="536"/>
      <c r="NFM41" s="536"/>
      <c r="NFN41" s="536"/>
      <c r="NFO41" s="536"/>
      <c r="NFP41" s="536"/>
      <c r="NFQ41" s="536"/>
      <c r="NFR41" s="536"/>
      <c r="NFS41" s="536"/>
      <c r="NFT41" s="536"/>
      <c r="NFU41" s="536"/>
      <c r="NFV41" s="536"/>
      <c r="NFW41" s="536"/>
      <c r="NFX41" s="536"/>
      <c r="NFY41" s="536"/>
      <c r="NFZ41" s="536"/>
      <c r="NGA41" s="536"/>
      <c r="NGB41" s="536"/>
      <c r="NGC41" s="536"/>
      <c r="NGD41" s="536"/>
      <c r="NGE41" s="536"/>
      <c r="NGF41" s="536"/>
      <c r="NGG41" s="536"/>
      <c r="NGH41" s="536"/>
      <c r="NGI41" s="536"/>
      <c r="NGJ41" s="536"/>
      <c r="NGK41" s="536"/>
      <c r="NGL41" s="536"/>
      <c r="NGM41" s="536"/>
      <c r="NGN41" s="536"/>
      <c r="NGO41" s="536"/>
      <c r="NGP41" s="536"/>
      <c r="NGQ41" s="536"/>
      <c r="NGR41" s="536"/>
      <c r="NGS41" s="536"/>
      <c r="NGT41" s="536"/>
      <c r="NGU41" s="536"/>
      <c r="NGV41" s="536"/>
      <c r="NGW41" s="536"/>
      <c r="NGX41" s="536"/>
      <c r="NGY41" s="536"/>
      <c r="NGZ41" s="536"/>
      <c r="NHA41" s="536"/>
      <c r="NHB41" s="536"/>
      <c r="NHC41" s="536"/>
      <c r="NHD41" s="536"/>
      <c r="NHE41" s="536"/>
      <c r="NHF41" s="536"/>
      <c r="NHG41" s="536"/>
      <c r="NHH41" s="536"/>
      <c r="NHI41" s="536"/>
      <c r="NHJ41" s="536"/>
      <c r="NHK41" s="536"/>
      <c r="NHL41" s="536"/>
      <c r="NHM41" s="536"/>
      <c r="NHN41" s="536"/>
      <c r="NHO41" s="536"/>
      <c r="NHP41" s="536"/>
      <c r="NHQ41" s="536"/>
      <c r="NHR41" s="536"/>
      <c r="NHS41" s="536"/>
      <c r="NHT41" s="536"/>
      <c r="NHU41" s="536"/>
      <c r="NHV41" s="536"/>
      <c r="NHW41" s="536"/>
      <c r="NHX41" s="536"/>
      <c r="NHY41" s="536"/>
      <c r="NHZ41" s="536"/>
      <c r="NIA41" s="536"/>
      <c r="NIB41" s="536"/>
      <c r="NIC41" s="536"/>
      <c r="NID41" s="536"/>
      <c r="NIE41" s="536"/>
      <c r="NIF41" s="536"/>
      <c r="NIG41" s="536"/>
      <c r="NIH41" s="536"/>
      <c r="NII41" s="536"/>
      <c r="NIJ41" s="536"/>
      <c r="NIK41" s="536"/>
      <c r="NIL41" s="536"/>
      <c r="NIM41" s="536"/>
      <c r="NIN41" s="536"/>
      <c r="NIO41" s="536"/>
      <c r="NIP41" s="536"/>
      <c r="NIQ41" s="536"/>
      <c r="NIR41" s="536"/>
      <c r="NIS41" s="536"/>
      <c r="NIT41" s="536"/>
      <c r="NIU41" s="536"/>
      <c r="NIV41" s="536"/>
      <c r="NIW41" s="536"/>
      <c r="NIX41" s="536"/>
      <c r="NIY41" s="536"/>
      <c r="NIZ41" s="536"/>
      <c r="NJA41" s="536"/>
      <c r="NJB41" s="536"/>
      <c r="NJC41" s="536"/>
      <c r="NJD41" s="536"/>
      <c r="NJE41" s="536"/>
      <c r="NJF41" s="536"/>
      <c r="NJG41" s="536"/>
      <c r="NJH41" s="536"/>
      <c r="NJI41" s="536"/>
      <c r="NJJ41" s="536"/>
      <c r="NJK41" s="536"/>
      <c r="NJL41" s="536"/>
      <c r="NJM41" s="536"/>
      <c r="NJN41" s="536"/>
      <c r="NJO41" s="536"/>
      <c r="NJP41" s="536"/>
      <c r="NJQ41" s="536"/>
      <c r="NJR41" s="536"/>
      <c r="NJS41" s="536"/>
      <c r="NJT41" s="536"/>
      <c r="NJU41" s="536"/>
      <c r="NJV41" s="536"/>
      <c r="NJW41" s="536"/>
      <c r="NJX41" s="536"/>
      <c r="NJY41" s="536"/>
      <c r="NJZ41" s="536"/>
      <c r="NKA41" s="536"/>
      <c r="NKB41" s="536"/>
      <c r="NKC41" s="536"/>
      <c r="NKD41" s="536"/>
      <c r="NKE41" s="536"/>
      <c r="NKF41" s="536"/>
      <c r="NKG41" s="536"/>
      <c r="NKH41" s="536"/>
      <c r="NKI41" s="536"/>
      <c r="NKJ41" s="536"/>
      <c r="NKK41" s="536"/>
      <c r="NKL41" s="536"/>
      <c r="NKM41" s="536"/>
      <c r="NKN41" s="536"/>
      <c r="NKO41" s="536"/>
      <c r="NKP41" s="536"/>
      <c r="NKQ41" s="536"/>
      <c r="NKR41" s="536"/>
      <c r="NKS41" s="536"/>
      <c r="NKT41" s="536"/>
      <c r="NKU41" s="536"/>
      <c r="NKV41" s="536"/>
      <c r="NKW41" s="536"/>
      <c r="NKX41" s="536"/>
      <c r="NKY41" s="536"/>
      <c r="NKZ41" s="536"/>
      <c r="NLA41" s="536"/>
      <c r="NLB41" s="536"/>
      <c r="NLC41" s="536"/>
      <c r="NLD41" s="536"/>
      <c r="NLE41" s="536"/>
      <c r="NLF41" s="536"/>
      <c r="NLG41" s="536"/>
      <c r="NLH41" s="536"/>
      <c r="NLI41" s="536"/>
      <c r="NLJ41" s="536"/>
      <c r="NLK41" s="536"/>
      <c r="NLL41" s="536"/>
      <c r="NLM41" s="536"/>
      <c r="NLN41" s="536"/>
      <c r="NLO41" s="536"/>
      <c r="NLP41" s="536"/>
      <c r="NLQ41" s="536"/>
      <c r="NLR41" s="536"/>
      <c r="NLS41" s="536"/>
      <c r="NLT41" s="536"/>
      <c r="NLU41" s="536"/>
      <c r="NLV41" s="536"/>
      <c r="NLW41" s="536"/>
      <c r="NLX41" s="536"/>
      <c r="NLY41" s="536"/>
      <c r="NLZ41" s="536"/>
      <c r="NMA41" s="536"/>
      <c r="NMB41" s="536"/>
      <c r="NMC41" s="536"/>
      <c r="NMD41" s="536"/>
      <c r="NME41" s="536"/>
      <c r="NMF41" s="536"/>
      <c r="NMG41" s="536"/>
      <c r="NMH41" s="536"/>
      <c r="NMI41" s="536"/>
      <c r="NMJ41" s="536"/>
      <c r="NMK41" s="536"/>
      <c r="NML41" s="536"/>
      <c r="NMM41" s="536"/>
      <c r="NMN41" s="536"/>
      <c r="NMO41" s="536"/>
      <c r="NMP41" s="536"/>
      <c r="NMQ41" s="536"/>
      <c r="NMR41" s="536"/>
      <c r="NMS41" s="536"/>
      <c r="NMT41" s="536"/>
      <c r="NMU41" s="536"/>
      <c r="NMV41" s="536"/>
      <c r="NMW41" s="536"/>
      <c r="NMX41" s="536"/>
      <c r="NMY41" s="536"/>
      <c r="NMZ41" s="536"/>
      <c r="NNA41" s="536"/>
      <c r="NNB41" s="536"/>
      <c r="NNC41" s="536"/>
      <c r="NND41" s="536"/>
      <c r="NNE41" s="536"/>
      <c r="NNF41" s="536"/>
      <c r="NNG41" s="536"/>
      <c r="NNH41" s="536"/>
      <c r="NNI41" s="536"/>
      <c r="NNJ41" s="536"/>
      <c r="NNK41" s="536"/>
      <c r="NNL41" s="536"/>
      <c r="NNM41" s="536"/>
      <c r="NNN41" s="536"/>
      <c r="NNO41" s="536"/>
      <c r="NNP41" s="536"/>
      <c r="NNQ41" s="536"/>
      <c r="NNR41" s="536"/>
      <c r="NNS41" s="536"/>
      <c r="NNT41" s="536"/>
      <c r="NNU41" s="536"/>
      <c r="NNV41" s="536"/>
      <c r="NNW41" s="536"/>
      <c r="NNX41" s="536"/>
      <c r="NNY41" s="536"/>
      <c r="NNZ41" s="536"/>
      <c r="NOA41" s="536"/>
      <c r="NOB41" s="536"/>
      <c r="NOC41" s="536"/>
      <c r="NOD41" s="536"/>
      <c r="NOE41" s="536"/>
      <c r="NOF41" s="536"/>
      <c r="NOG41" s="536"/>
      <c r="NOH41" s="536"/>
      <c r="NOI41" s="536"/>
      <c r="NOJ41" s="536"/>
      <c r="NOK41" s="536"/>
      <c r="NOL41" s="536"/>
      <c r="NOM41" s="536"/>
      <c r="NON41" s="536"/>
      <c r="NOO41" s="536"/>
      <c r="NOP41" s="536"/>
      <c r="NOQ41" s="536"/>
      <c r="NOR41" s="536"/>
      <c r="NOS41" s="536"/>
      <c r="NOT41" s="536"/>
      <c r="NOU41" s="536"/>
      <c r="NOV41" s="536"/>
      <c r="NOW41" s="536"/>
      <c r="NOX41" s="536"/>
      <c r="NOY41" s="536"/>
      <c r="NOZ41" s="536"/>
      <c r="NPA41" s="536"/>
      <c r="NPB41" s="536"/>
      <c r="NPC41" s="536"/>
      <c r="NPD41" s="536"/>
      <c r="NPE41" s="536"/>
      <c r="NPF41" s="536"/>
      <c r="NPG41" s="536"/>
      <c r="NPH41" s="536"/>
      <c r="NPI41" s="536"/>
      <c r="NPJ41" s="536"/>
      <c r="NPK41" s="536"/>
      <c r="NPL41" s="536"/>
      <c r="NPM41" s="536"/>
      <c r="NPN41" s="536"/>
      <c r="NPO41" s="536"/>
      <c r="NPP41" s="536"/>
      <c r="NPQ41" s="536"/>
      <c r="NPR41" s="536"/>
      <c r="NPS41" s="536"/>
      <c r="NPT41" s="536"/>
      <c r="NPU41" s="536"/>
      <c r="NPV41" s="536"/>
      <c r="NPW41" s="536"/>
      <c r="NPX41" s="536"/>
      <c r="NPY41" s="536"/>
      <c r="NPZ41" s="536"/>
      <c r="NQA41" s="536"/>
      <c r="NQB41" s="536"/>
      <c r="NQC41" s="536"/>
      <c r="NQD41" s="536"/>
      <c r="NQE41" s="536"/>
      <c r="NQF41" s="536"/>
      <c r="NQG41" s="536"/>
      <c r="NQH41" s="536"/>
      <c r="NQI41" s="536"/>
      <c r="NQJ41" s="536"/>
      <c r="NQK41" s="536"/>
      <c r="NQL41" s="536"/>
      <c r="NQM41" s="536"/>
      <c r="NQN41" s="536"/>
      <c r="NQO41" s="536"/>
      <c r="NQP41" s="536"/>
      <c r="NQQ41" s="536"/>
      <c r="NQR41" s="536"/>
      <c r="NQS41" s="536"/>
      <c r="NQT41" s="536"/>
      <c r="NQU41" s="536"/>
      <c r="NQV41" s="536"/>
      <c r="NQW41" s="536"/>
      <c r="NQX41" s="536"/>
      <c r="NQY41" s="536"/>
      <c r="NQZ41" s="536"/>
      <c r="NRA41" s="536"/>
      <c r="NRB41" s="536"/>
      <c r="NRC41" s="536"/>
      <c r="NRD41" s="536"/>
      <c r="NRE41" s="536"/>
      <c r="NRF41" s="536"/>
      <c r="NRG41" s="536"/>
      <c r="NRH41" s="536"/>
      <c r="NRI41" s="536"/>
      <c r="NRJ41" s="536"/>
      <c r="NRK41" s="536"/>
      <c r="NRL41" s="536"/>
      <c r="NRM41" s="536"/>
      <c r="NRN41" s="536"/>
      <c r="NRO41" s="536"/>
      <c r="NRP41" s="536"/>
      <c r="NRQ41" s="536"/>
      <c r="NRR41" s="536"/>
      <c r="NRS41" s="536"/>
      <c r="NRT41" s="536"/>
      <c r="NRU41" s="536"/>
      <c r="NRV41" s="536"/>
      <c r="NRW41" s="536"/>
      <c r="NRX41" s="536"/>
      <c r="NRY41" s="536"/>
      <c r="NRZ41" s="536"/>
      <c r="NSA41" s="536"/>
      <c r="NSB41" s="536"/>
      <c r="NSC41" s="536"/>
      <c r="NSD41" s="536"/>
      <c r="NSE41" s="536"/>
      <c r="NSF41" s="536"/>
      <c r="NSG41" s="536"/>
      <c r="NSH41" s="536"/>
      <c r="NSI41" s="536"/>
      <c r="NSJ41" s="536"/>
      <c r="NSK41" s="536"/>
      <c r="NSL41" s="536"/>
      <c r="NSM41" s="536"/>
      <c r="NSN41" s="536"/>
      <c r="NSO41" s="536"/>
      <c r="NSP41" s="536"/>
      <c r="NSQ41" s="536"/>
      <c r="NSR41" s="536"/>
      <c r="NSS41" s="536"/>
      <c r="NST41" s="536"/>
      <c r="NSU41" s="536"/>
      <c r="NSV41" s="536"/>
      <c r="NSW41" s="536"/>
      <c r="NSX41" s="536"/>
      <c r="NSY41" s="536"/>
      <c r="NSZ41" s="536"/>
      <c r="NTA41" s="536"/>
      <c r="NTB41" s="536"/>
      <c r="NTC41" s="536"/>
      <c r="NTD41" s="536"/>
      <c r="NTE41" s="536"/>
      <c r="NTF41" s="536"/>
      <c r="NTG41" s="536"/>
      <c r="NTH41" s="536"/>
      <c r="NTI41" s="536"/>
      <c r="NTJ41" s="536"/>
      <c r="NTK41" s="536"/>
      <c r="NTL41" s="536"/>
      <c r="NTM41" s="536"/>
      <c r="NTN41" s="536"/>
      <c r="NTO41" s="536"/>
      <c r="NTP41" s="536"/>
      <c r="NTQ41" s="536"/>
      <c r="NTR41" s="536"/>
      <c r="NTS41" s="536"/>
      <c r="NTT41" s="536"/>
      <c r="NTU41" s="536"/>
      <c r="NTV41" s="536"/>
      <c r="NTW41" s="536"/>
      <c r="NTX41" s="536"/>
      <c r="NTY41" s="536"/>
      <c r="NTZ41" s="536"/>
      <c r="NUA41" s="536"/>
      <c r="NUB41" s="536"/>
      <c r="NUC41" s="536"/>
      <c r="NUD41" s="536"/>
      <c r="NUE41" s="536"/>
      <c r="NUF41" s="536"/>
      <c r="NUG41" s="536"/>
      <c r="NUH41" s="536"/>
      <c r="NUI41" s="536"/>
      <c r="NUJ41" s="536"/>
      <c r="NUK41" s="536"/>
      <c r="NUL41" s="536"/>
      <c r="NUM41" s="536"/>
      <c r="NUN41" s="536"/>
      <c r="NUO41" s="536"/>
      <c r="NUP41" s="536"/>
      <c r="NUQ41" s="536"/>
      <c r="NUR41" s="536"/>
      <c r="NUS41" s="536"/>
      <c r="NUT41" s="536"/>
      <c r="NUU41" s="536"/>
      <c r="NUV41" s="536"/>
      <c r="NUW41" s="536"/>
      <c r="NUX41" s="536"/>
      <c r="NUY41" s="536"/>
      <c r="NUZ41" s="536"/>
      <c r="NVA41" s="536"/>
      <c r="NVB41" s="536"/>
      <c r="NVC41" s="536"/>
      <c r="NVD41" s="536"/>
      <c r="NVE41" s="536"/>
      <c r="NVF41" s="536"/>
      <c r="NVG41" s="536"/>
      <c r="NVH41" s="536"/>
      <c r="NVI41" s="536"/>
      <c r="NVJ41" s="536"/>
      <c r="NVK41" s="536"/>
      <c r="NVL41" s="536"/>
      <c r="NVM41" s="536"/>
      <c r="NVN41" s="536"/>
      <c r="NVO41" s="536"/>
      <c r="NVP41" s="536"/>
      <c r="NVQ41" s="536"/>
      <c r="NVR41" s="536"/>
      <c r="NVS41" s="536"/>
      <c r="NVT41" s="536"/>
      <c r="NVU41" s="536"/>
      <c r="NVV41" s="536"/>
      <c r="NVW41" s="536"/>
      <c r="NVX41" s="536"/>
      <c r="NVY41" s="536"/>
      <c r="NVZ41" s="536"/>
      <c r="NWA41" s="536"/>
      <c r="NWB41" s="536"/>
      <c r="NWC41" s="536"/>
      <c r="NWD41" s="536"/>
      <c r="NWE41" s="536"/>
      <c r="NWF41" s="536"/>
      <c r="NWG41" s="536"/>
      <c r="NWH41" s="536"/>
      <c r="NWI41" s="536"/>
      <c r="NWJ41" s="536"/>
      <c r="NWK41" s="536"/>
      <c r="NWL41" s="536"/>
      <c r="NWM41" s="536"/>
      <c r="NWN41" s="536"/>
      <c r="NWO41" s="536"/>
      <c r="NWP41" s="536"/>
      <c r="NWQ41" s="536"/>
      <c r="NWR41" s="536"/>
      <c r="NWS41" s="536"/>
      <c r="NWT41" s="536"/>
      <c r="NWU41" s="536"/>
      <c r="NWV41" s="536"/>
      <c r="NWW41" s="536"/>
      <c r="NWX41" s="536"/>
      <c r="NWY41" s="536"/>
      <c r="NWZ41" s="536"/>
      <c r="NXA41" s="536"/>
      <c r="NXB41" s="536"/>
      <c r="NXC41" s="536"/>
      <c r="NXD41" s="536"/>
      <c r="NXE41" s="536"/>
      <c r="NXF41" s="536"/>
      <c r="NXG41" s="536"/>
      <c r="NXH41" s="536"/>
      <c r="NXI41" s="536"/>
      <c r="NXJ41" s="536"/>
      <c r="NXK41" s="536"/>
      <c r="NXL41" s="536"/>
      <c r="NXM41" s="536"/>
      <c r="NXN41" s="536"/>
      <c r="NXO41" s="536"/>
      <c r="NXP41" s="536"/>
      <c r="NXQ41" s="536"/>
      <c r="NXR41" s="536"/>
      <c r="NXS41" s="536"/>
      <c r="NXT41" s="536"/>
      <c r="NXU41" s="536"/>
      <c r="NXV41" s="536"/>
      <c r="NXW41" s="536"/>
      <c r="NXX41" s="536"/>
      <c r="NXY41" s="536"/>
      <c r="NXZ41" s="536"/>
      <c r="NYA41" s="536"/>
      <c r="NYB41" s="536"/>
      <c r="NYC41" s="536"/>
      <c r="NYD41" s="536"/>
      <c r="NYE41" s="536"/>
      <c r="NYF41" s="536"/>
      <c r="NYG41" s="536"/>
      <c r="NYH41" s="536"/>
      <c r="NYI41" s="536"/>
      <c r="NYJ41" s="536"/>
      <c r="NYK41" s="536"/>
      <c r="NYL41" s="536"/>
      <c r="NYM41" s="536"/>
      <c r="NYN41" s="536"/>
      <c r="NYO41" s="536"/>
      <c r="NYP41" s="536"/>
      <c r="NYQ41" s="536"/>
      <c r="NYR41" s="536"/>
      <c r="NYS41" s="536"/>
      <c r="NYT41" s="536"/>
      <c r="NYU41" s="536"/>
      <c r="NYV41" s="536"/>
      <c r="NYW41" s="536"/>
      <c r="NYX41" s="536"/>
      <c r="NYY41" s="536"/>
      <c r="NYZ41" s="536"/>
      <c r="NZA41" s="536"/>
      <c r="NZB41" s="536"/>
      <c r="NZC41" s="536"/>
      <c r="NZD41" s="536"/>
      <c r="NZE41" s="536"/>
      <c r="NZF41" s="536"/>
      <c r="NZG41" s="536"/>
      <c r="NZH41" s="536"/>
      <c r="NZI41" s="536"/>
      <c r="NZJ41" s="536"/>
      <c r="NZK41" s="536"/>
      <c r="NZL41" s="536"/>
      <c r="NZM41" s="536"/>
      <c r="NZN41" s="536"/>
      <c r="NZO41" s="536"/>
      <c r="NZP41" s="536"/>
      <c r="NZQ41" s="536"/>
      <c r="NZR41" s="536"/>
      <c r="NZS41" s="536"/>
      <c r="NZT41" s="536"/>
      <c r="NZU41" s="536"/>
      <c r="NZV41" s="536"/>
      <c r="NZW41" s="536"/>
      <c r="NZX41" s="536"/>
      <c r="NZY41" s="536"/>
      <c r="NZZ41" s="536"/>
      <c r="OAA41" s="536"/>
      <c r="OAB41" s="536"/>
      <c r="OAC41" s="536"/>
      <c r="OAD41" s="536"/>
      <c r="OAE41" s="536"/>
      <c r="OAF41" s="536"/>
      <c r="OAG41" s="536"/>
      <c r="OAH41" s="536"/>
      <c r="OAI41" s="536"/>
      <c r="OAJ41" s="536"/>
      <c r="OAK41" s="536"/>
      <c r="OAL41" s="536"/>
      <c r="OAM41" s="536"/>
      <c r="OAN41" s="536"/>
      <c r="OAO41" s="536"/>
      <c r="OAP41" s="536"/>
      <c r="OAQ41" s="536"/>
      <c r="OAR41" s="536"/>
      <c r="OAS41" s="536"/>
      <c r="OAT41" s="536"/>
      <c r="OAU41" s="536"/>
      <c r="OAV41" s="536"/>
      <c r="OAW41" s="536"/>
      <c r="OAX41" s="536"/>
      <c r="OAY41" s="536"/>
      <c r="OAZ41" s="536"/>
      <c r="OBA41" s="536"/>
      <c r="OBB41" s="536"/>
      <c r="OBC41" s="536"/>
      <c r="OBD41" s="536"/>
      <c r="OBE41" s="536"/>
      <c r="OBF41" s="536"/>
      <c r="OBG41" s="536"/>
      <c r="OBH41" s="536"/>
      <c r="OBI41" s="536"/>
      <c r="OBJ41" s="536"/>
      <c r="OBK41" s="536"/>
      <c r="OBL41" s="536"/>
      <c r="OBM41" s="536"/>
      <c r="OBN41" s="536"/>
      <c r="OBO41" s="536"/>
      <c r="OBP41" s="536"/>
      <c r="OBQ41" s="536"/>
      <c r="OBR41" s="536"/>
      <c r="OBS41" s="536"/>
      <c r="OBT41" s="536"/>
      <c r="OBU41" s="536"/>
      <c r="OBV41" s="536"/>
      <c r="OBW41" s="536"/>
      <c r="OBX41" s="536"/>
      <c r="OBY41" s="536"/>
      <c r="OBZ41" s="536"/>
      <c r="OCA41" s="536"/>
      <c r="OCB41" s="536"/>
      <c r="OCC41" s="536"/>
      <c r="OCD41" s="536"/>
      <c r="OCE41" s="536"/>
      <c r="OCF41" s="536"/>
      <c r="OCG41" s="536"/>
      <c r="OCH41" s="536"/>
      <c r="OCI41" s="536"/>
      <c r="OCJ41" s="536"/>
      <c r="OCK41" s="536"/>
      <c r="OCL41" s="536"/>
      <c r="OCM41" s="536"/>
      <c r="OCN41" s="536"/>
      <c r="OCO41" s="536"/>
      <c r="OCP41" s="536"/>
      <c r="OCQ41" s="536"/>
      <c r="OCR41" s="536"/>
      <c r="OCS41" s="536"/>
      <c r="OCT41" s="536"/>
      <c r="OCU41" s="536"/>
      <c r="OCV41" s="536"/>
      <c r="OCW41" s="536"/>
      <c r="OCX41" s="536"/>
      <c r="OCY41" s="536"/>
      <c r="OCZ41" s="536"/>
      <c r="ODA41" s="536"/>
      <c r="ODB41" s="536"/>
      <c r="ODC41" s="536"/>
      <c r="ODD41" s="536"/>
      <c r="ODE41" s="536"/>
      <c r="ODF41" s="536"/>
      <c r="ODG41" s="536"/>
      <c r="ODH41" s="536"/>
      <c r="ODI41" s="536"/>
      <c r="ODJ41" s="536"/>
      <c r="ODK41" s="536"/>
      <c r="ODL41" s="536"/>
      <c r="ODM41" s="536"/>
      <c r="ODN41" s="536"/>
      <c r="ODO41" s="536"/>
      <c r="ODP41" s="536"/>
      <c r="ODQ41" s="536"/>
      <c r="ODR41" s="536"/>
      <c r="ODS41" s="536"/>
      <c r="ODT41" s="536"/>
      <c r="ODU41" s="536"/>
      <c r="ODV41" s="536"/>
      <c r="ODW41" s="536"/>
      <c r="ODX41" s="536"/>
      <c r="ODY41" s="536"/>
      <c r="ODZ41" s="536"/>
      <c r="OEA41" s="536"/>
      <c r="OEB41" s="536"/>
      <c r="OEC41" s="536"/>
      <c r="OED41" s="536"/>
      <c r="OEE41" s="536"/>
      <c r="OEF41" s="536"/>
      <c r="OEG41" s="536"/>
      <c r="OEH41" s="536"/>
      <c r="OEI41" s="536"/>
      <c r="OEJ41" s="536"/>
      <c r="OEK41" s="536"/>
      <c r="OEL41" s="536"/>
      <c r="OEM41" s="536"/>
      <c r="OEN41" s="536"/>
      <c r="OEO41" s="536"/>
      <c r="OEP41" s="536"/>
      <c r="OEQ41" s="536"/>
      <c r="OER41" s="536"/>
      <c r="OES41" s="536"/>
      <c r="OET41" s="536"/>
      <c r="OEU41" s="536"/>
      <c r="OEV41" s="536"/>
      <c r="OEW41" s="536"/>
      <c r="OEX41" s="536"/>
      <c r="OEY41" s="536"/>
      <c r="OEZ41" s="536"/>
      <c r="OFA41" s="536"/>
      <c r="OFB41" s="536"/>
      <c r="OFC41" s="536"/>
      <c r="OFD41" s="536"/>
      <c r="OFE41" s="536"/>
      <c r="OFF41" s="536"/>
      <c r="OFG41" s="536"/>
      <c r="OFH41" s="536"/>
      <c r="OFI41" s="536"/>
      <c r="OFJ41" s="536"/>
      <c r="OFK41" s="536"/>
      <c r="OFL41" s="536"/>
      <c r="OFM41" s="536"/>
      <c r="OFN41" s="536"/>
      <c r="OFO41" s="536"/>
      <c r="OFP41" s="536"/>
      <c r="OFQ41" s="536"/>
      <c r="OFR41" s="536"/>
      <c r="OFS41" s="536"/>
      <c r="OFT41" s="536"/>
      <c r="OFU41" s="536"/>
      <c r="OFV41" s="536"/>
      <c r="OFW41" s="536"/>
      <c r="OFX41" s="536"/>
      <c r="OFY41" s="536"/>
      <c r="OFZ41" s="536"/>
      <c r="OGA41" s="536"/>
      <c r="OGB41" s="536"/>
      <c r="OGC41" s="536"/>
      <c r="OGD41" s="536"/>
      <c r="OGE41" s="536"/>
      <c r="OGF41" s="536"/>
      <c r="OGG41" s="536"/>
      <c r="OGH41" s="536"/>
      <c r="OGI41" s="536"/>
      <c r="OGJ41" s="536"/>
      <c r="OGK41" s="536"/>
      <c r="OGL41" s="536"/>
      <c r="OGM41" s="536"/>
      <c r="OGN41" s="536"/>
      <c r="OGO41" s="536"/>
      <c r="OGP41" s="536"/>
      <c r="OGQ41" s="536"/>
      <c r="OGR41" s="536"/>
      <c r="OGS41" s="536"/>
      <c r="OGT41" s="536"/>
      <c r="OGU41" s="536"/>
      <c r="OGV41" s="536"/>
      <c r="OGW41" s="536"/>
      <c r="OGX41" s="536"/>
      <c r="OGY41" s="536"/>
      <c r="OGZ41" s="536"/>
      <c r="OHA41" s="536"/>
      <c r="OHB41" s="536"/>
      <c r="OHC41" s="536"/>
      <c r="OHD41" s="536"/>
      <c r="OHE41" s="536"/>
      <c r="OHF41" s="536"/>
      <c r="OHG41" s="536"/>
      <c r="OHH41" s="536"/>
      <c r="OHI41" s="536"/>
      <c r="OHJ41" s="536"/>
      <c r="OHK41" s="536"/>
      <c r="OHL41" s="536"/>
      <c r="OHM41" s="536"/>
      <c r="OHN41" s="536"/>
      <c r="OHO41" s="536"/>
      <c r="OHP41" s="536"/>
      <c r="OHQ41" s="536"/>
      <c r="OHR41" s="536"/>
      <c r="OHS41" s="536"/>
      <c r="OHT41" s="536"/>
      <c r="OHU41" s="536"/>
      <c r="OHV41" s="536"/>
      <c r="OHW41" s="536"/>
      <c r="OHX41" s="536"/>
      <c r="OHY41" s="536"/>
      <c r="OHZ41" s="536"/>
      <c r="OIA41" s="536"/>
      <c r="OIB41" s="536"/>
      <c r="OIC41" s="536"/>
      <c r="OID41" s="536"/>
      <c r="OIE41" s="536"/>
      <c r="OIF41" s="536"/>
      <c r="OIG41" s="536"/>
      <c r="OIH41" s="536"/>
      <c r="OII41" s="536"/>
      <c r="OIJ41" s="536"/>
      <c r="OIK41" s="536"/>
      <c r="OIL41" s="536"/>
      <c r="OIM41" s="536"/>
      <c r="OIN41" s="536"/>
      <c r="OIO41" s="536"/>
      <c r="OIP41" s="536"/>
      <c r="OIQ41" s="536"/>
      <c r="OIR41" s="536"/>
      <c r="OIS41" s="536"/>
      <c r="OIT41" s="536"/>
      <c r="OIU41" s="536"/>
      <c r="OIV41" s="536"/>
      <c r="OIW41" s="536"/>
      <c r="OIX41" s="536"/>
      <c r="OIY41" s="536"/>
      <c r="OIZ41" s="536"/>
      <c r="OJA41" s="536"/>
      <c r="OJB41" s="536"/>
      <c r="OJC41" s="536"/>
      <c r="OJD41" s="536"/>
      <c r="OJE41" s="536"/>
      <c r="OJF41" s="536"/>
      <c r="OJG41" s="536"/>
      <c r="OJH41" s="536"/>
      <c r="OJI41" s="536"/>
      <c r="OJJ41" s="536"/>
      <c r="OJK41" s="536"/>
      <c r="OJL41" s="536"/>
      <c r="OJM41" s="536"/>
      <c r="OJN41" s="536"/>
      <c r="OJO41" s="536"/>
      <c r="OJP41" s="536"/>
      <c r="OJQ41" s="536"/>
      <c r="OJR41" s="536"/>
      <c r="OJS41" s="536"/>
      <c r="OJT41" s="536"/>
      <c r="OJU41" s="536"/>
      <c r="OJV41" s="536"/>
      <c r="OJW41" s="536"/>
      <c r="OJX41" s="536"/>
      <c r="OJY41" s="536"/>
      <c r="OJZ41" s="536"/>
      <c r="OKA41" s="536"/>
      <c r="OKB41" s="536"/>
      <c r="OKC41" s="536"/>
      <c r="OKD41" s="536"/>
      <c r="OKE41" s="536"/>
      <c r="OKF41" s="536"/>
      <c r="OKG41" s="536"/>
      <c r="OKH41" s="536"/>
      <c r="OKI41" s="536"/>
      <c r="OKJ41" s="536"/>
      <c r="OKK41" s="536"/>
      <c r="OKL41" s="536"/>
      <c r="OKM41" s="536"/>
      <c r="OKN41" s="536"/>
      <c r="OKO41" s="536"/>
      <c r="OKP41" s="536"/>
      <c r="OKQ41" s="536"/>
      <c r="OKR41" s="536"/>
      <c r="OKS41" s="536"/>
      <c r="OKT41" s="536"/>
      <c r="OKU41" s="536"/>
      <c r="OKV41" s="536"/>
      <c r="OKW41" s="536"/>
      <c r="OKX41" s="536"/>
      <c r="OKY41" s="536"/>
      <c r="OKZ41" s="536"/>
      <c r="OLA41" s="536"/>
      <c r="OLB41" s="536"/>
      <c r="OLC41" s="536"/>
      <c r="OLD41" s="536"/>
      <c r="OLE41" s="536"/>
      <c r="OLF41" s="536"/>
      <c r="OLG41" s="536"/>
      <c r="OLH41" s="536"/>
      <c r="OLI41" s="536"/>
      <c r="OLJ41" s="536"/>
      <c r="OLK41" s="536"/>
      <c r="OLL41" s="536"/>
      <c r="OLM41" s="536"/>
      <c r="OLN41" s="536"/>
      <c r="OLO41" s="536"/>
      <c r="OLP41" s="536"/>
      <c r="OLQ41" s="536"/>
      <c r="OLR41" s="536"/>
      <c r="OLS41" s="536"/>
      <c r="OLT41" s="536"/>
      <c r="OLU41" s="536"/>
      <c r="OLV41" s="536"/>
      <c r="OLW41" s="536"/>
      <c r="OLX41" s="536"/>
      <c r="OLY41" s="536"/>
      <c r="OLZ41" s="536"/>
      <c r="OMA41" s="536"/>
      <c r="OMB41" s="536"/>
      <c r="OMC41" s="536"/>
      <c r="OMD41" s="536"/>
      <c r="OME41" s="536"/>
      <c r="OMF41" s="536"/>
      <c r="OMG41" s="536"/>
      <c r="OMH41" s="536"/>
      <c r="OMI41" s="536"/>
      <c r="OMJ41" s="536"/>
      <c r="OMK41" s="536"/>
      <c r="OML41" s="536"/>
      <c r="OMM41" s="536"/>
      <c r="OMN41" s="536"/>
      <c r="OMO41" s="536"/>
      <c r="OMP41" s="536"/>
      <c r="OMQ41" s="536"/>
      <c r="OMR41" s="536"/>
      <c r="OMS41" s="536"/>
      <c r="OMT41" s="536"/>
      <c r="OMU41" s="536"/>
      <c r="OMV41" s="536"/>
      <c r="OMW41" s="536"/>
      <c r="OMX41" s="536"/>
      <c r="OMY41" s="536"/>
      <c r="OMZ41" s="536"/>
      <c r="ONA41" s="536"/>
      <c r="ONB41" s="536"/>
      <c r="ONC41" s="536"/>
      <c r="OND41" s="536"/>
      <c r="ONE41" s="536"/>
      <c r="ONF41" s="536"/>
      <c r="ONG41" s="536"/>
      <c r="ONH41" s="536"/>
      <c r="ONI41" s="536"/>
      <c r="ONJ41" s="536"/>
      <c r="ONK41" s="536"/>
      <c r="ONL41" s="536"/>
      <c r="ONM41" s="536"/>
      <c r="ONN41" s="536"/>
      <c r="ONO41" s="536"/>
      <c r="ONP41" s="536"/>
      <c r="ONQ41" s="536"/>
      <c r="ONR41" s="536"/>
      <c r="ONS41" s="536"/>
      <c r="ONT41" s="536"/>
      <c r="ONU41" s="536"/>
      <c r="ONV41" s="536"/>
      <c r="ONW41" s="536"/>
      <c r="ONX41" s="536"/>
      <c r="ONY41" s="536"/>
      <c r="ONZ41" s="536"/>
      <c r="OOA41" s="536"/>
      <c r="OOB41" s="536"/>
      <c r="OOC41" s="536"/>
      <c r="OOD41" s="536"/>
      <c r="OOE41" s="536"/>
      <c r="OOF41" s="536"/>
      <c r="OOG41" s="536"/>
      <c r="OOH41" s="536"/>
      <c r="OOI41" s="536"/>
      <c r="OOJ41" s="536"/>
      <c r="OOK41" s="536"/>
      <c r="OOL41" s="536"/>
      <c r="OOM41" s="536"/>
      <c r="OON41" s="536"/>
      <c r="OOO41" s="536"/>
      <c r="OOP41" s="536"/>
      <c r="OOQ41" s="536"/>
      <c r="OOR41" s="536"/>
      <c r="OOS41" s="536"/>
      <c r="OOT41" s="536"/>
      <c r="OOU41" s="536"/>
      <c r="OOV41" s="536"/>
      <c r="OOW41" s="536"/>
      <c r="OOX41" s="536"/>
      <c r="OOY41" s="536"/>
      <c r="OOZ41" s="536"/>
      <c r="OPA41" s="536"/>
      <c r="OPB41" s="536"/>
      <c r="OPC41" s="536"/>
      <c r="OPD41" s="536"/>
      <c r="OPE41" s="536"/>
      <c r="OPF41" s="536"/>
      <c r="OPG41" s="536"/>
      <c r="OPH41" s="536"/>
      <c r="OPI41" s="536"/>
      <c r="OPJ41" s="536"/>
      <c r="OPK41" s="536"/>
      <c r="OPL41" s="536"/>
      <c r="OPM41" s="536"/>
      <c r="OPN41" s="536"/>
      <c r="OPO41" s="536"/>
      <c r="OPP41" s="536"/>
      <c r="OPQ41" s="536"/>
      <c r="OPR41" s="536"/>
      <c r="OPS41" s="536"/>
      <c r="OPT41" s="536"/>
      <c r="OPU41" s="536"/>
      <c r="OPV41" s="536"/>
      <c r="OPW41" s="536"/>
      <c r="OPX41" s="536"/>
      <c r="OPY41" s="536"/>
      <c r="OPZ41" s="536"/>
      <c r="OQA41" s="536"/>
      <c r="OQB41" s="536"/>
      <c r="OQC41" s="536"/>
      <c r="OQD41" s="536"/>
      <c r="OQE41" s="536"/>
      <c r="OQF41" s="536"/>
      <c r="OQG41" s="536"/>
      <c r="OQH41" s="536"/>
      <c r="OQI41" s="536"/>
      <c r="OQJ41" s="536"/>
      <c r="OQK41" s="536"/>
      <c r="OQL41" s="536"/>
      <c r="OQM41" s="536"/>
      <c r="OQN41" s="536"/>
      <c r="OQO41" s="536"/>
      <c r="OQP41" s="536"/>
      <c r="OQQ41" s="536"/>
      <c r="OQR41" s="536"/>
      <c r="OQS41" s="536"/>
      <c r="OQT41" s="536"/>
      <c r="OQU41" s="536"/>
      <c r="OQV41" s="536"/>
      <c r="OQW41" s="536"/>
      <c r="OQX41" s="536"/>
      <c r="OQY41" s="536"/>
      <c r="OQZ41" s="536"/>
      <c r="ORA41" s="536"/>
      <c r="ORB41" s="536"/>
      <c r="ORC41" s="536"/>
      <c r="ORD41" s="536"/>
      <c r="ORE41" s="536"/>
      <c r="ORF41" s="536"/>
      <c r="ORG41" s="536"/>
      <c r="ORH41" s="536"/>
      <c r="ORI41" s="536"/>
      <c r="ORJ41" s="536"/>
      <c r="ORK41" s="536"/>
      <c r="ORL41" s="536"/>
      <c r="ORM41" s="536"/>
      <c r="ORN41" s="536"/>
      <c r="ORO41" s="536"/>
      <c r="ORP41" s="536"/>
      <c r="ORQ41" s="536"/>
      <c r="ORR41" s="536"/>
      <c r="ORS41" s="536"/>
      <c r="ORT41" s="536"/>
      <c r="ORU41" s="536"/>
      <c r="ORV41" s="536"/>
      <c r="ORW41" s="536"/>
      <c r="ORX41" s="536"/>
      <c r="ORY41" s="536"/>
      <c r="ORZ41" s="536"/>
      <c r="OSA41" s="536"/>
      <c r="OSB41" s="536"/>
      <c r="OSC41" s="536"/>
      <c r="OSD41" s="536"/>
      <c r="OSE41" s="536"/>
      <c r="OSF41" s="536"/>
      <c r="OSG41" s="536"/>
      <c r="OSH41" s="536"/>
      <c r="OSI41" s="536"/>
      <c r="OSJ41" s="536"/>
      <c r="OSK41" s="536"/>
      <c r="OSL41" s="536"/>
      <c r="OSM41" s="536"/>
      <c r="OSN41" s="536"/>
      <c r="OSO41" s="536"/>
      <c r="OSP41" s="536"/>
      <c r="OSQ41" s="536"/>
      <c r="OSR41" s="536"/>
      <c r="OSS41" s="536"/>
      <c r="OST41" s="536"/>
      <c r="OSU41" s="536"/>
      <c r="OSV41" s="536"/>
      <c r="OSW41" s="536"/>
      <c r="OSX41" s="536"/>
      <c r="OSY41" s="536"/>
      <c r="OSZ41" s="536"/>
      <c r="OTA41" s="536"/>
      <c r="OTB41" s="536"/>
      <c r="OTC41" s="536"/>
      <c r="OTD41" s="536"/>
      <c r="OTE41" s="536"/>
      <c r="OTF41" s="536"/>
      <c r="OTG41" s="536"/>
      <c r="OTH41" s="536"/>
      <c r="OTI41" s="536"/>
      <c r="OTJ41" s="536"/>
      <c r="OTK41" s="536"/>
      <c r="OTL41" s="536"/>
      <c r="OTM41" s="536"/>
      <c r="OTN41" s="536"/>
      <c r="OTO41" s="536"/>
      <c r="OTP41" s="536"/>
      <c r="OTQ41" s="536"/>
      <c r="OTR41" s="536"/>
      <c r="OTS41" s="536"/>
      <c r="OTT41" s="536"/>
      <c r="OTU41" s="536"/>
      <c r="OTV41" s="536"/>
      <c r="OTW41" s="536"/>
      <c r="OTX41" s="536"/>
      <c r="OTY41" s="536"/>
      <c r="OTZ41" s="536"/>
      <c r="OUA41" s="536"/>
      <c r="OUB41" s="536"/>
      <c r="OUC41" s="536"/>
      <c r="OUD41" s="536"/>
      <c r="OUE41" s="536"/>
      <c r="OUF41" s="536"/>
      <c r="OUG41" s="536"/>
      <c r="OUH41" s="536"/>
      <c r="OUI41" s="536"/>
      <c r="OUJ41" s="536"/>
      <c r="OUK41" s="536"/>
      <c r="OUL41" s="536"/>
      <c r="OUM41" s="536"/>
      <c r="OUN41" s="536"/>
      <c r="OUO41" s="536"/>
      <c r="OUP41" s="536"/>
      <c r="OUQ41" s="536"/>
      <c r="OUR41" s="536"/>
      <c r="OUS41" s="536"/>
      <c r="OUT41" s="536"/>
      <c r="OUU41" s="536"/>
      <c r="OUV41" s="536"/>
      <c r="OUW41" s="536"/>
      <c r="OUX41" s="536"/>
      <c r="OUY41" s="536"/>
      <c r="OUZ41" s="536"/>
      <c r="OVA41" s="536"/>
      <c r="OVB41" s="536"/>
      <c r="OVC41" s="536"/>
      <c r="OVD41" s="536"/>
      <c r="OVE41" s="536"/>
      <c r="OVF41" s="536"/>
      <c r="OVG41" s="536"/>
      <c r="OVH41" s="536"/>
      <c r="OVI41" s="536"/>
      <c r="OVJ41" s="536"/>
      <c r="OVK41" s="536"/>
      <c r="OVL41" s="536"/>
      <c r="OVM41" s="536"/>
      <c r="OVN41" s="536"/>
      <c r="OVO41" s="536"/>
      <c r="OVP41" s="536"/>
      <c r="OVQ41" s="536"/>
      <c r="OVR41" s="536"/>
      <c r="OVS41" s="536"/>
      <c r="OVT41" s="536"/>
      <c r="OVU41" s="536"/>
      <c r="OVV41" s="536"/>
      <c r="OVW41" s="536"/>
      <c r="OVX41" s="536"/>
      <c r="OVY41" s="536"/>
      <c r="OVZ41" s="536"/>
      <c r="OWA41" s="536"/>
      <c r="OWB41" s="536"/>
      <c r="OWC41" s="536"/>
      <c r="OWD41" s="536"/>
      <c r="OWE41" s="536"/>
      <c r="OWF41" s="536"/>
      <c r="OWG41" s="536"/>
      <c r="OWH41" s="536"/>
      <c r="OWI41" s="536"/>
      <c r="OWJ41" s="536"/>
      <c r="OWK41" s="536"/>
      <c r="OWL41" s="536"/>
      <c r="OWM41" s="536"/>
      <c r="OWN41" s="536"/>
      <c r="OWO41" s="536"/>
      <c r="OWP41" s="536"/>
      <c r="OWQ41" s="536"/>
      <c r="OWR41" s="536"/>
      <c r="OWS41" s="536"/>
      <c r="OWT41" s="536"/>
      <c r="OWU41" s="536"/>
      <c r="OWV41" s="536"/>
      <c r="OWW41" s="536"/>
      <c r="OWX41" s="536"/>
      <c r="OWY41" s="536"/>
      <c r="OWZ41" s="536"/>
      <c r="OXA41" s="536"/>
      <c r="OXB41" s="536"/>
      <c r="OXC41" s="536"/>
      <c r="OXD41" s="536"/>
      <c r="OXE41" s="536"/>
      <c r="OXF41" s="536"/>
      <c r="OXG41" s="536"/>
      <c r="OXH41" s="536"/>
      <c r="OXI41" s="536"/>
      <c r="OXJ41" s="536"/>
      <c r="OXK41" s="536"/>
      <c r="OXL41" s="536"/>
      <c r="OXM41" s="536"/>
      <c r="OXN41" s="536"/>
      <c r="OXO41" s="536"/>
      <c r="OXP41" s="536"/>
      <c r="OXQ41" s="536"/>
      <c r="OXR41" s="536"/>
      <c r="OXS41" s="536"/>
      <c r="OXT41" s="536"/>
      <c r="OXU41" s="536"/>
      <c r="OXV41" s="536"/>
      <c r="OXW41" s="536"/>
      <c r="OXX41" s="536"/>
      <c r="OXY41" s="536"/>
      <c r="OXZ41" s="536"/>
      <c r="OYA41" s="536"/>
      <c r="OYB41" s="536"/>
      <c r="OYC41" s="536"/>
      <c r="OYD41" s="536"/>
      <c r="OYE41" s="536"/>
      <c r="OYF41" s="536"/>
      <c r="OYG41" s="536"/>
      <c r="OYH41" s="536"/>
      <c r="OYI41" s="536"/>
      <c r="OYJ41" s="536"/>
      <c r="OYK41" s="536"/>
      <c r="OYL41" s="536"/>
      <c r="OYM41" s="536"/>
      <c r="OYN41" s="536"/>
      <c r="OYO41" s="536"/>
      <c r="OYP41" s="536"/>
      <c r="OYQ41" s="536"/>
      <c r="OYR41" s="536"/>
      <c r="OYS41" s="536"/>
      <c r="OYT41" s="536"/>
      <c r="OYU41" s="536"/>
      <c r="OYV41" s="536"/>
      <c r="OYW41" s="536"/>
      <c r="OYX41" s="536"/>
      <c r="OYY41" s="536"/>
      <c r="OYZ41" s="536"/>
      <c r="OZA41" s="536"/>
      <c r="OZB41" s="536"/>
      <c r="OZC41" s="536"/>
      <c r="OZD41" s="536"/>
      <c r="OZE41" s="536"/>
      <c r="OZF41" s="536"/>
      <c r="OZG41" s="536"/>
      <c r="OZH41" s="536"/>
      <c r="OZI41" s="536"/>
      <c r="OZJ41" s="536"/>
      <c r="OZK41" s="536"/>
      <c r="OZL41" s="536"/>
      <c r="OZM41" s="536"/>
      <c r="OZN41" s="536"/>
      <c r="OZO41" s="536"/>
      <c r="OZP41" s="536"/>
      <c r="OZQ41" s="536"/>
      <c r="OZR41" s="536"/>
      <c r="OZS41" s="536"/>
      <c r="OZT41" s="536"/>
      <c r="OZU41" s="536"/>
      <c r="OZV41" s="536"/>
      <c r="OZW41" s="536"/>
      <c r="OZX41" s="536"/>
      <c r="OZY41" s="536"/>
      <c r="OZZ41" s="536"/>
      <c r="PAA41" s="536"/>
      <c r="PAB41" s="536"/>
      <c r="PAC41" s="536"/>
      <c r="PAD41" s="536"/>
      <c r="PAE41" s="536"/>
      <c r="PAF41" s="536"/>
      <c r="PAG41" s="536"/>
      <c r="PAH41" s="536"/>
      <c r="PAI41" s="536"/>
      <c r="PAJ41" s="536"/>
      <c r="PAK41" s="536"/>
      <c r="PAL41" s="536"/>
      <c r="PAM41" s="536"/>
      <c r="PAN41" s="536"/>
      <c r="PAO41" s="536"/>
      <c r="PAP41" s="536"/>
      <c r="PAQ41" s="536"/>
      <c r="PAR41" s="536"/>
      <c r="PAS41" s="536"/>
      <c r="PAT41" s="536"/>
      <c r="PAU41" s="536"/>
      <c r="PAV41" s="536"/>
      <c r="PAW41" s="536"/>
      <c r="PAX41" s="536"/>
      <c r="PAY41" s="536"/>
      <c r="PAZ41" s="536"/>
      <c r="PBA41" s="536"/>
      <c r="PBB41" s="536"/>
      <c r="PBC41" s="536"/>
      <c r="PBD41" s="536"/>
      <c r="PBE41" s="536"/>
      <c r="PBF41" s="536"/>
      <c r="PBG41" s="536"/>
      <c r="PBH41" s="536"/>
      <c r="PBI41" s="536"/>
      <c r="PBJ41" s="536"/>
      <c r="PBK41" s="536"/>
      <c r="PBL41" s="536"/>
      <c r="PBM41" s="536"/>
      <c r="PBN41" s="536"/>
      <c r="PBO41" s="536"/>
      <c r="PBP41" s="536"/>
      <c r="PBQ41" s="536"/>
      <c r="PBR41" s="536"/>
      <c r="PBS41" s="536"/>
      <c r="PBT41" s="536"/>
      <c r="PBU41" s="536"/>
      <c r="PBV41" s="536"/>
      <c r="PBW41" s="536"/>
      <c r="PBX41" s="536"/>
      <c r="PBY41" s="536"/>
      <c r="PBZ41" s="536"/>
      <c r="PCA41" s="536"/>
      <c r="PCB41" s="536"/>
      <c r="PCC41" s="536"/>
      <c r="PCD41" s="536"/>
      <c r="PCE41" s="536"/>
      <c r="PCF41" s="536"/>
      <c r="PCG41" s="536"/>
      <c r="PCH41" s="536"/>
      <c r="PCI41" s="536"/>
      <c r="PCJ41" s="536"/>
      <c r="PCK41" s="536"/>
      <c r="PCL41" s="536"/>
      <c r="PCM41" s="536"/>
      <c r="PCN41" s="536"/>
      <c r="PCO41" s="536"/>
      <c r="PCP41" s="536"/>
      <c r="PCQ41" s="536"/>
      <c r="PCR41" s="536"/>
      <c r="PCS41" s="536"/>
      <c r="PCT41" s="536"/>
      <c r="PCU41" s="536"/>
      <c r="PCV41" s="536"/>
      <c r="PCW41" s="536"/>
      <c r="PCX41" s="536"/>
      <c r="PCY41" s="536"/>
      <c r="PCZ41" s="536"/>
      <c r="PDA41" s="536"/>
      <c r="PDB41" s="536"/>
      <c r="PDC41" s="536"/>
      <c r="PDD41" s="536"/>
      <c r="PDE41" s="536"/>
      <c r="PDF41" s="536"/>
      <c r="PDG41" s="536"/>
      <c r="PDH41" s="536"/>
      <c r="PDI41" s="536"/>
      <c r="PDJ41" s="536"/>
      <c r="PDK41" s="536"/>
      <c r="PDL41" s="536"/>
      <c r="PDM41" s="536"/>
      <c r="PDN41" s="536"/>
      <c r="PDO41" s="536"/>
      <c r="PDP41" s="536"/>
      <c r="PDQ41" s="536"/>
      <c r="PDR41" s="536"/>
      <c r="PDS41" s="536"/>
      <c r="PDT41" s="536"/>
      <c r="PDU41" s="536"/>
      <c r="PDV41" s="536"/>
      <c r="PDW41" s="536"/>
      <c r="PDX41" s="536"/>
      <c r="PDY41" s="536"/>
      <c r="PDZ41" s="536"/>
      <c r="PEA41" s="536"/>
      <c r="PEB41" s="536"/>
      <c r="PEC41" s="536"/>
      <c r="PED41" s="536"/>
      <c r="PEE41" s="536"/>
      <c r="PEF41" s="536"/>
      <c r="PEG41" s="536"/>
      <c r="PEH41" s="536"/>
      <c r="PEI41" s="536"/>
      <c r="PEJ41" s="536"/>
      <c r="PEK41" s="536"/>
      <c r="PEL41" s="536"/>
      <c r="PEM41" s="536"/>
      <c r="PEN41" s="536"/>
      <c r="PEO41" s="536"/>
      <c r="PEP41" s="536"/>
      <c r="PEQ41" s="536"/>
      <c r="PER41" s="536"/>
      <c r="PES41" s="536"/>
      <c r="PET41" s="536"/>
      <c r="PEU41" s="536"/>
      <c r="PEV41" s="536"/>
      <c r="PEW41" s="536"/>
      <c r="PEX41" s="536"/>
      <c r="PEY41" s="536"/>
      <c r="PEZ41" s="536"/>
      <c r="PFA41" s="536"/>
      <c r="PFB41" s="536"/>
      <c r="PFC41" s="536"/>
      <c r="PFD41" s="536"/>
      <c r="PFE41" s="536"/>
      <c r="PFF41" s="536"/>
      <c r="PFG41" s="536"/>
      <c r="PFH41" s="536"/>
      <c r="PFI41" s="536"/>
      <c r="PFJ41" s="536"/>
      <c r="PFK41" s="536"/>
      <c r="PFL41" s="536"/>
      <c r="PFM41" s="536"/>
      <c r="PFN41" s="536"/>
      <c r="PFO41" s="536"/>
      <c r="PFP41" s="536"/>
      <c r="PFQ41" s="536"/>
      <c r="PFR41" s="536"/>
      <c r="PFS41" s="536"/>
      <c r="PFT41" s="536"/>
      <c r="PFU41" s="536"/>
      <c r="PFV41" s="536"/>
      <c r="PFW41" s="536"/>
      <c r="PFX41" s="536"/>
      <c r="PFY41" s="536"/>
      <c r="PFZ41" s="536"/>
      <c r="PGA41" s="536"/>
      <c r="PGB41" s="536"/>
      <c r="PGC41" s="536"/>
      <c r="PGD41" s="536"/>
      <c r="PGE41" s="536"/>
      <c r="PGF41" s="536"/>
      <c r="PGG41" s="536"/>
      <c r="PGH41" s="536"/>
      <c r="PGI41" s="536"/>
      <c r="PGJ41" s="536"/>
      <c r="PGK41" s="536"/>
      <c r="PGL41" s="536"/>
      <c r="PGM41" s="536"/>
      <c r="PGN41" s="536"/>
      <c r="PGO41" s="536"/>
      <c r="PGP41" s="536"/>
      <c r="PGQ41" s="536"/>
      <c r="PGR41" s="536"/>
      <c r="PGS41" s="536"/>
      <c r="PGT41" s="536"/>
      <c r="PGU41" s="536"/>
      <c r="PGV41" s="536"/>
      <c r="PGW41" s="536"/>
      <c r="PGX41" s="536"/>
      <c r="PGY41" s="536"/>
      <c r="PGZ41" s="536"/>
      <c r="PHA41" s="536"/>
      <c r="PHB41" s="536"/>
      <c r="PHC41" s="536"/>
      <c r="PHD41" s="536"/>
      <c r="PHE41" s="536"/>
      <c r="PHF41" s="536"/>
      <c r="PHG41" s="536"/>
      <c r="PHH41" s="536"/>
      <c r="PHI41" s="536"/>
      <c r="PHJ41" s="536"/>
      <c r="PHK41" s="536"/>
      <c r="PHL41" s="536"/>
      <c r="PHM41" s="536"/>
      <c r="PHN41" s="536"/>
      <c r="PHO41" s="536"/>
      <c r="PHP41" s="536"/>
      <c r="PHQ41" s="536"/>
      <c r="PHR41" s="536"/>
      <c r="PHS41" s="536"/>
      <c r="PHT41" s="536"/>
      <c r="PHU41" s="536"/>
      <c r="PHV41" s="536"/>
      <c r="PHW41" s="536"/>
      <c r="PHX41" s="536"/>
      <c r="PHY41" s="536"/>
      <c r="PHZ41" s="536"/>
      <c r="PIA41" s="536"/>
      <c r="PIB41" s="536"/>
      <c r="PIC41" s="536"/>
      <c r="PID41" s="536"/>
      <c r="PIE41" s="536"/>
      <c r="PIF41" s="536"/>
      <c r="PIG41" s="536"/>
      <c r="PIH41" s="536"/>
      <c r="PII41" s="536"/>
      <c r="PIJ41" s="536"/>
      <c r="PIK41" s="536"/>
      <c r="PIL41" s="536"/>
      <c r="PIM41" s="536"/>
      <c r="PIN41" s="536"/>
      <c r="PIO41" s="536"/>
      <c r="PIP41" s="536"/>
      <c r="PIQ41" s="536"/>
      <c r="PIR41" s="536"/>
      <c r="PIS41" s="536"/>
      <c r="PIT41" s="536"/>
      <c r="PIU41" s="536"/>
      <c r="PIV41" s="536"/>
      <c r="PIW41" s="536"/>
      <c r="PIX41" s="536"/>
      <c r="PIY41" s="536"/>
      <c r="PIZ41" s="536"/>
      <c r="PJA41" s="536"/>
      <c r="PJB41" s="536"/>
      <c r="PJC41" s="536"/>
      <c r="PJD41" s="536"/>
      <c r="PJE41" s="536"/>
      <c r="PJF41" s="536"/>
      <c r="PJG41" s="536"/>
      <c r="PJH41" s="536"/>
      <c r="PJI41" s="536"/>
      <c r="PJJ41" s="536"/>
      <c r="PJK41" s="536"/>
      <c r="PJL41" s="536"/>
      <c r="PJM41" s="536"/>
      <c r="PJN41" s="536"/>
      <c r="PJO41" s="536"/>
      <c r="PJP41" s="536"/>
      <c r="PJQ41" s="536"/>
      <c r="PJR41" s="536"/>
      <c r="PJS41" s="536"/>
      <c r="PJT41" s="536"/>
      <c r="PJU41" s="536"/>
      <c r="PJV41" s="536"/>
      <c r="PJW41" s="536"/>
      <c r="PJX41" s="536"/>
      <c r="PJY41" s="536"/>
      <c r="PJZ41" s="536"/>
      <c r="PKA41" s="536"/>
      <c r="PKB41" s="536"/>
      <c r="PKC41" s="536"/>
      <c r="PKD41" s="536"/>
      <c r="PKE41" s="536"/>
      <c r="PKF41" s="536"/>
      <c r="PKG41" s="536"/>
      <c r="PKH41" s="536"/>
      <c r="PKI41" s="536"/>
      <c r="PKJ41" s="536"/>
      <c r="PKK41" s="536"/>
      <c r="PKL41" s="536"/>
      <c r="PKM41" s="536"/>
      <c r="PKN41" s="536"/>
      <c r="PKO41" s="536"/>
      <c r="PKP41" s="536"/>
      <c r="PKQ41" s="536"/>
      <c r="PKR41" s="536"/>
      <c r="PKS41" s="536"/>
      <c r="PKT41" s="536"/>
      <c r="PKU41" s="536"/>
      <c r="PKV41" s="536"/>
      <c r="PKW41" s="536"/>
      <c r="PKX41" s="536"/>
      <c r="PKY41" s="536"/>
      <c r="PKZ41" s="536"/>
      <c r="PLA41" s="536"/>
      <c r="PLB41" s="536"/>
      <c r="PLC41" s="536"/>
      <c r="PLD41" s="536"/>
      <c r="PLE41" s="536"/>
      <c r="PLF41" s="536"/>
      <c r="PLG41" s="536"/>
      <c r="PLH41" s="536"/>
      <c r="PLI41" s="536"/>
      <c r="PLJ41" s="536"/>
      <c r="PLK41" s="536"/>
      <c r="PLL41" s="536"/>
      <c r="PLM41" s="536"/>
      <c r="PLN41" s="536"/>
      <c r="PLO41" s="536"/>
      <c r="PLP41" s="536"/>
      <c r="PLQ41" s="536"/>
      <c r="PLR41" s="536"/>
      <c r="PLS41" s="536"/>
      <c r="PLT41" s="536"/>
      <c r="PLU41" s="536"/>
      <c r="PLV41" s="536"/>
      <c r="PLW41" s="536"/>
      <c r="PLX41" s="536"/>
      <c r="PLY41" s="536"/>
      <c r="PLZ41" s="536"/>
      <c r="PMA41" s="536"/>
      <c r="PMB41" s="536"/>
      <c r="PMC41" s="536"/>
      <c r="PMD41" s="536"/>
      <c r="PME41" s="536"/>
      <c r="PMF41" s="536"/>
      <c r="PMG41" s="536"/>
      <c r="PMH41" s="536"/>
      <c r="PMI41" s="536"/>
      <c r="PMJ41" s="536"/>
      <c r="PMK41" s="536"/>
      <c r="PML41" s="536"/>
      <c r="PMM41" s="536"/>
      <c r="PMN41" s="536"/>
      <c r="PMO41" s="536"/>
      <c r="PMP41" s="536"/>
      <c r="PMQ41" s="536"/>
      <c r="PMR41" s="536"/>
      <c r="PMS41" s="536"/>
      <c r="PMT41" s="536"/>
      <c r="PMU41" s="536"/>
      <c r="PMV41" s="536"/>
      <c r="PMW41" s="536"/>
      <c r="PMX41" s="536"/>
      <c r="PMY41" s="536"/>
      <c r="PMZ41" s="536"/>
      <c r="PNA41" s="536"/>
      <c r="PNB41" s="536"/>
      <c r="PNC41" s="536"/>
      <c r="PND41" s="536"/>
      <c r="PNE41" s="536"/>
      <c r="PNF41" s="536"/>
      <c r="PNG41" s="536"/>
      <c r="PNH41" s="536"/>
      <c r="PNI41" s="536"/>
      <c r="PNJ41" s="536"/>
      <c r="PNK41" s="536"/>
      <c r="PNL41" s="536"/>
      <c r="PNM41" s="536"/>
      <c r="PNN41" s="536"/>
      <c r="PNO41" s="536"/>
      <c r="PNP41" s="536"/>
      <c r="PNQ41" s="536"/>
      <c r="PNR41" s="536"/>
      <c r="PNS41" s="536"/>
      <c r="PNT41" s="536"/>
      <c r="PNU41" s="536"/>
      <c r="PNV41" s="536"/>
      <c r="PNW41" s="536"/>
      <c r="PNX41" s="536"/>
      <c r="PNY41" s="536"/>
      <c r="PNZ41" s="536"/>
      <c r="POA41" s="536"/>
      <c r="POB41" s="536"/>
      <c r="POC41" s="536"/>
      <c r="POD41" s="536"/>
      <c r="POE41" s="536"/>
      <c r="POF41" s="536"/>
      <c r="POG41" s="536"/>
      <c r="POH41" s="536"/>
      <c r="POI41" s="536"/>
      <c r="POJ41" s="536"/>
      <c r="POK41" s="536"/>
      <c r="POL41" s="536"/>
      <c r="POM41" s="536"/>
      <c r="PON41" s="536"/>
      <c r="POO41" s="536"/>
      <c r="POP41" s="536"/>
      <c r="POQ41" s="536"/>
      <c r="POR41" s="536"/>
      <c r="POS41" s="536"/>
      <c r="POT41" s="536"/>
      <c r="POU41" s="536"/>
      <c r="POV41" s="536"/>
      <c r="POW41" s="536"/>
      <c r="POX41" s="536"/>
      <c r="POY41" s="536"/>
      <c r="POZ41" s="536"/>
      <c r="PPA41" s="536"/>
      <c r="PPB41" s="536"/>
      <c r="PPC41" s="536"/>
      <c r="PPD41" s="536"/>
      <c r="PPE41" s="536"/>
      <c r="PPF41" s="536"/>
      <c r="PPG41" s="536"/>
      <c r="PPH41" s="536"/>
      <c r="PPI41" s="536"/>
      <c r="PPJ41" s="536"/>
      <c r="PPK41" s="536"/>
      <c r="PPL41" s="536"/>
      <c r="PPM41" s="536"/>
      <c r="PPN41" s="536"/>
      <c r="PPO41" s="536"/>
      <c r="PPP41" s="536"/>
      <c r="PPQ41" s="536"/>
      <c r="PPR41" s="536"/>
      <c r="PPS41" s="536"/>
      <c r="PPT41" s="536"/>
      <c r="PPU41" s="536"/>
      <c r="PPV41" s="536"/>
      <c r="PPW41" s="536"/>
      <c r="PPX41" s="536"/>
      <c r="PPY41" s="536"/>
      <c r="PPZ41" s="536"/>
      <c r="PQA41" s="536"/>
      <c r="PQB41" s="536"/>
      <c r="PQC41" s="536"/>
      <c r="PQD41" s="536"/>
      <c r="PQE41" s="536"/>
      <c r="PQF41" s="536"/>
      <c r="PQG41" s="536"/>
      <c r="PQH41" s="536"/>
      <c r="PQI41" s="536"/>
      <c r="PQJ41" s="536"/>
      <c r="PQK41" s="536"/>
      <c r="PQL41" s="536"/>
      <c r="PQM41" s="536"/>
      <c r="PQN41" s="536"/>
      <c r="PQO41" s="536"/>
      <c r="PQP41" s="536"/>
      <c r="PQQ41" s="536"/>
      <c r="PQR41" s="536"/>
      <c r="PQS41" s="536"/>
      <c r="PQT41" s="536"/>
      <c r="PQU41" s="536"/>
      <c r="PQV41" s="536"/>
      <c r="PQW41" s="536"/>
      <c r="PQX41" s="536"/>
      <c r="PQY41" s="536"/>
      <c r="PQZ41" s="536"/>
      <c r="PRA41" s="536"/>
      <c r="PRB41" s="536"/>
      <c r="PRC41" s="536"/>
      <c r="PRD41" s="536"/>
      <c r="PRE41" s="536"/>
      <c r="PRF41" s="536"/>
      <c r="PRG41" s="536"/>
      <c r="PRH41" s="536"/>
      <c r="PRI41" s="536"/>
      <c r="PRJ41" s="536"/>
      <c r="PRK41" s="536"/>
      <c r="PRL41" s="536"/>
      <c r="PRM41" s="536"/>
      <c r="PRN41" s="536"/>
      <c r="PRO41" s="536"/>
      <c r="PRP41" s="536"/>
      <c r="PRQ41" s="536"/>
      <c r="PRR41" s="536"/>
      <c r="PRS41" s="536"/>
      <c r="PRT41" s="536"/>
      <c r="PRU41" s="536"/>
      <c r="PRV41" s="536"/>
      <c r="PRW41" s="536"/>
      <c r="PRX41" s="536"/>
      <c r="PRY41" s="536"/>
      <c r="PRZ41" s="536"/>
      <c r="PSA41" s="536"/>
      <c r="PSB41" s="536"/>
      <c r="PSC41" s="536"/>
      <c r="PSD41" s="536"/>
      <c r="PSE41" s="536"/>
      <c r="PSF41" s="536"/>
      <c r="PSG41" s="536"/>
      <c r="PSH41" s="536"/>
      <c r="PSI41" s="536"/>
      <c r="PSJ41" s="536"/>
      <c r="PSK41" s="536"/>
      <c r="PSL41" s="536"/>
      <c r="PSM41" s="536"/>
      <c r="PSN41" s="536"/>
      <c r="PSO41" s="536"/>
      <c r="PSP41" s="536"/>
      <c r="PSQ41" s="536"/>
      <c r="PSR41" s="536"/>
      <c r="PSS41" s="536"/>
      <c r="PST41" s="536"/>
      <c r="PSU41" s="536"/>
      <c r="PSV41" s="536"/>
      <c r="PSW41" s="536"/>
      <c r="PSX41" s="536"/>
      <c r="PSY41" s="536"/>
      <c r="PSZ41" s="536"/>
      <c r="PTA41" s="536"/>
      <c r="PTB41" s="536"/>
      <c r="PTC41" s="536"/>
      <c r="PTD41" s="536"/>
      <c r="PTE41" s="536"/>
      <c r="PTF41" s="536"/>
      <c r="PTG41" s="536"/>
      <c r="PTH41" s="536"/>
      <c r="PTI41" s="536"/>
      <c r="PTJ41" s="536"/>
      <c r="PTK41" s="536"/>
      <c r="PTL41" s="536"/>
      <c r="PTM41" s="536"/>
      <c r="PTN41" s="536"/>
      <c r="PTO41" s="536"/>
      <c r="PTP41" s="536"/>
      <c r="PTQ41" s="536"/>
      <c r="PTR41" s="536"/>
      <c r="PTS41" s="536"/>
      <c r="PTT41" s="536"/>
      <c r="PTU41" s="536"/>
      <c r="PTV41" s="536"/>
      <c r="PTW41" s="536"/>
      <c r="PTX41" s="536"/>
      <c r="PTY41" s="536"/>
      <c r="PTZ41" s="536"/>
      <c r="PUA41" s="536"/>
      <c r="PUB41" s="536"/>
      <c r="PUC41" s="536"/>
      <c r="PUD41" s="536"/>
      <c r="PUE41" s="536"/>
      <c r="PUF41" s="536"/>
      <c r="PUG41" s="536"/>
      <c r="PUH41" s="536"/>
      <c r="PUI41" s="536"/>
      <c r="PUJ41" s="536"/>
      <c r="PUK41" s="536"/>
      <c r="PUL41" s="536"/>
      <c r="PUM41" s="536"/>
      <c r="PUN41" s="536"/>
      <c r="PUO41" s="536"/>
      <c r="PUP41" s="536"/>
      <c r="PUQ41" s="536"/>
      <c r="PUR41" s="536"/>
      <c r="PUS41" s="536"/>
      <c r="PUT41" s="536"/>
      <c r="PUU41" s="536"/>
      <c r="PUV41" s="536"/>
      <c r="PUW41" s="536"/>
      <c r="PUX41" s="536"/>
      <c r="PUY41" s="536"/>
      <c r="PUZ41" s="536"/>
      <c r="PVA41" s="536"/>
      <c r="PVB41" s="536"/>
      <c r="PVC41" s="536"/>
      <c r="PVD41" s="536"/>
      <c r="PVE41" s="536"/>
      <c r="PVF41" s="536"/>
      <c r="PVG41" s="536"/>
      <c r="PVH41" s="536"/>
      <c r="PVI41" s="536"/>
      <c r="PVJ41" s="536"/>
      <c r="PVK41" s="536"/>
      <c r="PVL41" s="536"/>
      <c r="PVM41" s="536"/>
      <c r="PVN41" s="536"/>
      <c r="PVO41" s="536"/>
      <c r="PVP41" s="536"/>
      <c r="PVQ41" s="536"/>
      <c r="PVR41" s="536"/>
      <c r="PVS41" s="536"/>
      <c r="PVT41" s="536"/>
      <c r="PVU41" s="536"/>
      <c r="PVV41" s="536"/>
      <c r="PVW41" s="536"/>
      <c r="PVX41" s="536"/>
      <c r="PVY41" s="536"/>
      <c r="PVZ41" s="536"/>
      <c r="PWA41" s="536"/>
      <c r="PWB41" s="536"/>
      <c r="PWC41" s="536"/>
      <c r="PWD41" s="536"/>
      <c r="PWE41" s="536"/>
      <c r="PWF41" s="536"/>
      <c r="PWG41" s="536"/>
      <c r="PWH41" s="536"/>
      <c r="PWI41" s="536"/>
      <c r="PWJ41" s="536"/>
      <c r="PWK41" s="536"/>
      <c r="PWL41" s="536"/>
      <c r="PWM41" s="536"/>
      <c r="PWN41" s="536"/>
      <c r="PWO41" s="536"/>
      <c r="PWP41" s="536"/>
      <c r="PWQ41" s="536"/>
      <c r="PWR41" s="536"/>
      <c r="PWS41" s="536"/>
      <c r="PWT41" s="536"/>
      <c r="PWU41" s="536"/>
      <c r="PWV41" s="536"/>
      <c r="PWW41" s="536"/>
      <c r="PWX41" s="536"/>
      <c r="PWY41" s="536"/>
      <c r="PWZ41" s="536"/>
      <c r="PXA41" s="536"/>
      <c r="PXB41" s="536"/>
      <c r="PXC41" s="536"/>
      <c r="PXD41" s="536"/>
      <c r="PXE41" s="536"/>
      <c r="PXF41" s="536"/>
      <c r="PXG41" s="536"/>
      <c r="PXH41" s="536"/>
      <c r="PXI41" s="536"/>
      <c r="PXJ41" s="536"/>
      <c r="PXK41" s="536"/>
      <c r="PXL41" s="536"/>
      <c r="PXM41" s="536"/>
      <c r="PXN41" s="536"/>
      <c r="PXO41" s="536"/>
      <c r="PXP41" s="536"/>
      <c r="PXQ41" s="536"/>
      <c r="PXR41" s="536"/>
      <c r="PXS41" s="536"/>
      <c r="PXT41" s="536"/>
      <c r="PXU41" s="536"/>
      <c r="PXV41" s="536"/>
      <c r="PXW41" s="536"/>
      <c r="PXX41" s="536"/>
      <c r="PXY41" s="536"/>
      <c r="PXZ41" s="536"/>
      <c r="PYA41" s="536"/>
      <c r="PYB41" s="536"/>
      <c r="PYC41" s="536"/>
      <c r="PYD41" s="536"/>
      <c r="PYE41" s="536"/>
      <c r="PYF41" s="536"/>
      <c r="PYG41" s="536"/>
      <c r="PYH41" s="536"/>
      <c r="PYI41" s="536"/>
      <c r="PYJ41" s="536"/>
      <c r="PYK41" s="536"/>
      <c r="PYL41" s="536"/>
      <c r="PYM41" s="536"/>
      <c r="PYN41" s="536"/>
      <c r="PYO41" s="536"/>
      <c r="PYP41" s="536"/>
      <c r="PYQ41" s="536"/>
      <c r="PYR41" s="536"/>
      <c r="PYS41" s="536"/>
      <c r="PYT41" s="536"/>
      <c r="PYU41" s="536"/>
      <c r="PYV41" s="536"/>
      <c r="PYW41" s="536"/>
      <c r="PYX41" s="536"/>
      <c r="PYY41" s="536"/>
      <c r="PYZ41" s="536"/>
      <c r="PZA41" s="536"/>
      <c r="PZB41" s="536"/>
      <c r="PZC41" s="536"/>
      <c r="PZD41" s="536"/>
      <c r="PZE41" s="536"/>
      <c r="PZF41" s="536"/>
      <c r="PZG41" s="536"/>
      <c r="PZH41" s="536"/>
      <c r="PZI41" s="536"/>
      <c r="PZJ41" s="536"/>
      <c r="PZK41" s="536"/>
      <c r="PZL41" s="536"/>
      <c r="PZM41" s="536"/>
      <c r="PZN41" s="536"/>
      <c r="PZO41" s="536"/>
      <c r="PZP41" s="536"/>
      <c r="PZQ41" s="536"/>
      <c r="PZR41" s="536"/>
      <c r="PZS41" s="536"/>
      <c r="PZT41" s="536"/>
      <c r="PZU41" s="536"/>
      <c r="PZV41" s="536"/>
      <c r="PZW41" s="536"/>
      <c r="PZX41" s="536"/>
      <c r="PZY41" s="536"/>
      <c r="PZZ41" s="536"/>
      <c r="QAA41" s="536"/>
      <c r="QAB41" s="536"/>
      <c r="QAC41" s="536"/>
      <c r="QAD41" s="536"/>
      <c r="QAE41" s="536"/>
      <c r="QAF41" s="536"/>
      <c r="QAG41" s="536"/>
      <c r="QAH41" s="536"/>
      <c r="QAI41" s="536"/>
      <c r="QAJ41" s="536"/>
      <c r="QAK41" s="536"/>
      <c r="QAL41" s="536"/>
      <c r="QAM41" s="536"/>
      <c r="QAN41" s="536"/>
      <c r="QAO41" s="536"/>
      <c r="QAP41" s="536"/>
      <c r="QAQ41" s="536"/>
      <c r="QAR41" s="536"/>
      <c r="QAS41" s="536"/>
      <c r="QAT41" s="536"/>
      <c r="QAU41" s="536"/>
      <c r="QAV41" s="536"/>
      <c r="QAW41" s="536"/>
      <c r="QAX41" s="536"/>
      <c r="QAY41" s="536"/>
      <c r="QAZ41" s="536"/>
      <c r="QBA41" s="536"/>
      <c r="QBB41" s="536"/>
      <c r="QBC41" s="536"/>
      <c r="QBD41" s="536"/>
      <c r="QBE41" s="536"/>
      <c r="QBF41" s="536"/>
      <c r="QBG41" s="536"/>
      <c r="QBH41" s="536"/>
      <c r="QBI41" s="536"/>
      <c r="QBJ41" s="536"/>
      <c r="QBK41" s="536"/>
      <c r="QBL41" s="536"/>
      <c r="QBM41" s="536"/>
      <c r="QBN41" s="536"/>
      <c r="QBO41" s="536"/>
      <c r="QBP41" s="536"/>
      <c r="QBQ41" s="536"/>
      <c r="QBR41" s="536"/>
      <c r="QBS41" s="536"/>
      <c r="QBT41" s="536"/>
      <c r="QBU41" s="536"/>
      <c r="QBV41" s="536"/>
      <c r="QBW41" s="536"/>
      <c r="QBX41" s="536"/>
      <c r="QBY41" s="536"/>
      <c r="QBZ41" s="536"/>
      <c r="QCA41" s="536"/>
      <c r="QCB41" s="536"/>
      <c r="QCC41" s="536"/>
      <c r="QCD41" s="536"/>
      <c r="QCE41" s="536"/>
      <c r="QCF41" s="536"/>
      <c r="QCG41" s="536"/>
      <c r="QCH41" s="536"/>
      <c r="QCI41" s="536"/>
      <c r="QCJ41" s="536"/>
      <c r="QCK41" s="536"/>
      <c r="QCL41" s="536"/>
      <c r="QCM41" s="536"/>
      <c r="QCN41" s="536"/>
      <c r="QCO41" s="536"/>
      <c r="QCP41" s="536"/>
      <c r="QCQ41" s="536"/>
      <c r="QCR41" s="536"/>
      <c r="QCS41" s="536"/>
      <c r="QCT41" s="536"/>
      <c r="QCU41" s="536"/>
      <c r="QCV41" s="536"/>
      <c r="QCW41" s="536"/>
      <c r="QCX41" s="536"/>
      <c r="QCY41" s="536"/>
      <c r="QCZ41" s="536"/>
      <c r="QDA41" s="536"/>
      <c r="QDB41" s="536"/>
      <c r="QDC41" s="536"/>
      <c r="QDD41" s="536"/>
      <c r="QDE41" s="536"/>
      <c r="QDF41" s="536"/>
      <c r="QDG41" s="536"/>
      <c r="QDH41" s="536"/>
      <c r="QDI41" s="536"/>
      <c r="QDJ41" s="536"/>
      <c r="QDK41" s="536"/>
      <c r="QDL41" s="536"/>
      <c r="QDM41" s="536"/>
      <c r="QDN41" s="536"/>
      <c r="QDO41" s="536"/>
      <c r="QDP41" s="536"/>
      <c r="QDQ41" s="536"/>
      <c r="QDR41" s="536"/>
      <c r="QDS41" s="536"/>
      <c r="QDT41" s="536"/>
      <c r="QDU41" s="536"/>
      <c r="QDV41" s="536"/>
      <c r="QDW41" s="536"/>
      <c r="QDX41" s="536"/>
      <c r="QDY41" s="536"/>
      <c r="QDZ41" s="536"/>
      <c r="QEA41" s="536"/>
      <c r="QEB41" s="536"/>
      <c r="QEC41" s="536"/>
      <c r="QED41" s="536"/>
      <c r="QEE41" s="536"/>
      <c r="QEF41" s="536"/>
      <c r="QEG41" s="536"/>
      <c r="QEH41" s="536"/>
      <c r="QEI41" s="536"/>
      <c r="QEJ41" s="536"/>
      <c r="QEK41" s="536"/>
      <c r="QEL41" s="536"/>
      <c r="QEM41" s="536"/>
      <c r="QEN41" s="536"/>
      <c r="QEO41" s="536"/>
      <c r="QEP41" s="536"/>
      <c r="QEQ41" s="536"/>
      <c r="QER41" s="536"/>
      <c r="QES41" s="536"/>
      <c r="QET41" s="536"/>
      <c r="QEU41" s="536"/>
      <c r="QEV41" s="536"/>
      <c r="QEW41" s="536"/>
      <c r="QEX41" s="536"/>
      <c r="QEY41" s="536"/>
      <c r="QEZ41" s="536"/>
      <c r="QFA41" s="536"/>
      <c r="QFB41" s="536"/>
      <c r="QFC41" s="536"/>
      <c r="QFD41" s="536"/>
      <c r="QFE41" s="536"/>
      <c r="QFF41" s="536"/>
      <c r="QFG41" s="536"/>
      <c r="QFH41" s="536"/>
      <c r="QFI41" s="536"/>
      <c r="QFJ41" s="536"/>
      <c r="QFK41" s="536"/>
      <c r="QFL41" s="536"/>
      <c r="QFM41" s="536"/>
      <c r="QFN41" s="536"/>
      <c r="QFO41" s="536"/>
      <c r="QFP41" s="536"/>
      <c r="QFQ41" s="536"/>
      <c r="QFR41" s="536"/>
      <c r="QFS41" s="536"/>
      <c r="QFT41" s="536"/>
      <c r="QFU41" s="536"/>
      <c r="QFV41" s="536"/>
      <c r="QFW41" s="536"/>
      <c r="QFX41" s="536"/>
      <c r="QFY41" s="536"/>
      <c r="QFZ41" s="536"/>
      <c r="QGA41" s="536"/>
      <c r="QGB41" s="536"/>
      <c r="QGC41" s="536"/>
      <c r="QGD41" s="536"/>
      <c r="QGE41" s="536"/>
      <c r="QGF41" s="536"/>
      <c r="QGG41" s="536"/>
      <c r="QGH41" s="536"/>
      <c r="QGI41" s="536"/>
      <c r="QGJ41" s="536"/>
      <c r="QGK41" s="536"/>
      <c r="QGL41" s="536"/>
      <c r="QGM41" s="536"/>
      <c r="QGN41" s="536"/>
      <c r="QGO41" s="536"/>
      <c r="QGP41" s="536"/>
      <c r="QGQ41" s="536"/>
      <c r="QGR41" s="536"/>
      <c r="QGS41" s="536"/>
      <c r="QGT41" s="536"/>
      <c r="QGU41" s="536"/>
      <c r="QGV41" s="536"/>
      <c r="QGW41" s="536"/>
      <c r="QGX41" s="536"/>
      <c r="QGY41" s="536"/>
      <c r="QGZ41" s="536"/>
      <c r="QHA41" s="536"/>
      <c r="QHB41" s="536"/>
      <c r="QHC41" s="536"/>
      <c r="QHD41" s="536"/>
      <c r="QHE41" s="536"/>
      <c r="QHF41" s="536"/>
      <c r="QHG41" s="536"/>
      <c r="QHH41" s="536"/>
      <c r="QHI41" s="536"/>
      <c r="QHJ41" s="536"/>
      <c r="QHK41" s="536"/>
      <c r="QHL41" s="536"/>
      <c r="QHM41" s="536"/>
      <c r="QHN41" s="536"/>
      <c r="QHO41" s="536"/>
      <c r="QHP41" s="536"/>
      <c r="QHQ41" s="536"/>
      <c r="QHR41" s="536"/>
      <c r="QHS41" s="536"/>
      <c r="QHT41" s="536"/>
      <c r="QHU41" s="536"/>
      <c r="QHV41" s="536"/>
      <c r="QHW41" s="536"/>
      <c r="QHX41" s="536"/>
      <c r="QHY41" s="536"/>
      <c r="QHZ41" s="536"/>
      <c r="QIA41" s="536"/>
      <c r="QIB41" s="536"/>
      <c r="QIC41" s="536"/>
      <c r="QID41" s="536"/>
      <c r="QIE41" s="536"/>
      <c r="QIF41" s="536"/>
      <c r="QIG41" s="536"/>
      <c r="QIH41" s="536"/>
      <c r="QII41" s="536"/>
      <c r="QIJ41" s="536"/>
      <c r="QIK41" s="536"/>
      <c r="QIL41" s="536"/>
      <c r="QIM41" s="536"/>
      <c r="QIN41" s="536"/>
      <c r="QIO41" s="536"/>
      <c r="QIP41" s="536"/>
      <c r="QIQ41" s="536"/>
      <c r="QIR41" s="536"/>
      <c r="QIS41" s="536"/>
      <c r="QIT41" s="536"/>
      <c r="QIU41" s="536"/>
      <c r="QIV41" s="536"/>
      <c r="QIW41" s="536"/>
      <c r="QIX41" s="536"/>
      <c r="QIY41" s="536"/>
      <c r="QIZ41" s="536"/>
      <c r="QJA41" s="536"/>
      <c r="QJB41" s="536"/>
      <c r="QJC41" s="536"/>
      <c r="QJD41" s="536"/>
      <c r="QJE41" s="536"/>
      <c r="QJF41" s="536"/>
      <c r="QJG41" s="536"/>
      <c r="QJH41" s="536"/>
      <c r="QJI41" s="536"/>
      <c r="QJJ41" s="536"/>
      <c r="QJK41" s="536"/>
      <c r="QJL41" s="536"/>
      <c r="QJM41" s="536"/>
      <c r="QJN41" s="536"/>
      <c r="QJO41" s="536"/>
      <c r="QJP41" s="536"/>
      <c r="QJQ41" s="536"/>
      <c r="QJR41" s="536"/>
      <c r="QJS41" s="536"/>
      <c r="QJT41" s="536"/>
      <c r="QJU41" s="536"/>
      <c r="QJV41" s="536"/>
      <c r="QJW41" s="536"/>
      <c r="QJX41" s="536"/>
      <c r="QJY41" s="536"/>
      <c r="QJZ41" s="536"/>
      <c r="QKA41" s="536"/>
      <c r="QKB41" s="536"/>
      <c r="QKC41" s="536"/>
      <c r="QKD41" s="536"/>
      <c r="QKE41" s="536"/>
      <c r="QKF41" s="536"/>
      <c r="QKG41" s="536"/>
      <c r="QKH41" s="536"/>
      <c r="QKI41" s="536"/>
      <c r="QKJ41" s="536"/>
      <c r="QKK41" s="536"/>
      <c r="QKL41" s="536"/>
      <c r="QKM41" s="536"/>
      <c r="QKN41" s="536"/>
      <c r="QKO41" s="536"/>
      <c r="QKP41" s="536"/>
      <c r="QKQ41" s="536"/>
      <c r="QKR41" s="536"/>
      <c r="QKS41" s="536"/>
      <c r="QKT41" s="536"/>
      <c r="QKU41" s="536"/>
      <c r="QKV41" s="536"/>
      <c r="QKW41" s="536"/>
      <c r="QKX41" s="536"/>
      <c r="QKY41" s="536"/>
      <c r="QKZ41" s="536"/>
      <c r="QLA41" s="536"/>
      <c r="QLB41" s="536"/>
      <c r="QLC41" s="536"/>
      <c r="QLD41" s="536"/>
      <c r="QLE41" s="536"/>
      <c r="QLF41" s="536"/>
      <c r="QLG41" s="536"/>
      <c r="QLH41" s="536"/>
      <c r="QLI41" s="536"/>
      <c r="QLJ41" s="536"/>
      <c r="QLK41" s="536"/>
      <c r="QLL41" s="536"/>
      <c r="QLM41" s="536"/>
      <c r="QLN41" s="536"/>
      <c r="QLO41" s="536"/>
      <c r="QLP41" s="536"/>
      <c r="QLQ41" s="536"/>
      <c r="QLR41" s="536"/>
      <c r="QLS41" s="536"/>
      <c r="QLT41" s="536"/>
      <c r="QLU41" s="536"/>
      <c r="QLV41" s="536"/>
      <c r="QLW41" s="536"/>
      <c r="QLX41" s="536"/>
      <c r="QLY41" s="536"/>
      <c r="QLZ41" s="536"/>
      <c r="QMA41" s="536"/>
      <c r="QMB41" s="536"/>
      <c r="QMC41" s="536"/>
      <c r="QMD41" s="536"/>
      <c r="QME41" s="536"/>
      <c r="QMF41" s="536"/>
      <c r="QMG41" s="536"/>
      <c r="QMH41" s="536"/>
      <c r="QMI41" s="536"/>
      <c r="QMJ41" s="536"/>
      <c r="QMK41" s="536"/>
      <c r="QML41" s="536"/>
      <c r="QMM41" s="536"/>
      <c r="QMN41" s="536"/>
      <c r="QMO41" s="536"/>
      <c r="QMP41" s="536"/>
      <c r="QMQ41" s="536"/>
      <c r="QMR41" s="536"/>
      <c r="QMS41" s="536"/>
      <c r="QMT41" s="536"/>
      <c r="QMU41" s="536"/>
      <c r="QMV41" s="536"/>
      <c r="QMW41" s="536"/>
      <c r="QMX41" s="536"/>
      <c r="QMY41" s="536"/>
      <c r="QMZ41" s="536"/>
      <c r="QNA41" s="536"/>
      <c r="QNB41" s="536"/>
      <c r="QNC41" s="536"/>
      <c r="QND41" s="536"/>
      <c r="QNE41" s="536"/>
      <c r="QNF41" s="536"/>
      <c r="QNG41" s="536"/>
      <c r="QNH41" s="536"/>
      <c r="QNI41" s="536"/>
      <c r="QNJ41" s="536"/>
      <c r="QNK41" s="536"/>
      <c r="QNL41" s="536"/>
      <c r="QNM41" s="536"/>
      <c r="QNN41" s="536"/>
      <c r="QNO41" s="536"/>
      <c r="QNP41" s="536"/>
      <c r="QNQ41" s="536"/>
      <c r="QNR41" s="536"/>
      <c r="QNS41" s="536"/>
      <c r="QNT41" s="536"/>
      <c r="QNU41" s="536"/>
      <c r="QNV41" s="536"/>
      <c r="QNW41" s="536"/>
      <c r="QNX41" s="536"/>
      <c r="QNY41" s="536"/>
      <c r="QNZ41" s="536"/>
      <c r="QOA41" s="536"/>
      <c r="QOB41" s="536"/>
      <c r="QOC41" s="536"/>
      <c r="QOD41" s="536"/>
      <c r="QOE41" s="536"/>
      <c r="QOF41" s="536"/>
      <c r="QOG41" s="536"/>
      <c r="QOH41" s="536"/>
      <c r="QOI41" s="536"/>
      <c r="QOJ41" s="536"/>
      <c r="QOK41" s="536"/>
      <c r="QOL41" s="536"/>
      <c r="QOM41" s="536"/>
      <c r="QON41" s="536"/>
      <c r="QOO41" s="536"/>
      <c r="QOP41" s="536"/>
      <c r="QOQ41" s="536"/>
      <c r="QOR41" s="536"/>
      <c r="QOS41" s="536"/>
      <c r="QOT41" s="536"/>
      <c r="QOU41" s="536"/>
      <c r="QOV41" s="536"/>
      <c r="QOW41" s="536"/>
      <c r="QOX41" s="536"/>
      <c r="QOY41" s="536"/>
      <c r="QOZ41" s="536"/>
      <c r="QPA41" s="536"/>
      <c r="QPB41" s="536"/>
      <c r="QPC41" s="536"/>
      <c r="QPD41" s="536"/>
      <c r="QPE41" s="536"/>
      <c r="QPF41" s="536"/>
      <c r="QPG41" s="536"/>
      <c r="QPH41" s="536"/>
      <c r="QPI41" s="536"/>
      <c r="QPJ41" s="536"/>
      <c r="QPK41" s="536"/>
      <c r="QPL41" s="536"/>
      <c r="QPM41" s="536"/>
      <c r="QPN41" s="536"/>
      <c r="QPO41" s="536"/>
      <c r="QPP41" s="536"/>
      <c r="QPQ41" s="536"/>
      <c r="QPR41" s="536"/>
      <c r="QPS41" s="536"/>
      <c r="QPT41" s="536"/>
      <c r="QPU41" s="536"/>
      <c r="QPV41" s="536"/>
      <c r="QPW41" s="536"/>
      <c r="QPX41" s="536"/>
      <c r="QPY41" s="536"/>
      <c r="QPZ41" s="536"/>
      <c r="QQA41" s="536"/>
      <c r="QQB41" s="536"/>
      <c r="QQC41" s="536"/>
      <c r="QQD41" s="536"/>
      <c r="QQE41" s="536"/>
      <c r="QQF41" s="536"/>
      <c r="QQG41" s="536"/>
      <c r="QQH41" s="536"/>
      <c r="QQI41" s="536"/>
      <c r="QQJ41" s="536"/>
      <c r="QQK41" s="536"/>
      <c r="QQL41" s="536"/>
      <c r="QQM41" s="536"/>
      <c r="QQN41" s="536"/>
      <c r="QQO41" s="536"/>
      <c r="QQP41" s="536"/>
      <c r="QQQ41" s="536"/>
      <c r="QQR41" s="536"/>
      <c r="QQS41" s="536"/>
      <c r="QQT41" s="536"/>
      <c r="QQU41" s="536"/>
      <c r="QQV41" s="536"/>
      <c r="QQW41" s="536"/>
      <c r="QQX41" s="536"/>
      <c r="QQY41" s="536"/>
      <c r="QQZ41" s="536"/>
      <c r="QRA41" s="536"/>
      <c r="QRB41" s="536"/>
      <c r="QRC41" s="536"/>
      <c r="QRD41" s="536"/>
      <c r="QRE41" s="536"/>
      <c r="QRF41" s="536"/>
      <c r="QRG41" s="536"/>
      <c r="QRH41" s="536"/>
      <c r="QRI41" s="536"/>
      <c r="QRJ41" s="536"/>
      <c r="QRK41" s="536"/>
      <c r="QRL41" s="536"/>
      <c r="QRM41" s="536"/>
      <c r="QRN41" s="536"/>
      <c r="QRO41" s="536"/>
      <c r="QRP41" s="536"/>
      <c r="QRQ41" s="536"/>
      <c r="QRR41" s="536"/>
      <c r="QRS41" s="536"/>
      <c r="QRT41" s="536"/>
      <c r="QRU41" s="536"/>
      <c r="QRV41" s="536"/>
      <c r="QRW41" s="536"/>
      <c r="QRX41" s="536"/>
      <c r="QRY41" s="536"/>
      <c r="QRZ41" s="536"/>
      <c r="QSA41" s="536"/>
      <c r="QSB41" s="536"/>
      <c r="QSC41" s="536"/>
      <c r="QSD41" s="536"/>
      <c r="QSE41" s="536"/>
      <c r="QSF41" s="536"/>
      <c r="QSG41" s="536"/>
      <c r="QSH41" s="536"/>
      <c r="QSI41" s="536"/>
      <c r="QSJ41" s="536"/>
      <c r="QSK41" s="536"/>
      <c r="QSL41" s="536"/>
      <c r="QSM41" s="536"/>
      <c r="QSN41" s="536"/>
      <c r="QSO41" s="536"/>
      <c r="QSP41" s="536"/>
      <c r="QSQ41" s="536"/>
      <c r="QSR41" s="536"/>
      <c r="QSS41" s="536"/>
      <c r="QST41" s="536"/>
      <c r="QSU41" s="536"/>
      <c r="QSV41" s="536"/>
      <c r="QSW41" s="536"/>
      <c r="QSX41" s="536"/>
      <c r="QSY41" s="536"/>
      <c r="QSZ41" s="536"/>
      <c r="QTA41" s="536"/>
      <c r="QTB41" s="536"/>
      <c r="QTC41" s="536"/>
      <c r="QTD41" s="536"/>
      <c r="QTE41" s="536"/>
      <c r="QTF41" s="536"/>
      <c r="QTG41" s="536"/>
      <c r="QTH41" s="536"/>
      <c r="QTI41" s="536"/>
      <c r="QTJ41" s="536"/>
      <c r="QTK41" s="536"/>
      <c r="QTL41" s="536"/>
      <c r="QTM41" s="536"/>
      <c r="QTN41" s="536"/>
      <c r="QTO41" s="536"/>
      <c r="QTP41" s="536"/>
      <c r="QTQ41" s="536"/>
      <c r="QTR41" s="536"/>
      <c r="QTS41" s="536"/>
      <c r="QTT41" s="536"/>
      <c r="QTU41" s="536"/>
      <c r="QTV41" s="536"/>
      <c r="QTW41" s="536"/>
      <c r="QTX41" s="536"/>
      <c r="QTY41" s="536"/>
      <c r="QTZ41" s="536"/>
      <c r="QUA41" s="536"/>
      <c r="QUB41" s="536"/>
      <c r="QUC41" s="536"/>
      <c r="QUD41" s="536"/>
      <c r="QUE41" s="536"/>
      <c r="QUF41" s="536"/>
      <c r="QUG41" s="536"/>
      <c r="QUH41" s="536"/>
      <c r="QUI41" s="536"/>
      <c r="QUJ41" s="536"/>
      <c r="QUK41" s="536"/>
      <c r="QUL41" s="536"/>
      <c r="QUM41" s="536"/>
      <c r="QUN41" s="536"/>
      <c r="QUO41" s="536"/>
      <c r="QUP41" s="536"/>
      <c r="QUQ41" s="536"/>
      <c r="QUR41" s="536"/>
      <c r="QUS41" s="536"/>
      <c r="QUT41" s="536"/>
      <c r="QUU41" s="536"/>
      <c r="QUV41" s="536"/>
      <c r="QUW41" s="536"/>
      <c r="QUX41" s="536"/>
      <c r="QUY41" s="536"/>
      <c r="QUZ41" s="536"/>
      <c r="QVA41" s="536"/>
      <c r="QVB41" s="536"/>
      <c r="QVC41" s="536"/>
      <c r="QVD41" s="536"/>
      <c r="QVE41" s="536"/>
      <c r="QVF41" s="536"/>
      <c r="QVG41" s="536"/>
      <c r="QVH41" s="536"/>
      <c r="QVI41" s="536"/>
      <c r="QVJ41" s="536"/>
      <c r="QVK41" s="536"/>
      <c r="QVL41" s="536"/>
      <c r="QVM41" s="536"/>
      <c r="QVN41" s="536"/>
      <c r="QVO41" s="536"/>
      <c r="QVP41" s="536"/>
      <c r="QVQ41" s="536"/>
      <c r="QVR41" s="536"/>
      <c r="QVS41" s="536"/>
      <c r="QVT41" s="536"/>
      <c r="QVU41" s="536"/>
      <c r="QVV41" s="536"/>
      <c r="QVW41" s="536"/>
      <c r="QVX41" s="536"/>
      <c r="QVY41" s="536"/>
      <c r="QVZ41" s="536"/>
      <c r="QWA41" s="536"/>
      <c r="QWB41" s="536"/>
      <c r="QWC41" s="536"/>
      <c r="QWD41" s="536"/>
      <c r="QWE41" s="536"/>
      <c r="QWF41" s="536"/>
      <c r="QWG41" s="536"/>
      <c r="QWH41" s="536"/>
      <c r="QWI41" s="536"/>
      <c r="QWJ41" s="536"/>
      <c r="QWK41" s="536"/>
      <c r="QWL41" s="536"/>
      <c r="QWM41" s="536"/>
      <c r="QWN41" s="536"/>
      <c r="QWO41" s="536"/>
      <c r="QWP41" s="536"/>
      <c r="QWQ41" s="536"/>
      <c r="QWR41" s="536"/>
      <c r="QWS41" s="536"/>
      <c r="QWT41" s="536"/>
      <c r="QWU41" s="536"/>
      <c r="QWV41" s="536"/>
      <c r="QWW41" s="536"/>
      <c r="QWX41" s="536"/>
      <c r="QWY41" s="536"/>
      <c r="QWZ41" s="536"/>
      <c r="QXA41" s="536"/>
      <c r="QXB41" s="536"/>
      <c r="QXC41" s="536"/>
      <c r="QXD41" s="536"/>
      <c r="QXE41" s="536"/>
      <c r="QXF41" s="536"/>
      <c r="QXG41" s="536"/>
      <c r="QXH41" s="536"/>
      <c r="QXI41" s="536"/>
      <c r="QXJ41" s="536"/>
      <c r="QXK41" s="536"/>
      <c r="QXL41" s="536"/>
      <c r="QXM41" s="536"/>
      <c r="QXN41" s="536"/>
      <c r="QXO41" s="536"/>
      <c r="QXP41" s="536"/>
      <c r="QXQ41" s="536"/>
      <c r="QXR41" s="536"/>
      <c r="QXS41" s="536"/>
      <c r="QXT41" s="536"/>
      <c r="QXU41" s="536"/>
      <c r="QXV41" s="536"/>
      <c r="QXW41" s="536"/>
      <c r="QXX41" s="536"/>
      <c r="QXY41" s="536"/>
      <c r="QXZ41" s="536"/>
      <c r="QYA41" s="536"/>
      <c r="QYB41" s="536"/>
      <c r="QYC41" s="536"/>
      <c r="QYD41" s="536"/>
      <c r="QYE41" s="536"/>
      <c r="QYF41" s="536"/>
      <c r="QYG41" s="536"/>
      <c r="QYH41" s="536"/>
      <c r="QYI41" s="536"/>
      <c r="QYJ41" s="536"/>
      <c r="QYK41" s="536"/>
      <c r="QYL41" s="536"/>
      <c r="QYM41" s="536"/>
      <c r="QYN41" s="536"/>
      <c r="QYO41" s="536"/>
      <c r="QYP41" s="536"/>
      <c r="QYQ41" s="536"/>
      <c r="QYR41" s="536"/>
      <c r="QYS41" s="536"/>
      <c r="QYT41" s="536"/>
      <c r="QYU41" s="536"/>
      <c r="QYV41" s="536"/>
      <c r="QYW41" s="536"/>
      <c r="QYX41" s="536"/>
      <c r="QYY41" s="536"/>
      <c r="QYZ41" s="536"/>
      <c r="QZA41" s="536"/>
      <c r="QZB41" s="536"/>
      <c r="QZC41" s="536"/>
      <c r="QZD41" s="536"/>
      <c r="QZE41" s="536"/>
      <c r="QZF41" s="536"/>
      <c r="QZG41" s="536"/>
      <c r="QZH41" s="536"/>
      <c r="QZI41" s="536"/>
      <c r="QZJ41" s="536"/>
      <c r="QZK41" s="536"/>
      <c r="QZL41" s="536"/>
      <c r="QZM41" s="536"/>
      <c r="QZN41" s="536"/>
      <c r="QZO41" s="536"/>
      <c r="QZP41" s="536"/>
      <c r="QZQ41" s="536"/>
      <c r="QZR41" s="536"/>
      <c r="QZS41" s="536"/>
      <c r="QZT41" s="536"/>
      <c r="QZU41" s="536"/>
      <c r="QZV41" s="536"/>
      <c r="QZW41" s="536"/>
      <c r="QZX41" s="536"/>
      <c r="QZY41" s="536"/>
      <c r="QZZ41" s="536"/>
      <c r="RAA41" s="536"/>
      <c r="RAB41" s="536"/>
      <c r="RAC41" s="536"/>
      <c r="RAD41" s="536"/>
      <c r="RAE41" s="536"/>
      <c r="RAF41" s="536"/>
      <c r="RAG41" s="536"/>
      <c r="RAH41" s="536"/>
      <c r="RAI41" s="536"/>
      <c r="RAJ41" s="536"/>
      <c r="RAK41" s="536"/>
      <c r="RAL41" s="536"/>
      <c r="RAM41" s="536"/>
      <c r="RAN41" s="536"/>
      <c r="RAO41" s="536"/>
      <c r="RAP41" s="536"/>
      <c r="RAQ41" s="536"/>
      <c r="RAR41" s="536"/>
      <c r="RAS41" s="536"/>
      <c r="RAT41" s="536"/>
      <c r="RAU41" s="536"/>
      <c r="RAV41" s="536"/>
      <c r="RAW41" s="536"/>
      <c r="RAX41" s="536"/>
      <c r="RAY41" s="536"/>
      <c r="RAZ41" s="536"/>
      <c r="RBA41" s="536"/>
      <c r="RBB41" s="536"/>
      <c r="RBC41" s="536"/>
      <c r="RBD41" s="536"/>
      <c r="RBE41" s="536"/>
      <c r="RBF41" s="536"/>
      <c r="RBG41" s="536"/>
      <c r="RBH41" s="536"/>
      <c r="RBI41" s="536"/>
      <c r="RBJ41" s="536"/>
      <c r="RBK41" s="536"/>
      <c r="RBL41" s="536"/>
      <c r="RBM41" s="536"/>
      <c r="RBN41" s="536"/>
      <c r="RBO41" s="536"/>
      <c r="RBP41" s="536"/>
      <c r="RBQ41" s="536"/>
      <c r="RBR41" s="536"/>
      <c r="RBS41" s="536"/>
      <c r="RBT41" s="536"/>
      <c r="RBU41" s="536"/>
      <c r="RBV41" s="536"/>
      <c r="RBW41" s="536"/>
      <c r="RBX41" s="536"/>
      <c r="RBY41" s="536"/>
      <c r="RBZ41" s="536"/>
      <c r="RCA41" s="536"/>
      <c r="RCB41" s="536"/>
      <c r="RCC41" s="536"/>
      <c r="RCD41" s="536"/>
      <c r="RCE41" s="536"/>
      <c r="RCF41" s="536"/>
      <c r="RCG41" s="536"/>
      <c r="RCH41" s="536"/>
      <c r="RCI41" s="536"/>
      <c r="RCJ41" s="536"/>
      <c r="RCK41" s="536"/>
      <c r="RCL41" s="536"/>
      <c r="RCM41" s="536"/>
      <c r="RCN41" s="536"/>
      <c r="RCO41" s="536"/>
      <c r="RCP41" s="536"/>
      <c r="RCQ41" s="536"/>
      <c r="RCR41" s="536"/>
      <c r="RCS41" s="536"/>
      <c r="RCT41" s="536"/>
      <c r="RCU41" s="536"/>
      <c r="RCV41" s="536"/>
      <c r="RCW41" s="536"/>
      <c r="RCX41" s="536"/>
      <c r="RCY41" s="536"/>
      <c r="RCZ41" s="536"/>
      <c r="RDA41" s="536"/>
      <c r="RDB41" s="536"/>
      <c r="RDC41" s="536"/>
      <c r="RDD41" s="536"/>
      <c r="RDE41" s="536"/>
      <c r="RDF41" s="536"/>
      <c r="RDG41" s="536"/>
      <c r="RDH41" s="536"/>
      <c r="RDI41" s="536"/>
      <c r="RDJ41" s="536"/>
      <c r="RDK41" s="536"/>
      <c r="RDL41" s="536"/>
      <c r="RDM41" s="536"/>
      <c r="RDN41" s="536"/>
      <c r="RDO41" s="536"/>
      <c r="RDP41" s="536"/>
      <c r="RDQ41" s="536"/>
      <c r="RDR41" s="536"/>
      <c r="RDS41" s="536"/>
      <c r="RDT41" s="536"/>
      <c r="RDU41" s="536"/>
      <c r="RDV41" s="536"/>
      <c r="RDW41" s="536"/>
      <c r="RDX41" s="536"/>
      <c r="RDY41" s="536"/>
      <c r="RDZ41" s="536"/>
      <c r="REA41" s="536"/>
      <c r="REB41" s="536"/>
      <c r="REC41" s="536"/>
      <c r="RED41" s="536"/>
      <c r="REE41" s="536"/>
      <c r="REF41" s="536"/>
      <c r="REG41" s="536"/>
      <c r="REH41" s="536"/>
      <c r="REI41" s="536"/>
      <c r="REJ41" s="536"/>
      <c r="REK41" s="536"/>
      <c r="REL41" s="536"/>
      <c r="REM41" s="536"/>
      <c r="REN41" s="536"/>
      <c r="REO41" s="536"/>
      <c r="REP41" s="536"/>
      <c r="REQ41" s="536"/>
      <c r="RER41" s="536"/>
      <c r="RES41" s="536"/>
      <c r="RET41" s="536"/>
      <c r="REU41" s="536"/>
      <c r="REV41" s="536"/>
      <c r="REW41" s="536"/>
      <c r="REX41" s="536"/>
      <c r="REY41" s="536"/>
      <c r="REZ41" s="536"/>
      <c r="RFA41" s="536"/>
      <c r="RFB41" s="536"/>
      <c r="RFC41" s="536"/>
      <c r="RFD41" s="536"/>
      <c r="RFE41" s="536"/>
      <c r="RFF41" s="536"/>
      <c r="RFG41" s="536"/>
      <c r="RFH41" s="536"/>
      <c r="RFI41" s="536"/>
      <c r="RFJ41" s="536"/>
      <c r="RFK41" s="536"/>
      <c r="RFL41" s="536"/>
      <c r="RFM41" s="536"/>
      <c r="RFN41" s="536"/>
      <c r="RFO41" s="536"/>
      <c r="RFP41" s="536"/>
      <c r="RFQ41" s="536"/>
      <c r="RFR41" s="536"/>
      <c r="RFS41" s="536"/>
      <c r="RFT41" s="536"/>
      <c r="RFU41" s="536"/>
      <c r="RFV41" s="536"/>
      <c r="RFW41" s="536"/>
      <c r="RFX41" s="536"/>
      <c r="RFY41" s="536"/>
      <c r="RFZ41" s="536"/>
      <c r="RGA41" s="536"/>
      <c r="RGB41" s="536"/>
      <c r="RGC41" s="536"/>
      <c r="RGD41" s="536"/>
      <c r="RGE41" s="536"/>
      <c r="RGF41" s="536"/>
      <c r="RGG41" s="536"/>
      <c r="RGH41" s="536"/>
      <c r="RGI41" s="536"/>
      <c r="RGJ41" s="536"/>
      <c r="RGK41" s="536"/>
      <c r="RGL41" s="536"/>
      <c r="RGM41" s="536"/>
      <c r="RGN41" s="536"/>
      <c r="RGO41" s="536"/>
      <c r="RGP41" s="536"/>
      <c r="RGQ41" s="536"/>
      <c r="RGR41" s="536"/>
      <c r="RGS41" s="536"/>
      <c r="RGT41" s="536"/>
      <c r="RGU41" s="536"/>
      <c r="RGV41" s="536"/>
      <c r="RGW41" s="536"/>
      <c r="RGX41" s="536"/>
      <c r="RGY41" s="536"/>
      <c r="RGZ41" s="536"/>
      <c r="RHA41" s="536"/>
      <c r="RHB41" s="536"/>
      <c r="RHC41" s="536"/>
      <c r="RHD41" s="536"/>
      <c r="RHE41" s="536"/>
      <c r="RHF41" s="536"/>
      <c r="RHG41" s="536"/>
      <c r="RHH41" s="536"/>
      <c r="RHI41" s="536"/>
      <c r="RHJ41" s="536"/>
      <c r="RHK41" s="536"/>
      <c r="RHL41" s="536"/>
      <c r="RHM41" s="536"/>
      <c r="RHN41" s="536"/>
      <c r="RHO41" s="536"/>
      <c r="RHP41" s="536"/>
      <c r="RHQ41" s="536"/>
      <c r="RHR41" s="536"/>
      <c r="RHS41" s="536"/>
      <c r="RHT41" s="536"/>
      <c r="RHU41" s="536"/>
      <c r="RHV41" s="536"/>
      <c r="RHW41" s="536"/>
      <c r="RHX41" s="536"/>
      <c r="RHY41" s="536"/>
      <c r="RHZ41" s="536"/>
      <c r="RIA41" s="536"/>
      <c r="RIB41" s="536"/>
      <c r="RIC41" s="536"/>
      <c r="RID41" s="536"/>
      <c r="RIE41" s="536"/>
      <c r="RIF41" s="536"/>
      <c r="RIG41" s="536"/>
      <c r="RIH41" s="536"/>
      <c r="RII41" s="536"/>
      <c r="RIJ41" s="536"/>
      <c r="RIK41" s="536"/>
      <c r="RIL41" s="536"/>
      <c r="RIM41" s="536"/>
      <c r="RIN41" s="536"/>
      <c r="RIO41" s="536"/>
      <c r="RIP41" s="536"/>
      <c r="RIQ41" s="536"/>
      <c r="RIR41" s="536"/>
      <c r="RIS41" s="536"/>
      <c r="RIT41" s="536"/>
      <c r="RIU41" s="536"/>
      <c r="RIV41" s="536"/>
      <c r="RIW41" s="536"/>
      <c r="RIX41" s="536"/>
      <c r="RIY41" s="536"/>
      <c r="RIZ41" s="536"/>
      <c r="RJA41" s="536"/>
      <c r="RJB41" s="536"/>
      <c r="RJC41" s="536"/>
      <c r="RJD41" s="536"/>
      <c r="RJE41" s="536"/>
      <c r="RJF41" s="536"/>
      <c r="RJG41" s="536"/>
      <c r="RJH41" s="536"/>
      <c r="RJI41" s="536"/>
      <c r="RJJ41" s="536"/>
      <c r="RJK41" s="536"/>
      <c r="RJL41" s="536"/>
      <c r="RJM41" s="536"/>
      <c r="RJN41" s="536"/>
      <c r="RJO41" s="536"/>
      <c r="RJP41" s="536"/>
      <c r="RJQ41" s="536"/>
      <c r="RJR41" s="536"/>
      <c r="RJS41" s="536"/>
      <c r="RJT41" s="536"/>
      <c r="RJU41" s="536"/>
      <c r="RJV41" s="536"/>
      <c r="RJW41" s="536"/>
      <c r="RJX41" s="536"/>
      <c r="RJY41" s="536"/>
      <c r="RJZ41" s="536"/>
      <c r="RKA41" s="536"/>
      <c r="RKB41" s="536"/>
      <c r="RKC41" s="536"/>
      <c r="RKD41" s="536"/>
      <c r="RKE41" s="536"/>
      <c r="RKF41" s="536"/>
      <c r="RKG41" s="536"/>
      <c r="RKH41" s="536"/>
      <c r="RKI41" s="536"/>
      <c r="RKJ41" s="536"/>
      <c r="RKK41" s="536"/>
      <c r="RKL41" s="536"/>
      <c r="RKM41" s="536"/>
      <c r="RKN41" s="536"/>
      <c r="RKO41" s="536"/>
      <c r="RKP41" s="536"/>
      <c r="RKQ41" s="536"/>
      <c r="RKR41" s="536"/>
      <c r="RKS41" s="536"/>
      <c r="RKT41" s="536"/>
      <c r="RKU41" s="536"/>
      <c r="RKV41" s="536"/>
      <c r="RKW41" s="536"/>
      <c r="RKX41" s="536"/>
      <c r="RKY41" s="536"/>
      <c r="RKZ41" s="536"/>
      <c r="RLA41" s="536"/>
      <c r="RLB41" s="536"/>
      <c r="RLC41" s="536"/>
      <c r="RLD41" s="536"/>
      <c r="RLE41" s="536"/>
      <c r="RLF41" s="536"/>
      <c r="RLG41" s="536"/>
      <c r="RLH41" s="536"/>
      <c r="RLI41" s="536"/>
      <c r="RLJ41" s="536"/>
      <c r="RLK41" s="536"/>
      <c r="RLL41" s="536"/>
      <c r="RLM41" s="536"/>
      <c r="RLN41" s="536"/>
      <c r="RLO41" s="536"/>
      <c r="RLP41" s="536"/>
      <c r="RLQ41" s="536"/>
      <c r="RLR41" s="536"/>
      <c r="RLS41" s="536"/>
      <c r="RLT41" s="536"/>
      <c r="RLU41" s="536"/>
      <c r="RLV41" s="536"/>
      <c r="RLW41" s="536"/>
      <c r="RLX41" s="536"/>
      <c r="RLY41" s="536"/>
      <c r="RLZ41" s="536"/>
      <c r="RMA41" s="536"/>
      <c r="RMB41" s="536"/>
      <c r="RMC41" s="536"/>
      <c r="RMD41" s="536"/>
      <c r="RME41" s="536"/>
      <c r="RMF41" s="536"/>
      <c r="RMG41" s="536"/>
      <c r="RMH41" s="536"/>
      <c r="RMI41" s="536"/>
      <c r="RMJ41" s="536"/>
      <c r="RMK41" s="536"/>
      <c r="RML41" s="536"/>
      <c r="RMM41" s="536"/>
      <c r="RMN41" s="536"/>
      <c r="RMO41" s="536"/>
      <c r="RMP41" s="536"/>
      <c r="RMQ41" s="536"/>
      <c r="RMR41" s="536"/>
      <c r="RMS41" s="536"/>
      <c r="RMT41" s="536"/>
      <c r="RMU41" s="536"/>
      <c r="RMV41" s="536"/>
      <c r="RMW41" s="536"/>
      <c r="RMX41" s="536"/>
      <c r="RMY41" s="536"/>
      <c r="RMZ41" s="536"/>
      <c r="RNA41" s="536"/>
      <c r="RNB41" s="536"/>
      <c r="RNC41" s="536"/>
      <c r="RND41" s="536"/>
      <c r="RNE41" s="536"/>
      <c r="RNF41" s="536"/>
      <c r="RNG41" s="536"/>
      <c r="RNH41" s="536"/>
      <c r="RNI41" s="536"/>
      <c r="RNJ41" s="536"/>
      <c r="RNK41" s="536"/>
      <c r="RNL41" s="536"/>
      <c r="RNM41" s="536"/>
      <c r="RNN41" s="536"/>
      <c r="RNO41" s="536"/>
      <c r="RNP41" s="536"/>
      <c r="RNQ41" s="536"/>
      <c r="RNR41" s="536"/>
      <c r="RNS41" s="536"/>
      <c r="RNT41" s="536"/>
      <c r="RNU41" s="536"/>
      <c r="RNV41" s="536"/>
      <c r="RNW41" s="536"/>
      <c r="RNX41" s="536"/>
      <c r="RNY41" s="536"/>
      <c r="RNZ41" s="536"/>
      <c r="ROA41" s="536"/>
      <c r="ROB41" s="536"/>
      <c r="ROC41" s="536"/>
      <c r="ROD41" s="536"/>
      <c r="ROE41" s="536"/>
      <c r="ROF41" s="536"/>
      <c r="ROG41" s="536"/>
      <c r="ROH41" s="536"/>
      <c r="ROI41" s="536"/>
      <c r="ROJ41" s="536"/>
      <c r="ROK41" s="536"/>
      <c r="ROL41" s="536"/>
      <c r="ROM41" s="536"/>
      <c r="RON41" s="536"/>
      <c r="ROO41" s="536"/>
      <c r="ROP41" s="536"/>
      <c r="ROQ41" s="536"/>
      <c r="ROR41" s="536"/>
      <c r="ROS41" s="536"/>
      <c r="ROT41" s="536"/>
      <c r="ROU41" s="536"/>
      <c r="ROV41" s="536"/>
      <c r="ROW41" s="536"/>
      <c r="ROX41" s="536"/>
      <c r="ROY41" s="536"/>
      <c r="ROZ41" s="536"/>
      <c r="RPA41" s="536"/>
      <c r="RPB41" s="536"/>
      <c r="RPC41" s="536"/>
      <c r="RPD41" s="536"/>
      <c r="RPE41" s="536"/>
      <c r="RPF41" s="536"/>
      <c r="RPG41" s="536"/>
      <c r="RPH41" s="536"/>
      <c r="RPI41" s="536"/>
      <c r="RPJ41" s="536"/>
      <c r="RPK41" s="536"/>
      <c r="RPL41" s="536"/>
      <c r="RPM41" s="536"/>
      <c r="RPN41" s="536"/>
      <c r="RPO41" s="536"/>
      <c r="RPP41" s="536"/>
      <c r="RPQ41" s="536"/>
      <c r="RPR41" s="536"/>
      <c r="RPS41" s="536"/>
      <c r="RPT41" s="536"/>
      <c r="RPU41" s="536"/>
      <c r="RPV41" s="536"/>
      <c r="RPW41" s="536"/>
      <c r="RPX41" s="536"/>
      <c r="RPY41" s="536"/>
      <c r="RPZ41" s="536"/>
      <c r="RQA41" s="536"/>
      <c r="RQB41" s="536"/>
      <c r="RQC41" s="536"/>
      <c r="RQD41" s="536"/>
      <c r="RQE41" s="536"/>
      <c r="RQF41" s="536"/>
      <c r="RQG41" s="536"/>
      <c r="RQH41" s="536"/>
      <c r="RQI41" s="536"/>
      <c r="RQJ41" s="536"/>
      <c r="RQK41" s="536"/>
      <c r="RQL41" s="536"/>
      <c r="RQM41" s="536"/>
      <c r="RQN41" s="536"/>
      <c r="RQO41" s="536"/>
      <c r="RQP41" s="536"/>
      <c r="RQQ41" s="536"/>
      <c r="RQR41" s="536"/>
      <c r="RQS41" s="536"/>
      <c r="RQT41" s="536"/>
      <c r="RQU41" s="536"/>
      <c r="RQV41" s="536"/>
      <c r="RQW41" s="536"/>
      <c r="RQX41" s="536"/>
      <c r="RQY41" s="536"/>
      <c r="RQZ41" s="536"/>
      <c r="RRA41" s="536"/>
      <c r="RRB41" s="536"/>
      <c r="RRC41" s="536"/>
      <c r="RRD41" s="536"/>
      <c r="RRE41" s="536"/>
      <c r="RRF41" s="536"/>
      <c r="RRG41" s="536"/>
      <c r="RRH41" s="536"/>
      <c r="RRI41" s="536"/>
      <c r="RRJ41" s="536"/>
      <c r="RRK41" s="536"/>
      <c r="RRL41" s="536"/>
      <c r="RRM41" s="536"/>
      <c r="RRN41" s="536"/>
      <c r="RRO41" s="536"/>
      <c r="RRP41" s="536"/>
      <c r="RRQ41" s="536"/>
      <c r="RRR41" s="536"/>
      <c r="RRS41" s="536"/>
      <c r="RRT41" s="536"/>
      <c r="RRU41" s="536"/>
      <c r="RRV41" s="536"/>
      <c r="RRW41" s="536"/>
      <c r="RRX41" s="536"/>
      <c r="RRY41" s="536"/>
      <c r="RRZ41" s="536"/>
      <c r="RSA41" s="536"/>
      <c r="RSB41" s="536"/>
      <c r="RSC41" s="536"/>
      <c r="RSD41" s="536"/>
      <c r="RSE41" s="536"/>
      <c r="RSF41" s="536"/>
      <c r="RSG41" s="536"/>
      <c r="RSH41" s="536"/>
      <c r="RSI41" s="536"/>
      <c r="RSJ41" s="536"/>
      <c r="RSK41" s="536"/>
      <c r="RSL41" s="536"/>
      <c r="RSM41" s="536"/>
      <c r="RSN41" s="536"/>
      <c r="RSO41" s="536"/>
      <c r="RSP41" s="536"/>
      <c r="RSQ41" s="536"/>
      <c r="RSR41" s="536"/>
      <c r="RSS41" s="536"/>
      <c r="RST41" s="536"/>
      <c r="RSU41" s="536"/>
      <c r="RSV41" s="536"/>
      <c r="RSW41" s="536"/>
      <c r="RSX41" s="536"/>
      <c r="RSY41" s="536"/>
      <c r="RSZ41" s="536"/>
      <c r="RTA41" s="536"/>
      <c r="RTB41" s="536"/>
      <c r="RTC41" s="536"/>
      <c r="RTD41" s="536"/>
      <c r="RTE41" s="536"/>
      <c r="RTF41" s="536"/>
      <c r="RTG41" s="536"/>
      <c r="RTH41" s="536"/>
      <c r="RTI41" s="536"/>
      <c r="RTJ41" s="536"/>
      <c r="RTK41" s="536"/>
      <c r="RTL41" s="536"/>
      <c r="RTM41" s="536"/>
      <c r="RTN41" s="536"/>
      <c r="RTO41" s="536"/>
      <c r="RTP41" s="536"/>
      <c r="RTQ41" s="536"/>
      <c r="RTR41" s="536"/>
      <c r="RTS41" s="536"/>
      <c r="RTT41" s="536"/>
      <c r="RTU41" s="536"/>
      <c r="RTV41" s="536"/>
      <c r="RTW41" s="536"/>
      <c r="RTX41" s="536"/>
      <c r="RTY41" s="536"/>
      <c r="RTZ41" s="536"/>
      <c r="RUA41" s="536"/>
      <c r="RUB41" s="536"/>
      <c r="RUC41" s="536"/>
      <c r="RUD41" s="536"/>
      <c r="RUE41" s="536"/>
      <c r="RUF41" s="536"/>
      <c r="RUG41" s="536"/>
      <c r="RUH41" s="536"/>
      <c r="RUI41" s="536"/>
      <c r="RUJ41" s="536"/>
      <c r="RUK41" s="536"/>
      <c r="RUL41" s="536"/>
      <c r="RUM41" s="536"/>
      <c r="RUN41" s="536"/>
      <c r="RUO41" s="536"/>
      <c r="RUP41" s="536"/>
      <c r="RUQ41" s="536"/>
      <c r="RUR41" s="536"/>
      <c r="RUS41" s="536"/>
      <c r="RUT41" s="536"/>
      <c r="RUU41" s="536"/>
      <c r="RUV41" s="536"/>
      <c r="RUW41" s="536"/>
      <c r="RUX41" s="536"/>
      <c r="RUY41" s="536"/>
      <c r="RUZ41" s="536"/>
      <c r="RVA41" s="536"/>
      <c r="RVB41" s="536"/>
      <c r="RVC41" s="536"/>
      <c r="RVD41" s="536"/>
      <c r="RVE41" s="536"/>
      <c r="RVF41" s="536"/>
      <c r="RVG41" s="536"/>
      <c r="RVH41" s="536"/>
      <c r="RVI41" s="536"/>
      <c r="RVJ41" s="536"/>
      <c r="RVK41" s="536"/>
      <c r="RVL41" s="536"/>
      <c r="RVM41" s="536"/>
      <c r="RVN41" s="536"/>
      <c r="RVO41" s="536"/>
      <c r="RVP41" s="536"/>
      <c r="RVQ41" s="536"/>
      <c r="RVR41" s="536"/>
      <c r="RVS41" s="536"/>
      <c r="RVT41" s="536"/>
      <c r="RVU41" s="536"/>
      <c r="RVV41" s="536"/>
      <c r="RVW41" s="536"/>
      <c r="RVX41" s="536"/>
      <c r="RVY41" s="536"/>
      <c r="RVZ41" s="536"/>
      <c r="RWA41" s="536"/>
      <c r="RWB41" s="536"/>
      <c r="RWC41" s="536"/>
      <c r="RWD41" s="536"/>
      <c r="RWE41" s="536"/>
      <c r="RWF41" s="536"/>
      <c r="RWG41" s="536"/>
      <c r="RWH41" s="536"/>
      <c r="RWI41" s="536"/>
      <c r="RWJ41" s="536"/>
      <c r="RWK41" s="536"/>
      <c r="RWL41" s="536"/>
      <c r="RWM41" s="536"/>
      <c r="RWN41" s="536"/>
      <c r="RWO41" s="536"/>
      <c r="RWP41" s="536"/>
      <c r="RWQ41" s="536"/>
      <c r="RWR41" s="536"/>
      <c r="RWS41" s="536"/>
      <c r="RWT41" s="536"/>
      <c r="RWU41" s="536"/>
      <c r="RWV41" s="536"/>
      <c r="RWW41" s="536"/>
      <c r="RWX41" s="536"/>
      <c r="RWY41" s="536"/>
      <c r="RWZ41" s="536"/>
      <c r="RXA41" s="536"/>
      <c r="RXB41" s="536"/>
      <c r="RXC41" s="536"/>
      <c r="RXD41" s="536"/>
      <c r="RXE41" s="536"/>
      <c r="RXF41" s="536"/>
      <c r="RXG41" s="536"/>
      <c r="RXH41" s="536"/>
      <c r="RXI41" s="536"/>
      <c r="RXJ41" s="536"/>
      <c r="RXK41" s="536"/>
      <c r="RXL41" s="536"/>
      <c r="RXM41" s="536"/>
      <c r="RXN41" s="536"/>
      <c r="RXO41" s="536"/>
      <c r="RXP41" s="536"/>
      <c r="RXQ41" s="536"/>
      <c r="RXR41" s="536"/>
      <c r="RXS41" s="536"/>
      <c r="RXT41" s="536"/>
      <c r="RXU41" s="536"/>
      <c r="RXV41" s="536"/>
      <c r="RXW41" s="536"/>
      <c r="RXX41" s="536"/>
      <c r="RXY41" s="536"/>
      <c r="RXZ41" s="536"/>
      <c r="RYA41" s="536"/>
      <c r="RYB41" s="536"/>
      <c r="RYC41" s="536"/>
      <c r="RYD41" s="536"/>
      <c r="RYE41" s="536"/>
      <c r="RYF41" s="536"/>
      <c r="RYG41" s="536"/>
      <c r="RYH41" s="536"/>
      <c r="RYI41" s="536"/>
      <c r="RYJ41" s="536"/>
      <c r="RYK41" s="536"/>
      <c r="RYL41" s="536"/>
      <c r="RYM41" s="536"/>
      <c r="RYN41" s="536"/>
      <c r="RYO41" s="536"/>
      <c r="RYP41" s="536"/>
      <c r="RYQ41" s="536"/>
      <c r="RYR41" s="536"/>
      <c r="RYS41" s="536"/>
      <c r="RYT41" s="536"/>
      <c r="RYU41" s="536"/>
      <c r="RYV41" s="536"/>
      <c r="RYW41" s="536"/>
      <c r="RYX41" s="536"/>
      <c r="RYY41" s="536"/>
      <c r="RYZ41" s="536"/>
      <c r="RZA41" s="536"/>
      <c r="RZB41" s="536"/>
      <c r="RZC41" s="536"/>
      <c r="RZD41" s="536"/>
      <c r="RZE41" s="536"/>
      <c r="RZF41" s="536"/>
      <c r="RZG41" s="536"/>
      <c r="RZH41" s="536"/>
      <c r="RZI41" s="536"/>
      <c r="RZJ41" s="536"/>
      <c r="RZK41" s="536"/>
      <c r="RZL41" s="536"/>
      <c r="RZM41" s="536"/>
      <c r="RZN41" s="536"/>
      <c r="RZO41" s="536"/>
      <c r="RZP41" s="536"/>
      <c r="RZQ41" s="536"/>
      <c r="RZR41" s="536"/>
      <c r="RZS41" s="536"/>
      <c r="RZT41" s="536"/>
      <c r="RZU41" s="536"/>
      <c r="RZV41" s="536"/>
      <c r="RZW41" s="536"/>
      <c r="RZX41" s="536"/>
      <c r="RZY41" s="536"/>
      <c r="RZZ41" s="536"/>
      <c r="SAA41" s="536"/>
      <c r="SAB41" s="536"/>
      <c r="SAC41" s="536"/>
      <c r="SAD41" s="536"/>
      <c r="SAE41" s="536"/>
      <c r="SAF41" s="536"/>
      <c r="SAG41" s="536"/>
      <c r="SAH41" s="536"/>
      <c r="SAI41" s="536"/>
      <c r="SAJ41" s="536"/>
      <c r="SAK41" s="536"/>
      <c r="SAL41" s="536"/>
      <c r="SAM41" s="536"/>
      <c r="SAN41" s="536"/>
      <c r="SAO41" s="536"/>
      <c r="SAP41" s="536"/>
      <c r="SAQ41" s="536"/>
      <c r="SAR41" s="536"/>
      <c r="SAS41" s="536"/>
      <c r="SAT41" s="536"/>
      <c r="SAU41" s="536"/>
      <c r="SAV41" s="536"/>
      <c r="SAW41" s="536"/>
      <c r="SAX41" s="536"/>
      <c r="SAY41" s="536"/>
      <c r="SAZ41" s="536"/>
      <c r="SBA41" s="536"/>
      <c r="SBB41" s="536"/>
      <c r="SBC41" s="536"/>
      <c r="SBD41" s="536"/>
      <c r="SBE41" s="536"/>
      <c r="SBF41" s="536"/>
      <c r="SBG41" s="536"/>
      <c r="SBH41" s="536"/>
      <c r="SBI41" s="536"/>
      <c r="SBJ41" s="536"/>
      <c r="SBK41" s="536"/>
      <c r="SBL41" s="536"/>
      <c r="SBM41" s="536"/>
      <c r="SBN41" s="536"/>
      <c r="SBO41" s="536"/>
      <c r="SBP41" s="536"/>
      <c r="SBQ41" s="536"/>
      <c r="SBR41" s="536"/>
      <c r="SBS41" s="536"/>
      <c r="SBT41" s="536"/>
      <c r="SBU41" s="536"/>
      <c r="SBV41" s="536"/>
      <c r="SBW41" s="536"/>
      <c r="SBX41" s="536"/>
      <c r="SBY41" s="536"/>
      <c r="SBZ41" s="536"/>
      <c r="SCA41" s="536"/>
      <c r="SCB41" s="536"/>
      <c r="SCC41" s="536"/>
      <c r="SCD41" s="536"/>
      <c r="SCE41" s="536"/>
      <c r="SCF41" s="536"/>
      <c r="SCG41" s="536"/>
      <c r="SCH41" s="536"/>
      <c r="SCI41" s="536"/>
      <c r="SCJ41" s="536"/>
      <c r="SCK41" s="536"/>
      <c r="SCL41" s="536"/>
      <c r="SCM41" s="536"/>
      <c r="SCN41" s="536"/>
      <c r="SCO41" s="536"/>
      <c r="SCP41" s="536"/>
      <c r="SCQ41" s="536"/>
      <c r="SCR41" s="536"/>
      <c r="SCS41" s="536"/>
      <c r="SCT41" s="536"/>
      <c r="SCU41" s="536"/>
      <c r="SCV41" s="536"/>
      <c r="SCW41" s="536"/>
      <c r="SCX41" s="536"/>
      <c r="SCY41" s="536"/>
      <c r="SCZ41" s="536"/>
      <c r="SDA41" s="536"/>
      <c r="SDB41" s="536"/>
      <c r="SDC41" s="536"/>
      <c r="SDD41" s="536"/>
      <c r="SDE41" s="536"/>
      <c r="SDF41" s="536"/>
      <c r="SDG41" s="536"/>
      <c r="SDH41" s="536"/>
      <c r="SDI41" s="536"/>
      <c r="SDJ41" s="536"/>
      <c r="SDK41" s="536"/>
      <c r="SDL41" s="536"/>
      <c r="SDM41" s="536"/>
      <c r="SDN41" s="536"/>
      <c r="SDO41" s="536"/>
      <c r="SDP41" s="536"/>
      <c r="SDQ41" s="536"/>
      <c r="SDR41" s="536"/>
      <c r="SDS41" s="536"/>
      <c r="SDT41" s="536"/>
      <c r="SDU41" s="536"/>
      <c r="SDV41" s="536"/>
      <c r="SDW41" s="536"/>
      <c r="SDX41" s="536"/>
      <c r="SDY41" s="536"/>
      <c r="SDZ41" s="536"/>
      <c r="SEA41" s="536"/>
      <c r="SEB41" s="536"/>
      <c r="SEC41" s="536"/>
      <c r="SED41" s="536"/>
      <c r="SEE41" s="536"/>
      <c r="SEF41" s="536"/>
      <c r="SEG41" s="536"/>
      <c r="SEH41" s="536"/>
      <c r="SEI41" s="536"/>
      <c r="SEJ41" s="536"/>
      <c r="SEK41" s="536"/>
      <c r="SEL41" s="536"/>
      <c r="SEM41" s="536"/>
      <c r="SEN41" s="536"/>
      <c r="SEO41" s="536"/>
      <c r="SEP41" s="536"/>
      <c r="SEQ41" s="536"/>
      <c r="SER41" s="536"/>
      <c r="SES41" s="536"/>
      <c r="SET41" s="536"/>
      <c r="SEU41" s="536"/>
      <c r="SEV41" s="536"/>
      <c r="SEW41" s="536"/>
      <c r="SEX41" s="536"/>
      <c r="SEY41" s="536"/>
      <c r="SEZ41" s="536"/>
      <c r="SFA41" s="536"/>
      <c r="SFB41" s="536"/>
      <c r="SFC41" s="536"/>
      <c r="SFD41" s="536"/>
      <c r="SFE41" s="536"/>
      <c r="SFF41" s="536"/>
      <c r="SFG41" s="536"/>
      <c r="SFH41" s="536"/>
      <c r="SFI41" s="536"/>
      <c r="SFJ41" s="536"/>
      <c r="SFK41" s="536"/>
      <c r="SFL41" s="536"/>
      <c r="SFM41" s="536"/>
      <c r="SFN41" s="536"/>
      <c r="SFO41" s="536"/>
      <c r="SFP41" s="536"/>
      <c r="SFQ41" s="536"/>
      <c r="SFR41" s="536"/>
      <c r="SFS41" s="536"/>
      <c r="SFT41" s="536"/>
      <c r="SFU41" s="536"/>
      <c r="SFV41" s="536"/>
      <c r="SFW41" s="536"/>
      <c r="SFX41" s="536"/>
      <c r="SFY41" s="536"/>
      <c r="SFZ41" s="536"/>
      <c r="SGA41" s="536"/>
      <c r="SGB41" s="536"/>
      <c r="SGC41" s="536"/>
      <c r="SGD41" s="536"/>
      <c r="SGE41" s="536"/>
      <c r="SGF41" s="536"/>
      <c r="SGG41" s="536"/>
      <c r="SGH41" s="536"/>
      <c r="SGI41" s="536"/>
      <c r="SGJ41" s="536"/>
      <c r="SGK41" s="536"/>
      <c r="SGL41" s="536"/>
      <c r="SGM41" s="536"/>
      <c r="SGN41" s="536"/>
      <c r="SGO41" s="536"/>
      <c r="SGP41" s="536"/>
      <c r="SGQ41" s="536"/>
      <c r="SGR41" s="536"/>
      <c r="SGS41" s="536"/>
      <c r="SGT41" s="536"/>
      <c r="SGU41" s="536"/>
      <c r="SGV41" s="536"/>
      <c r="SGW41" s="536"/>
      <c r="SGX41" s="536"/>
      <c r="SGY41" s="536"/>
      <c r="SGZ41" s="536"/>
      <c r="SHA41" s="536"/>
      <c r="SHB41" s="536"/>
      <c r="SHC41" s="536"/>
      <c r="SHD41" s="536"/>
      <c r="SHE41" s="536"/>
      <c r="SHF41" s="536"/>
      <c r="SHG41" s="536"/>
      <c r="SHH41" s="536"/>
      <c r="SHI41" s="536"/>
      <c r="SHJ41" s="536"/>
      <c r="SHK41" s="536"/>
      <c r="SHL41" s="536"/>
      <c r="SHM41" s="536"/>
      <c r="SHN41" s="536"/>
      <c r="SHO41" s="536"/>
      <c r="SHP41" s="536"/>
      <c r="SHQ41" s="536"/>
      <c r="SHR41" s="536"/>
      <c r="SHS41" s="536"/>
      <c r="SHT41" s="536"/>
      <c r="SHU41" s="536"/>
      <c r="SHV41" s="536"/>
      <c r="SHW41" s="536"/>
      <c r="SHX41" s="536"/>
      <c r="SHY41" s="536"/>
      <c r="SHZ41" s="536"/>
      <c r="SIA41" s="536"/>
      <c r="SIB41" s="536"/>
      <c r="SIC41" s="536"/>
      <c r="SID41" s="536"/>
      <c r="SIE41" s="536"/>
      <c r="SIF41" s="536"/>
      <c r="SIG41" s="536"/>
      <c r="SIH41" s="536"/>
      <c r="SII41" s="536"/>
      <c r="SIJ41" s="536"/>
      <c r="SIK41" s="536"/>
      <c r="SIL41" s="536"/>
      <c r="SIM41" s="536"/>
      <c r="SIN41" s="536"/>
      <c r="SIO41" s="536"/>
      <c r="SIP41" s="536"/>
      <c r="SIQ41" s="536"/>
      <c r="SIR41" s="536"/>
      <c r="SIS41" s="536"/>
      <c r="SIT41" s="536"/>
      <c r="SIU41" s="536"/>
      <c r="SIV41" s="536"/>
      <c r="SIW41" s="536"/>
      <c r="SIX41" s="536"/>
      <c r="SIY41" s="536"/>
      <c r="SIZ41" s="536"/>
      <c r="SJA41" s="536"/>
      <c r="SJB41" s="536"/>
      <c r="SJC41" s="536"/>
      <c r="SJD41" s="536"/>
      <c r="SJE41" s="536"/>
      <c r="SJF41" s="536"/>
      <c r="SJG41" s="536"/>
      <c r="SJH41" s="536"/>
      <c r="SJI41" s="536"/>
      <c r="SJJ41" s="536"/>
      <c r="SJK41" s="536"/>
      <c r="SJL41" s="536"/>
      <c r="SJM41" s="536"/>
      <c r="SJN41" s="536"/>
      <c r="SJO41" s="536"/>
      <c r="SJP41" s="536"/>
      <c r="SJQ41" s="536"/>
      <c r="SJR41" s="536"/>
      <c r="SJS41" s="536"/>
      <c r="SJT41" s="536"/>
      <c r="SJU41" s="536"/>
      <c r="SJV41" s="536"/>
      <c r="SJW41" s="536"/>
      <c r="SJX41" s="536"/>
      <c r="SJY41" s="536"/>
      <c r="SJZ41" s="536"/>
      <c r="SKA41" s="536"/>
      <c r="SKB41" s="536"/>
      <c r="SKC41" s="536"/>
      <c r="SKD41" s="536"/>
      <c r="SKE41" s="536"/>
      <c r="SKF41" s="536"/>
      <c r="SKG41" s="536"/>
      <c r="SKH41" s="536"/>
      <c r="SKI41" s="536"/>
      <c r="SKJ41" s="536"/>
      <c r="SKK41" s="536"/>
      <c r="SKL41" s="536"/>
      <c r="SKM41" s="536"/>
      <c r="SKN41" s="536"/>
      <c r="SKO41" s="536"/>
      <c r="SKP41" s="536"/>
      <c r="SKQ41" s="536"/>
      <c r="SKR41" s="536"/>
      <c r="SKS41" s="536"/>
      <c r="SKT41" s="536"/>
      <c r="SKU41" s="536"/>
      <c r="SKV41" s="536"/>
      <c r="SKW41" s="536"/>
      <c r="SKX41" s="536"/>
      <c r="SKY41" s="536"/>
      <c r="SKZ41" s="536"/>
      <c r="SLA41" s="536"/>
      <c r="SLB41" s="536"/>
      <c r="SLC41" s="536"/>
      <c r="SLD41" s="536"/>
      <c r="SLE41" s="536"/>
      <c r="SLF41" s="536"/>
      <c r="SLG41" s="536"/>
      <c r="SLH41" s="536"/>
      <c r="SLI41" s="536"/>
      <c r="SLJ41" s="536"/>
      <c r="SLK41" s="536"/>
      <c r="SLL41" s="536"/>
      <c r="SLM41" s="536"/>
      <c r="SLN41" s="536"/>
      <c r="SLO41" s="536"/>
      <c r="SLP41" s="536"/>
      <c r="SLQ41" s="536"/>
      <c r="SLR41" s="536"/>
      <c r="SLS41" s="536"/>
      <c r="SLT41" s="536"/>
      <c r="SLU41" s="536"/>
      <c r="SLV41" s="536"/>
      <c r="SLW41" s="536"/>
      <c r="SLX41" s="536"/>
      <c r="SLY41" s="536"/>
      <c r="SLZ41" s="536"/>
      <c r="SMA41" s="536"/>
      <c r="SMB41" s="536"/>
      <c r="SMC41" s="536"/>
      <c r="SMD41" s="536"/>
      <c r="SME41" s="536"/>
      <c r="SMF41" s="536"/>
      <c r="SMG41" s="536"/>
      <c r="SMH41" s="536"/>
      <c r="SMI41" s="536"/>
      <c r="SMJ41" s="536"/>
      <c r="SMK41" s="536"/>
      <c r="SML41" s="536"/>
      <c r="SMM41" s="536"/>
      <c r="SMN41" s="536"/>
      <c r="SMO41" s="536"/>
      <c r="SMP41" s="536"/>
      <c r="SMQ41" s="536"/>
      <c r="SMR41" s="536"/>
      <c r="SMS41" s="536"/>
      <c r="SMT41" s="536"/>
      <c r="SMU41" s="536"/>
      <c r="SMV41" s="536"/>
      <c r="SMW41" s="536"/>
      <c r="SMX41" s="536"/>
      <c r="SMY41" s="536"/>
      <c r="SMZ41" s="536"/>
      <c r="SNA41" s="536"/>
      <c r="SNB41" s="536"/>
      <c r="SNC41" s="536"/>
      <c r="SND41" s="536"/>
      <c r="SNE41" s="536"/>
      <c r="SNF41" s="536"/>
      <c r="SNG41" s="536"/>
      <c r="SNH41" s="536"/>
      <c r="SNI41" s="536"/>
      <c r="SNJ41" s="536"/>
      <c r="SNK41" s="536"/>
      <c r="SNL41" s="536"/>
      <c r="SNM41" s="536"/>
      <c r="SNN41" s="536"/>
      <c r="SNO41" s="536"/>
      <c r="SNP41" s="536"/>
      <c r="SNQ41" s="536"/>
      <c r="SNR41" s="536"/>
      <c r="SNS41" s="536"/>
      <c r="SNT41" s="536"/>
      <c r="SNU41" s="536"/>
      <c r="SNV41" s="536"/>
      <c r="SNW41" s="536"/>
      <c r="SNX41" s="536"/>
      <c r="SNY41" s="536"/>
      <c r="SNZ41" s="536"/>
      <c r="SOA41" s="536"/>
      <c r="SOB41" s="536"/>
      <c r="SOC41" s="536"/>
      <c r="SOD41" s="536"/>
      <c r="SOE41" s="536"/>
      <c r="SOF41" s="536"/>
      <c r="SOG41" s="536"/>
      <c r="SOH41" s="536"/>
      <c r="SOI41" s="536"/>
      <c r="SOJ41" s="536"/>
      <c r="SOK41" s="536"/>
      <c r="SOL41" s="536"/>
      <c r="SOM41" s="536"/>
      <c r="SON41" s="536"/>
      <c r="SOO41" s="536"/>
      <c r="SOP41" s="536"/>
      <c r="SOQ41" s="536"/>
      <c r="SOR41" s="536"/>
      <c r="SOS41" s="536"/>
      <c r="SOT41" s="536"/>
      <c r="SOU41" s="536"/>
      <c r="SOV41" s="536"/>
      <c r="SOW41" s="536"/>
      <c r="SOX41" s="536"/>
      <c r="SOY41" s="536"/>
      <c r="SOZ41" s="536"/>
      <c r="SPA41" s="536"/>
      <c r="SPB41" s="536"/>
      <c r="SPC41" s="536"/>
      <c r="SPD41" s="536"/>
      <c r="SPE41" s="536"/>
      <c r="SPF41" s="536"/>
      <c r="SPG41" s="536"/>
      <c r="SPH41" s="536"/>
      <c r="SPI41" s="536"/>
      <c r="SPJ41" s="536"/>
      <c r="SPK41" s="536"/>
      <c r="SPL41" s="536"/>
      <c r="SPM41" s="536"/>
      <c r="SPN41" s="536"/>
      <c r="SPO41" s="536"/>
      <c r="SPP41" s="536"/>
      <c r="SPQ41" s="536"/>
      <c r="SPR41" s="536"/>
      <c r="SPS41" s="536"/>
      <c r="SPT41" s="536"/>
      <c r="SPU41" s="536"/>
      <c r="SPV41" s="536"/>
      <c r="SPW41" s="536"/>
      <c r="SPX41" s="536"/>
      <c r="SPY41" s="536"/>
      <c r="SPZ41" s="536"/>
      <c r="SQA41" s="536"/>
      <c r="SQB41" s="536"/>
      <c r="SQC41" s="536"/>
      <c r="SQD41" s="536"/>
      <c r="SQE41" s="536"/>
      <c r="SQF41" s="536"/>
      <c r="SQG41" s="536"/>
      <c r="SQH41" s="536"/>
      <c r="SQI41" s="536"/>
      <c r="SQJ41" s="536"/>
      <c r="SQK41" s="536"/>
      <c r="SQL41" s="536"/>
      <c r="SQM41" s="536"/>
      <c r="SQN41" s="536"/>
      <c r="SQO41" s="536"/>
      <c r="SQP41" s="536"/>
      <c r="SQQ41" s="536"/>
      <c r="SQR41" s="536"/>
      <c r="SQS41" s="536"/>
      <c r="SQT41" s="536"/>
      <c r="SQU41" s="536"/>
      <c r="SQV41" s="536"/>
      <c r="SQW41" s="536"/>
      <c r="SQX41" s="536"/>
      <c r="SQY41" s="536"/>
      <c r="SQZ41" s="536"/>
      <c r="SRA41" s="536"/>
      <c r="SRB41" s="536"/>
      <c r="SRC41" s="536"/>
      <c r="SRD41" s="536"/>
      <c r="SRE41" s="536"/>
      <c r="SRF41" s="536"/>
      <c r="SRG41" s="536"/>
      <c r="SRH41" s="536"/>
      <c r="SRI41" s="536"/>
      <c r="SRJ41" s="536"/>
      <c r="SRK41" s="536"/>
      <c r="SRL41" s="536"/>
      <c r="SRM41" s="536"/>
      <c r="SRN41" s="536"/>
      <c r="SRO41" s="536"/>
      <c r="SRP41" s="536"/>
      <c r="SRQ41" s="536"/>
      <c r="SRR41" s="536"/>
      <c r="SRS41" s="536"/>
      <c r="SRT41" s="536"/>
      <c r="SRU41" s="536"/>
      <c r="SRV41" s="536"/>
      <c r="SRW41" s="536"/>
      <c r="SRX41" s="536"/>
      <c r="SRY41" s="536"/>
      <c r="SRZ41" s="536"/>
      <c r="SSA41" s="536"/>
      <c r="SSB41" s="536"/>
      <c r="SSC41" s="536"/>
      <c r="SSD41" s="536"/>
      <c r="SSE41" s="536"/>
      <c r="SSF41" s="536"/>
      <c r="SSG41" s="536"/>
      <c r="SSH41" s="536"/>
      <c r="SSI41" s="536"/>
      <c r="SSJ41" s="536"/>
      <c r="SSK41" s="536"/>
      <c r="SSL41" s="536"/>
      <c r="SSM41" s="536"/>
      <c r="SSN41" s="536"/>
      <c r="SSO41" s="536"/>
      <c r="SSP41" s="536"/>
      <c r="SSQ41" s="536"/>
      <c r="SSR41" s="536"/>
      <c r="SSS41" s="536"/>
      <c r="SST41" s="536"/>
      <c r="SSU41" s="536"/>
      <c r="SSV41" s="536"/>
      <c r="SSW41" s="536"/>
      <c r="SSX41" s="536"/>
      <c r="SSY41" s="536"/>
      <c r="SSZ41" s="536"/>
      <c r="STA41" s="536"/>
      <c r="STB41" s="536"/>
      <c r="STC41" s="536"/>
      <c r="STD41" s="536"/>
      <c r="STE41" s="536"/>
      <c r="STF41" s="536"/>
      <c r="STG41" s="536"/>
      <c r="STH41" s="536"/>
      <c r="STI41" s="536"/>
      <c r="STJ41" s="536"/>
      <c r="STK41" s="536"/>
      <c r="STL41" s="536"/>
      <c r="STM41" s="536"/>
      <c r="STN41" s="536"/>
      <c r="STO41" s="536"/>
      <c r="STP41" s="536"/>
      <c r="STQ41" s="536"/>
      <c r="STR41" s="536"/>
      <c r="STS41" s="536"/>
      <c r="STT41" s="536"/>
      <c r="STU41" s="536"/>
      <c r="STV41" s="536"/>
      <c r="STW41" s="536"/>
      <c r="STX41" s="536"/>
      <c r="STY41" s="536"/>
      <c r="STZ41" s="536"/>
      <c r="SUA41" s="536"/>
      <c r="SUB41" s="536"/>
      <c r="SUC41" s="536"/>
      <c r="SUD41" s="536"/>
      <c r="SUE41" s="536"/>
      <c r="SUF41" s="536"/>
      <c r="SUG41" s="536"/>
      <c r="SUH41" s="536"/>
      <c r="SUI41" s="536"/>
      <c r="SUJ41" s="536"/>
      <c r="SUK41" s="536"/>
      <c r="SUL41" s="536"/>
      <c r="SUM41" s="536"/>
      <c r="SUN41" s="536"/>
      <c r="SUO41" s="536"/>
      <c r="SUP41" s="536"/>
      <c r="SUQ41" s="536"/>
      <c r="SUR41" s="536"/>
      <c r="SUS41" s="536"/>
      <c r="SUT41" s="536"/>
      <c r="SUU41" s="536"/>
      <c r="SUV41" s="536"/>
      <c r="SUW41" s="536"/>
      <c r="SUX41" s="536"/>
      <c r="SUY41" s="536"/>
      <c r="SUZ41" s="536"/>
      <c r="SVA41" s="536"/>
      <c r="SVB41" s="536"/>
      <c r="SVC41" s="536"/>
      <c r="SVD41" s="536"/>
      <c r="SVE41" s="536"/>
      <c r="SVF41" s="536"/>
      <c r="SVG41" s="536"/>
      <c r="SVH41" s="536"/>
      <c r="SVI41" s="536"/>
      <c r="SVJ41" s="536"/>
      <c r="SVK41" s="536"/>
      <c r="SVL41" s="536"/>
      <c r="SVM41" s="536"/>
      <c r="SVN41" s="536"/>
      <c r="SVO41" s="536"/>
      <c r="SVP41" s="536"/>
      <c r="SVQ41" s="536"/>
      <c r="SVR41" s="536"/>
      <c r="SVS41" s="536"/>
      <c r="SVT41" s="536"/>
      <c r="SVU41" s="536"/>
      <c r="SVV41" s="536"/>
      <c r="SVW41" s="536"/>
      <c r="SVX41" s="536"/>
      <c r="SVY41" s="536"/>
      <c r="SVZ41" s="536"/>
      <c r="SWA41" s="536"/>
      <c r="SWB41" s="536"/>
      <c r="SWC41" s="536"/>
      <c r="SWD41" s="536"/>
      <c r="SWE41" s="536"/>
      <c r="SWF41" s="536"/>
      <c r="SWG41" s="536"/>
      <c r="SWH41" s="536"/>
      <c r="SWI41" s="536"/>
      <c r="SWJ41" s="536"/>
      <c r="SWK41" s="536"/>
      <c r="SWL41" s="536"/>
      <c r="SWM41" s="536"/>
      <c r="SWN41" s="536"/>
      <c r="SWO41" s="536"/>
      <c r="SWP41" s="536"/>
      <c r="SWQ41" s="536"/>
      <c r="SWR41" s="536"/>
      <c r="SWS41" s="536"/>
      <c r="SWT41" s="536"/>
      <c r="SWU41" s="536"/>
      <c r="SWV41" s="536"/>
      <c r="SWW41" s="536"/>
      <c r="SWX41" s="536"/>
      <c r="SWY41" s="536"/>
      <c r="SWZ41" s="536"/>
      <c r="SXA41" s="536"/>
      <c r="SXB41" s="536"/>
      <c r="SXC41" s="536"/>
      <c r="SXD41" s="536"/>
      <c r="SXE41" s="536"/>
      <c r="SXF41" s="536"/>
      <c r="SXG41" s="536"/>
      <c r="SXH41" s="536"/>
      <c r="SXI41" s="536"/>
      <c r="SXJ41" s="536"/>
      <c r="SXK41" s="536"/>
      <c r="SXL41" s="536"/>
      <c r="SXM41" s="536"/>
      <c r="SXN41" s="536"/>
      <c r="SXO41" s="536"/>
      <c r="SXP41" s="536"/>
      <c r="SXQ41" s="536"/>
      <c r="SXR41" s="536"/>
      <c r="SXS41" s="536"/>
      <c r="SXT41" s="536"/>
      <c r="SXU41" s="536"/>
      <c r="SXV41" s="536"/>
      <c r="SXW41" s="536"/>
      <c r="SXX41" s="536"/>
      <c r="SXY41" s="536"/>
      <c r="SXZ41" s="536"/>
      <c r="SYA41" s="536"/>
      <c r="SYB41" s="536"/>
      <c r="SYC41" s="536"/>
      <c r="SYD41" s="536"/>
      <c r="SYE41" s="536"/>
      <c r="SYF41" s="536"/>
      <c r="SYG41" s="536"/>
      <c r="SYH41" s="536"/>
      <c r="SYI41" s="536"/>
      <c r="SYJ41" s="536"/>
      <c r="SYK41" s="536"/>
      <c r="SYL41" s="536"/>
      <c r="SYM41" s="536"/>
      <c r="SYN41" s="536"/>
      <c r="SYO41" s="536"/>
      <c r="SYP41" s="536"/>
      <c r="SYQ41" s="536"/>
      <c r="SYR41" s="536"/>
      <c r="SYS41" s="536"/>
      <c r="SYT41" s="536"/>
      <c r="SYU41" s="536"/>
      <c r="SYV41" s="536"/>
      <c r="SYW41" s="536"/>
      <c r="SYX41" s="536"/>
      <c r="SYY41" s="536"/>
      <c r="SYZ41" s="536"/>
      <c r="SZA41" s="536"/>
      <c r="SZB41" s="536"/>
      <c r="SZC41" s="536"/>
      <c r="SZD41" s="536"/>
      <c r="SZE41" s="536"/>
      <c r="SZF41" s="536"/>
      <c r="SZG41" s="536"/>
      <c r="SZH41" s="536"/>
      <c r="SZI41" s="536"/>
      <c r="SZJ41" s="536"/>
      <c r="SZK41" s="536"/>
      <c r="SZL41" s="536"/>
      <c r="SZM41" s="536"/>
      <c r="SZN41" s="536"/>
      <c r="SZO41" s="536"/>
      <c r="SZP41" s="536"/>
      <c r="SZQ41" s="536"/>
      <c r="SZR41" s="536"/>
      <c r="SZS41" s="536"/>
      <c r="SZT41" s="536"/>
      <c r="SZU41" s="536"/>
      <c r="SZV41" s="536"/>
      <c r="SZW41" s="536"/>
      <c r="SZX41" s="536"/>
      <c r="SZY41" s="536"/>
      <c r="SZZ41" s="536"/>
      <c r="TAA41" s="536"/>
      <c r="TAB41" s="536"/>
      <c r="TAC41" s="536"/>
      <c r="TAD41" s="536"/>
      <c r="TAE41" s="536"/>
      <c r="TAF41" s="536"/>
      <c r="TAG41" s="536"/>
      <c r="TAH41" s="536"/>
      <c r="TAI41" s="536"/>
      <c r="TAJ41" s="536"/>
      <c r="TAK41" s="536"/>
      <c r="TAL41" s="536"/>
      <c r="TAM41" s="536"/>
      <c r="TAN41" s="536"/>
      <c r="TAO41" s="536"/>
      <c r="TAP41" s="536"/>
      <c r="TAQ41" s="536"/>
      <c r="TAR41" s="536"/>
      <c r="TAS41" s="536"/>
      <c r="TAT41" s="536"/>
      <c r="TAU41" s="536"/>
      <c r="TAV41" s="536"/>
      <c r="TAW41" s="536"/>
      <c r="TAX41" s="536"/>
      <c r="TAY41" s="536"/>
      <c r="TAZ41" s="536"/>
      <c r="TBA41" s="536"/>
      <c r="TBB41" s="536"/>
      <c r="TBC41" s="536"/>
      <c r="TBD41" s="536"/>
      <c r="TBE41" s="536"/>
      <c r="TBF41" s="536"/>
      <c r="TBG41" s="536"/>
      <c r="TBH41" s="536"/>
      <c r="TBI41" s="536"/>
      <c r="TBJ41" s="536"/>
      <c r="TBK41" s="536"/>
      <c r="TBL41" s="536"/>
      <c r="TBM41" s="536"/>
      <c r="TBN41" s="536"/>
      <c r="TBO41" s="536"/>
      <c r="TBP41" s="536"/>
      <c r="TBQ41" s="536"/>
      <c r="TBR41" s="536"/>
      <c r="TBS41" s="536"/>
      <c r="TBT41" s="536"/>
      <c r="TBU41" s="536"/>
      <c r="TBV41" s="536"/>
      <c r="TBW41" s="536"/>
      <c r="TBX41" s="536"/>
      <c r="TBY41" s="536"/>
      <c r="TBZ41" s="536"/>
      <c r="TCA41" s="536"/>
      <c r="TCB41" s="536"/>
      <c r="TCC41" s="536"/>
      <c r="TCD41" s="536"/>
      <c r="TCE41" s="536"/>
      <c r="TCF41" s="536"/>
      <c r="TCG41" s="536"/>
      <c r="TCH41" s="536"/>
      <c r="TCI41" s="536"/>
      <c r="TCJ41" s="536"/>
      <c r="TCK41" s="536"/>
      <c r="TCL41" s="536"/>
      <c r="TCM41" s="536"/>
      <c r="TCN41" s="536"/>
      <c r="TCO41" s="536"/>
      <c r="TCP41" s="536"/>
      <c r="TCQ41" s="536"/>
      <c r="TCR41" s="536"/>
      <c r="TCS41" s="536"/>
      <c r="TCT41" s="536"/>
      <c r="TCU41" s="536"/>
      <c r="TCV41" s="536"/>
      <c r="TCW41" s="536"/>
      <c r="TCX41" s="536"/>
      <c r="TCY41" s="536"/>
      <c r="TCZ41" s="536"/>
      <c r="TDA41" s="536"/>
      <c r="TDB41" s="536"/>
      <c r="TDC41" s="536"/>
      <c r="TDD41" s="536"/>
      <c r="TDE41" s="536"/>
      <c r="TDF41" s="536"/>
      <c r="TDG41" s="536"/>
      <c r="TDH41" s="536"/>
      <c r="TDI41" s="536"/>
      <c r="TDJ41" s="536"/>
      <c r="TDK41" s="536"/>
      <c r="TDL41" s="536"/>
      <c r="TDM41" s="536"/>
      <c r="TDN41" s="536"/>
      <c r="TDO41" s="536"/>
      <c r="TDP41" s="536"/>
      <c r="TDQ41" s="536"/>
      <c r="TDR41" s="536"/>
      <c r="TDS41" s="536"/>
      <c r="TDT41" s="536"/>
      <c r="TDU41" s="536"/>
      <c r="TDV41" s="536"/>
      <c r="TDW41" s="536"/>
      <c r="TDX41" s="536"/>
      <c r="TDY41" s="536"/>
      <c r="TDZ41" s="536"/>
      <c r="TEA41" s="536"/>
      <c r="TEB41" s="536"/>
      <c r="TEC41" s="536"/>
      <c r="TED41" s="536"/>
      <c r="TEE41" s="536"/>
      <c r="TEF41" s="536"/>
      <c r="TEG41" s="536"/>
      <c r="TEH41" s="536"/>
      <c r="TEI41" s="536"/>
      <c r="TEJ41" s="536"/>
      <c r="TEK41" s="536"/>
      <c r="TEL41" s="536"/>
      <c r="TEM41" s="536"/>
      <c r="TEN41" s="536"/>
      <c r="TEO41" s="536"/>
      <c r="TEP41" s="536"/>
      <c r="TEQ41" s="536"/>
      <c r="TER41" s="536"/>
      <c r="TES41" s="536"/>
      <c r="TET41" s="536"/>
      <c r="TEU41" s="536"/>
      <c r="TEV41" s="536"/>
      <c r="TEW41" s="536"/>
      <c r="TEX41" s="536"/>
      <c r="TEY41" s="536"/>
      <c r="TEZ41" s="536"/>
      <c r="TFA41" s="536"/>
      <c r="TFB41" s="536"/>
      <c r="TFC41" s="536"/>
      <c r="TFD41" s="536"/>
      <c r="TFE41" s="536"/>
      <c r="TFF41" s="536"/>
      <c r="TFG41" s="536"/>
      <c r="TFH41" s="536"/>
      <c r="TFI41" s="536"/>
      <c r="TFJ41" s="536"/>
      <c r="TFK41" s="536"/>
      <c r="TFL41" s="536"/>
      <c r="TFM41" s="536"/>
      <c r="TFN41" s="536"/>
      <c r="TFO41" s="536"/>
      <c r="TFP41" s="536"/>
      <c r="TFQ41" s="536"/>
      <c r="TFR41" s="536"/>
      <c r="TFS41" s="536"/>
      <c r="TFT41" s="536"/>
      <c r="TFU41" s="536"/>
      <c r="TFV41" s="536"/>
      <c r="TFW41" s="536"/>
      <c r="TFX41" s="536"/>
      <c r="TFY41" s="536"/>
      <c r="TFZ41" s="536"/>
      <c r="TGA41" s="536"/>
      <c r="TGB41" s="536"/>
      <c r="TGC41" s="536"/>
      <c r="TGD41" s="536"/>
      <c r="TGE41" s="536"/>
      <c r="TGF41" s="536"/>
      <c r="TGG41" s="536"/>
      <c r="TGH41" s="536"/>
      <c r="TGI41" s="536"/>
      <c r="TGJ41" s="536"/>
      <c r="TGK41" s="536"/>
      <c r="TGL41" s="536"/>
      <c r="TGM41" s="536"/>
      <c r="TGN41" s="536"/>
      <c r="TGO41" s="536"/>
      <c r="TGP41" s="536"/>
      <c r="TGQ41" s="536"/>
      <c r="TGR41" s="536"/>
      <c r="TGS41" s="536"/>
      <c r="TGT41" s="536"/>
      <c r="TGU41" s="536"/>
      <c r="TGV41" s="536"/>
      <c r="TGW41" s="536"/>
      <c r="TGX41" s="536"/>
      <c r="TGY41" s="536"/>
      <c r="TGZ41" s="536"/>
      <c r="THA41" s="536"/>
      <c r="THB41" s="536"/>
      <c r="THC41" s="536"/>
      <c r="THD41" s="536"/>
      <c r="THE41" s="536"/>
      <c r="THF41" s="536"/>
      <c r="THG41" s="536"/>
      <c r="THH41" s="536"/>
      <c r="THI41" s="536"/>
      <c r="THJ41" s="536"/>
      <c r="THK41" s="536"/>
      <c r="THL41" s="536"/>
      <c r="THM41" s="536"/>
      <c r="THN41" s="536"/>
      <c r="THO41" s="536"/>
      <c r="THP41" s="536"/>
      <c r="THQ41" s="536"/>
      <c r="THR41" s="536"/>
      <c r="THS41" s="536"/>
      <c r="THT41" s="536"/>
      <c r="THU41" s="536"/>
      <c r="THV41" s="536"/>
      <c r="THW41" s="536"/>
      <c r="THX41" s="536"/>
      <c r="THY41" s="536"/>
      <c r="THZ41" s="536"/>
      <c r="TIA41" s="536"/>
      <c r="TIB41" s="536"/>
      <c r="TIC41" s="536"/>
      <c r="TID41" s="536"/>
      <c r="TIE41" s="536"/>
      <c r="TIF41" s="536"/>
      <c r="TIG41" s="536"/>
      <c r="TIH41" s="536"/>
      <c r="TII41" s="536"/>
      <c r="TIJ41" s="536"/>
      <c r="TIK41" s="536"/>
      <c r="TIL41" s="536"/>
      <c r="TIM41" s="536"/>
      <c r="TIN41" s="536"/>
      <c r="TIO41" s="536"/>
      <c r="TIP41" s="536"/>
      <c r="TIQ41" s="536"/>
      <c r="TIR41" s="536"/>
      <c r="TIS41" s="536"/>
      <c r="TIT41" s="536"/>
      <c r="TIU41" s="536"/>
      <c r="TIV41" s="536"/>
      <c r="TIW41" s="536"/>
      <c r="TIX41" s="536"/>
      <c r="TIY41" s="536"/>
      <c r="TIZ41" s="536"/>
      <c r="TJA41" s="536"/>
      <c r="TJB41" s="536"/>
      <c r="TJC41" s="536"/>
      <c r="TJD41" s="536"/>
      <c r="TJE41" s="536"/>
      <c r="TJF41" s="536"/>
      <c r="TJG41" s="536"/>
      <c r="TJH41" s="536"/>
      <c r="TJI41" s="536"/>
      <c r="TJJ41" s="536"/>
      <c r="TJK41" s="536"/>
      <c r="TJL41" s="536"/>
      <c r="TJM41" s="536"/>
      <c r="TJN41" s="536"/>
      <c r="TJO41" s="536"/>
      <c r="TJP41" s="536"/>
      <c r="TJQ41" s="536"/>
      <c r="TJR41" s="536"/>
      <c r="TJS41" s="536"/>
      <c r="TJT41" s="536"/>
      <c r="TJU41" s="536"/>
      <c r="TJV41" s="536"/>
      <c r="TJW41" s="536"/>
      <c r="TJX41" s="536"/>
      <c r="TJY41" s="536"/>
      <c r="TJZ41" s="536"/>
      <c r="TKA41" s="536"/>
      <c r="TKB41" s="536"/>
      <c r="TKC41" s="536"/>
      <c r="TKD41" s="536"/>
      <c r="TKE41" s="536"/>
      <c r="TKF41" s="536"/>
      <c r="TKG41" s="536"/>
      <c r="TKH41" s="536"/>
      <c r="TKI41" s="536"/>
      <c r="TKJ41" s="536"/>
      <c r="TKK41" s="536"/>
      <c r="TKL41" s="536"/>
      <c r="TKM41" s="536"/>
      <c r="TKN41" s="536"/>
      <c r="TKO41" s="536"/>
      <c r="TKP41" s="536"/>
      <c r="TKQ41" s="536"/>
      <c r="TKR41" s="536"/>
      <c r="TKS41" s="536"/>
      <c r="TKT41" s="536"/>
      <c r="TKU41" s="536"/>
      <c r="TKV41" s="536"/>
      <c r="TKW41" s="536"/>
      <c r="TKX41" s="536"/>
      <c r="TKY41" s="536"/>
      <c r="TKZ41" s="536"/>
      <c r="TLA41" s="536"/>
      <c r="TLB41" s="536"/>
      <c r="TLC41" s="536"/>
      <c r="TLD41" s="536"/>
      <c r="TLE41" s="536"/>
      <c r="TLF41" s="536"/>
      <c r="TLG41" s="536"/>
      <c r="TLH41" s="536"/>
      <c r="TLI41" s="536"/>
      <c r="TLJ41" s="536"/>
      <c r="TLK41" s="536"/>
      <c r="TLL41" s="536"/>
      <c r="TLM41" s="536"/>
      <c r="TLN41" s="536"/>
      <c r="TLO41" s="536"/>
      <c r="TLP41" s="536"/>
      <c r="TLQ41" s="536"/>
      <c r="TLR41" s="536"/>
      <c r="TLS41" s="536"/>
      <c r="TLT41" s="536"/>
      <c r="TLU41" s="536"/>
      <c r="TLV41" s="536"/>
      <c r="TLW41" s="536"/>
      <c r="TLX41" s="536"/>
      <c r="TLY41" s="536"/>
      <c r="TLZ41" s="536"/>
      <c r="TMA41" s="536"/>
      <c r="TMB41" s="536"/>
      <c r="TMC41" s="536"/>
      <c r="TMD41" s="536"/>
      <c r="TME41" s="536"/>
      <c r="TMF41" s="536"/>
      <c r="TMG41" s="536"/>
      <c r="TMH41" s="536"/>
      <c r="TMI41" s="536"/>
      <c r="TMJ41" s="536"/>
      <c r="TMK41" s="536"/>
      <c r="TML41" s="536"/>
      <c r="TMM41" s="536"/>
      <c r="TMN41" s="536"/>
      <c r="TMO41" s="536"/>
      <c r="TMP41" s="536"/>
      <c r="TMQ41" s="536"/>
      <c r="TMR41" s="536"/>
      <c r="TMS41" s="536"/>
      <c r="TMT41" s="536"/>
      <c r="TMU41" s="536"/>
      <c r="TMV41" s="536"/>
      <c r="TMW41" s="536"/>
      <c r="TMX41" s="536"/>
      <c r="TMY41" s="536"/>
      <c r="TMZ41" s="536"/>
      <c r="TNA41" s="536"/>
      <c r="TNB41" s="536"/>
      <c r="TNC41" s="536"/>
      <c r="TND41" s="536"/>
      <c r="TNE41" s="536"/>
      <c r="TNF41" s="536"/>
      <c r="TNG41" s="536"/>
      <c r="TNH41" s="536"/>
      <c r="TNI41" s="536"/>
      <c r="TNJ41" s="536"/>
      <c r="TNK41" s="536"/>
      <c r="TNL41" s="536"/>
      <c r="TNM41" s="536"/>
      <c r="TNN41" s="536"/>
      <c r="TNO41" s="536"/>
      <c r="TNP41" s="536"/>
      <c r="TNQ41" s="536"/>
      <c r="TNR41" s="536"/>
      <c r="TNS41" s="536"/>
      <c r="TNT41" s="536"/>
      <c r="TNU41" s="536"/>
      <c r="TNV41" s="536"/>
      <c r="TNW41" s="536"/>
      <c r="TNX41" s="536"/>
      <c r="TNY41" s="536"/>
      <c r="TNZ41" s="536"/>
      <c r="TOA41" s="536"/>
      <c r="TOB41" s="536"/>
      <c r="TOC41" s="536"/>
      <c r="TOD41" s="536"/>
      <c r="TOE41" s="536"/>
      <c r="TOF41" s="536"/>
      <c r="TOG41" s="536"/>
      <c r="TOH41" s="536"/>
      <c r="TOI41" s="536"/>
      <c r="TOJ41" s="536"/>
      <c r="TOK41" s="536"/>
      <c r="TOL41" s="536"/>
      <c r="TOM41" s="536"/>
      <c r="TON41" s="536"/>
      <c r="TOO41" s="536"/>
      <c r="TOP41" s="536"/>
      <c r="TOQ41" s="536"/>
      <c r="TOR41" s="536"/>
      <c r="TOS41" s="536"/>
      <c r="TOT41" s="536"/>
      <c r="TOU41" s="536"/>
      <c r="TOV41" s="536"/>
      <c r="TOW41" s="536"/>
      <c r="TOX41" s="536"/>
      <c r="TOY41" s="536"/>
      <c r="TOZ41" s="536"/>
      <c r="TPA41" s="536"/>
      <c r="TPB41" s="536"/>
      <c r="TPC41" s="536"/>
      <c r="TPD41" s="536"/>
      <c r="TPE41" s="536"/>
      <c r="TPF41" s="536"/>
      <c r="TPG41" s="536"/>
      <c r="TPH41" s="536"/>
      <c r="TPI41" s="536"/>
      <c r="TPJ41" s="536"/>
      <c r="TPK41" s="536"/>
      <c r="TPL41" s="536"/>
      <c r="TPM41" s="536"/>
      <c r="TPN41" s="536"/>
      <c r="TPO41" s="536"/>
      <c r="TPP41" s="536"/>
      <c r="TPQ41" s="536"/>
      <c r="TPR41" s="536"/>
      <c r="TPS41" s="536"/>
      <c r="TPT41" s="536"/>
      <c r="TPU41" s="536"/>
      <c r="TPV41" s="536"/>
      <c r="TPW41" s="536"/>
      <c r="TPX41" s="536"/>
      <c r="TPY41" s="536"/>
      <c r="TPZ41" s="536"/>
      <c r="TQA41" s="536"/>
      <c r="TQB41" s="536"/>
      <c r="TQC41" s="536"/>
      <c r="TQD41" s="536"/>
      <c r="TQE41" s="536"/>
      <c r="TQF41" s="536"/>
      <c r="TQG41" s="536"/>
      <c r="TQH41" s="536"/>
      <c r="TQI41" s="536"/>
      <c r="TQJ41" s="536"/>
      <c r="TQK41" s="536"/>
      <c r="TQL41" s="536"/>
      <c r="TQM41" s="536"/>
      <c r="TQN41" s="536"/>
      <c r="TQO41" s="536"/>
      <c r="TQP41" s="536"/>
      <c r="TQQ41" s="536"/>
      <c r="TQR41" s="536"/>
      <c r="TQS41" s="536"/>
      <c r="TQT41" s="536"/>
      <c r="TQU41" s="536"/>
      <c r="TQV41" s="536"/>
      <c r="TQW41" s="536"/>
      <c r="TQX41" s="536"/>
      <c r="TQY41" s="536"/>
      <c r="TQZ41" s="536"/>
      <c r="TRA41" s="536"/>
      <c r="TRB41" s="536"/>
      <c r="TRC41" s="536"/>
      <c r="TRD41" s="536"/>
      <c r="TRE41" s="536"/>
      <c r="TRF41" s="536"/>
      <c r="TRG41" s="536"/>
      <c r="TRH41" s="536"/>
      <c r="TRI41" s="536"/>
      <c r="TRJ41" s="536"/>
      <c r="TRK41" s="536"/>
      <c r="TRL41" s="536"/>
      <c r="TRM41" s="536"/>
      <c r="TRN41" s="536"/>
      <c r="TRO41" s="536"/>
      <c r="TRP41" s="536"/>
      <c r="TRQ41" s="536"/>
      <c r="TRR41" s="536"/>
      <c r="TRS41" s="536"/>
      <c r="TRT41" s="536"/>
      <c r="TRU41" s="536"/>
      <c r="TRV41" s="536"/>
      <c r="TRW41" s="536"/>
      <c r="TRX41" s="536"/>
      <c r="TRY41" s="536"/>
      <c r="TRZ41" s="536"/>
      <c r="TSA41" s="536"/>
      <c r="TSB41" s="536"/>
      <c r="TSC41" s="536"/>
      <c r="TSD41" s="536"/>
      <c r="TSE41" s="536"/>
      <c r="TSF41" s="536"/>
      <c r="TSG41" s="536"/>
      <c r="TSH41" s="536"/>
      <c r="TSI41" s="536"/>
      <c r="TSJ41" s="536"/>
      <c r="TSK41" s="536"/>
      <c r="TSL41" s="536"/>
      <c r="TSM41" s="536"/>
      <c r="TSN41" s="536"/>
      <c r="TSO41" s="536"/>
      <c r="TSP41" s="536"/>
      <c r="TSQ41" s="536"/>
      <c r="TSR41" s="536"/>
      <c r="TSS41" s="536"/>
      <c r="TST41" s="536"/>
      <c r="TSU41" s="536"/>
      <c r="TSV41" s="536"/>
      <c r="TSW41" s="536"/>
      <c r="TSX41" s="536"/>
      <c r="TSY41" s="536"/>
      <c r="TSZ41" s="536"/>
      <c r="TTA41" s="536"/>
      <c r="TTB41" s="536"/>
      <c r="TTC41" s="536"/>
      <c r="TTD41" s="536"/>
      <c r="TTE41" s="536"/>
      <c r="TTF41" s="536"/>
      <c r="TTG41" s="536"/>
      <c r="TTH41" s="536"/>
      <c r="TTI41" s="536"/>
      <c r="TTJ41" s="536"/>
      <c r="TTK41" s="536"/>
      <c r="TTL41" s="536"/>
      <c r="TTM41" s="536"/>
      <c r="TTN41" s="536"/>
      <c r="TTO41" s="536"/>
      <c r="TTP41" s="536"/>
      <c r="TTQ41" s="536"/>
      <c r="TTR41" s="536"/>
      <c r="TTS41" s="536"/>
      <c r="TTT41" s="536"/>
      <c r="TTU41" s="536"/>
      <c r="TTV41" s="536"/>
      <c r="TTW41" s="536"/>
      <c r="TTX41" s="536"/>
      <c r="TTY41" s="536"/>
      <c r="TTZ41" s="536"/>
      <c r="TUA41" s="536"/>
      <c r="TUB41" s="536"/>
      <c r="TUC41" s="536"/>
      <c r="TUD41" s="536"/>
      <c r="TUE41" s="536"/>
      <c r="TUF41" s="536"/>
      <c r="TUG41" s="536"/>
      <c r="TUH41" s="536"/>
      <c r="TUI41" s="536"/>
      <c r="TUJ41" s="536"/>
      <c r="TUK41" s="536"/>
      <c r="TUL41" s="536"/>
      <c r="TUM41" s="536"/>
      <c r="TUN41" s="536"/>
      <c r="TUO41" s="536"/>
      <c r="TUP41" s="536"/>
      <c r="TUQ41" s="536"/>
      <c r="TUR41" s="536"/>
      <c r="TUS41" s="536"/>
      <c r="TUT41" s="536"/>
      <c r="TUU41" s="536"/>
      <c r="TUV41" s="536"/>
      <c r="TUW41" s="536"/>
      <c r="TUX41" s="536"/>
      <c r="TUY41" s="536"/>
      <c r="TUZ41" s="536"/>
      <c r="TVA41" s="536"/>
      <c r="TVB41" s="536"/>
      <c r="TVC41" s="536"/>
      <c r="TVD41" s="536"/>
      <c r="TVE41" s="536"/>
      <c r="TVF41" s="536"/>
      <c r="TVG41" s="536"/>
      <c r="TVH41" s="536"/>
      <c r="TVI41" s="536"/>
      <c r="TVJ41" s="536"/>
      <c r="TVK41" s="536"/>
      <c r="TVL41" s="536"/>
      <c r="TVM41" s="536"/>
      <c r="TVN41" s="536"/>
      <c r="TVO41" s="536"/>
      <c r="TVP41" s="536"/>
      <c r="TVQ41" s="536"/>
      <c r="TVR41" s="536"/>
      <c r="TVS41" s="536"/>
      <c r="TVT41" s="536"/>
      <c r="TVU41" s="536"/>
      <c r="TVV41" s="536"/>
      <c r="TVW41" s="536"/>
      <c r="TVX41" s="536"/>
      <c r="TVY41" s="536"/>
      <c r="TVZ41" s="536"/>
      <c r="TWA41" s="536"/>
      <c r="TWB41" s="536"/>
      <c r="TWC41" s="536"/>
      <c r="TWD41" s="536"/>
      <c r="TWE41" s="536"/>
      <c r="TWF41" s="536"/>
      <c r="TWG41" s="536"/>
      <c r="TWH41" s="536"/>
      <c r="TWI41" s="536"/>
      <c r="TWJ41" s="536"/>
      <c r="TWK41" s="536"/>
      <c r="TWL41" s="536"/>
      <c r="TWM41" s="536"/>
      <c r="TWN41" s="536"/>
      <c r="TWO41" s="536"/>
      <c r="TWP41" s="536"/>
      <c r="TWQ41" s="536"/>
      <c r="TWR41" s="536"/>
      <c r="TWS41" s="536"/>
      <c r="TWT41" s="536"/>
      <c r="TWU41" s="536"/>
      <c r="TWV41" s="536"/>
      <c r="TWW41" s="536"/>
      <c r="TWX41" s="536"/>
      <c r="TWY41" s="536"/>
      <c r="TWZ41" s="536"/>
      <c r="TXA41" s="536"/>
      <c r="TXB41" s="536"/>
      <c r="TXC41" s="536"/>
      <c r="TXD41" s="536"/>
      <c r="TXE41" s="536"/>
      <c r="TXF41" s="536"/>
      <c r="TXG41" s="536"/>
      <c r="TXH41" s="536"/>
      <c r="TXI41" s="536"/>
      <c r="TXJ41" s="536"/>
      <c r="TXK41" s="536"/>
      <c r="TXL41" s="536"/>
      <c r="TXM41" s="536"/>
      <c r="TXN41" s="536"/>
      <c r="TXO41" s="536"/>
      <c r="TXP41" s="536"/>
      <c r="TXQ41" s="536"/>
      <c r="TXR41" s="536"/>
      <c r="TXS41" s="536"/>
      <c r="TXT41" s="536"/>
      <c r="TXU41" s="536"/>
      <c r="TXV41" s="536"/>
      <c r="TXW41" s="536"/>
      <c r="TXX41" s="536"/>
      <c r="TXY41" s="536"/>
      <c r="TXZ41" s="536"/>
      <c r="TYA41" s="536"/>
      <c r="TYB41" s="536"/>
      <c r="TYC41" s="536"/>
      <c r="TYD41" s="536"/>
      <c r="TYE41" s="536"/>
      <c r="TYF41" s="536"/>
      <c r="TYG41" s="536"/>
      <c r="TYH41" s="536"/>
      <c r="TYI41" s="536"/>
      <c r="TYJ41" s="536"/>
      <c r="TYK41" s="536"/>
      <c r="TYL41" s="536"/>
      <c r="TYM41" s="536"/>
      <c r="TYN41" s="536"/>
      <c r="TYO41" s="536"/>
      <c r="TYP41" s="536"/>
      <c r="TYQ41" s="536"/>
      <c r="TYR41" s="536"/>
      <c r="TYS41" s="536"/>
      <c r="TYT41" s="536"/>
      <c r="TYU41" s="536"/>
      <c r="TYV41" s="536"/>
      <c r="TYW41" s="536"/>
      <c r="TYX41" s="536"/>
      <c r="TYY41" s="536"/>
      <c r="TYZ41" s="536"/>
      <c r="TZA41" s="536"/>
      <c r="TZB41" s="536"/>
      <c r="TZC41" s="536"/>
      <c r="TZD41" s="536"/>
      <c r="TZE41" s="536"/>
      <c r="TZF41" s="536"/>
      <c r="TZG41" s="536"/>
      <c r="TZH41" s="536"/>
      <c r="TZI41" s="536"/>
      <c r="TZJ41" s="536"/>
      <c r="TZK41" s="536"/>
      <c r="TZL41" s="536"/>
      <c r="TZM41" s="536"/>
      <c r="TZN41" s="536"/>
      <c r="TZO41" s="536"/>
      <c r="TZP41" s="536"/>
      <c r="TZQ41" s="536"/>
      <c r="TZR41" s="536"/>
      <c r="TZS41" s="536"/>
      <c r="TZT41" s="536"/>
      <c r="TZU41" s="536"/>
      <c r="TZV41" s="536"/>
      <c r="TZW41" s="536"/>
      <c r="TZX41" s="536"/>
      <c r="TZY41" s="536"/>
      <c r="TZZ41" s="536"/>
      <c r="UAA41" s="536"/>
      <c r="UAB41" s="536"/>
      <c r="UAC41" s="536"/>
      <c r="UAD41" s="536"/>
      <c r="UAE41" s="536"/>
      <c r="UAF41" s="536"/>
      <c r="UAG41" s="536"/>
      <c r="UAH41" s="536"/>
      <c r="UAI41" s="536"/>
      <c r="UAJ41" s="536"/>
      <c r="UAK41" s="536"/>
      <c r="UAL41" s="536"/>
      <c r="UAM41" s="536"/>
      <c r="UAN41" s="536"/>
      <c r="UAO41" s="536"/>
      <c r="UAP41" s="536"/>
      <c r="UAQ41" s="536"/>
      <c r="UAR41" s="536"/>
      <c r="UAS41" s="536"/>
      <c r="UAT41" s="536"/>
      <c r="UAU41" s="536"/>
      <c r="UAV41" s="536"/>
      <c r="UAW41" s="536"/>
      <c r="UAX41" s="536"/>
      <c r="UAY41" s="536"/>
      <c r="UAZ41" s="536"/>
      <c r="UBA41" s="536"/>
      <c r="UBB41" s="536"/>
      <c r="UBC41" s="536"/>
      <c r="UBD41" s="536"/>
      <c r="UBE41" s="536"/>
      <c r="UBF41" s="536"/>
      <c r="UBG41" s="536"/>
      <c r="UBH41" s="536"/>
      <c r="UBI41" s="536"/>
      <c r="UBJ41" s="536"/>
      <c r="UBK41" s="536"/>
      <c r="UBL41" s="536"/>
      <c r="UBM41" s="536"/>
      <c r="UBN41" s="536"/>
      <c r="UBO41" s="536"/>
      <c r="UBP41" s="536"/>
      <c r="UBQ41" s="536"/>
      <c r="UBR41" s="536"/>
      <c r="UBS41" s="536"/>
      <c r="UBT41" s="536"/>
      <c r="UBU41" s="536"/>
      <c r="UBV41" s="536"/>
      <c r="UBW41" s="536"/>
      <c r="UBX41" s="536"/>
      <c r="UBY41" s="536"/>
      <c r="UBZ41" s="536"/>
      <c r="UCA41" s="536"/>
      <c r="UCB41" s="536"/>
      <c r="UCC41" s="536"/>
      <c r="UCD41" s="536"/>
      <c r="UCE41" s="536"/>
      <c r="UCF41" s="536"/>
      <c r="UCG41" s="536"/>
      <c r="UCH41" s="536"/>
      <c r="UCI41" s="536"/>
      <c r="UCJ41" s="536"/>
      <c r="UCK41" s="536"/>
      <c r="UCL41" s="536"/>
      <c r="UCM41" s="536"/>
      <c r="UCN41" s="536"/>
      <c r="UCO41" s="536"/>
      <c r="UCP41" s="536"/>
      <c r="UCQ41" s="536"/>
      <c r="UCR41" s="536"/>
      <c r="UCS41" s="536"/>
      <c r="UCT41" s="536"/>
      <c r="UCU41" s="536"/>
      <c r="UCV41" s="536"/>
      <c r="UCW41" s="536"/>
      <c r="UCX41" s="536"/>
      <c r="UCY41" s="536"/>
      <c r="UCZ41" s="536"/>
      <c r="UDA41" s="536"/>
      <c r="UDB41" s="536"/>
      <c r="UDC41" s="536"/>
      <c r="UDD41" s="536"/>
      <c r="UDE41" s="536"/>
      <c r="UDF41" s="536"/>
      <c r="UDG41" s="536"/>
      <c r="UDH41" s="536"/>
      <c r="UDI41" s="536"/>
      <c r="UDJ41" s="536"/>
      <c r="UDK41" s="536"/>
      <c r="UDL41" s="536"/>
      <c r="UDM41" s="536"/>
      <c r="UDN41" s="536"/>
      <c r="UDO41" s="536"/>
      <c r="UDP41" s="536"/>
      <c r="UDQ41" s="536"/>
      <c r="UDR41" s="536"/>
      <c r="UDS41" s="536"/>
      <c r="UDT41" s="536"/>
      <c r="UDU41" s="536"/>
      <c r="UDV41" s="536"/>
      <c r="UDW41" s="536"/>
      <c r="UDX41" s="536"/>
      <c r="UDY41" s="536"/>
      <c r="UDZ41" s="536"/>
      <c r="UEA41" s="536"/>
      <c r="UEB41" s="536"/>
      <c r="UEC41" s="536"/>
      <c r="UED41" s="536"/>
      <c r="UEE41" s="536"/>
      <c r="UEF41" s="536"/>
      <c r="UEG41" s="536"/>
      <c r="UEH41" s="536"/>
      <c r="UEI41" s="536"/>
      <c r="UEJ41" s="536"/>
      <c r="UEK41" s="536"/>
      <c r="UEL41" s="536"/>
      <c r="UEM41" s="536"/>
      <c r="UEN41" s="536"/>
      <c r="UEO41" s="536"/>
      <c r="UEP41" s="536"/>
      <c r="UEQ41" s="536"/>
      <c r="UER41" s="536"/>
      <c r="UES41" s="536"/>
      <c r="UET41" s="536"/>
      <c r="UEU41" s="536"/>
      <c r="UEV41" s="536"/>
      <c r="UEW41" s="536"/>
      <c r="UEX41" s="536"/>
      <c r="UEY41" s="536"/>
      <c r="UEZ41" s="536"/>
      <c r="UFA41" s="536"/>
      <c r="UFB41" s="536"/>
      <c r="UFC41" s="536"/>
      <c r="UFD41" s="536"/>
      <c r="UFE41" s="536"/>
      <c r="UFF41" s="536"/>
      <c r="UFG41" s="536"/>
      <c r="UFH41" s="536"/>
      <c r="UFI41" s="536"/>
      <c r="UFJ41" s="536"/>
      <c r="UFK41" s="536"/>
      <c r="UFL41" s="536"/>
      <c r="UFM41" s="536"/>
      <c r="UFN41" s="536"/>
      <c r="UFO41" s="536"/>
      <c r="UFP41" s="536"/>
      <c r="UFQ41" s="536"/>
      <c r="UFR41" s="536"/>
      <c r="UFS41" s="536"/>
      <c r="UFT41" s="536"/>
      <c r="UFU41" s="536"/>
      <c r="UFV41" s="536"/>
      <c r="UFW41" s="536"/>
      <c r="UFX41" s="536"/>
      <c r="UFY41" s="536"/>
      <c r="UFZ41" s="536"/>
      <c r="UGA41" s="536"/>
      <c r="UGB41" s="536"/>
      <c r="UGC41" s="536"/>
      <c r="UGD41" s="536"/>
      <c r="UGE41" s="536"/>
      <c r="UGF41" s="536"/>
      <c r="UGG41" s="536"/>
      <c r="UGH41" s="536"/>
      <c r="UGI41" s="536"/>
      <c r="UGJ41" s="536"/>
      <c r="UGK41" s="536"/>
      <c r="UGL41" s="536"/>
      <c r="UGM41" s="536"/>
      <c r="UGN41" s="536"/>
      <c r="UGO41" s="536"/>
      <c r="UGP41" s="536"/>
      <c r="UGQ41" s="536"/>
      <c r="UGR41" s="536"/>
      <c r="UGS41" s="536"/>
      <c r="UGT41" s="536"/>
      <c r="UGU41" s="536"/>
      <c r="UGV41" s="536"/>
      <c r="UGW41" s="536"/>
      <c r="UGX41" s="536"/>
      <c r="UGY41" s="536"/>
      <c r="UGZ41" s="536"/>
      <c r="UHA41" s="536"/>
      <c r="UHB41" s="536"/>
      <c r="UHC41" s="536"/>
      <c r="UHD41" s="536"/>
      <c r="UHE41" s="536"/>
      <c r="UHF41" s="536"/>
      <c r="UHG41" s="536"/>
      <c r="UHH41" s="536"/>
      <c r="UHI41" s="536"/>
      <c r="UHJ41" s="536"/>
      <c r="UHK41" s="536"/>
      <c r="UHL41" s="536"/>
      <c r="UHM41" s="536"/>
      <c r="UHN41" s="536"/>
      <c r="UHO41" s="536"/>
      <c r="UHP41" s="536"/>
      <c r="UHQ41" s="536"/>
      <c r="UHR41" s="536"/>
      <c r="UHS41" s="536"/>
      <c r="UHT41" s="536"/>
      <c r="UHU41" s="536"/>
      <c r="UHV41" s="536"/>
      <c r="UHW41" s="536"/>
      <c r="UHX41" s="536"/>
      <c r="UHY41" s="536"/>
      <c r="UHZ41" s="536"/>
      <c r="UIA41" s="536"/>
      <c r="UIB41" s="536"/>
      <c r="UIC41" s="536"/>
      <c r="UID41" s="536"/>
      <c r="UIE41" s="536"/>
      <c r="UIF41" s="536"/>
      <c r="UIG41" s="536"/>
      <c r="UIH41" s="536"/>
      <c r="UII41" s="536"/>
      <c r="UIJ41" s="536"/>
      <c r="UIK41" s="536"/>
      <c r="UIL41" s="536"/>
      <c r="UIM41" s="536"/>
      <c r="UIN41" s="536"/>
      <c r="UIO41" s="536"/>
      <c r="UIP41" s="536"/>
      <c r="UIQ41" s="536"/>
      <c r="UIR41" s="536"/>
      <c r="UIS41" s="536"/>
      <c r="UIT41" s="536"/>
      <c r="UIU41" s="536"/>
      <c r="UIV41" s="536"/>
      <c r="UIW41" s="536"/>
      <c r="UIX41" s="536"/>
      <c r="UIY41" s="536"/>
      <c r="UIZ41" s="536"/>
      <c r="UJA41" s="536"/>
      <c r="UJB41" s="536"/>
      <c r="UJC41" s="536"/>
      <c r="UJD41" s="536"/>
      <c r="UJE41" s="536"/>
      <c r="UJF41" s="536"/>
      <c r="UJG41" s="536"/>
      <c r="UJH41" s="536"/>
      <c r="UJI41" s="536"/>
      <c r="UJJ41" s="536"/>
      <c r="UJK41" s="536"/>
      <c r="UJL41" s="536"/>
      <c r="UJM41" s="536"/>
      <c r="UJN41" s="536"/>
      <c r="UJO41" s="536"/>
      <c r="UJP41" s="536"/>
      <c r="UJQ41" s="536"/>
      <c r="UJR41" s="536"/>
      <c r="UJS41" s="536"/>
      <c r="UJT41" s="536"/>
      <c r="UJU41" s="536"/>
      <c r="UJV41" s="536"/>
      <c r="UJW41" s="536"/>
      <c r="UJX41" s="536"/>
      <c r="UJY41" s="536"/>
      <c r="UJZ41" s="536"/>
      <c r="UKA41" s="536"/>
      <c r="UKB41" s="536"/>
      <c r="UKC41" s="536"/>
      <c r="UKD41" s="536"/>
      <c r="UKE41" s="536"/>
      <c r="UKF41" s="536"/>
      <c r="UKG41" s="536"/>
      <c r="UKH41" s="536"/>
      <c r="UKI41" s="536"/>
      <c r="UKJ41" s="536"/>
      <c r="UKK41" s="536"/>
      <c r="UKL41" s="536"/>
      <c r="UKM41" s="536"/>
      <c r="UKN41" s="536"/>
      <c r="UKO41" s="536"/>
      <c r="UKP41" s="536"/>
      <c r="UKQ41" s="536"/>
      <c r="UKR41" s="536"/>
      <c r="UKS41" s="536"/>
      <c r="UKT41" s="536"/>
      <c r="UKU41" s="536"/>
      <c r="UKV41" s="536"/>
      <c r="UKW41" s="536"/>
      <c r="UKX41" s="536"/>
      <c r="UKY41" s="536"/>
      <c r="UKZ41" s="536"/>
      <c r="ULA41" s="536"/>
      <c r="ULB41" s="536"/>
      <c r="ULC41" s="536"/>
      <c r="ULD41" s="536"/>
      <c r="ULE41" s="536"/>
      <c r="ULF41" s="536"/>
      <c r="ULG41" s="536"/>
      <c r="ULH41" s="536"/>
      <c r="ULI41" s="536"/>
      <c r="ULJ41" s="536"/>
      <c r="ULK41" s="536"/>
      <c r="ULL41" s="536"/>
      <c r="ULM41" s="536"/>
      <c r="ULN41" s="536"/>
      <c r="ULO41" s="536"/>
      <c r="ULP41" s="536"/>
      <c r="ULQ41" s="536"/>
      <c r="ULR41" s="536"/>
      <c r="ULS41" s="536"/>
      <c r="ULT41" s="536"/>
      <c r="ULU41" s="536"/>
      <c r="ULV41" s="536"/>
      <c r="ULW41" s="536"/>
      <c r="ULX41" s="536"/>
      <c r="ULY41" s="536"/>
      <c r="ULZ41" s="536"/>
      <c r="UMA41" s="536"/>
      <c r="UMB41" s="536"/>
      <c r="UMC41" s="536"/>
      <c r="UMD41" s="536"/>
      <c r="UME41" s="536"/>
      <c r="UMF41" s="536"/>
      <c r="UMG41" s="536"/>
      <c r="UMH41" s="536"/>
      <c r="UMI41" s="536"/>
      <c r="UMJ41" s="536"/>
      <c r="UMK41" s="536"/>
      <c r="UML41" s="536"/>
      <c r="UMM41" s="536"/>
      <c r="UMN41" s="536"/>
      <c r="UMO41" s="536"/>
      <c r="UMP41" s="536"/>
      <c r="UMQ41" s="536"/>
      <c r="UMR41" s="536"/>
      <c r="UMS41" s="536"/>
      <c r="UMT41" s="536"/>
      <c r="UMU41" s="536"/>
      <c r="UMV41" s="536"/>
      <c r="UMW41" s="536"/>
      <c r="UMX41" s="536"/>
      <c r="UMY41" s="536"/>
      <c r="UMZ41" s="536"/>
      <c r="UNA41" s="536"/>
      <c r="UNB41" s="536"/>
      <c r="UNC41" s="536"/>
      <c r="UND41" s="536"/>
      <c r="UNE41" s="536"/>
      <c r="UNF41" s="536"/>
      <c r="UNG41" s="536"/>
      <c r="UNH41" s="536"/>
      <c r="UNI41" s="536"/>
      <c r="UNJ41" s="536"/>
      <c r="UNK41" s="536"/>
      <c r="UNL41" s="536"/>
      <c r="UNM41" s="536"/>
      <c r="UNN41" s="536"/>
      <c r="UNO41" s="536"/>
      <c r="UNP41" s="536"/>
      <c r="UNQ41" s="536"/>
      <c r="UNR41" s="536"/>
      <c r="UNS41" s="536"/>
      <c r="UNT41" s="536"/>
      <c r="UNU41" s="536"/>
      <c r="UNV41" s="536"/>
      <c r="UNW41" s="536"/>
      <c r="UNX41" s="536"/>
      <c r="UNY41" s="536"/>
      <c r="UNZ41" s="536"/>
      <c r="UOA41" s="536"/>
      <c r="UOB41" s="536"/>
      <c r="UOC41" s="536"/>
      <c r="UOD41" s="536"/>
      <c r="UOE41" s="536"/>
      <c r="UOF41" s="536"/>
      <c r="UOG41" s="536"/>
      <c r="UOH41" s="536"/>
      <c r="UOI41" s="536"/>
      <c r="UOJ41" s="536"/>
      <c r="UOK41" s="536"/>
      <c r="UOL41" s="536"/>
      <c r="UOM41" s="536"/>
      <c r="UON41" s="536"/>
      <c r="UOO41" s="536"/>
      <c r="UOP41" s="536"/>
      <c r="UOQ41" s="536"/>
      <c r="UOR41" s="536"/>
      <c r="UOS41" s="536"/>
      <c r="UOT41" s="536"/>
      <c r="UOU41" s="536"/>
      <c r="UOV41" s="536"/>
      <c r="UOW41" s="536"/>
      <c r="UOX41" s="536"/>
      <c r="UOY41" s="536"/>
      <c r="UOZ41" s="536"/>
      <c r="UPA41" s="536"/>
      <c r="UPB41" s="536"/>
      <c r="UPC41" s="536"/>
      <c r="UPD41" s="536"/>
      <c r="UPE41" s="536"/>
      <c r="UPF41" s="536"/>
      <c r="UPG41" s="536"/>
      <c r="UPH41" s="536"/>
      <c r="UPI41" s="536"/>
      <c r="UPJ41" s="536"/>
      <c r="UPK41" s="536"/>
      <c r="UPL41" s="536"/>
      <c r="UPM41" s="536"/>
      <c r="UPN41" s="536"/>
      <c r="UPO41" s="536"/>
      <c r="UPP41" s="536"/>
      <c r="UPQ41" s="536"/>
      <c r="UPR41" s="536"/>
      <c r="UPS41" s="536"/>
      <c r="UPT41" s="536"/>
      <c r="UPU41" s="536"/>
      <c r="UPV41" s="536"/>
      <c r="UPW41" s="536"/>
      <c r="UPX41" s="536"/>
      <c r="UPY41" s="536"/>
      <c r="UPZ41" s="536"/>
      <c r="UQA41" s="536"/>
      <c r="UQB41" s="536"/>
      <c r="UQC41" s="536"/>
      <c r="UQD41" s="536"/>
      <c r="UQE41" s="536"/>
      <c r="UQF41" s="536"/>
      <c r="UQG41" s="536"/>
      <c r="UQH41" s="536"/>
      <c r="UQI41" s="536"/>
      <c r="UQJ41" s="536"/>
      <c r="UQK41" s="536"/>
      <c r="UQL41" s="536"/>
      <c r="UQM41" s="536"/>
      <c r="UQN41" s="536"/>
      <c r="UQO41" s="536"/>
      <c r="UQP41" s="536"/>
      <c r="UQQ41" s="536"/>
      <c r="UQR41" s="536"/>
      <c r="UQS41" s="536"/>
      <c r="UQT41" s="536"/>
      <c r="UQU41" s="536"/>
      <c r="UQV41" s="536"/>
      <c r="UQW41" s="536"/>
      <c r="UQX41" s="536"/>
      <c r="UQY41" s="536"/>
      <c r="UQZ41" s="536"/>
      <c r="URA41" s="536"/>
      <c r="URB41" s="536"/>
      <c r="URC41" s="536"/>
      <c r="URD41" s="536"/>
      <c r="URE41" s="536"/>
      <c r="URF41" s="536"/>
      <c r="URG41" s="536"/>
      <c r="URH41" s="536"/>
      <c r="URI41" s="536"/>
      <c r="URJ41" s="536"/>
      <c r="URK41" s="536"/>
      <c r="URL41" s="536"/>
      <c r="URM41" s="536"/>
      <c r="URN41" s="536"/>
      <c r="URO41" s="536"/>
      <c r="URP41" s="536"/>
      <c r="URQ41" s="536"/>
      <c r="URR41" s="536"/>
      <c r="URS41" s="536"/>
      <c r="URT41" s="536"/>
      <c r="URU41" s="536"/>
      <c r="URV41" s="536"/>
      <c r="URW41" s="536"/>
      <c r="URX41" s="536"/>
      <c r="URY41" s="536"/>
      <c r="URZ41" s="536"/>
      <c r="USA41" s="536"/>
      <c r="USB41" s="536"/>
      <c r="USC41" s="536"/>
      <c r="USD41" s="536"/>
      <c r="USE41" s="536"/>
      <c r="USF41" s="536"/>
      <c r="USG41" s="536"/>
      <c r="USH41" s="536"/>
      <c r="USI41" s="536"/>
      <c r="USJ41" s="536"/>
      <c r="USK41" s="536"/>
      <c r="USL41" s="536"/>
      <c r="USM41" s="536"/>
      <c r="USN41" s="536"/>
      <c r="USO41" s="536"/>
      <c r="USP41" s="536"/>
      <c r="USQ41" s="536"/>
      <c r="USR41" s="536"/>
      <c r="USS41" s="536"/>
      <c r="UST41" s="536"/>
      <c r="USU41" s="536"/>
      <c r="USV41" s="536"/>
      <c r="USW41" s="536"/>
      <c r="USX41" s="536"/>
      <c r="USY41" s="536"/>
      <c r="USZ41" s="536"/>
      <c r="UTA41" s="536"/>
      <c r="UTB41" s="536"/>
      <c r="UTC41" s="536"/>
      <c r="UTD41" s="536"/>
      <c r="UTE41" s="536"/>
      <c r="UTF41" s="536"/>
      <c r="UTG41" s="536"/>
      <c r="UTH41" s="536"/>
      <c r="UTI41" s="536"/>
      <c r="UTJ41" s="536"/>
      <c r="UTK41" s="536"/>
      <c r="UTL41" s="536"/>
      <c r="UTM41" s="536"/>
      <c r="UTN41" s="536"/>
      <c r="UTO41" s="536"/>
      <c r="UTP41" s="536"/>
      <c r="UTQ41" s="536"/>
      <c r="UTR41" s="536"/>
      <c r="UTS41" s="536"/>
      <c r="UTT41" s="536"/>
      <c r="UTU41" s="536"/>
      <c r="UTV41" s="536"/>
      <c r="UTW41" s="536"/>
      <c r="UTX41" s="536"/>
      <c r="UTY41" s="536"/>
      <c r="UTZ41" s="536"/>
      <c r="UUA41" s="536"/>
      <c r="UUB41" s="536"/>
      <c r="UUC41" s="536"/>
      <c r="UUD41" s="536"/>
      <c r="UUE41" s="536"/>
      <c r="UUF41" s="536"/>
      <c r="UUG41" s="536"/>
      <c r="UUH41" s="536"/>
      <c r="UUI41" s="536"/>
      <c r="UUJ41" s="536"/>
      <c r="UUK41" s="536"/>
      <c r="UUL41" s="536"/>
      <c r="UUM41" s="536"/>
      <c r="UUN41" s="536"/>
      <c r="UUO41" s="536"/>
      <c r="UUP41" s="536"/>
      <c r="UUQ41" s="536"/>
      <c r="UUR41" s="536"/>
      <c r="UUS41" s="536"/>
      <c r="UUT41" s="536"/>
      <c r="UUU41" s="536"/>
      <c r="UUV41" s="536"/>
      <c r="UUW41" s="536"/>
      <c r="UUX41" s="536"/>
      <c r="UUY41" s="536"/>
      <c r="UUZ41" s="536"/>
      <c r="UVA41" s="536"/>
      <c r="UVB41" s="536"/>
      <c r="UVC41" s="536"/>
      <c r="UVD41" s="536"/>
      <c r="UVE41" s="536"/>
      <c r="UVF41" s="536"/>
      <c r="UVG41" s="536"/>
      <c r="UVH41" s="536"/>
      <c r="UVI41" s="536"/>
      <c r="UVJ41" s="536"/>
      <c r="UVK41" s="536"/>
      <c r="UVL41" s="536"/>
      <c r="UVM41" s="536"/>
      <c r="UVN41" s="536"/>
      <c r="UVO41" s="536"/>
      <c r="UVP41" s="536"/>
      <c r="UVQ41" s="536"/>
      <c r="UVR41" s="536"/>
      <c r="UVS41" s="536"/>
      <c r="UVT41" s="536"/>
      <c r="UVU41" s="536"/>
      <c r="UVV41" s="536"/>
      <c r="UVW41" s="536"/>
      <c r="UVX41" s="536"/>
      <c r="UVY41" s="536"/>
      <c r="UVZ41" s="536"/>
      <c r="UWA41" s="536"/>
      <c r="UWB41" s="536"/>
      <c r="UWC41" s="536"/>
      <c r="UWD41" s="536"/>
      <c r="UWE41" s="536"/>
      <c r="UWF41" s="536"/>
      <c r="UWG41" s="536"/>
      <c r="UWH41" s="536"/>
      <c r="UWI41" s="536"/>
      <c r="UWJ41" s="536"/>
      <c r="UWK41" s="536"/>
      <c r="UWL41" s="536"/>
      <c r="UWM41" s="536"/>
      <c r="UWN41" s="536"/>
      <c r="UWO41" s="536"/>
      <c r="UWP41" s="536"/>
      <c r="UWQ41" s="536"/>
      <c r="UWR41" s="536"/>
      <c r="UWS41" s="536"/>
      <c r="UWT41" s="536"/>
      <c r="UWU41" s="536"/>
      <c r="UWV41" s="536"/>
      <c r="UWW41" s="536"/>
      <c r="UWX41" s="536"/>
      <c r="UWY41" s="536"/>
      <c r="UWZ41" s="536"/>
      <c r="UXA41" s="536"/>
      <c r="UXB41" s="536"/>
      <c r="UXC41" s="536"/>
      <c r="UXD41" s="536"/>
      <c r="UXE41" s="536"/>
      <c r="UXF41" s="536"/>
      <c r="UXG41" s="536"/>
      <c r="UXH41" s="536"/>
      <c r="UXI41" s="536"/>
      <c r="UXJ41" s="536"/>
      <c r="UXK41" s="536"/>
      <c r="UXL41" s="536"/>
      <c r="UXM41" s="536"/>
      <c r="UXN41" s="536"/>
      <c r="UXO41" s="536"/>
      <c r="UXP41" s="536"/>
      <c r="UXQ41" s="536"/>
      <c r="UXR41" s="536"/>
      <c r="UXS41" s="536"/>
      <c r="UXT41" s="536"/>
      <c r="UXU41" s="536"/>
      <c r="UXV41" s="536"/>
      <c r="UXW41" s="536"/>
      <c r="UXX41" s="536"/>
      <c r="UXY41" s="536"/>
      <c r="UXZ41" s="536"/>
      <c r="UYA41" s="536"/>
      <c r="UYB41" s="536"/>
      <c r="UYC41" s="536"/>
      <c r="UYD41" s="536"/>
      <c r="UYE41" s="536"/>
      <c r="UYF41" s="536"/>
      <c r="UYG41" s="536"/>
      <c r="UYH41" s="536"/>
      <c r="UYI41" s="536"/>
      <c r="UYJ41" s="536"/>
      <c r="UYK41" s="536"/>
      <c r="UYL41" s="536"/>
      <c r="UYM41" s="536"/>
      <c r="UYN41" s="536"/>
      <c r="UYO41" s="536"/>
      <c r="UYP41" s="536"/>
      <c r="UYQ41" s="536"/>
      <c r="UYR41" s="536"/>
      <c r="UYS41" s="536"/>
      <c r="UYT41" s="536"/>
      <c r="UYU41" s="536"/>
      <c r="UYV41" s="536"/>
      <c r="UYW41" s="536"/>
      <c r="UYX41" s="536"/>
      <c r="UYY41" s="536"/>
      <c r="UYZ41" s="536"/>
      <c r="UZA41" s="536"/>
      <c r="UZB41" s="536"/>
      <c r="UZC41" s="536"/>
      <c r="UZD41" s="536"/>
      <c r="UZE41" s="536"/>
      <c r="UZF41" s="536"/>
      <c r="UZG41" s="536"/>
      <c r="UZH41" s="536"/>
      <c r="UZI41" s="536"/>
      <c r="UZJ41" s="536"/>
      <c r="UZK41" s="536"/>
      <c r="UZL41" s="536"/>
      <c r="UZM41" s="536"/>
      <c r="UZN41" s="536"/>
      <c r="UZO41" s="536"/>
      <c r="UZP41" s="536"/>
      <c r="UZQ41" s="536"/>
      <c r="UZR41" s="536"/>
      <c r="UZS41" s="536"/>
      <c r="UZT41" s="536"/>
      <c r="UZU41" s="536"/>
      <c r="UZV41" s="536"/>
      <c r="UZW41" s="536"/>
      <c r="UZX41" s="536"/>
      <c r="UZY41" s="536"/>
      <c r="UZZ41" s="536"/>
      <c r="VAA41" s="536"/>
      <c r="VAB41" s="536"/>
      <c r="VAC41" s="536"/>
      <c r="VAD41" s="536"/>
      <c r="VAE41" s="536"/>
      <c r="VAF41" s="536"/>
      <c r="VAG41" s="536"/>
      <c r="VAH41" s="536"/>
      <c r="VAI41" s="536"/>
      <c r="VAJ41" s="536"/>
      <c r="VAK41" s="536"/>
      <c r="VAL41" s="536"/>
      <c r="VAM41" s="536"/>
      <c r="VAN41" s="536"/>
      <c r="VAO41" s="536"/>
      <c r="VAP41" s="536"/>
      <c r="VAQ41" s="536"/>
      <c r="VAR41" s="536"/>
      <c r="VAS41" s="536"/>
      <c r="VAT41" s="536"/>
      <c r="VAU41" s="536"/>
      <c r="VAV41" s="536"/>
      <c r="VAW41" s="536"/>
      <c r="VAX41" s="536"/>
      <c r="VAY41" s="536"/>
      <c r="VAZ41" s="536"/>
      <c r="VBA41" s="536"/>
      <c r="VBB41" s="536"/>
      <c r="VBC41" s="536"/>
      <c r="VBD41" s="536"/>
      <c r="VBE41" s="536"/>
      <c r="VBF41" s="536"/>
      <c r="VBG41" s="536"/>
      <c r="VBH41" s="536"/>
      <c r="VBI41" s="536"/>
      <c r="VBJ41" s="536"/>
      <c r="VBK41" s="536"/>
      <c r="VBL41" s="536"/>
      <c r="VBM41" s="536"/>
      <c r="VBN41" s="536"/>
      <c r="VBO41" s="536"/>
      <c r="VBP41" s="536"/>
      <c r="VBQ41" s="536"/>
      <c r="VBR41" s="536"/>
      <c r="VBS41" s="536"/>
      <c r="VBT41" s="536"/>
      <c r="VBU41" s="536"/>
      <c r="VBV41" s="536"/>
      <c r="VBW41" s="536"/>
      <c r="VBX41" s="536"/>
      <c r="VBY41" s="536"/>
      <c r="VBZ41" s="536"/>
      <c r="VCA41" s="536"/>
      <c r="VCB41" s="536"/>
      <c r="VCC41" s="536"/>
      <c r="VCD41" s="536"/>
      <c r="VCE41" s="536"/>
      <c r="VCF41" s="536"/>
      <c r="VCG41" s="536"/>
      <c r="VCH41" s="536"/>
      <c r="VCI41" s="536"/>
      <c r="VCJ41" s="536"/>
      <c r="VCK41" s="536"/>
      <c r="VCL41" s="536"/>
      <c r="VCM41" s="536"/>
      <c r="VCN41" s="536"/>
      <c r="VCO41" s="536"/>
      <c r="VCP41" s="536"/>
      <c r="VCQ41" s="536"/>
      <c r="VCR41" s="536"/>
      <c r="VCS41" s="536"/>
      <c r="VCT41" s="536"/>
      <c r="VCU41" s="536"/>
      <c r="VCV41" s="536"/>
      <c r="VCW41" s="536"/>
      <c r="VCX41" s="536"/>
      <c r="VCY41" s="536"/>
      <c r="VCZ41" s="536"/>
      <c r="VDA41" s="536"/>
      <c r="VDB41" s="536"/>
      <c r="VDC41" s="536"/>
      <c r="VDD41" s="536"/>
      <c r="VDE41" s="536"/>
      <c r="VDF41" s="536"/>
      <c r="VDG41" s="536"/>
      <c r="VDH41" s="536"/>
      <c r="VDI41" s="536"/>
      <c r="VDJ41" s="536"/>
      <c r="VDK41" s="536"/>
      <c r="VDL41" s="536"/>
      <c r="VDM41" s="536"/>
      <c r="VDN41" s="536"/>
      <c r="VDO41" s="536"/>
      <c r="VDP41" s="536"/>
      <c r="VDQ41" s="536"/>
      <c r="VDR41" s="536"/>
      <c r="VDS41" s="536"/>
      <c r="VDT41" s="536"/>
      <c r="VDU41" s="536"/>
      <c r="VDV41" s="536"/>
      <c r="VDW41" s="536"/>
      <c r="VDX41" s="536"/>
      <c r="VDY41" s="536"/>
      <c r="VDZ41" s="536"/>
      <c r="VEA41" s="536"/>
      <c r="VEB41" s="536"/>
      <c r="VEC41" s="536"/>
      <c r="VED41" s="536"/>
      <c r="VEE41" s="536"/>
      <c r="VEF41" s="536"/>
      <c r="VEG41" s="536"/>
      <c r="VEH41" s="536"/>
      <c r="VEI41" s="536"/>
      <c r="VEJ41" s="536"/>
      <c r="VEK41" s="536"/>
      <c r="VEL41" s="536"/>
      <c r="VEM41" s="536"/>
      <c r="VEN41" s="536"/>
      <c r="VEO41" s="536"/>
      <c r="VEP41" s="536"/>
      <c r="VEQ41" s="536"/>
      <c r="VER41" s="536"/>
      <c r="VES41" s="536"/>
      <c r="VET41" s="536"/>
      <c r="VEU41" s="536"/>
      <c r="VEV41" s="536"/>
      <c r="VEW41" s="536"/>
      <c r="VEX41" s="536"/>
      <c r="VEY41" s="536"/>
      <c r="VEZ41" s="536"/>
      <c r="VFA41" s="536"/>
      <c r="VFB41" s="536"/>
      <c r="VFC41" s="536"/>
      <c r="VFD41" s="536"/>
      <c r="VFE41" s="536"/>
      <c r="VFF41" s="536"/>
      <c r="VFG41" s="536"/>
      <c r="VFH41" s="536"/>
      <c r="VFI41" s="536"/>
      <c r="VFJ41" s="536"/>
      <c r="VFK41" s="536"/>
      <c r="VFL41" s="536"/>
      <c r="VFM41" s="536"/>
      <c r="VFN41" s="536"/>
      <c r="VFO41" s="536"/>
      <c r="VFP41" s="536"/>
      <c r="VFQ41" s="536"/>
      <c r="VFR41" s="536"/>
      <c r="VFS41" s="536"/>
      <c r="VFT41" s="536"/>
      <c r="VFU41" s="536"/>
      <c r="VFV41" s="536"/>
      <c r="VFW41" s="536"/>
      <c r="VFX41" s="536"/>
      <c r="VFY41" s="536"/>
      <c r="VFZ41" s="536"/>
      <c r="VGA41" s="536"/>
      <c r="VGB41" s="536"/>
      <c r="VGC41" s="536"/>
      <c r="VGD41" s="536"/>
      <c r="VGE41" s="536"/>
      <c r="VGF41" s="536"/>
      <c r="VGG41" s="536"/>
      <c r="VGH41" s="536"/>
      <c r="VGI41" s="536"/>
      <c r="VGJ41" s="536"/>
      <c r="VGK41" s="536"/>
      <c r="VGL41" s="536"/>
      <c r="VGM41" s="536"/>
      <c r="VGN41" s="536"/>
      <c r="VGO41" s="536"/>
      <c r="VGP41" s="536"/>
      <c r="VGQ41" s="536"/>
      <c r="VGR41" s="536"/>
      <c r="VGS41" s="536"/>
      <c r="VGT41" s="536"/>
      <c r="VGU41" s="536"/>
      <c r="VGV41" s="536"/>
      <c r="VGW41" s="536"/>
      <c r="VGX41" s="536"/>
      <c r="VGY41" s="536"/>
      <c r="VGZ41" s="536"/>
      <c r="VHA41" s="536"/>
      <c r="VHB41" s="536"/>
      <c r="VHC41" s="536"/>
      <c r="VHD41" s="536"/>
      <c r="VHE41" s="536"/>
      <c r="VHF41" s="536"/>
      <c r="VHG41" s="536"/>
      <c r="VHH41" s="536"/>
      <c r="VHI41" s="536"/>
      <c r="VHJ41" s="536"/>
      <c r="VHK41" s="536"/>
      <c r="VHL41" s="536"/>
      <c r="VHM41" s="536"/>
      <c r="VHN41" s="536"/>
      <c r="VHO41" s="536"/>
      <c r="VHP41" s="536"/>
      <c r="VHQ41" s="536"/>
      <c r="VHR41" s="536"/>
      <c r="VHS41" s="536"/>
      <c r="VHT41" s="536"/>
      <c r="VHU41" s="536"/>
      <c r="VHV41" s="536"/>
      <c r="VHW41" s="536"/>
      <c r="VHX41" s="536"/>
      <c r="VHY41" s="536"/>
      <c r="VHZ41" s="536"/>
      <c r="VIA41" s="536"/>
      <c r="VIB41" s="536"/>
      <c r="VIC41" s="536"/>
      <c r="VID41" s="536"/>
      <c r="VIE41" s="536"/>
      <c r="VIF41" s="536"/>
      <c r="VIG41" s="536"/>
      <c r="VIH41" s="536"/>
      <c r="VII41" s="536"/>
      <c r="VIJ41" s="536"/>
      <c r="VIK41" s="536"/>
      <c r="VIL41" s="536"/>
      <c r="VIM41" s="536"/>
      <c r="VIN41" s="536"/>
      <c r="VIO41" s="536"/>
      <c r="VIP41" s="536"/>
      <c r="VIQ41" s="536"/>
      <c r="VIR41" s="536"/>
      <c r="VIS41" s="536"/>
      <c r="VIT41" s="536"/>
      <c r="VIU41" s="536"/>
      <c r="VIV41" s="536"/>
      <c r="VIW41" s="536"/>
      <c r="VIX41" s="536"/>
      <c r="VIY41" s="536"/>
      <c r="VIZ41" s="536"/>
      <c r="VJA41" s="536"/>
      <c r="VJB41" s="536"/>
      <c r="VJC41" s="536"/>
      <c r="VJD41" s="536"/>
      <c r="VJE41" s="536"/>
      <c r="VJF41" s="536"/>
      <c r="VJG41" s="536"/>
      <c r="VJH41" s="536"/>
      <c r="VJI41" s="536"/>
      <c r="VJJ41" s="536"/>
      <c r="VJK41" s="536"/>
      <c r="VJL41" s="536"/>
      <c r="VJM41" s="536"/>
      <c r="VJN41" s="536"/>
      <c r="VJO41" s="536"/>
      <c r="VJP41" s="536"/>
      <c r="VJQ41" s="536"/>
      <c r="VJR41" s="536"/>
      <c r="VJS41" s="536"/>
      <c r="VJT41" s="536"/>
      <c r="VJU41" s="536"/>
      <c r="VJV41" s="536"/>
      <c r="VJW41" s="536"/>
      <c r="VJX41" s="536"/>
      <c r="VJY41" s="536"/>
      <c r="VJZ41" s="536"/>
      <c r="VKA41" s="536"/>
      <c r="VKB41" s="536"/>
      <c r="VKC41" s="536"/>
      <c r="VKD41" s="536"/>
      <c r="VKE41" s="536"/>
      <c r="VKF41" s="536"/>
      <c r="VKG41" s="536"/>
      <c r="VKH41" s="536"/>
      <c r="VKI41" s="536"/>
      <c r="VKJ41" s="536"/>
      <c r="VKK41" s="536"/>
      <c r="VKL41" s="536"/>
      <c r="VKM41" s="536"/>
      <c r="VKN41" s="536"/>
      <c r="VKO41" s="536"/>
      <c r="VKP41" s="536"/>
      <c r="VKQ41" s="536"/>
      <c r="VKR41" s="536"/>
      <c r="VKS41" s="536"/>
      <c r="VKT41" s="536"/>
      <c r="VKU41" s="536"/>
      <c r="VKV41" s="536"/>
      <c r="VKW41" s="536"/>
      <c r="VKX41" s="536"/>
      <c r="VKY41" s="536"/>
      <c r="VKZ41" s="536"/>
      <c r="VLA41" s="536"/>
      <c r="VLB41" s="536"/>
      <c r="VLC41" s="536"/>
      <c r="VLD41" s="536"/>
      <c r="VLE41" s="536"/>
      <c r="VLF41" s="536"/>
      <c r="VLG41" s="536"/>
      <c r="VLH41" s="536"/>
      <c r="VLI41" s="536"/>
      <c r="VLJ41" s="536"/>
      <c r="VLK41" s="536"/>
      <c r="VLL41" s="536"/>
      <c r="VLM41" s="536"/>
      <c r="VLN41" s="536"/>
      <c r="VLO41" s="536"/>
      <c r="VLP41" s="536"/>
      <c r="VLQ41" s="536"/>
      <c r="VLR41" s="536"/>
      <c r="VLS41" s="536"/>
      <c r="VLT41" s="536"/>
      <c r="VLU41" s="536"/>
      <c r="VLV41" s="536"/>
      <c r="VLW41" s="536"/>
      <c r="VLX41" s="536"/>
      <c r="VLY41" s="536"/>
      <c r="VLZ41" s="536"/>
      <c r="VMA41" s="536"/>
      <c r="VMB41" s="536"/>
      <c r="VMC41" s="536"/>
      <c r="VMD41" s="536"/>
      <c r="VME41" s="536"/>
      <c r="VMF41" s="536"/>
      <c r="VMG41" s="536"/>
      <c r="VMH41" s="536"/>
      <c r="VMI41" s="536"/>
      <c r="VMJ41" s="536"/>
      <c r="VMK41" s="536"/>
      <c r="VML41" s="536"/>
      <c r="VMM41" s="536"/>
      <c r="VMN41" s="536"/>
      <c r="VMO41" s="536"/>
      <c r="VMP41" s="536"/>
      <c r="VMQ41" s="536"/>
      <c r="VMR41" s="536"/>
      <c r="VMS41" s="536"/>
      <c r="VMT41" s="536"/>
      <c r="VMU41" s="536"/>
      <c r="VMV41" s="536"/>
      <c r="VMW41" s="536"/>
      <c r="VMX41" s="536"/>
      <c r="VMY41" s="536"/>
      <c r="VMZ41" s="536"/>
      <c r="VNA41" s="536"/>
      <c r="VNB41" s="536"/>
      <c r="VNC41" s="536"/>
      <c r="VND41" s="536"/>
      <c r="VNE41" s="536"/>
      <c r="VNF41" s="536"/>
      <c r="VNG41" s="536"/>
      <c r="VNH41" s="536"/>
      <c r="VNI41" s="536"/>
      <c r="VNJ41" s="536"/>
      <c r="VNK41" s="536"/>
      <c r="VNL41" s="536"/>
      <c r="VNM41" s="536"/>
      <c r="VNN41" s="536"/>
      <c r="VNO41" s="536"/>
      <c r="VNP41" s="536"/>
      <c r="VNQ41" s="536"/>
      <c r="VNR41" s="536"/>
      <c r="VNS41" s="536"/>
      <c r="VNT41" s="536"/>
      <c r="VNU41" s="536"/>
      <c r="VNV41" s="536"/>
      <c r="VNW41" s="536"/>
      <c r="VNX41" s="536"/>
      <c r="VNY41" s="536"/>
      <c r="VNZ41" s="536"/>
      <c r="VOA41" s="536"/>
      <c r="VOB41" s="536"/>
      <c r="VOC41" s="536"/>
      <c r="VOD41" s="536"/>
      <c r="VOE41" s="536"/>
      <c r="VOF41" s="536"/>
      <c r="VOG41" s="536"/>
      <c r="VOH41" s="536"/>
      <c r="VOI41" s="536"/>
      <c r="VOJ41" s="536"/>
      <c r="VOK41" s="536"/>
      <c r="VOL41" s="536"/>
      <c r="VOM41" s="536"/>
      <c r="VON41" s="536"/>
      <c r="VOO41" s="536"/>
      <c r="VOP41" s="536"/>
      <c r="VOQ41" s="536"/>
      <c r="VOR41" s="536"/>
      <c r="VOS41" s="536"/>
      <c r="VOT41" s="536"/>
      <c r="VOU41" s="536"/>
      <c r="VOV41" s="536"/>
      <c r="VOW41" s="536"/>
      <c r="VOX41" s="536"/>
      <c r="VOY41" s="536"/>
      <c r="VOZ41" s="536"/>
      <c r="VPA41" s="536"/>
      <c r="VPB41" s="536"/>
      <c r="VPC41" s="536"/>
      <c r="VPD41" s="536"/>
      <c r="VPE41" s="536"/>
      <c r="VPF41" s="536"/>
      <c r="VPG41" s="536"/>
      <c r="VPH41" s="536"/>
      <c r="VPI41" s="536"/>
      <c r="VPJ41" s="536"/>
      <c r="VPK41" s="536"/>
      <c r="VPL41" s="536"/>
      <c r="VPM41" s="536"/>
      <c r="VPN41" s="536"/>
      <c r="VPO41" s="536"/>
      <c r="VPP41" s="536"/>
      <c r="VPQ41" s="536"/>
      <c r="VPR41" s="536"/>
      <c r="VPS41" s="536"/>
      <c r="VPT41" s="536"/>
      <c r="VPU41" s="536"/>
      <c r="VPV41" s="536"/>
      <c r="VPW41" s="536"/>
      <c r="VPX41" s="536"/>
      <c r="VPY41" s="536"/>
      <c r="VPZ41" s="536"/>
      <c r="VQA41" s="536"/>
      <c r="VQB41" s="536"/>
      <c r="VQC41" s="536"/>
      <c r="VQD41" s="536"/>
      <c r="VQE41" s="536"/>
      <c r="VQF41" s="536"/>
      <c r="VQG41" s="536"/>
      <c r="VQH41" s="536"/>
      <c r="VQI41" s="536"/>
      <c r="VQJ41" s="536"/>
      <c r="VQK41" s="536"/>
      <c r="VQL41" s="536"/>
      <c r="VQM41" s="536"/>
      <c r="VQN41" s="536"/>
      <c r="VQO41" s="536"/>
      <c r="VQP41" s="536"/>
      <c r="VQQ41" s="536"/>
      <c r="VQR41" s="536"/>
      <c r="VQS41" s="536"/>
      <c r="VQT41" s="536"/>
      <c r="VQU41" s="536"/>
      <c r="VQV41" s="536"/>
      <c r="VQW41" s="536"/>
      <c r="VQX41" s="536"/>
      <c r="VQY41" s="536"/>
      <c r="VQZ41" s="536"/>
      <c r="VRA41" s="536"/>
      <c r="VRB41" s="536"/>
      <c r="VRC41" s="536"/>
      <c r="VRD41" s="536"/>
      <c r="VRE41" s="536"/>
      <c r="VRF41" s="536"/>
      <c r="VRG41" s="536"/>
      <c r="VRH41" s="536"/>
      <c r="VRI41" s="536"/>
      <c r="VRJ41" s="536"/>
      <c r="VRK41" s="536"/>
      <c r="VRL41" s="536"/>
      <c r="VRM41" s="536"/>
      <c r="VRN41" s="536"/>
      <c r="VRO41" s="536"/>
      <c r="VRP41" s="536"/>
      <c r="VRQ41" s="536"/>
      <c r="VRR41" s="536"/>
      <c r="VRS41" s="536"/>
      <c r="VRT41" s="536"/>
      <c r="VRU41" s="536"/>
      <c r="VRV41" s="536"/>
      <c r="VRW41" s="536"/>
      <c r="VRX41" s="536"/>
      <c r="VRY41" s="536"/>
      <c r="VRZ41" s="536"/>
      <c r="VSA41" s="536"/>
      <c r="VSB41" s="536"/>
      <c r="VSC41" s="536"/>
      <c r="VSD41" s="536"/>
      <c r="VSE41" s="536"/>
      <c r="VSF41" s="536"/>
      <c r="VSG41" s="536"/>
      <c r="VSH41" s="536"/>
      <c r="VSI41" s="536"/>
      <c r="VSJ41" s="536"/>
      <c r="VSK41" s="536"/>
      <c r="VSL41" s="536"/>
      <c r="VSM41" s="536"/>
      <c r="VSN41" s="536"/>
      <c r="VSO41" s="536"/>
      <c r="VSP41" s="536"/>
      <c r="VSQ41" s="536"/>
      <c r="VSR41" s="536"/>
      <c r="VSS41" s="536"/>
      <c r="VST41" s="536"/>
      <c r="VSU41" s="536"/>
      <c r="VSV41" s="536"/>
      <c r="VSW41" s="536"/>
      <c r="VSX41" s="536"/>
      <c r="VSY41" s="536"/>
      <c r="VSZ41" s="536"/>
      <c r="VTA41" s="536"/>
      <c r="VTB41" s="536"/>
      <c r="VTC41" s="536"/>
      <c r="VTD41" s="536"/>
      <c r="VTE41" s="536"/>
      <c r="VTF41" s="536"/>
      <c r="VTG41" s="536"/>
      <c r="VTH41" s="536"/>
      <c r="VTI41" s="536"/>
      <c r="VTJ41" s="536"/>
      <c r="VTK41" s="536"/>
      <c r="VTL41" s="536"/>
      <c r="VTM41" s="536"/>
      <c r="VTN41" s="536"/>
      <c r="VTO41" s="536"/>
      <c r="VTP41" s="536"/>
      <c r="VTQ41" s="536"/>
      <c r="VTR41" s="536"/>
      <c r="VTS41" s="536"/>
      <c r="VTT41" s="536"/>
      <c r="VTU41" s="536"/>
      <c r="VTV41" s="536"/>
      <c r="VTW41" s="536"/>
      <c r="VTX41" s="536"/>
      <c r="VTY41" s="536"/>
      <c r="VTZ41" s="536"/>
      <c r="VUA41" s="536"/>
      <c r="VUB41" s="536"/>
      <c r="VUC41" s="536"/>
      <c r="VUD41" s="536"/>
      <c r="VUE41" s="536"/>
      <c r="VUF41" s="536"/>
      <c r="VUG41" s="536"/>
      <c r="VUH41" s="536"/>
      <c r="VUI41" s="536"/>
      <c r="VUJ41" s="536"/>
      <c r="VUK41" s="536"/>
      <c r="VUL41" s="536"/>
      <c r="VUM41" s="536"/>
      <c r="VUN41" s="536"/>
      <c r="VUO41" s="536"/>
      <c r="VUP41" s="536"/>
      <c r="VUQ41" s="536"/>
      <c r="VUR41" s="536"/>
      <c r="VUS41" s="536"/>
      <c r="VUT41" s="536"/>
      <c r="VUU41" s="536"/>
      <c r="VUV41" s="536"/>
      <c r="VUW41" s="536"/>
      <c r="VUX41" s="536"/>
      <c r="VUY41" s="536"/>
      <c r="VUZ41" s="536"/>
      <c r="VVA41" s="536"/>
      <c r="VVB41" s="536"/>
      <c r="VVC41" s="536"/>
      <c r="VVD41" s="536"/>
      <c r="VVE41" s="536"/>
      <c r="VVF41" s="536"/>
      <c r="VVG41" s="536"/>
      <c r="VVH41" s="536"/>
      <c r="VVI41" s="536"/>
      <c r="VVJ41" s="536"/>
      <c r="VVK41" s="536"/>
      <c r="VVL41" s="536"/>
      <c r="VVM41" s="536"/>
      <c r="VVN41" s="536"/>
      <c r="VVO41" s="536"/>
      <c r="VVP41" s="536"/>
      <c r="VVQ41" s="536"/>
      <c r="VVR41" s="536"/>
      <c r="VVS41" s="536"/>
      <c r="VVT41" s="536"/>
      <c r="VVU41" s="536"/>
      <c r="VVV41" s="536"/>
      <c r="VVW41" s="536"/>
      <c r="VVX41" s="536"/>
      <c r="VVY41" s="536"/>
      <c r="VVZ41" s="536"/>
      <c r="VWA41" s="536"/>
      <c r="VWB41" s="536"/>
      <c r="VWC41" s="536"/>
      <c r="VWD41" s="536"/>
      <c r="VWE41" s="536"/>
      <c r="VWF41" s="536"/>
      <c r="VWG41" s="536"/>
      <c r="VWH41" s="536"/>
      <c r="VWI41" s="536"/>
      <c r="VWJ41" s="536"/>
      <c r="VWK41" s="536"/>
      <c r="VWL41" s="536"/>
      <c r="VWM41" s="536"/>
      <c r="VWN41" s="536"/>
      <c r="VWO41" s="536"/>
      <c r="VWP41" s="536"/>
      <c r="VWQ41" s="536"/>
      <c r="VWR41" s="536"/>
      <c r="VWS41" s="536"/>
      <c r="VWT41" s="536"/>
      <c r="VWU41" s="536"/>
      <c r="VWV41" s="536"/>
      <c r="VWW41" s="536"/>
      <c r="VWX41" s="536"/>
      <c r="VWY41" s="536"/>
      <c r="VWZ41" s="536"/>
      <c r="VXA41" s="536"/>
      <c r="VXB41" s="536"/>
      <c r="VXC41" s="536"/>
      <c r="VXD41" s="536"/>
      <c r="VXE41" s="536"/>
      <c r="VXF41" s="536"/>
      <c r="VXG41" s="536"/>
      <c r="VXH41" s="536"/>
      <c r="VXI41" s="536"/>
      <c r="VXJ41" s="536"/>
      <c r="VXK41" s="536"/>
      <c r="VXL41" s="536"/>
      <c r="VXM41" s="536"/>
      <c r="VXN41" s="536"/>
      <c r="VXO41" s="536"/>
      <c r="VXP41" s="536"/>
      <c r="VXQ41" s="536"/>
      <c r="VXR41" s="536"/>
      <c r="VXS41" s="536"/>
      <c r="VXT41" s="536"/>
      <c r="VXU41" s="536"/>
      <c r="VXV41" s="536"/>
      <c r="VXW41" s="536"/>
      <c r="VXX41" s="536"/>
      <c r="VXY41" s="536"/>
      <c r="VXZ41" s="536"/>
      <c r="VYA41" s="536"/>
      <c r="VYB41" s="536"/>
      <c r="VYC41" s="536"/>
      <c r="VYD41" s="536"/>
      <c r="VYE41" s="536"/>
      <c r="VYF41" s="536"/>
      <c r="VYG41" s="536"/>
      <c r="VYH41" s="536"/>
      <c r="VYI41" s="536"/>
      <c r="VYJ41" s="536"/>
      <c r="VYK41" s="536"/>
      <c r="VYL41" s="536"/>
      <c r="VYM41" s="536"/>
      <c r="VYN41" s="536"/>
      <c r="VYO41" s="536"/>
      <c r="VYP41" s="536"/>
      <c r="VYQ41" s="536"/>
      <c r="VYR41" s="536"/>
      <c r="VYS41" s="536"/>
      <c r="VYT41" s="536"/>
      <c r="VYU41" s="536"/>
      <c r="VYV41" s="536"/>
      <c r="VYW41" s="536"/>
      <c r="VYX41" s="536"/>
      <c r="VYY41" s="536"/>
      <c r="VYZ41" s="536"/>
      <c r="VZA41" s="536"/>
      <c r="VZB41" s="536"/>
      <c r="VZC41" s="536"/>
      <c r="VZD41" s="536"/>
      <c r="VZE41" s="536"/>
      <c r="VZF41" s="536"/>
      <c r="VZG41" s="536"/>
      <c r="VZH41" s="536"/>
      <c r="VZI41" s="536"/>
      <c r="VZJ41" s="536"/>
      <c r="VZK41" s="536"/>
      <c r="VZL41" s="536"/>
      <c r="VZM41" s="536"/>
      <c r="VZN41" s="536"/>
      <c r="VZO41" s="536"/>
      <c r="VZP41" s="536"/>
      <c r="VZQ41" s="536"/>
      <c r="VZR41" s="536"/>
      <c r="VZS41" s="536"/>
      <c r="VZT41" s="536"/>
      <c r="VZU41" s="536"/>
      <c r="VZV41" s="536"/>
      <c r="VZW41" s="536"/>
      <c r="VZX41" s="536"/>
      <c r="VZY41" s="536"/>
      <c r="VZZ41" s="536"/>
      <c r="WAA41" s="536"/>
      <c r="WAB41" s="536"/>
      <c r="WAC41" s="536"/>
      <c r="WAD41" s="536"/>
      <c r="WAE41" s="536"/>
      <c r="WAF41" s="536"/>
      <c r="WAG41" s="536"/>
      <c r="WAH41" s="536"/>
      <c r="WAI41" s="536"/>
      <c r="WAJ41" s="536"/>
      <c r="WAK41" s="536"/>
      <c r="WAL41" s="536"/>
      <c r="WAM41" s="536"/>
      <c r="WAN41" s="536"/>
      <c r="WAO41" s="536"/>
      <c r="WAP41" s="536"/>
      <c r="WAQ41" s="536"/>
      <c r="WAR41" s="536"/>
      <c r="WAS41" s="536"/>
      <c r="WAT41" s="536"/>
      <c r="WAU41" s="536"/>
      <c r="WAV41" s="536"/>
      <c r="WAW41" s="536"/>
      <c r="WAX41" s="536"/>
      <c r="WAY41" s="536"/>
      <c r="WAZ41" s="536"/>
      <c r="WBA41" s="536"/>
      <c r="WBB41" s="536"/>
      <c r="WBC41" s="536"/>
      <c r="WBD41" s="536"/>
      <c r="WBE41" s="536"/>
      <c r="WBF41" s="536"/>
      <c r="WBG41" s="536"/>
      <c r="WBH41" s="536"/>
      <c r="WBI41" s="536"/>
      <c r="WBJ41" s="536"/>
      <c r="WBK41" s="536"/>
      <c r="WBL41" s="536"/>
      <c r="WBM41" s="536"/>
      <c r="WBN41" s="536"/>
      <c r="WBO41" s="536"/>
      <c r="WBP41" s="536"/>
      <c r="WBQ41" s="536"/>
      <c r="WBR41" s="536"/>
      <c r="WBS41" s="536"/>
      <c r="WBT41" s="536"/>
      <c r="WBU41" s="536"/>
      <c r="WBV41" s="536"/>
      <c r="WBW41" s="536"/>
      <c r="WBX41" s="536"/>
      <c r="WBY41" s="536"/>
      <c r="WBZ41" s="536"/>
      <c r="WCA41" s="536"/>
      <c r="WCB41" s="536"/>
      <c r="WCC41" s="536"/>
      <c r="WCD41" s="536"/>
      <c r="WCE41" s="536"/>
      <c r="WCF41" s="536"/>
      <c r="WCG41" s="536"/>
      <c r="WCH41" s="536"/>
      <c r="WCI41" s="536"/>
      <c r="WCJ41" s="536"/>
      <c r="WCK41" s="536"/>
      <c r="WCL41" s="536"/>
      <c r="WCM41" s="536"/>
      <c r="WCN41" s="536"/>
      <c r="WCO41" s="536"/>
      <c r="WCP41" s="536"/>
      <c r="WCQ41" s="536"/>
      <c r="WCR41" s="536"/>
      <c r="WCS41" s="536"/>
      <c r="WCT41" s="536"/>
      <c r="WCU41" s="536"/>
      <c r="WCV41" s="536"/>
      <c r="WCW41" s="536"/>
      <c r="WCX41" s="536"/>
      <c r="WCY41" s="536"/>
      <c r="WCZ41" s="536"/>
      <c r="WDA41" s="536"/>
      <c r="WDB41" s="536"/>
      <c r="WDC41" s="536"/>
      <c r="WDD41" s="536"/>
      <c r="WDE41" s="536"/>
      <c r="WDF41" s="536"/>
      <c r="WDG41" s="536"/>
      <c r="WDH41" s="536"/>
      <c r="WDI41" s="536"/>
      <c r="WDJ41" s="536"/>
      <c r="WDK41" s="536"/>
      <c r="WDL41" s="536"/>
      <c r="WDM41" s="536"/>
      <c r="WDN41" s="536"/>
      <c r="WDO41" s="536"/>
      <c r="WDP41" s="536"/>
      <c r="WDQ41" s="536"/>
      <c r="WDR41" s="536"/>
      <c r="WDS41" s="536"/>
      <c r="WDT41" s="536"/>
      <c r="WDU41" s="536"/>
      <c r="WDV41" s="536"/>
      <c r="WDW41" s="536"/>
      <c r="WDX41" s="536"/>
      <c r="WDY41" s="536"/>
      <c r="WDZ41" s="536"/>
      <c r="WEA41" s="536"/>
      <c r="WEB41" s="536"/>
      <c r="WEC41" s="536"/>
      <c r="WED41" s="536"/>
      <c r="WEE41" s="536"/>
      <c r="WEF41" s="536"/>
      <c r="WEG41" s="536"/>
      <c r="WEH41" s="536"/>
      <c r="WEI41" s="536"/>
      <c r="WEJ41" s="536"/>
      <c r="WEK41" s="536"/>
      <c r="WEL41" s="536"/>
      <c r="WEM41" s="536"/>
      <c r="WEN41" s="536"/>
      <c r="WEO41" s="536"/>
      <c r="WEP41" s="536"/>
      <c r="WEQ41" s="536"/>
      <c r="WER41" s="536"/>
      <c r="WES41" s="536"/>
      <c r="WET41" s="536"/>
      <c r="WEU41" s="536"/>
      <c r="WEV41" s="536"/>
      <c r="WEW41" s="536"/>
      <c r="WEX41" s="536"/>
      <c r="WEY41" s="536"/>
      <c r="WEZ41" s="536"/>
      <c r="WFA41" s="536"/>
      <c r="WFB41" s="536"/>
      <c r="WFC41" s="536"/>
      <c r="WFD41" s="536"/>
      <c r="WFE41" s="536"/>
      <c r="WFF41" s="536"/>
      <c r="WFG41" s="536"/>
      <c r="WFH41" s="536"/>
      <c r="WFI41" s="536"/>
      <c r="WFJ41" s="536"/>
      <c r="WFK41" s="536"/>
      <c r="WFL41" s="536"/>
      <c r="WFM41" s="536"/>
      <c r="WFN41" s="536"/>
      <c r="WFO41" s="536"/>
      <c r="WFP41" s="536"/>
      <c r="WFQ41" s="536"/>
      <c r="WFR41" s="536"/>
      <c r="WFS41" s="536"/>
      <c r="WFT41" s="536"/>
      <c r="WFU41" s="536"/>
      <c r="WFV41" s="536"/>
      <c r="WFW41" s="536"/>
      <c r="WFX41" s="536"/>
      <c r="WFY41" s="536"/>
      <c r="WFZ41" s="536"/>
      <c r="WGA41" s="536"/>
      <c r="WGB41" s="536"/>
      <c r="WGC41" s="536"/>
      <c r="WGD41" s="536"/>
      <c r="WGE41" s="536"/>
      <c r="WGF41" s="536"/>
      <c r="WGG41" s="536"/>
      <c r="WGH41" s="536"/>
      <c r="WGI41" s="536"/>
      <c r="WGJ41" s="536"/>
      <c r="WGK41" s="536"/>
      <c r="WGL41" s="536"/>
      <c r="WGM41" s="536"/>
      <c r="WGN41" s="536"/>
      <c r="WGO41" s="536"/>
      <c r="WGP41" s="536"/>
      <c r="WGQ41" s="536"/>
      <c r="WGR41" s="536"/>
      <c r="WGS41" s="536"/>
      <c r="WGT41" s="536"/>
      <c r="WGU41" s="536"/>
      <c r="WGV41" s="536"/>
      <c r="WGW41" s="536"/>
      <c r="WGX41" s="536"/>
      <c r="WGY41" s="536"/>
      <c r="WGZ41" s="536"/>
      <c r="WHA41" s="536"/>
      <c r="WHB41" s="536"/>
      <c r="WHC41" s="536"/>
      <c r="WHD41" s="536"/>
      <c r="WHE41" s="536"/>
      <c r="WHF41" s="536"/>
      <c r="WHG41" s="536"/>
      <c r="WHH41" s="536"/>
      <c r="WHI41" s="536"/>
      <c r="WHJ41" s="536"/>
      <c r="WHK41" s="536"/>
      <c r="WHL41" s="536"/>
      <c r="WHM41" s="536"/>
      <c r="WHN41" s="536"/>
      <c r="WHO41" s="536"/>
      <c r="WHP41" s="536"/>
      <c r="WHQ41" s="536"/>
      <c r="WHR41" s="536"/>
      <c r="WHS41" s="536"/>
      <c r="WHT41" s="536"/>
      <c r="WHU41" s="536"/>
      <c r="WHV41" s="536"/>
      <c r="WHW41" s="536"/>
      <c r="WHX41" s="536"/>
      <c r="WHY41" s="536"/>
      <c r="WHZ41" s="536"/>
      <c r="WIA41" s="536"/>
      <c r="WIB41" s="536"/>
      <c r="WIC41" s="536"/>
      <c r="WID41" s="536"/>
      <c r="WIE41" s="536"/>
      <c r="WIF41" s="536"/>
      <c r="WIG41" s="536"/>
      <c r="WIH41" s="536"/>
      <c r="WII41" s="536"/>
      <c r="WIJ41" s="536"/>
      <c r="WIK41" s="536"/>
      <c r="WIL41" s="536"/>
      <c r="WIM41" s="536"/>
      <c r="WIN41" s="536"/>
      <c r="WIO41" s="536"/>
      <c r="WIP41" s="536"/>
      <c r="WIQ41" s="536"/>
      <c r="WIR41" s="536"/>
      <c r="WIS41" s="536"/>
      <c r="WIT41" s="536"/>
      <c r="WIU41" s="536"/>
      <c r="WIV41" s="536"/>
      <c r="WIW41" s="536"/>
      <c r="WIX41" s="536"/>
      <c r="WIY41" s="536"/>
      <c r="WIZ41" s="536"/>
      <c r="WJA41" s="536"/>
      <c r="WJB41" s="536"/>
      <c r="WJC41" s="536"/>
      <c r="WJD41" s="536"/>
      <c r="WJE41" s="536"/>
      <c r="WJF41" s="536"/>
      <c r="WJG41" s="536"/>
      <c r="WJH41" s="536"/>
      <c r="WJI41" s="536"/>
      <c r="WJJ41" s="536"/>
      <c r="WJK41" s="536"/>
      <c r="WJL41" s="536"/>
      <c r="WJM41" s="536"/>
      <c r="WJN41" s="536"/>
      <c r="WJO41" s="536"/>
      <c r="WJP41" s="536"/>
      <c r="WJQ41" s="536"/>
      <c r="WJR41" s="536"/>
      <c r="WJS41" s="536"/>
      <c r="WJT41" s="536"/>
      <c r="WJU41" s="536"/>
      <c r="WJV41" s="536"/>
      <c r="WJW41" s="536"/>
      <c r="WJX41" s="536"/>
      <c r="WJY41" s="536"/>
      <c r="WJZ41" s="536"/>
      <c r="WKA41" s="536"/>
      <c r="WKB41" s="536"/>
      <c r="WKC41" s="536"/>
      <c r="WKD41" s="536"/>
      <c r="WKE41" s="536"/>
      <c r="WKF41" s="536"/>
      <c r="WKG41" s="536"/>
      <c r="WKH41" s="536"/>
      <c r="WKI41" s="536"/>
      <c r="WKJ41" s="536"/>
      <c r="WKK41" s="536"/>
      <c r="WKL41" s="536"/>
      <c r="WKM41" s="536"/>
      <c r="WKN41" s="536"/>
      <c r="WKO41" s="536"/>
      <c r="WKP41" s="536"/>
      <c r="WKQ41" s="536"/>
      <c r="WKR41" s="536"/>
      <c r="WKS41" s="536"/>
      <c r="WKT41" s="536"/>
      <c r="WKU41" s="536"/>
      <c r="WKV41" s="536"/>
      <c r="WKW41" s="536"/>
      <c r="WKX41" s="536"/>
      <c r="WKY41" s="536"/>
      <c r="WKZ41" s="536"/>
      <c r="WLA41" s="536"/>
      <c r="WLB41" s="536"/>
      <c r="WLC41" s="536"/>
      <c r="WLD41" s="536"/>
      <c r="WLE41" s="536"/>
      <c r="WLF41" s="536"/>
      <c r="WLG41" s="536"/>
      <c r="WLH41" s="536"/>
      <c r="WLI41" s="536"/>
      <c r="WLJ41" s="536"/>
      <c r="WLK41" s="536"/>
      <c r="WLL41" s="536"/>
      <c r="WLM41" s="536"/>
      <c r="WLN41" s="536"/>
      <c r="WLO41" s="536"/>
      <c r="WLP41" s="536"/>
      <c r="WLQ41" s="536"/>
      <c r="WLR41" s="536"/>
      <c r="WLS41" s="536"/>
      <c r="WLT41" s="536"/>
      <c r="WLU41" s="536"/>
      <c r="WLV41" s="536"/>
      <c r="WLW41" s="536"/>
      <c r="WLX41" s="536"/>
      <c r="WLY41" s="536"/>
      <c r="WLZ41" s="536"/>
      <c r="WMA41" s="536"/>
      <c r="WMB41" s="536"/>
      <c r="WMC41" s="536"/>
      <c r="WMD41" s="536"/>
      <c r="WME41" s="536"/>
      <c r="WMF41" s="536"/>
      <c r="WMG41" s="536"/>
      <c r="WMH41" s="536"/>
      <c r="WMI41" s="536"/>
      <c r="WMJ41" s="536"/>
      <c r="WMK41" s="536"/>
      <c r="WML41" s="536"/>
      <c r="WMM41" s="536"/>
      <c r="WMN41" s="536"/>
      <c r="WMO41" s="536"/>
      <c r="WMP41" s="536"/>
      <c r="WMQ41" s="536"/>
      <c r="WMR41" s="536"/>
      <c r="WMS41" s="536"/>
      <c r="WMT41" s="536"/>
      <c r="WMU41" s="536"/>
      <c r="WMV41" s="536"/>
      <c r="WMW41" s="536"/>
      <c r="WMX41" s="536"/>
      <c r="WMY41" s="536"/>
      <c r="WMZ41" s="536"/>
      <c r="WNA41" s="536"/>
      <c r="WNB41" s="536"/>
      <c r="WNC41" s="536"/>
      <c r="WND41" s="536"/>
      <c r="WNE41" s="536"/>
      <c r="WNF41" s="536"/>
      <c r="WNG41" s="536"/>
      <c r="WNH41" s="536"/>
      <c r="WNI41" s="536"/>
      <c r="WNJ41" s="536"/>
      <c r="WNK41" s="536"/>
      <c r="WNL41" s="536"/>
      <c r="WNM41" s="536"/>
      <c r="WNN41" s="536"/>
      <c r="WNO41" s="536"/>
      <c r="WNP41" s="536"/>
      <c r="WNQ41" s="536"/>
      <c r="WNR41" s="536"/>
      <c r="WNS41" s="536"/>
      <c r="WNT41" s="536"/>
      <c r="WNU41" s="536"/>
      <c r="WNV41" s="536"/>
      <c r="WNW41" s="536"/>
      <c r="WNX41" s="536"/>
      <c r="WNY41" s="536"/>
      <c r="WNZ41" s="536"/>
      <c r="WOA41" s="536"/>
      <c r="WOB41" s="536"/>
      <c r="WOC41" s="536"/>
      <c r="WOD41" s="536"/>
      <c r="WOE41" s="536"/>
      <c r="WOF41" s="536"/>
      <c r="WOG41" s="536"/>
      <c r="WOH41" s="536"/>
      <c r="WOI41" s="536"/>
      <c r="WOJ41" s="536"/>
      <c r="WOK41" s="536"/>
      <c r="WOL41" s="536"/>
      <c r="WOM41" s="536"/>
      <c r="WON41" s="536"/>
      <c r="WOO41" s="536"/>
      <c r="WOP41" s="536"/>
      <c r="WOQ41" s="536"/>
      <c r="WOR41" s="536"/>
      <c r="WOS41" s="536"/>
      <c r="WOT41" s="536"/>
      <c r="WOU41" s="536"/>
      <c r="WOV41" s="536"/>
      <c r="WOW41" s="536"/>
      <c r="WOX41" s="536"/>
      <c r="WOY41" s="536"/>
      <c r="WOZ41" s="536"/>
      <c r="WPA41" s="536"/>
      <c r="WPB41" s="536"/>
      <c r="WPC41" s="536"/>
      <c r="WPD41" s="536"/>
      <c r="WPE41" s="536"/>
      <c r="WPF41" s="536"/>
      <c r="WPG41" s="536"/>
      <c r="WPH41" s="536"/>
      <c r="WPI41" s="536"/>
      <c r="WPJ41" s="536"/>
      <c r="WPK41" s="536"/>
      <c r="WPL41" s="536"/>
      <c r="WPM41" s="536"/>
      <c r="WPN41" s="536"/>
      <c r="WPO41" s="536"/>
      <c r="WPP41" s="536"/>
      <c r="WPQ41" s="536"/>
      <c r="WPR41" s="536"/>
      <c r="WPS41" s="536"/>
      <c r="WPT41" s="536"/>
      <c r="WPU41" s="536"/>
      <c r="WPV41" s="536"/>
      <c r="WPW41" s="536"/>
      <c r="WPX41" s="536"/>
      <c r="WPY41" s="536"/>
      <c r="WPZ41" s="536"/>
      <c r="WQA41" s="536"/>
      <c r="WQB41" s="536"/>
      <c r="WQC41" s="536"/>
      <c r="WQD41" s="536"/>
      <c r="WQE41" s="536"/>
      <c r="WQF41" s="536"/>
      <c r="WQG41" s="536"/>
      <c r="WQH41" s="536"/>
      <c r="WQI41" s="536"/>
      <c r="WQJ41" s="536"/>
      <c r="WQK41" s="536"/>
      <c r="WQL41" s="536"/>
      <c r="WQM41" s="536"/>
      <c r="WQN41" s="536"/>
      <c r="WQO41" s="536"/>
      <c r="WQP41" s="536"/>
      <c r="WQQ41" s="536"/>
      <c r="WQR41" s="536"/>
      <c r="WQS41" s="536"/>
      <c r="WQT41" s="536"/>
      <c r="WQU41" s="536"/>
      <c r="WQV41" s="536"/>
      <c r="WQW41" s="536"/>
      <c r="WQX41" s="536"/>
      <c r="WQY41" s="536"/>
      <c r="WQZ41" s="536"/>
      <c r="WRA41" s="536"/>
      <c r="WRB41" s="536"/>
      <c r="WRC41" s="536"/>
      <c r="WRD41" s="536"/>
      <c r="WRE41" s="536"/>
      <c r="WRF41" s="536"/>
      <c r="WRG41" s="536"/>
      <c r="WRH41" s="536"/>
      <c r="WRI41" s="536"/>
      <c r="WRJ41" s="536"/>
      <c r="WRK41" s="536"/>
      <c r="WRL41" s="536"/>
      <c r="WRM41" s="536"/>
      <c r="WRN41" s="536"/>
      <c r="WRO41" s="536"/>
      <c r="WRP41" s="536"/>
      <c r="WRQ41" s="536"/>
      <c r="WRR41" s="536"/>
      <c r="WRS41" s="536"/>
      <c r="WRT41" s="536"/>
      <c r="WRU41" s="536"/>
      <c r="WRV41" s="536"/>
      <c r="WRW41" s="536"/>
      <c r="WRX41" s="536"/>
      <c r="WRY41" s="536"/>
      <c r="WRZ41" s="536"/>
      <c r="WSA41" s="536"/>
      <c r="WSB41" s="536"/>
      <c r="WSC41" s="536"/>
      <c r="WSD41" s="536"/>
      <c r="WSE41" s="536"/>
      <c r="WSF41" s="536"/>
      <c r="WSG41" s="536"/>
      <c r="WSH41" s="536"/>
      <c r="WSI41" s="536"/>
      <c r="WSJ41" s="536"/>
      <c r="WSK41" s="536"/>
      <c r="WSL41" s="536"/>
      <c r="WSM41" s="536"/>
      <c r="WSN41" s="536"/>
      <c r="WSO41" s="536"/>
      <c r="WSP41" s="536"/>
      <c r="WSQ41" s="536"/>
      <c r="WSR41" s="536"/>
      <c r="WSS41" s="536"/>
      <c r="WST41" s="536"/>
      <c r="WSU41" s="536"/>
      <c r="WSV41" s="536"/>
      <c r="WSW41" s="536"/>
      <c r="WSX41" s="536"/>
      <c r="WSY41" s="536"/>
      <c r="WSZ41" s="536"/>
      <c r="WTA41" s="536"/>
      <c r="WTB41" s="536"/>
      <c r="WTC41" s="536"/>
      <c r="WTD41" s="536"/>
      <c r="WTE41" s="536"/>
      <c r="WTF41" s="536"/>
      <c r="WTG41" s="536"/>
      <c r="WTH41" s="536"/>
      <c r="WTI41" s="536"/>
      <c r="WTJ41" s="536"/>
      <c r="WTK41" s="536"/>
      <c r="WTL41" s="536"/>
      <c r="WTM41" s="536"/>
      <c r="WTN41" s="536"/>
      <c r="WTO41" s="536"/>
      <c r="WTP41" s="536"/>
      <c r="WTQ41" s="536"/>
      <c r="WTR41" s="536"/>
      <c r="WTS41" s="536"/>
      <c r="WTT41" s="536"/>
      <c r="WTU41" s="536"/>
      <c r="WTV41" s="536"/>
      <c r="WTW41" s="536"/>
      <c r="WTX41" s="536"/>
      <c r="WTY41" s="536"/>
      <c r="WTZ41" s="536"/>
      <c r="WUA41" s="536"/>
      <c r="WUB41" s="536"/>
      <c r="WUC41" s="536"/>
      <c r="WUD41" s="536"/>
      <c r="WUE41" s="536"/>
      <c r="WUF41" s="536"/>
      <c r="WUG41" s="536"/>
      <c r="WUH41" s="536"/>
      <c r="WUI41" s="536"/>
      <c r="WUJ41" s="536"/>
      <c r="WUK41" s="536"/>
      <c r="WUL41" s="536"/>
      <c r="WUM41" s="536"/>
      <c r="WUN41" s="536"/>
      <c r="WUO41" s="536"/>
      <c r="WUP41" s="536"/>
      <c r="WUQ41" s="536"/>
      <c r="WUR41" s="536"/>
      <c r="WUS41" s="536"/>
      <c r="WUT41" s="536"/>
      <c r="WUU41" s="536"/>
      <c r="WUV41" s="536"/>
      <c r="WUW41" s="536"/>
      <c r="WUX41" s="536"/>
      <c r="WUY41" s="536"/>
      <c r="WUZ41" s="536"/>
      <c r="WVA41" s="536"/>
      <c r="WVB41" s="536"/>
      <c r="WVC41" s="536"/>
      <c r="WVD41" s="536"/>
      <c r="WVE41" s="536"/>
      <c r="WVF41" s="536"/>
      <c r="WVG41" s="536"/>
      <c r="WVH41" s="536"/>
      <c r="WVI41" s="536"/>
      <c r="WVJ41" s="536"/>
      <c r="WVK41" s="536"/>
      <c r="WVL41" s="536"/>
      <c r="WVM41" s="536"/>
      <c r="WVN41" s="536"/>
      <c r="WVO41" s="536"/>
      <c r="WVP41" s="536"/>
      <c r="WVQ41" s="536"/>
      <c r="WVR41" s="536"/>
      <c r="WVS41" s="536"/>
      <c r="WVT41" s="536"/>
      <c r="WVU41" s="536"/>
      <c r="WVV41" s="536"/>
      <c r="WVW41" s="536"/>
      <c r="WVX41" s="536"/>
      <c r="WVY41" s="536"/>
      <c r="WVZ41" s="536"/>
      <c r="WWA41" s="536"/>
      <c r="WWB41" s="536"/>
      <c r="WWC41" s="536"/>
      <c r="WWD41" s="536"/>
      <c r="WWE41" s="536"/>
      <c r="WWF41" s="536"/>
      <c r="WWG41" s="536"/>
      <c r="WWH41" s="536"/>
      <c r="WWI41" s="536"/>
      <c r="WWJ41" s="536"/>
      <c r="WWK41" s="536"/>
      <c r="WWL41" s="536"/>
      <c r="WWM41" s="536"/>
      <c r="WWN41" s="536"/>
      <c r="WWO41" s="536"/>
      <c r="WWP41" s="536"/>
      <c r="WWQ41" s="536"/>
      <c r="WWR41" s="536"/>
      <c r="WWS41" s="536"/>
      <c r="WWT41" s="536"/>
      <c r="WWU41" s="536"/>
      <c r="WWV41" s="536"/>
      <c r="WWW41" s="536"/>
      <c r="WWX41" s="536"/>
      <c r="WWY41" s="536"/>
      <c r="WWZ41" s="536"/>
      <c r="WXA41" s="536"/>
      <c r="WXB41" s="536"/>
      <c r="WXC41" s="536"/>
      <c r="WXD41" s="536"/>
      <c r="WXE41" s="536"/>
      <c r="WXF41" s="536"/>
      <c r="WXG41" s="536"/>
      <c r="WXH41" s="536"/>
      <c r="WXI41" s="536"/>
      <c r="WXJ41" s="536"/>
      <c r="WXK41" s="536"/>
      <c r="WXL41" s="536"/>
      <c r="WXM41" s="536"/>
      <c r="WXN41" s="536"/>
      <c r="WXO41" s="536"/>
      <c r="WXP41" s="536"/>
      <c r="WXQ41" s="536"/>
      <c r="WXR41" s="536"/>
      <c r="WXS41" s="536"/>
      <c r="WXT41" s="536"/>
      <c r="WXU41" s="536"/>
      <c r="WXV41" s="536"/>
      <c r="WXW41" s="536"/>
      <c r="WXX41" s="536"/>
      <c r="WXY41" s="536"/>
      <c r="WXZ41" s="536"/>
      <c r="WYA41" s="536"/>
      <c r="WYB41" s="536"/>
      <c r="WYC41" s="536"/>
      <c r="WYD41" s="536"/>
      <c r="WYE41" s="536"/>
      <c r="WYF41" s="536"/>
      <c r="WYG41" s="536"/>
      <c r="WYH41" s="536"/>
      <c r="WYI41" s="536"/>
      <c r="WYJ41" s="536"/>
      <c r="WYK41" s="536"/>
      <c r="WYL41" s="536"/>
      <c r="WYM41" s="536"/>
      <c r="WYN41" s="536"/>
      <c r="WYO41" s="536"/>
      <c r="WYP41" s="536"/>
      <c r="WYQ41" s="536"/>
      <c r="WYR41" s="536"/>
      <c r="WYS41" s="536"/>
      <c r="WYT41" s="536"/>
      <c r="WYU41" s="536"/>
      <c r="WYV41" s="536"/>
      <c r="WYW41" s="536"/>
      <c r="WYX41" s="536"/>
      <c r="WYY41" s="536"/>
      <c r="WYZ41" s="536"/>
      <c r="WZA41" s="536"/>
      <c r="WZB41" s="536"/>
      <c r="WZC41" s="536"/>
      <c r="WZD41" s="536"/>
      <c r="WZE41" s="536"/>
      <c r="WZF41" s="536"/>
      <c r="WZG41" s="536"/>
      <c r="WZH41" s="536"/>
      <c r="WZI41" s="536"/>
      <c r="WZJ41" s="536"/>
      <c r="WZK41" s="536"/>
      <c r="WZL41" s="536"/>
      <c r="WZM41" s="536"/>
      <c r="WZN41" s="536"/>
      <c r="WZO41" s="536"/>
      <c r="WZP41" s="536"/>
      <c r="WZQ41" s="536"/>
      <c r="WZR41" s="536"/>
      <c r="WZS41" s="536"/>
      <c r="WZT41" s="536"/>
      <c r="WZU41" s="536"/>
      <c r="WZV41" s="536"/>
      <c r="WZW41" s="536"/>
      <c r="WZX41" s="536"/>
      <c r="WZY41" s="536"/>
      <c r="WZZ41" s="536"/>
      <c r="XAA41" s="536"/>
      <c r="XAB41" s="536"/>
      <c r="XAC41" s="536"/>
      <c r="XAD41" s="536"/>
      <c r="XAE41" s="536"/>
      <c r="XAF41" s="536"/>
      <c r="XAG41" s="536"/>
      <c r="XAH41" s="536"/>
      <c r="XAI41" s="536"/>
      <c r="XAJ41" s="536"/>
      <c r="XAK41" s="536"/>
      <c r="XAL41" s="536"/>
      <c r="XAM41" s="536"/>
      <c r="XAN41" s="536"/>
      <c r="XAO41" s="536"/>
      <c r="XAP41" s="536"/>
      <c r="XAQ41" s="536"/>
      <c r="XAR41" s="536"/>
      <c r="XAS41" s="536"/>
      <c r="XAT41" s="536"/>
      <c r="XAU41" s="536"/>
      <c r="XAV41" s="536"/>
      <c r="XAW41" s="536"/>
      <c r="XAX41" s="536"/>
      <c r="XAY41" s="536"/>
      <c r="XAZ41" s="536"/>
      <c r="XBA41" s="536"/>
      <c r="XBB41" s="536"/>
      <c r="XBC41" s="536"/>
      <c r="XBD41" s="536"/>
      <c r="XBE41" s="536"/>
      <c r="XBF41" s="536"/>
      <c r="XBG41" s="536"/>
      <c r="XBH41" s="536"/>
      <c r="XBI41" s="536"/>
      <c r="XBJ41" s="536"/>
      <c r="XBK41" s="536"/>
      <c r="XBL41" s="536"/>
      <c r="XBM41" s="536"/>
      <c r="XBN41" s="536"/>
      <c r="XBO41" s="536"/>
      <c r="XBP41" s="536"/>
      <c r="XBQ41" s="536"/>
      <c r="XBR41" s="536"/>
      <c r="XBS41" s="536"/>
      <c r="XBT41" s="536"/>
      <c r="XBU41" s="536"/>
      <c r="XBV41" s="536"/>
      <c r="XBW41" s="536"/>
      <c r="XBX41" s="536"/>
      <c r="XBY41" s="536"/>
      <c r="XBZ41" s="536"/>
      <c r="XCA41" s="536"/>
      <c r="XCB41" s="536"/>
      <c r="XCC41" s="536"/>
      <c r="XCD41" s="536"/>
      <c r="XCE41" s="536"/>
      <c r="XCF41" s="536"/>
      <c r="XCG41" s="536"/>
      <c r="XCH41" s="536"/>
      <c r="XCI41" s="536"/>
      <c r="XCJ41" s="536"/>
      <c r="XCK41" s="536"/>
      <c r="XCL41" s="536"/>
      <c r="XCM41" s="536"/>
      <c r="XCN41" s="536"/>
      <c r="XCO41" s="536"/>
      <c r="XCP41" s="536"/>
      <c r="XCQ41" s="536"/>
      <c r="XCR41" s="536"/>
      <c r="XCS41" s="536"/>
      <c r="XCT41" s="536"/>
      <c r="XCU41" s="536"/>
      <c r="XCV41" s="536"/>
      <c r="XCW41" s="536"/>
      <c r="XCX41" s="536"/>
      <c r="XCY41" s="536"/>
      <c r="XCZ41" s="536"/>
      <c r="XDA41" s="536"/>
      <c r="XDB41" s="536"/>
      <c r="XDC41" s="536"/>
      <c r="XDD41" s="536"/>
      <c r="XDE41" s="536"/>
      <c r="XDF41" s="536"/>
      <c r="XDG41" s="536"/>
      <c r="XDH41" s="536"/>
      <c r="XDI41" s="536"/>
      <c r="XDJ41" s="536"/>
      <c r="XDK41" s="536"/>
      <c r="XDL41" s="536"/>
      <c r="XDM41" s="536"/>
      <c r="XDN41" s="536"/>
      <c r="XDO41" s="536"/>
      <c r="XDP41" s="536"/>
      <c r="XDQ41" s="536"/>
      <c r="XDR41" s="536"/>
      <c r="XDS41" s="536"/>
      <c r="XDT41" s="536"/>
      <c r="XDU41" s="536"/>
      <c r="XDV41" s="536"/>
      <c r="XDW41" s="536"/>
      <c r="XDX41" s="536"/>
      <c r="XDY41" s="536"/>
      <c r="XDZ41" s="536"/>
      <c r="XEA41" s="536"/>
      <c r="XEB41" s="536"/>
      <c r="XEC41" s="536"/>
      <c r="XED41" s="536"/>
      <c r="XEE41" s="536"/>
      <c r="XEF41" s="536"/>
      <c r="XEG41" s="536"/>
      <c r="XEH41" s="536"/>
      <c r="XEI41" s="536"/>
      <c r="XEJ41" s="536"/>
      <c r="XEK41" s="536"/>
      <c r="XEL41" s="536"/>
      <c r="XEM41" s="536"/>
      <c r="XEN41" s="536"/>
      <c r="XEO41" s="536"/>
      <c r="XEP41" s="536"/>
      <c r="XEQ41" s="536"/>
      <c r="XER41" s="536"/>
      <c r="XES41" s="536"/>
      <c r="XET41" s="536"/>
      <c r="XEU41" s="536"/>
      <c r="XEV41" s="536"/>
      <c r="XEW41" s="536"/>
      <c r="XEX41" s="536"/>
      <c r="XEY41" s="536"/>
      <c r="XEZ41" s="536"/>
      <c r="XFA41" s="536"/>
      <c r="XFB41" s="536"/>
      <c r="XFC41" s="536"/>
      <c r="XFD41" s="536"/>
    </row>
    <row r="43" spans="1:16384" ht="15" customHeight="1">
      <c r="A43" s="282" t="s">
        <v>150</v>
      </c>
      <c r="B43" s="283" t="s">
        <v>151</v>
      </c>
      <c r="C43" s="284" t="s">
        <v>159</v>
      </c>
      <c r="D43" s="268"/>
      <c r="E43" s="268"/>
    </row>
    <row r="44" spans="1:16384" ht="15" customHeight="1">
      <c r="A44" s="285"/>
      <c r="B44" s="283" t="s">
        <v>152</v>
      </c>
      <c r="C44" s="284" t="s">
        <v>158</v>
      </c>
      <c r="D44" s="268"/>
      <c r="E44" s="268"/>
    </row>
    <row r="45" spans="1:16384" ht="15" customHeight="1">
      <c r="A45" s="285"/>
      <c r="B45" s="286" t="s">
        <v>153</v>
      </c>
      <c r="C45" s="284" t="s">
        <v>154</v>
      </c>
      <c r="D45" s="268"/>
      <c r="E45" s="268"/>
    </row>
  </sheetData>
  <mergeCells count="210">
    <mergeCell ref="KK7:KL7"/>
    <mergeCell ref="KN7:KO7"/>
    <mergeCell ref="KQ7:KR7"/>
    <mergeCell ref="JJ7:JK7"/>
    <mergeCell ref="JM7:JN7"/>
    <mergeCell ref="JP7:JQ7"/>
    <mergeCell ref="JS7:JT7"/>
    <mergeCell ref="JV7:JW7"/>
    <mergeCell ref="JY7:JZ7"/>
    <mergeCell ref="KB7:KC7"/>
    <mergeCell ref="KE7:KF7"/>
    <mergeCell ref="KH7:KI7"/>
    <mergeCell ref="II7:IJ7"/>
    <mergeCell ref="IL7:IM7"/>
    <mergeCell ref="IO7:IP7"/>
    <mergeCell ref="IR7:IS7"/>
    <mergeCell ref="IU7:IV7"/>
    <mergeCell ref="IX7:IY7"/>
    <mergeCell ref="JA7:JB7"/>
    <mergeCell ref="JD7:JE7"/>
    <mergeCell ref="JG7:JH7"/>
    <mergeCell ref="HH7:HI7"/>
    <mergeCell ref="HK7:HL7"/>
    <mergeCell ref="HN7:HO7"/>
    <mergeCell ref="HQ7:HR7"/>
    <mergeCell ref="HT7:HU7"/>
    <mergeCell ref="HW7:HX7"/>
    <mergeCell ref="HZ7:IA7"/>
    <mergeCell ref="IC7:ID7"/>
    <mergeCell ref="IF7:IG7"/>
    <mergeCell ref="GG7:GH7"/>
    <mergeCell ref="GJ7:GK7"/>
    <mergeCell ref="GM7:GN7"/>
    <mergeCell ref="GP7:GQ7"/>
    <mergeCell ref="GS7:GT7"/>
    <mergeCell ref="GV7:GW7"/>
    <mergeCell ref="GY7:GZ7"/>
    <mergeCell ref="HB7:HC7"/>
    <mergeCell ref="HE7:HF7"/>
    <mergeCell ref="FF7:FG7"/>
    <mergeCell ref="FI7:FJ7"/>
    <mergeCell ref="FL7:FM7"/>
    <mergeCell ref="FO7:FP7"/>
    <mergeCell ref="FR7:FS7"/>
    <mergeCell ref="FU7:FV7"/>
    <mergeCell ref="FX7:FY7"/>
    <mergeCell ref="GA7:GB7"/>
    <mergeCell ref="GD7:GE7"/>
    <mergeCell ref="EE7:EF7"/>
    <mergeCell ref="EH7:EI7"/>
    <mergeCell ref="EK7:EL7"/>
    <mergeCell ref="EN7:EO7"/>
    <mergeCell ref="EQ7:ER7"/>
    <mergeCell ref="ET7:EU7"/>
    <mergeCell ref="EW7:EX7"/>
    <mergeCell ref="EZ7:FA7"/>
    <mergeCell ref="FC7:FD7"/>
    <mergeCell ref="DD7:DE7"/>
    <mergeCell ref="DG7:DH7"/>
    <mergeCell ref="DJ7:DK7"/>
    <mergeCell ref="DM7:DN7"/>
    <mergeCell ref="DP7:DQ7"/>
    <mergeCell ref="DS7:DT7"/>
    <mergeCell ref="DV7:DW7"/>
    <mergeCell ref="DY7:DZ7"/>
    <mergeCell ref="EB7:EC7"/>
    <mergeCell ref="CC7:CD7"/>
    <mergeCell ref="CF7:CG7"/>
    <mergeCell ref="CI7:CJ7"/>
    <mergeCell ref="CL7:CM7"/>
    <mergeCell ref="CO7:CP7"/>
    <mergeCell ref="CR7:CS7"/>
    <mergeCell ref="CU7:CV7"/>
    <mergeCell ref="CX7:CY7"/>
    <mergeCell ref="DA7:DB7"/>
    <mergeCell ref="KQ6:KS6"/>
    <mergeCell ref="F7:G7"/>
    <mergeCell ref="I7:J7"/>
    <mergeCell ref="L7:M7"/>
    <mergeCell ref="O7:P7"/>
    <mergeCell ref="R7:S7"/>
    <mergeCell ref="U7:V7"/>
    <mergeCell ref="X7:Y7"/>
    <mergeCell ref="AA7:AB7"/>
    <mergeCell ref="AD7:AE7"/>
    <mergeCell ref="AG7:AH7"/>
    <mergeCell ref="AJ7:AK7"/>
    <mergeCell ref="AM7:AN7"/>
    <mergeCell ref="AP7:AQ7"/>
    <mergeCell ref="AS7:AT7"/>
    <mergeCell ref="AV7:AW7"/>
    <mergeCell ref="AY7:AZ7"/>
    <mergeCell ref="BB7:BC7"/>
    <mergeCell ref="BK7:BL7"/>
    <mergeCell ref="BN7:BO7"/>
    <mergeCell ref="BQ7:BR7"/>
    <mergeCell ref="BT7:BU7"/>
    <mergeCell ref="BW7:BX7"/>
    <mergeCell ref="BZ7:CA7"/>
    <mergeCell ref="JP6:JR6"/>
    <mergeCell ref="JS6:JU6"/>
    <mergeCell ref="JV6:JX6"/>
    <mergeCell ref="JY6:KA6"/>
    <mergeCell ref="KB6:KD6"/>
    <mergeCell ref="KE6:KG6"/>
    <mergeCell ref="KH6:KJ6"/>
    <mergeCell ref="KK6:KM6"/>
    <mergeCell ref="KN6:KP6"/>
    <mergeCell ref="IO6:IQ6"/>
    <mergeCell ref="IR6:IT6"/>
    <mergeCell ref="IU6:IW6"/>
    <mergeCell ref="IX6:IZ6"/>
    <mergeCell ref="JA6:JC6"/>
    <mergeCell ref="JD6:JF6"/>
    <mergeCell ref="JG6:JI6"/>
    <mergeCell ref="JJ6:JL6"/>
    <mergeCell ref="JM6:JO6"/>
    <mergeCell ref="HN6:HP6"/>
    <mergeCell ref="HQ6:HS6"/>
    <mergeCell ref="HT6:HV6"/>
    <mergeCell ref="HW6:HY6"/>
    <mergeCell ref="HZ6:IB6"/>
    <mergeCell ref="IC6:IE6"/>
    <mergeCell ref="IF6:IH6"/>
    <mergeCell ref="II6:IK6"/>
    <mergeCell ref="IL6:IN6"/>
    <mergeCell ref="GM6:GO6"/>
    <mergeCell ref="GP6:GR6"/>
    <mergeCell ref="GS6:GU6"/>
    <mergeCell ref="GV6:GX6"/>
    <mergeCell ref="GY6:HA6"/>
    <mergeCell ref="HB6:HD6"/>
    <mergeCell ref="HE6:HG6"/>
    <mergeCell ref="HH6:HJ6"/>
    <mergeCell ref="HK6:HM6"/>
    <mergeCell ref="FL6:FN6"/>
    <mergeCell ref="FO6:FQ6"/>
    <mergeCell ref="FR6:FT6"/>
    <mergeCell ref="FU6:FW6"/>
    <mergeCell ref="FX6:FZ6"/>
    <mergeCell ref="GA6:GC6"/>
    <mergeCell ref="GD6:GF6"/>
    <mergeCell ref="GG6:GI6"/>
    <mergeCell ref="GJ6:GL6"/>
    <mergeCell ref="EK6:EM6"/>
    <mergeCell ref="EN6:EP6"/>
    <mergeCell ref="EQ6:ES6"/>
    <mergeCell ref="ET6:EV6"/>
    <mergeCell ref="EW6:EY6"/>
    <mergeCell ref="EZ6:FB6"/>
    <mergeCell ref="FC6:FE6"/>
    <mergeCell ref="FF6:FH6"/>
    <mergeCell ref="FI6:FK6"/>
    <mergeCell ref="DJ6:DL6"/>
    <mergeCell ref="DM6:DO6"/>
    <mergeCell ref="DP6:DR6"/>
    <mergeCell ref="DS6:DU6"/>
    <mergeCell ref="DV6:DX6"/>
    <mergeCell ref="DY6:EA6"/>
    <mergeCell ref="EB6:ED6"/>
    <mergeCell ref="EE6:EG6"/>
    <mergeCell ref="EH6:EJ6"/>
    <mergeCell ref="GD5:KS5"/>
    <mergeCell ref="KT5:KT8"/>
    <mergeCell ref="KU5:KU8"/>
    <mergeCell ref="F6:H6"/>
    <mergeCell ref="I6:K6"/>
    <mergeCell ref="L6:N6"/>
    <mergeCell ref="O6:Q6"/>
    <mergeCell ref="R6:T6"/>
    <mergeCell ref="U6:W6"/>
    <mergeCell ref="X6:Z6"/>
    <mergeCell ref="AA6:AC6"/>
    <mergeCell ref="AD6:AF6"/>
    <mergeCell ref="AG6:AI6"/>
    <mergeCell ref="AJ6:AL6"/>
    <mergeCell ref="AM6:AO6"/>
    <mergeCell ref="AP6:AR6"/>
    <mergeCell ref="AS6:AU6"/>
    <mergeCell ref="AV6:AX6"/>
    <mergeCell ref="AY6:BA6"/>
    <mergeCell ref="BB6:BD6"/>
    <mergeCell ref="BE6:BG6"/>
    <mergeCell ref="BH6:BJ6"/>
    <mergeCell ref="BK6:BM6"/>
    <mergeCell ref="BN6:BP6"/>
    <mergeCell ref="A41:C41"/>
    <mergeCell ref="A6:A8"/>
    <mergeCell ref="B6:B8"/>
    <mergeCell ref="C6:C8"/>
    <mergeCell ref="E6:E8"/>
    <mergeCell ref="D6:D8"/>
    <mergeCell ref="F5:GC5"/>
    <mergeCell ref="BQ6:BS6"/>
    <mergeCell ref="BT6:BV6"/>
    <mergeCell ref="BW6:BY6"/>
    <mergeCell ref="BZ6:CB6"/>
    <mergeCell ref="CC6:CE6"/>
    <mergeCell ref="BE7:BF7"/>
    <mergeCell ref="BH7:BI7"/>
    <mergeCell ref="CF6:CH6"/>
    <mergeCell ref="CI6:CK6"/>
    <mergeCell ref="CL6:CN6"/>
    <mergeCell ref="CO6:CQ6"/>
    <mergeCell ref="CR6:CT6"/>
    <mergeCell ref="CU6:CW6"/>
    <mergeCell ref="CX6:CZ6"/>
    <mergeCell ref="DA6:DC6"/>
    <mergeCell ref="DD6:DF6"/>
    <mergeCell ref="DG6:DI6"/>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G48"/>
  <sheetViews>
    <sheetView zoomScale="85" workbookViewId="0">
      <pane xSplit="5" ySplit="9" topLeftCell="CJ16" activePane="bottomRight" state="frozen"/>
      <selection pane="topRight"/>
      <selection pane="bottomLeft"/>
      <selection pane="bottomRight" activeCell="DY42" sqref="DY42"/>
    </sheetView>
  </sheetViews>
  <sheetFormatPr defaultColWidth="9.140625" defaultRowHeight="12.75"/>
  <cols>
    <col min="1" max="1" width="8" customWidth="1"/>
    <col min="4" max="4" width="12.5703125" customWidth="1"/>
    <col min="5" max="6" width="10" customWidth="1"/>
    <col min="7" max="7" width="13.140625" hidden="1" customWidth="1"/>
    <col min="8" max="8" width="8.85546875" hidden="1" customWidth="1"/>
    <col min="9" max="9" width="10.285156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0.570312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 customWidth="1"/>
    <col min="79" max="79" width="10.5703125" hidden="1" customWidth="1"/>
    <col min="80" max="80" width="13.140625" hidden="1" customWidth="1"/>
    <col min="81" max="81" width="11.5703125" hidden="1" customWidth="1"/>
    <col min="82" max="82" width="13.140625" hidden="1" customWidth="1"/>
    <col min="83" max="83" width="10.5703125" hidden="1" customWidth="1"/>
    <col min="84" max="84" width="7" hidden="1" customWidth="1"/>
    <col min="85" max="85" width="10.5703125" hidden="1" customWidth="1"/>
    <col min="86" max="86" width="7" hidden="1" customWidth="1"/>
    <col min="87" max="87" width="11.5703125" customWidth="1"/>
    <col min="88" max="88" width="7" customWidth="1"/>
    <col min="89" max="89" width="11.5703125" customWidth="1"/>
    <col min="90" max="90" width="7" customWidth="1"/>
    <col min="91" max="91" width="12.7109375" hidden="1" customWidth="1"/>
    <col min="92" max="92" width="7.28515625" hidden="1" customWidth="1"/>
    <col min="93" max="93" width="12.140625" hidden="1" customWidth="1"/>
    <col min="94" max="94" width="6" hidden="1" customWidth="1"/>
    <col min="95" max="95" width="11.5703125" hidden="1" customWidth="1"/>
    <col min="96" max="96" width="7.7109375" hidden="1" customWidth="1"/>
    <col min="97" max="97" width="11.42578125" hidden="1" customWidth="1"/>
    <col min="98" max="98" width="7.7109375" hidden="1" customWidth="1"/>
    <col min="99" max="99" width="13.140625" hidden="1" customWidth="1"/>
    <col min="100" max="100" width="7.7109375" hidden="1" customWidth="1"/>
    <col min="101" max="101" width="13.140625" hidden="1" customWidth="1"/>
    <col min="102" max="102" width="8.85546875" hidden="1" customWidth="1"/>
    <col min="103" max="103" width="12.85546875" hidden="1" customWidth="1"/>
    <col min="104" max="104" width="7.7109375" hidden="1" customWidth="1"/>
    <col min="105" max="105" width="12.42578125" hidden="1" customWidth="1"/>
    <col min="106" max="106" width="7.7109375" hidden="1" customWidth="1"/>
    <col min="107" max="107" width="17.7109375" hidden="1" customWidth="1"/>
    <col min="108" max="108" width="12.28515625" hidden="1" customWidth="1"/>
    <col min="109" max="109" width="14.42578125" hidden="1" customWidth="1"/>
    <col min="110" max="110" width="9.42578125" hidden="1" customWidth="1"/>
    <col min="111" max="111" width="17.7109375" hidden="1" customWidth="1"/>
    <col min="112" max="112" width="9.28515625" hidden="1" customWidth="1"/>
    <col min="113" max="113" width="14.42578125" hidden="1" customWidth="1"/>
    <col min="114" max="114" width="8.140625" hidden="1" customWidth="1"/>
    <col min="115" max="115" width="10.28515625" hidden="1" customWidth="1"/>
    <col min="116" max="116" width="8.140625" hidden="1" customWidth="1"/>
    <col min="117" max="117" width="11.42578125" hidden="1" customWidth="1"/>
    <col min="118" max="118" width="7" hidden="1" customWidth="1"/>
    <col min="119" max="119" width="12.140625" hidden="1" customWidth="1"/>
    <col min="120" max="120" width="8" hidden="1" customWidth="1"/>
    <col min="121" max="121" width="12.140625" hidden="1" customWidth="1"/>
    <col min="122" max="122" width="9.140625" hidden="1" customWidth="1"/>
    <col min="123" max="123" width="12.28515625" hidden="1" customWidth="1"/>
    <col min="124" max="124" width="7.7109375" hidden="1" customWidth="1"/>
    <col min="125" max="125" width="11.42578125" hidden="1" customWidth="1"/>
    <col min="126" max="126" width="7.7109375" hidden="1" customWidth="1"/>
    <col min="127" max="127" width="13.7109375" customWidth="1"/>
    <col min="128" max="128" width="8.140625" customWidth="1"/>
    <col min="129" max="129" width="13.140625" customWidth="1"/>
    <col min="130" max="130" width="8.140625" customWidth="1"/>
    <col min="131" max="131" width="12.140625" hidden="1" customWidth="1"/>
    <col min="132" max="132" width="7.7109375" hidden="1" customWidth="1"/>
    <col min="133" max="133" width="12.140625" hidden="1" customWidth="1"/>
    <col min="134" max="134" width="7.7109375" hidden="1" customWidth="1"/>
    <col min="135" max="135" width="13.28515625" hidden="1" customWidth="1"/>
    <col min="136" max="136" width="8.85546875" hidden="1" customWidth="1"/>
    <col min="137" max="137" width="15.28515625" hidden="1" customWidth="1"/>
    <col min="138" max="138" width="7.7109375" hidden="1" customWidth="1"/>
    <col min="139" max="139" width="13.28515625" hidden="1" customWidth="1"/>
    <col min="140" max="140" width="8.140625" hidden="1" customWidth="1"/>
    <col min="141" max="141" width="11.42578125" hidden="1" customWidth="1"/>
    <col min="142" max="142" width="7.7109375" hidden="1" customWidth="1"/>
    <col min="143" max="143" width="17.7109375" hidden="1" customWidth="1"/>
    <col min="144" max="144" width="9.28515625" hidden="1" customWidth="1"/>
    <col min="145" max="145" width="14.42578125" hidden="1" customWidth="1"/>
    <col min="146" max="146" width="10" hidden="1" customWidth="1"/>
    <col min="147" max="147" width="15.42578125" hidden="1" customWidth="1"/>
    <col min="148" max="148" width="8.7109375" hidden="1" customWidth="1"/>
    <col min="149" max="149" width="12.85546875" hidden="1" customWidth="1"/>
    <col min="150" max="150" width="8.42578125" hidden="1" customWidth="1"/>
    <col min="151" max="151" width="17.7109375" bestFit="1" customWidth="1"/>
    <col min="152" max="152" width="14.42578125" bestFit="1" customWidth="1"/>
    <col min="153" max="153" width="8.85546875" bestFit="1" customWidth="1"/>
    <col min="154" max="154" width="10.28515625" bestFit="1" customWidth="1"/>
    <col min="155" max="155" width="13.28515625" hidden="1" customWidth="1"/>
    <col min="156" max="156" width="10.42578125" hidden="1" customWidth="1"/>
    <col min="157" max="157" width="12.28515625" customWidth="1"/>
    <col min="158" max="158" width="15.42578125" bestFit="1" customWidth="1"/>
    <col min="159" max="159" width="10.42578125" bestFit="1" customWidth="1"/>
    <col min="162" max="162" width="10.42578125" bestFit="1" customWidth="1"/>
  </cols>
  <sheetData>
    <row r="1" spans="1:157" ht="15.75">
      <c r="A1" s="155"/>
      <c r="DB1" s="4"/>
      <c r="DG1" s="260"/>
      <c r="DV1" t="s">
        <v>1</v>
      </c>
    </row>
    <row r="2" spans="1:157" ht="15.75">
      <c r="A2" s="155"/>
      <c r="DG2" s="260"/>
    </row>
    <row r="3" spans="1:157" ht="15">
      <c r="A3" s="157"/>
      <c r="DG3" s="260"/>
    </row>
    <row r="4" spans="1:157" ht="15.75">
      <c r="A4" s="158" t="s">
        <v>383</v>
      </c>
      <c r="G4" s="15"/>
      <c r="AV4" s="21"/>
      <c r="AY4" s="15"/>
      <c r="DC4" s="15"/>
      <c r="DG4" s="260"/>
      <c r="EF4" s="21"/>
    </row>
    <row r="5" spans="1:157" ht="15.75">
      <c r="A5" s="158"/>
      <c r="G5" s="15"/>
      <c r="AY5" s="15"/>
      <c r="DC5" s="15"/>
      <c r="DG5" s="15"/>
    </row>
    <row r="6" spans="1:157" ht="18">
      <c r="A6" s="261"/>
      <c r="DC6" s="15"/>
      <c r="DG6" s="15"/>
      <c r="EN6" s="15"/>
      <c r="EO6" s="15"/>
      <c r="EP6" s="15"/>
      <c r="EV6" s="15"/>
    </row>
    <row r="7" spans="1:157" ht="16.5" thickBot="1">
      <c r="A7" s="262"/>
      <c r="B7" s="262"/>
      <c r="C7" s="262"/>
      <c r="D7" s="262"/>
      <c r="E7" s="262"/>
      <c r="F7" s="262"/>
      <c r="G7" s="495">
        <v>222.79599999999999</v>
      </c>
      <c r="K7" s="262">
        <v>250</v>
      </c>
      <c r="O7" s="466">
        <v>214.10599999999999</v>
      </c>
      <c r="S7">
        <v>250</v>
      </c>
      <c r="W7" s="263">
        <v>228.40600000000001</v>
      </c>
      <c r="X7" s="263"/>
      <c r="Y7" s="263"/>
      <c r="Z7" s="263"/>
      <c r="BG7">
        <v>200.64</v>
      </c>
      <c r="BK7" s="262"/>
      <c r="BL7" s="262"/>
      <c r="BM7" s="262"/>
      <c r="BN7" s="262"/>
      <c r="BO7" s="262"/>
      <c r="BP7" s="262"/>
      <c r="BQ7" s="262"/>
      <c r="BR7" s="262"/>
      <c r="BS7" s="262"/>
      <c r="BT7" s="262"/>
      <c r="BU7" s="262"/>
      <c r="BV7" s="262"/>
      <c r="BW7" s="262"/>
      <c r="BX7" s="262"/>
      <c r="BY7" s="263"/>
      <c r="BZ7" s="263"/>
      <c r="CA7" s="583">
        <v>251.43899999999999</v>
      </c>
      <c r="CB7" s="263"/>
      <c r="CC7" s="263"/>
      <c r="CD7" s="263"/>
      <c r="CE7" s="263">
        <v>250</v>
      </c>
      <c r="CF7" s="263"/>
      <c r="CG7" s="263"/>
      <c r="CH7" s="263"/>
      <c r="CI7" s="263"/>
      <c r="CJ7" s="263"/>
      <c r="CK7" s="263"/>
      <c r="CL7" s="263"/>
      <c r="CM7" s="262"/>
      <c r="CN7" s="262"/>
      <c r="CO7" s="262"/>
      <c r="CP7" s="262"/>
      <c r="CQ7" s="262"/>
      <c r="CR7" s="262"/>
      <c r="CS7" s="262"/>
      <c r="CT7" s="262"/>
      <c r="DC7" s="262"/>
      <c r="DD7" s="262"/>
      <c r="DE7" s="262"/>
      <c r="DF7" s="262"/>
      <c r="DG7" s="262"/>
      <c r="DH7" s="262"/>
      <c r="DI7" s="262"/>
      <c r="DJ7" s="262"/>
      <c r="DK7" s="262"/>
      <c r="DL7" s="262"/>
      <c r="DM7" s="262"/>
      <c r="DN7" s="262"/>
      <c r="DO7" s="262"/>
      <c r="DP7" s="262"/>
      <c r="DQ7" s="262"/>
      <c r="DR7" s="262"/>
      <c r="DV7" s="262"/>
      <c r="DW7" s="262"/>
      <c r="DX7" s="262"/>
      <c r="DY7" s="262"/>
      <c r="DZ7" s="262"/>
      <c r="EA7" s="262"/>
      <c r="EB7" s="262"/>
      <c r="EC7" s="262"/>
      <c r="ED7" s="262"/>
      <c r="EE7" s="262"/>
      <c r="EF7" s="262"/>
      <c r="EG7" s="262"/>
      <c r="EH7" s="262"/>
      <c r="EI7" s="262"/>
      <c r="EJ7" s="262"/>
      <c r="EK7" s="262"/>
      <c r="EL7" s="262"/>
      <c r="EM7" s="263"/>
      <c r="EN7" s="263"/>
      <c r="EO7" s="262"/>
      <c r="EP7" s="262"/>
      <c r="EQ7" s="262"/>
      <c r="ER7" s="262"/>
      <c r="ES7" s="262"/>
      <c r="ET7" s="262"/>
      <c r="EU7" s="262"/>
      <c r="EV7" s="262"/>
      <c r="EW7" s="262"/>
      <c r="EX7" s="262"/>
    </row>
    <row r="8" spans="1:157" ht="38.25" customHeight="1" thickTop="1">
      <c r="A8" s="755" t="s">
        <v>30</v>
      </c>
      <c r="B8" s="755" t="s">
        <v>6</v>
      </c>
      <c r="C8" s="755" t="s">
        <v>7</v>
      </c>
      <c r="D8" s="757" t="s">
        <v>45</v>
      </c>
      <c r="E8" s="759" t="s">
        <v>43</v>
      </c>
      <c r="F8" s="760"/>
      <c r="G8" s="752" t="s">
        <v>279</v>
      </c>
      <c r="H8" s="753"/>
      <c r="I8" s="753"/>
      <c r="J8" s="754"/>
      <c r="K8" s="752" t="s">
        <v>800</v>
      </c>
      <c r="L8" s="753"/>
      <c r="M8" s="753"/>
      <c r="N8" s="754"/>
      <c r="O8" s="752" t="s">
        <v>376</v>
      </c>
      <c r="P8" s="753"/>
      <c r="Q8" s="753"/>
      <c r="R8" s="754"/>
      <c r="S8" s="752" t="s">
        <v>365</v>
      </c>
      <c r="T8" s="753"/>
      <c r="U8" s="753"/>
      <c r="V8" s="754"/>
      <c r="W8" s="752" t="s">
        <v>371</v>
      </c>
      <c r="X8" s="753"/>
      <c r="Y8" s="753"/>
      <c r="Z8" s="753"/>
      <c r="AA8" s="752" t="s">
        <v>47</v>
      </c>
      <c r="AB8" s="753"/>
      <c r="AC8" s="753"/>
      <c r="AD8" s="754"/>
      <c r="AE8" s="752" t="s">
        <v>104</v>
      </c>
      <c r="AF8" s="753"/>
      <c r="AG8" s="753"/>
      <c r="AH8" s="754"/>
      <c r="AI8" s="752" t="s">
        <v>48</v>
      </c>
      <c r="AJ8" s="753"/>
      <c r="AK8" s="753"/>
      <c r="AL8" s="754"/>
      <c r="AM8" s="752" t="s">
        <v>49</v>
      </c>
      <c r="AN8" s="753"/>
      <c r="AO8" s="753"/>
      <c r="AP8" s="754"/>
      <c r="AQ8" s="752" t="s">
        <v>50</v>
      </c>
      <c r="AR8" s="753"/>
      <c r="AS8" s="753"/>
      <c r="AT8" s="754"/>
      <c r="AU8" s="752" t="s">
        <v>51</v>
      </c>
      <c r="AV8" s="753"/>
      <c r="AW8" s="753"/>
      <c r="AX8" s="754"/>
      <c r="AY8" s="752" t="s">
        <v>52</v>
      </c>
      <c r="AZ8" s="753"/>
      <c r="BA8" s="753"/>
      <c r="BB8" s="754"/>
      <c r="BC8" s="752" t="s">
        <v>53</v>
      </c>
      <c r="BD8" s="753"/>
      <c r="BE8" s="753"/>
      <c r="BF8" s="754"/>
      <c r="BG8" s="752" t="s">
        <v>54</v>
      </c>
      <c r="BH8" s="753"/>
      <c r="BI8" s="753"/>
      <c r="BJ8" s="754"/>
      <c r="BK8" s="752" t="s">
        <v>46</v>
      </c>
      <c r="BL8" s="753"/>
      <c r="BM8" s="753"/>
      <c r="BN8" s="754"/>
      <c r="BO8" s="752" t="s">
        <v>55</v>
      </c>
      <c r="BP8" s="753"/>
      <c r="BQ8" s="753"/>
      <c r="BR8" s="754"/>
      <c r="BS8" s="752" t="s">
        <v>56</v>
      </c>
      <c r="BT8" s="753"/>
      <c r="BU8" s="753"/>
      <c r="BV8" s="754"/>
      <c r="BW8" s="752" t="s">
        <v>57</v>
      </c>
      <c r="BX8" s="753"/>
      <c r="BY8" s="753"/>
      <c r="BZ8" s="753"/>
      <c r="CA8" s="752" t="s">
        <v>397</v>
      </c>
      <c r="CB8" s="753"/>
      <c r="CC8" s="753"/>
      <c r="CD8" s="753"/>
      <c r="CE8" s="752" t="s">
        <v>373</v>
      </c>
      <c r="CF8" s="753"/>
      <c r="CG8" s="753"/>
      <c r="CH8" s="753"/>
      <c r="CI8" s="752" t="s">
        <v>366</v>
      </c>
      <c r="CJ8" s="753"/>
      <c r="CK8" s="753"/>
      <c r="CL8" s="753"/>
      <c r="CM8" s="752" t="s">
        <v>187</v>
      </c>
      <c r="CN8" s="753"/>
      <c r="CO8" s="753"/>
      <c r="CP8" s="754"/>
      <c r="CQ8" s="752" t="s">
        <v>427</v>
      </c>
      <c r="CR8" s="753"/>
      <c r="CS8" s="753"/>
      <c r="CT8" s="753"/>
      <c r="CU8" s="762" t="s">
        <v>428</v>
      </c>
      <c r="CV8" s="763"/>
      <c r="CW8" s="763"/>
      <c r="CX8" s="764"/>
      <c r="CY8" s="762" t="s">
        <v>429</v>
      </c>
      <c r="CZ8" s="763"/>
      <c r="DA8" s="763"/>
      <c r="DB8" s="764"/>
      <c r="DC8" s="753" t="s">
        <v>441</v>
      </c>
      <c r="DD8" s="753"/>
      <c r="DE8" s="753"/>
      <c r="DF8" s="754"/>
      <c r="DG8" s="752" t="s">
        <v>442</v>
      </c>
      <c r="DH8" s="753"/>
      <c r="DI8" s="753"/>
      <c r="DJ8" s="754"/>
      <c r="DK8" s="752" t="s">
        <v>461</v>
      </c>
      <c r="DL8" s="753"/>
      <c r="DM8" s="753"/>
      <c r="DN8" s="754"/>
      <c r="DO8" s="752" t="s">
        <v>280</v>
      </c>
      <c r="DP8" s="753"/>
      <c r="DQ8" s="753"/>
      <c r="DR8" s="754"/>
      <c r="DS8" s="752" t="s">
        <v>377</v>
      </c>
      <c r="DT8" s="753"/>
      <c r="DU8" s="753"/>
      <c r="DV8" s="754"/>
      <c r="DW8" s="752" t="s">
        <v>281</v>
      </c>
      <c r="DX8" s="753"/>
      <c r="DY8" s="753"/>
      <c r="DZ8" s="754"/>
      <c r="EA8" s="752" t="s">
        <v>229</v>
      </c>
      <c r="EB8" s="753"/>
      <c r="EC8" s="753"/>
      <c r="ED8" s="754"/>
      <c r="EE8" s="752" t="s">
        <v>282</v>
      </c>
      <c r="EF8" s="753"/>
      <c r="EG8" s="753"/>
      <c r="EH8" s="754"/>
      <c r="EI8" s="752" t="s">
        <v>283</v>
      </c>
      <c r="EJ8" s="753"/>
      <c r="EK8" s="753"/>
      <c r="EL8" s="754"/>
      <c r="EM8" s="752" t="s">
        <v>103</v>
      </c>
      <c r="EN8" s="753"/>
      <c r="EO8" s="753"/>
      <c r="EP8" s="753"/>
      <c r="EQ8" s="752"/>
      <c r="ER8" s="753"/>
      <c r="ES8" s="753"/>
      <c r="ET8" s="754"/>
      <c r="EU8" s="752" t="s">
        <v>58</v>
      </c>
      <c r="EV8" s="754"/>
      <c r="EW8" s="752" t="s">
        <v>59</v>
      </c>
      <c r="EX8" s="754"/>
      <c r="EY8" s="761" t="s">
        <v>284</v>
      </c>
      <c r="EZ8" s="761"/>
      <c r="FA8" s="496" t="s">
        <v>285</v>
      </c>
    </row>
    <row r="9" spans="1:157">
      <c r="A9" s="756"/>
      <c r="B9" s="756"/>
      <c r="C9" s="756"/>
      <c r="D9" s="758"/>
      <c r="E9" s="2" t="s">
        <v>41</v>
      </c>
      <c r="F9" s="494" t="s">
        <v>42</v>
      </c>
      <c r="G9" s="10" t="s">
        <v>41</v>
      </c>
      <c r="H9" s="10" t="s">
        <v>12</v>
      </c>
      <c r="I9" s="493" t="s">
        <v>42</v>
      </c>
      <c r="J9" s="493" t="s">
        <v>12</v>
      </c>
      <c r="K9" s="10" t="s">
        <v>41</v>
      </c>
      <c r="L9" s="10" t="s">
        <v>12</v>
      </c>
      <c r="M9" s="493" t="s">
        <v>42</v>
      </c>
      <c r="N9" s="493" t="s">
        <v>12</v>
      </c>
      <c r="O9" s="10" t="s">
        <v>41</v>
      </c>
      <c r="P9" s="10" t="s">
        <v>12</v>
      </c>
      <c r="Q9" s="493" t="s">
        <v>42</v>
      </c>
      <c r="R9" s="493" t="s">
        <v>12</v>
      </c>
      <c r="S9" s="10" t="s">
        <v>41</v>
      </c>
      <c r="T9" s="10" t="s">
        <v>12</v>
      </c>
      <c r="U9" s="493" t="s">
        <v>42</v>
      </c>
      <c r="V9" s="493" t="s">
        <v>12</v>
      </c>
      <c r="W9" s="10" t="s">
        <v>41</v>
      </c>
      <c r="X9" s="10" t="s">
        <v>12</v>
      </c>
      <c r="Y9" s="493" t="s">
        <v>42</v>
      </c>
      <c r="Z9" s="493" t="s">
        <v>12</v>
      </c>
      <c r="AA9" s="10" t="s">
        <v>41</v>
      </c>
      <c r="AB9" s="10" t="s">
        <v>12</v>
      </c>
      <c r="AC9" s="493" t="s">
        <v>42</v>
      </c>
      <c r="AD9" s="493" t="s">
        <v>12</v>
      </c>
      <c r="AE9" s="10" t="s">
        <v>41</v>
      </c>
      <c r="AF9" s="10" t="s">
        <v>12</v>
      </c>
      <c r="AG9" s="493" t="s">
        <v>42</v>
      </c>
      <c r="AH9" s="493" t="s">
        <v>12</v>
      </c>
      <c r="AI9" s="493" t="s">
        <v>41</v>
      </c>
      <c r="AJ9" s="493" t="s">
        <v>12</v>
      </c>
      <c r="AK9" s="493" t="s">
        <v>42</v>
      </c>
      <c r="AL9" s="493" t="s">
        <v>12</v>
      </c>
      <c r="AM9" s="493" t="s">
        <v>41</v>
      </c>
      <c r="AN9" s="493" t="s">
        <v>12</v>
      </c>
      <c r="AO9" s="493" t="s">
        <v>42</v>
      </c>
      <c r="AP9" s="493" t="s">
        <v>12</v>
      </c>
      <c r="AQ9" s="493" t="s">
        <v>41</v>
      </c>
      <c r="AR9" s="493" t="s">
        <v>12</v>
      </c>
      <c r="AS9" s="493" t="s">
        <v>42</v>
      </c>
      <c r="AT9" s="493" t="s">
        <v>12</v>
      </c>
      <c r="AU9" s="493" t="s">
        <v>41</v>
      </c>
      <c r="AV9" s="493" t="s">
        <v>12</v>
      </c>
      <c r="AW9" s="493" t="s">
        <v>42</v>
      </c>
      <c r="AX9" s="493" t="s">
        <v>12</v>
      </c>
      <c r="AY9" s="493" t="s">
        <v>41</v>
      </c>
      <c r="AZ9" s="493" t="s">
        <v>12</v>
      </c>
      <c r="BA9" s="493" t="s">
        <v>42</v>
      </c>
      <c r="BB9" s="493" t="s">
        <v>12</v>
      </c>
      <c r="BC9" s="493" t="s">
        <v>41</v>
      </c>
      <c r="BD9" s="493" t="s">
        <v>12</v>
      </c>
      <c r="BE9" s="493" t="s">
        <v>42</v>
      </c>
      <c r="BF9" s="493" t="s">
        <v>12</v>
      </c>
      <c r="BG9" s="493" t="s">
        <v>41</v>
      </c>
      <c r="BH9" s="493" t="s">
        <v>12</v>
      </c>
      <c r="BI9" s="493" t="s">
        <v>42</v>
      </c>
      <c r="BJ9" s="493" t="s">
        <v>12</v>
      </c>
      <c r="BK9" s="493" t="s">
        <v>41</v>
      </c>
      <c r="BL9" s="493" t="s">
        <v>12</v>
      </c>
      <c r="BM9" s="493" t="s">
        <v>42</v>
      </c>
      <c r="BN9" s="493" t="s">
        <v>12</v>
      </c>
      <c r="BO9" s="493" t="s">
        <v>41</v>
      </c>
      <c r="BP9" s="493" t="s">
        <v>12</v>
      </c>
      <c r="BQ9" s="493" t="s">
        <v>42</v>
      </c>
      <c r="BR9" s="493" t="s">
        <v>12</v>
      </c>
      <c r="BS9" s="493" t="s">
        <v>41</v>
      </c>
      <c r="BT9" s="493" t="s">
        <v>12</v>
      </c>
      <c r="BU9" s="493" t="s">
        <v>42</v>
      </c>
      <c r="BV9" s="493" t="s">
        <v>12</v>
      </c>
      <c r="BW9" s="493" t="s">
        <v>41</v>
      </c>
      <c r="BX9" s="493" t="s">
        <v>12</v>
      </c>
      <c r="BY9" s="493" t="s">
        <v>42</v>
      </c>
      <c r="BZ9" s="493" t="s">
        <v>12</v>
      </c>
      <c r="CA9" s="554" t="s">
        <v>41</v>
      </c>
      <c r="CB9" s="554" t="s">
        <v>12</v>
      </c>
      <c r="CC9" s="554" t="s">
        <v>42</v>
      </c>
      <c r="CD9" s="554" t="s">
        <v>12</v>
      </c>
      <c r="CE9" s="554" t="s">
        <v>41</v>
      </c>
      <c r="CF9" s="554" t="s">
        <v>12</v>
      </c>
      <c r="CG9" s="554" t="s">
        <v>42</v>
      </c>
      <c r="CH9" s="554" t="s">
        <v>12</v>
      </c>
      <c r="CI9" s="554" t="s">
        <v>41</v>
      </c>
      <c r="CJ9" s="554" t="s">
        <v>12</v>
      </c>
      <c r="CK9" s="554" t="s">
        <v>42</v>
      </c>
      <c r="CL9" s="554" t="s">
        <v>12</v>
      </c>
      <c r="CM9" s="493" t="s">
        <v>41</v>
      </c>
      <c r="CN9" s="493" t="s">
        <v>12</v>
      </c>
      <c r="CO9" s="493" t="s">
        <v>42</v>
      </c>
      <c r="CP9" s="493" t="s">
        <v>12</v>
      </c>
      <c r="CQ9" s="493" t="s">
        <v>41</v>
      </c>
      <c r="CR9" s="493" t="s">
        <v>12</v>
      </c>
      <c r="CS9" s="493" t="s">
        <v>42</v>
      </c>
      <c r="CT9" s="493" t="s">
        <v>12</v>
      </c>
      <c r="CU9" s="493" t="s">
        <v>41</v>
      </c>
      <c r="CV9" s="493" t="s">
        <v>12</v>
      </c>
      <c r="CW9" s="493" t="s">
        <v>42</v>
      </c>
      <c r="CX9" s="493" t="s">
        <v>12</v>
      </c>
      <c r="CY9" s="493" t="s">
        <v>41</v>
      </c>
      <c r="CZ9" s="493" t="s">
        <v>12</v>
      </c>
      <c r="DA9" s="493" t="s">
        <v>42</v>
      </c>
      <c r="DB9" s="493" t="s">
        <v>12</v>
      </c>
      <c r="DC9" s="493" t="s">
        <v>41</v>
      </c>
      <c r="DD9" s="493" t="s">
        <v>12</v>
      </c>
      <c r="DE9" s="493" t="s">
        <v>42</v>
      </c>
      <c r="DF9" s="493" t="s">
        <v>12</v>
      </c>
      <c r="DG9" s="493" t="s">
        <v>41</v>
      </c>
      <c r="DH9" s="493" t="s">
        <v>12</v>
      </c>
      <c r="DI9" s="493" t="s">
        <v>42</v>
      </c>
      <c r="DJ9" s="493" t="s">
        <v>12</v>
      </c>
      <c r="DK9" s="560" t="s">
        <v>41</v>
      </c>
      <c r="DL9" s="560" t="s">
        <v>12</v>
      </c>
      <c r="DM9" s="560" t="s">
        <v>42</v>
      </c>
      <c r="DN9" s="560" t="s">
        <v>12</v>
      </c>
      <c r="DO9" s="493" t="s">
        <v>41</v>
      </c>
      <c r="DP9" s="493" t="s">
        <v>12</v>
      </c>
      <c r="DQ9" s="493" t="s">
        <v>42</v>
      </c>
      <c r="DR9" s="493" t="s">
        <v>12</v>
      </c>
      <c r="DS9" s="493" t="s">
        <v>41</v>
      </c>
      <c r="DT9" s="493" t="s">
        <v>12</v>
      </c>
      <c r="DU9" s="493" t="s">
        <v>42</v>
      </c>
      <c r="DV9" s="493" t="s">
        <v>12</v>
      </c>
      <c r="DW9" s="493" t="s">
        <v>41</v>
      </c>
      <c r="DX9" s="493" t="s">
        <v>12</v>
      </c>
      <c r="DY9" s="493" t="s">
        <v>42</v>
      </c>
      <c r="DZ9" s="493" t="s">
        <v>12</v>
      </c>
      <c r="EA9" s="493" t="s">
        <v>41</v>
      </c>
      <c r="EB9" s="493" t="s">
        <v>12</v>
      </c>
      <c r="EC9" s="493" t="s">
        <v>42</v>
      </c>
      <c r="ED9" s="493" t="s">
        <v>12</v>
      </c>
      <c r="EE9" s="493" t="s">
        <v>41</v>
      </c>
      <c r="EF9" s="493" t="s">
        <v>12</v>
      </c>
      <c r="EG9" s="493" t="s">
        <v>42</v>
      </c>
      <c r="EH9" s="493" t="s">
        <v>12</v>
      </c>
      <c r="EI9" s="493" t="s">
        <v>41</v>
      </c>
      <c r="EJ9" s="493" t="s">
        <v>12</v>
      </c>
      <c r="EK9" s="493" t="s">
        <v>42</v>
      </c>
      <c r="EL9" s="493" t="s">
        <v>12</v>
      </c>
      <c r="EM9" s="493" t="s">
        <v>41</v>
      </c>
      <c r="EN9" s="493" t="s">
        <v>12</v>
      </c>
      <c r="EO9" s="493" t="s">
        <v>42</v>
      </c>
      <c r="EP9" s="493" t="s">
        <v>12</v>
      </c>
      <c r="EQ9" s="493" t="s">
        <v>41</v>
      </c>
      <c r="ER9" s="493" t="s">
        <v>12</v>
      </c>
      <c r="ES9" s="493" t="s">
        <v>42</v>
      </c>
      <c r="ET9" s="493" t="s">
        <v>12</v>
      </c>
      <c r="EU9" s="493" t="s">
        <v>41</v>
      </c>
      <c r="EV9" s="493" t="s">
        <v>42</v>
      </c>
      <c r="EW9" s="493" t="s">
        <v>41</v>
      </c>
      <c r="EX9" s="493" t="s">
        <v>42</v>
      </c>
      <c r="EY9" s="493" t="s">
        <v>41</v>
      </c>
      <c r="EZ9" s="493" t="s">
        <v>42</v>
      </c>
      <c r="FA9" s="6"/>
    </row>
    <row r="10" spans="1:157">
      <c r="A10" s="18">
        <f>+Chem!A9</f>
        <v>46023</v>
      </c>
      <c r="B10" s="6" t="str">
        <f>+Chem!B9</f>
        <v>Toilet</v>
      </c>
      <c r="C10" s="6" t="str">
        <f>+Chem!C9</f>
        <v>13,5</v>
      </c>
      <c r="D10" s="9">
        <f>+Chem!D9</f>
        <v>44.625</v>
      </c>
      <c r="E10" s="7">
        <f>+Chem!E9</f>
        <v>44.228000000000002</v>
      </c>
      <c r="F10" s="7">
        <f>+E10</f>
        <v>44.228000000000002</v>
      </c>
      <c r="G10" s="103"/>
      <c r="H10" s="11">
        <f t="shared" ref="H10:H39" si="0">G10/EU10*100</f>
        <v>0</v>
      </c>
      <c r="I10" s="9">
        <f>G10</f>
        <v>0</v>
      </c>
      <c r="J10" s="11">
        <f t="shared" ref="J10:J39" si="1">I10/EV10*100</f>
        <v>0</v>
      </c>
      <c r="K10" s="103"/>
      <c r="L10" s="11">
        <f t="shared" ref="L10:L39" si="2">+K10/EU10*100</f>
        <v>0</v>
      </c>
      <c r="M10" s="11">
        <f>+K10</f>
        <v>0</v>
      </c>
      <c r="N10" s="11">
        <f t="shared" ref="N10:N39" si="3">+M10/EV10*100</f>
        <v>0</v>
      </c>
      <c r="O10" s="103"/>
      <c r="P10" s="11">
        <f t="shared" ref="P10:P39" si="4">+O10/EU10*100</f>
        <v>0</v>
      </c>
      <c r="Q10" s="11">
        <f>+O10</f>
        <v>0</v>
      </c>
      <c r="R10" s="11">
        <f t="shared" ref="R10:R39" si="5">+Q10/EV10*100</f>
        <v>0</v>
      </c>
      <c r="S10" s="103"/>
      <c r="T10" s="11">
        <f t="shared" ref="T10:T39" si="6">+S10/EU10*100</f>
        <v>0</v>
      </c>
      <c r="U10" s="11">
        <f>+S10</f>
        <v>0</v>
      </c>
      <c r="V10" s="11">
        <f t="shared" ref="V10:V39" si="7">+U10/EV10*100</f>
        <v>0</v>
      </c>
      <c r="W10" s="11"/>
      <c r="X10" s="11">
        <f t="shared" ref="X10:X39" si="8">+W10/EU10*100</f>
        <v>0</v>
      </c>
      <c r="Y10" s="11">
        <f>+W10</f>
        <v>0</v>
      </c>
      <c r="Z10" s="11">
        <f t="shared" ref="Z10:Z39" si="9">+Y10/EV10*100</f>
        <v>0</v>
      </c>
      <c r="AA10" s="103"/>
      <c r="AB10" s="11">
        <f t="shared" ref="AB10:AB39" si="10">AA10/EU10*100</f>
        <v>0</v>
      </c>
      <c r="AC10" s="11">
        <f>AA10</f>
        <v>0</v>
      </c>
      <c r="AD10" s="11">
        <f t="shared" ref="AD10:AD39" si="11">AC10/EV10*100</f>
        <v>0</v>
      </c>
      <c r="AE10" s="103"/>
      <c r="AF10" s="11">
        <f t="shared" ref="AF10:AF39" si="12">+AE10/EU10*100</f>
        <v>0</v>
      </c>
      <c r="AG10" s="11">
        <f>+AE10</f>
        <v>0</v>
      </c>
      <c r="AH10" s="11">
        <f t="shared" ref="AH10:AH39" si="13">+AG10/EV10*100</f>
        <v>0</v>
      </c>
      <c r="AI10" s="103"/>
      <c r="AJ10" s="11">
        <f t="shared" ref="AJ10:AJ39" si="14">AI10/EU10*100</f>
        <v>0</v>
      </c>
      <c r="AK10" s="11">
        <f>AI10</f>
        <v>0</v>
      </c>
      <c r="AL10" s="11">
        <f t="shared" ref="AL10:AL39" si="15">AK10/EV10*100</f>
        <v>0</v>
      </c>
      <c r="AM10" s="103"/>
      <c r="AN10" s="11">
        <f t="shared" ref="AN10:AN39" si="16">AM10/EU10*100</f>
        <v>0</v>
      </c>
      <c r="AO10" s="11">
        <f>AM10</f>
        <v>0</v>
      </c>
      <c r="AP10" s="11">
        <f t="shared" ref="AP10:AP39" si="17">+AO10/EV10*100</f>
        <v>0</v>
      </c>
      <c r="AQ10" s="103"/>
      <c r="AR10" s="11">
        <f t="shared" ref="AR10:AR39" si="18">AQ10/EU10*100</f>
        <v>0</v>
      </c>
      <c r="AS10" s="11">
        <f>AQ10</f>
        <v>0</v>
      </c>
      <c r="AT10" s="11">
        <f t="shared" ref="AT10:AT39" si="19">AS10/EV10*100</f>
        <v>0</v>
      </c>
      <c r="AU10" s="259"/>
      <c r="AV10" s="11">
        <f t="shared" ref="AV10:AV39" si="20">AU10/EU10*100</f>
        <v>0</v>
      </c>
      <c r="AW10" s="9">
        <f>AU10</f>
        <v>0</v>
      </c>
      <c r="AX10" s="11">
        <f t="shared" ref="AX10:AX39" si="21">AW10/EV10*100</f>
        <v>0</v>
      </c>
      <c r="AY10" s="103">
        <v>0</v>
      </c>
      <c r="AZ10" s="11">
        <f t="shared" ref="AZ10:AZ39" si="22">AY10/EU10*100</f>
        <v>0</v>
      </c>
      <c r="BA10" s="11">
        <f>AY10</f>
        <v>0</v>
      </c>
      <c r="BB10" s="11">
        <f t="shared" ref="BB10:BB39" si="23">BA10/EV10*100</f>
        <v>0</v>
      </c>
      <c r="BC10" s="103"/>
      <c r="BD10" s="11">
        <f t="shared" ref="BD10:BD39" si="24">BC10/EU10*100</f>
        <v>0</v>
      </c>
      <c r="BE10" s="11">
        <f>BC10</f>
        <v>0</v>
      </c>
      <c r="BF10" s="11">
        <f t="shared" ref="BF10:BF39" si="25">BE10/EV10*100</f>
        <v>0</v>
      </c>
      <c r="BG10" s="103">
        <v>0</v>
      </c>
      <c r="BH10" s="11">
        <f t="shared" ref="BH10:BH39" si="26">BG10/EU10*100</f>
        <v>0</v>
      </c>
      <c r="BI10" s="11">
        <f>BG10</f>
        <v>0</v>
      </c>
      <c r="BJ10" s="11">
        <f t="shared" ref="BJ10:BJ39" si="27">BI10/EV10*100</f>
        <v>0</v>
      </c>
      <c r="BK10" s="103"/>
      <c r="BL10" s="11">
        <f>BK10/EU10*100</f>
        <v>0</v>
      </c>
      <c r="BM10" s="11">
        <f>BK10</f>
        <v>0</v>
      </c>
      <c r="BN10" s="11">
        <f>BM10/EV10*100</f>
        <v>0</v>
      </c>
      <c r="BO10" s="103"/>
      <c r="BP10" s="11">
        <f>BO10/EU10*100</f>
        <v>0</v>
      </c>
      <c r="BQ10" s="11">
        <f>+BO10</f>
        <v>0</v>
      </c>
      <c r="BR10" s="11">
        <f>BQ10/EV10*100</f>
        <v>0</v>
      </c>
      <c r="BS10" s="103"/>
      <c r="BT10" s="11">
        <v>0</v>
      </c>
      <c r="BU10" s="11">
        <f>BS10</f>
        <v>0</v>
      </c>
      <c r="BV10" s="11">
        <f>BU10/EV10*100</f>
        <v>0</v>
      </c>
      <c r="BW10" s="11">
        <f>G10+AY10+BK10+BG10+BS10+BO10+AU10+AI10+BC10+AQ10+AA10+AM10+AE10+K10+W10+S10+O10</f>
        <v>0</v>
      </c>
      <c r="BX10" s="11">
        <f t="shared" ref="BX10:BX39" si="28">BW10/EU10*100</f>
        <v>0</v>
      </c>
      <c r="BY10" s="11">
        <f>BW10</f>
        <v>0</v>
      </c>
      <c r="BZ10" s="11">
        <f t="shared" ref="BZ10:BZ39" si="29">BY10/EV10*100</f>
        <v>0</v>
      </c>
      <c r="CA10" s="11"/>
      <c r="CB10" s="11">
        <f>CA10/EU10*100</f>
        <v>0</v>
      </c>
      <c r="CC10" s="11">
        <f>CA10</f>
        <v>0</v>
      </c>
      <c r="CD10" s="11">
        <f>CC10/EV10*100</f>
        <v>0</v>
      </c>
      <c r="CE10" s="11"/>
      <c r="CF10" s="11">
        <f>CE10/EU10*100</f>
        <v>0</v>
      </c>
      <c r="CG10" s="11">
        <f>CE10</f>
        <v>0</v>
      </c>
      <c r="CH10" s="11">
        <f>CG10/EV10*100</f>
        <v>0</v>
      </c>
      <c r="CI10" s="11">
        <f>+CA10+CE10</f>
        <v>0</v>
      </c>
      <c r="CJ10" s="11">
        <f>CI10/EU10*100</f>
        <v>0</v>
      </c>
      <c r="CK10" s="11">
        <f>CI10</f>
        <v>0</v>
      </c>
      <c r="CL10" s="11">
        <f>CK10/EV10*100</f>
        <v>0</v>
      </c>
      <c r="CM10" s="103">
        <v>4610</v>
      </c>
      <c r="CN10" s="11">
        <f>CM10/EU10*100</f>
        <v>9.9740372133275628</v>
      </c>
      <c r="CO10" s="11">
        <f>CM10</f>
        <v>4610</v>
      </c>
      <c r="CP10" s="11">
        <f>CO10/EV10*100</f>
        <v>9.9740372133275628</v>
      </c>
      <c r="CQ10" s="103">
        <v>17685</v>
      </c>
      <c r="CR10" s="11">
        <f t="shared" ref="CR10:CR39" si="30">CQ10/EU10*100</f>
        <v>38.262656858502815</v>
      </c>
      <c r="CS10" s="11">
        <f>CQ10</f>
        <v>17685</v>
      </c>
      <c r="CT10" s="11">
        <f t="shared" ref="CT10:CT39" si="31">CS10/EV10*100</f>
        <v>38.262656858502815</v>
      </c>
      <c r="CU10" s="103">
        <v>17880</v>
      </c>
      <c r="CV10" s="11">
        <f t="shared" ref="CV10:CV39" si="32">CU10/EU10*100</f>
        <v>38.684552141929899</v>
      </c>
      <c r="CW10" s="11">
        <f>CU10</f>
        <v>17880</v>
      </c>
      <c r="CX10" s="11">
        <f t="shared" ref="CX10:CX39" si="33">CW10/EV10*100</f>
        <v>38.684552141929899</v>
      </c>
      <c r="CY10" s="103">
        <v>6045</v>
      </c>
      <c r="CZ10" s="11">
        <f t="shared" ref="CZ10:CZ39" si="34">CY10/EU10*100</f>
        <v>13.078753786239721</v>
      </c>
      <c r="DA10" s="11">
        <f>CY10</f>
        <v>6045</v>
      </c>
      <c r="DB10" s="11">
        <f t="shared" ref="DB10:DB39" si="35">DA10/EV10*100</f>
        <v>13.078753786239721</v>
      </c>
      <c r="DC10" s="103"/>
      <c r="DD10" s="11">
        <f t="shared" ref="DD10:DD39" si="36">DC10/EU10*100</f>
        <v>0</v>
      </c>
      <c r="DE10" s="11">
        <f>DC10</f>
        <v>0</v>
      </c>
      <c r="DF10" s="11">
        <f t="shared" ref="DF10:DF39" si="37">DE10/EV10*100</f>
        <v>0</v>
      </c>
      <c r="DG10" s="103"/>
      <c r="DH10" s="11">
        <f t="shared" ref="DH10:DH39" si="38">DG10/EU10*100</f>
        <v>0</v>
      </c>
      <c r="DI10" s="11">
        <f>DG10</f>
        <v>0</v>
      </c>
      <c r="DJ10" s="11">
        <f t="shared" ref="DJ10:DJ39" si="39">DI10/EV10*100</f>
        <v>0</v>
      </c>
      <c r="DK10" s="103"/>
      <c r="DL10" s="11">
        <f>DK10/EU10*100</f>
        <v>0</v>
      </c>
      <c r="DM10" s="11">
        <f>DK10</f>
        <v>0</v>
      </c>
      <c r="DN10" s="11">
        <f>DM10/EV10*100</f>
        <v>0</v>
      </c>
      <c r="DO10" s="500"/>
      <c r="DP10" s="11">
        <f>DO10/EU10*100</f>
        <v>0</v>
      </c>
      <c r="DQ10" s="11">
        <f>DO10</f>
        <v>0</v>
      </c>
      <c r="DR10" s="11">
        <f>DQ10/EV10*100</f>
        <v>0</v>
      </c>
      <c r="DS10" s="103"/>
      <c r="DT10" s="11">
        <f>DS10/EU10*100</f>
        <v>0</v>
      </c>
      <c r="DU10" s="11">
        <f>DS10</f>
        <v>0</v>
      </c>
      <c r="DV10" s="11">
        <f>DU10/EV10*100</f>
        <v>0</v>
      </c>
      <c r="DW10" s="11">
        <f t="shared" ref="DW10:DW39" si="40">CQ10+CU10+CY10+DC10+DG10+DK10+DO10+DS10+CM10</f>
        <v>46220</v>
      </c>
      <c r="DX10" s="11">
        <f t="shared" ref="DX10:DX39" si="41">DW10/EU10*100</f>
        <v>100</v>
      </c>
      <c r="DY10" s="11">
        <f>DW10</f>
        <v>46220</v>
      </c>
      <c r="DZ10" s="11">
        <f t="shared" ref="DZ10:DZ39" si="42">DY10/EV10*100</f>
        <v>100</v>
      </c>
      <c r="EA10" s="103"/>
      <c r="EB10" s="11">
        <f t="shared" ref="EB10:EB39" si="43">+EA10/EU10*100</f>
        <v>0</v>
      </c>
      <c r="EC10" s="11">
        <f>+EA10</f>
        <v>0</v>
      </c>
      <c r="ED10" s="11">
        <f t="shared" ref="ED10:ED39" si="44">+EC10/EV10*100</f>
        <v>0</v>
      </c>
      <c r="EE10" s="103">
        <f>14*EF6</f>
        <v>0</v>
      </c>
      <c r="EF10" s="11">
        <f t="shared" ref="EF10:EF39" si="45">EE10/EU10*100</f>
        <v>0</v>
      </c>
      <c r="EG10" s="11">
        <f>EE10</f>
        <v>0</v>
      </c>
      <c r="EH10" s="11">
        <f t="shared" ref="EH10:EH39" si="46">EG10/EV10*100</f>
        <v>0</v>
      </c>
      <c r="EI10" s="103">
        <f>14*EJ6</f>
        <v>0</v>
      </c>
      <c r="EJ10" s="17">
        <f t="shared" ref="EJ10:EJ39" si="47">EI10/EU10*100</f>
        <v>0</v>
      </c>
      <c r="EK10" s="11">
        <f>EI10</f>
        <v>0</v>
      </c>
      <c r="EL10" s="11">
        <f t="shared" ref="EL10:EL39" si="48">EK10/EV10*100</f>
        <v>0</v>
      </c>
      <c r="EM10" s="11">
        <f>EA10+EE10+EI10</f>
        <v>0</v>
      </c>
      <c r="EN10" s="11">
        <f t="shared" ref="EN10:EN39" si="49">EM10/EU10*100</f>
        <v>0</v>
      </c>
      <c r="EO10" s="11">
        <f>EM10</f>
        <v>0</v>
      </c>
      <c r="EP10" s="11">
        <f t="shared" ref="EP10:EP39" si="50">EO10/EV10*100</f>
        <v>0</v>
      </c>
      <c r="EQ10" s="103"/>
      <c r="ER10" s="11">
        <f t="shared" ref="ER10:ER39" si="51">EQ10/EU10*100</f>
        <v>0</v>
      </c>
      <c r="ES10" s="11">
        <f>EQ10</f>
        <v>0</v>
      </c>
      <c r="ET10" s="11">
        <f t="shared" ref="ET10:ET39" si="52">ES10/EV10*100</f>
        <v>0</v>
      </c>
      <c r="EU10" s="11">
        <f>BW10+DW10+EM10+EQ10+CI10</f>
        <v>46220</v>
      </c>
      <c r="EV10" s="11">
        <f>EU10</f>
        <v>46220</v>
      </c>
      <c r="EW10" s="11">
        <f t="shared" ref="EW10:EW39" si="53">EU10/1000/E10</f>
        <v>1.0450393415935606</v>
      </c>
      <c r="EX10" s="11">
        <f t="shared" ref="EX10:EX39" si="54">(EV10/1000)/F10</f>
        <v>1.0450393415935606</v>
      </c>
      <c r="EY10" s="497">
        <f>+(E10*1000)/DW10</f>
        <v>0.95690177412375599</v>
      </c>
      <c r="EZ10" s="498">
        <f>+(F10*1000)/DY10</f>
        <v>0.95690177412375599</v>
      </c>
      <c r="FA10" s="6" t="s">
        <v>430</v>
      </c>
    </row>
    <row r="11" spans="1:157">
      <c r="A11" s="18">
        <f>+Chem!A10</f>
        <v>46024</v>
      </c>
      <c r="B11" s="6" t="str">
        <f>+Chem!B10</f>
        <v>Toilet</v>
      </c>
      <c r="C11" s="6" t="str">
        <f>+Chem!C10</f>
        <v>13,5</v>
      </c>
      <c r="D11" s="9">
        <f>+Chem!D10</f>
        <v>49.712000000000003</v>
      </c>
      <c r="E11" s="7">
        <f>+Chem!E10</f>
        <v>46.393999999999998</v>
      </c>
      <c r="F11" s="7">
        <f t="shared" ref="F11:F39" si="55">+E11+F10</f>
        <v>90.622</v>
      </c>
      <c r="G11" s="103"/>
      <c r="H11" s="11">
        <f t="shared" si="0"/>
        <v>0</v>
      </c>
      <c r="I11" s="9">
        <f t="shared" ref="I11:I39" si="56">G11+I10</f>
        <v>0</v>
      </c>
      <c r="J11" s="11">
        <f t="shared" si="1"/>
        <v>0</v>
      </c>
      <c r="K11" s="103"/>
      <c r="L11" s="11">
        <f t="shared" si="2"/>
        <v>0</v>
      </c>
      <c r="M11" s="11">
        <f t="shared" ref="M11:M39" si="57">+K11+M10</f>
        <v>0</v>
      </c>
      <c r="N11" s="11">
        <f t="shared" si="3"/>
        <v>0</v>
      </c>
      <c r="O11" s="103"/>
      <c r="P11" s="11">
        <f t="shared" si="4"/>
        <v>0</v>
      </c>
      <c r="Q11" s="11">
        <f t="shared" ref="Q11:Q39" si="58">+O11+Q10</f>
        <v>0</v>
      </c>
      <c r="R11" s="11">
        <f t="shared" si="5"/>
        <v>0</v>
      </c>
      <c r="S11" s="103"/>
      <c r="T11" s="11">
        <f t="shared" si="6"/>
        <v>0</v>
      </c>
      <c r="U11" s="11">
        <f t="shared" ref="U11:U39" si="59">+S11+U10</f>
        <v>0</v>
      </c>
      <c r="V11" s="11">
        <f t="shared" si="7"/>
        <v>0</v>
      </c>
      <c r="W11" s="11"/>
      <c r="X11" s="11">
        <f t="shared" si="8"/>
        <v>0</v>
      </c>
      <c r="Y11" s="11">
        <f t="shared" ref="Y11:Y39" si="60">+W11+Y10</f>
        <v>0</v>
      </c>
      <c r="Z11" s="11">
        <f t="shared" si="9"/>
        <v>0</v>
      </c>
      <c r="AA11" s="103"/>
      <c r="AB11" s="11">
        <f t="shared" si="10"/>
        <v>0</v>
      </c>
      <c r="AC11" s="11">
        <f t="shared" ref="AC11:AC39" si="61">AA11+AC10</f>
        <v>0</v>
      </c>
      <c r="AD11" s="11">
        <f t="shared" si="11"/>
        <v>0</v>
      </c>
      <c r="AE11" s="103"/>
      <c r="AF11" s="11">
        <f t="shared" si="12"/>
        <v>0</v>
      </c>
      <c r="AG11" s="11">
        <f t="shared" ref="AG11:AG39" si="62">+AE11+AG10</f>
        <v>0</v>
      </c>
      <c r="AH11" s="11">
        <f t="shared" si="13"/>
        <v>0</v>
      </c>
      <c r="AI11" s="103"/>
      <c r="AJ11" s="11">
        <f t="shared" si="14"/>
        <v>0</v>
      </c>
      <c r="AK11" s="11">
        <f t="shared" ref="AK11:AK39" si="63">AI11+AK10</f>
        <v>0</v>
      </c>
      <c r="AL11" s="11">
        <f t="shared" si="15"/>
        <v>0</v>
      </c>
      <c r="AM11" s="103"/>
      <c r="AN11" s="11">
        <f t="shared" si="16"/>
        <v>0</v>
      </c>
      <c r="AO11" s="11">
        <f t="shared" ref="AO11:AO39" si="64">+AM11+AO10</f>
        <v>0</v>
      </c>
      <c r="AP11" s="11">
        <f t="shared" si="17"/>
        <v>0</v>
      </c>
      <c r="AQ11" s="103"/>
      <c r="AR11" s="11">
        <f t="shared" si="18"/>
        <v>0</v>
      </c>
      <c r="AS11" s="11">
        <f t="shared" ref="AS11:AS39" si="65">AQ11+AS10</f>
        <v>0</v>
      </c>
      <c r="AT11" s="11">
        <f t="shared" si="19"/>
        <v>0</v>
      </c>
      <c r="AU11" s="259"/>
      <c r="AV11" s="11">
        <f t="shared" si="20"/>
        <v>0</v>
      </c>
      <c r="AW11" s="9">
        <f t="shared" ref="AW11:AW39" si="66">AU11+AW10</f>
        <v>0</v>
      </c>
      <c r="AX11" s="11">
        <f t="shared" si="21"/>
        <v>0</v>
      </c>
      <c r="AY11" s="103"/>
      <c r="AZ11" s="11">
        <f t="shared" si="22"/>
        <v>0</v>
      </c>
      <c r="BA11" s="11">
        <f t="shared" ref="BA11:BA39" si="67">AY11+BA10</f>
        <v>0</v>
      </c>
      <c r="BB11" s="11">
        <f t="shared" si="23"/>
        <v>0</v>
      </c>
      <c r="BC11" s="103"/>
      <c r="BD11" s="11">
        <f t="shared" si="24"/>
        <v>0</v>
      </c>
      <c r="BE11" s="11">
        <f t="shared" ref="BE11:BE39" si="68">BC11+BE10</f>
        <v>0</v>
      </c>
      <c r="BF11" s="11">
        <f t="shared" si="25"/>
        <v>0</v>
      </c>
      <c r="BG11" s="103">
        <v>0</v>
      </c>
      <c r="BH11" s="11">
        <f t="shared" si="26"/>
        <v>0</v>
      </c>
      <c r="BI11" s="11">
        <f t="shared" ref="BI11:BI39" si="69">BG11+BI10</f>
        <v>0</v>
      </c>
      <c r="BJ11" s="11">
        <f t="shared" si="27"/>
        <v>0</v>
      </c>
      <c r="BK11" s="103"/>
      <c r="BL11" s="11"/>
      <c r="BM11" s="11"/>
      <c r="BN11" s="11"/>
      <c r="BO11" s="103"/>
      <c r="BP11" s="11"/>
      <c r="BQ11" s="11"/>
      <c r="BR11" s="11"/>
      <c r="BS11" s="103"/>
      <c r="BT11" s="11"/>
      <c r="BU11" s="11"/>
      <c r="BV11" s="11"/>
      <c r="BW11" s="11">
        <f t="shared" ref="BW11:BW39" si="70">G11+AY11+BK11+BG11+BS11+BO11+AU11+AI11+BC11+AQ11+AA11+AM11+AE11+K11+W11+S11+O11</f>
        <v>0</v>
      </c>
      <c r="BX11" s="11">
        <f t="shared" si="28"/>
        <v>0</v>
      </c>
      <c r="BY11" s="11">
        <f t="shared" ref="BY11:BY39" si="71">BW11+BY10</f>
        <v>0</v>
      </c>
      <c r="BZ11" s="11">
        <f t="shared" si="29"/>
        <v>0</v>
      </c>
      <c r="CA11" s="11"/>
      <c r="CB11" s="11">
        <f t="shared" ref="CB11:CB39" si="72">CA11/EU11*100</f>
        <v>0</v>
      </c>
      <c r="CC11" s="11">
        <f>+CA11+CC10</f>
        <v>0</v>
      </c>
      <c r="CD11" s="11">
        <f t="shared" ref="CD11:CD39" si="73">CC11/EV11*100</f>
        <v>0</v>
      </c>
      <c r="CE11" s="11"/>
      <c r="CF11" s="11">
        <f>CE11/EU11*100</f>
        <v>0</v>
      </c>
      <c r="CG11" s="11">
        <f>+CE11+CG10</f>
        <v>0</v>
      </c>
      <c r="CH11" s="11">
        <f>CG11/EV11*100</f>
        <v>0</v>
      </c>
      <c r="CI11" s="11">
        <f t="shared" ref="CI11:CI39" si="74">+CA11+CE11</f>
        <v>0</v>
      </c>
      <c r="CJ11" s="11">
        <f>CI11/EU11*100</f>
        <v>0</v>
      </c>
      <c r="CK11" s="11">
        <f>+CI11+CK10</f>
        <v>0</v>
      </c>
      <c r="CL11" s="11">
        <f>CK11/EV11*100</f>
        <v>0</v>
      </c>
      <c r="CM11" s="103">
        <v>2820</v>
      </c>
      <c r="CN11" s="11">
        <f t="shared" ref="CN11:CN39" si="75">CM11/EU11*100</f>
        <v>5.6479070698978573</v>
      </c>
      <c r="CO11" s="11">
        <f t="shared" ref="CO11:CO39" si="76">CM11</f>
        <v>2820</v>
      </c>
      <c r="CP11" s="11">
        <f t="shared" ref="CP11:CP39" si="77">CO11/EV11*100</f>
        <v>2.9329173166926679</v>
      </c>
      <c r="CQ11" s="103">
        <v>20350</v>
      </c>
      <c r="CR11" s="11">
        <f t="shared" si="30"/>
        <v>40.757059883837371</v>
      </c>
      <c r="CS11" s="11">
        <f t="shared" ref="CS11:CS39" si="78">CQ11+CS10</f>
        <v>38035</v>
      </c>
      <c r="CT11" s="11">
        <f t="shared" si="31"/>
        <v>39.557982319292776</v>
      </c>
      <c r="CU11" s="103">
        <v>19790</v>
      </c>
      <c r="CV11" s="11">
        <f t="shared" si="32"/>
        <v>39.635489685559783</v>
      </c>
      <c r="CW11" s="11">
        <f t="shared" ref="CW11:CW39" si="79">CU11+CW10</f>
        <v>37670</v>
      </c>
      <c r="CX11" s="11">
        <f t="shared" si="33"/>
        <v>39.178367134685388</v>
      </c>
      <c r="CY11" s="103">
        <v>3660</v>
      </c>
      <c r="CZ11" s="11">
        <f t="shared" si="34"/>
        <v>7.3302623673142397</v>
      </c>
      <c r="DA11" s="11">
        <f t="shared" ref="DA11:DA39" si="80">CY11+DA10</f>
        <v>9705</v>
      </c>
      <c r="DB11" s="11">
        <f t="shared" si="35"/>
        <v>10.093603744149766</v>
      </c>
      <c r="DC11" s="103">
        <v>2730</v>
      </c>
      <c r="DD11" s="11">
        <f t="shared" si="36"/>
        <v>5.4676547166032448</v>
      </c>
      <c r="DE11" s="11">
        <f t="shared" ref="DE11:DE39" si="81">DC11+DE10</f>
        <v>2730</v>
      </c>
      <c r="DF11" s="11">
        <f t="shared" si="37"/>
        <v>2.8393135725429017</v>
      </c>
      <c r="DG11" s="103">
        <v>580</v>
      </c>
      <c r="DH11" s="11">
        <f t="shared" si="38"/>
        <v>1.1616262767875025</v>
      </c>
      <c r="DI11" s="11">
        <f t="shared" ref="DI11:DI39" si="82">DG11+DI10</f>
        <v>580</v>
      </c>
      <c r="DJ11" s="11">
        <f t="shared" si="39"/>
        <v>0.60322412896515865</v>
      </c>
      <c r="DK11" s="103"/>
      <c r="DL11" s="11">
        <f t="shared" ref="DL11:DL40" si="83">DK11/EU11*100</f>
        <v>0</v>
      </c>
      <c r="DM11" s="11">
        <f t="shared" ref="DM11:DM40" si="84">DK11+DM10</f>
        <v>0</v>
      </c>
      <c r="DN11" s="11">
        <f t="shared" ref="DN11:DN40" si="85">DM11/EV11*100</f>
        <v>0</v>
      </c>
      <c r="DO11" s="500"/>
      <c r="DP11" s="11">
        <f t="shared" ref="DP11:DP39" si="86">DO11/EU11*100</f>
        <v>0</v>
      </c>
      <c r="DQ11" s="11">
        <f t="shared" ref="DQ11:DQ39" si="87">DO11+DQ10</f>
        <v>0</v>
      </c>
      <c r="DR11" s="11">
        <f t="shared" ref="DR11:DR39" si="88">DQ11/EV11*100</f>
        <v>0</v>
      </c>
      <c r="DS11" s="103"/>
      <c r="DT11" s="11">
        <f>DS11/EU11*100</f>
        <v>0</v>
      </c>
      <c r="DU11" s="11">
        <f t="shared" ref="DU11:DU39" si="89">DS11+DU10</f>
        <v>0</v>
      </c>
      <c r="DV11" s="11">
        <f>DU11/EV11*100</f>
        <v>0</v>
      </c>
      <c r="DW11" s="11">
        <f t="shared" si="40"/>
        <v>49930</v>
      </c>
      <c r="DX11" s="11">
        <f t="shared" si="41"/>
        <v>100</v>
      </c>
      <c r="DY11" s="11">
        <f t="shared" ref="DY11:DY39" si="90">DW11+DY10</f>
        <v>96150</v>
      </c>
      <c r="DZ11" s="11">
        <f t="shared" si="42"/>
        <v>100</v>
      </c>
      <c r="EA11" s="103"/>
      <c r="EB11" s="11">
        <f t="shared" si="43"/>
        <v>0</v>
      </c>
      <c r="EC11" s="11">
        <f t="shared" ref="EC11:EC39" si="91">+EA11+EC10</f>
        <v>0</v>
      </c>
      <c r="ED11" s="11">
        <f t="shared" si="44"/>
        <v>0</v>
      </c>
      <c r="EE11" s="103"/>
      <c r="EF11" s="11">
        <f t="shared" si="45"/>
        <v>0</v>
      </c>
      <c r="EG11" s="11">
        <f t="shared" ref="EG11:EG39" si="92">EE11+EG10</f>
        <v>0</v>
      </c>
      <c r="EH11" s="11">
        <f t="shared" si="46"/>
        <v>0</v>
      </c>
      <c r="EI11" s="103"/>
      <c r="EJ11" s="17">
        <f t="shared" si="47"/>
        <v>0</v>
      </c>
      <c r="EK11" s="11">
        <f t="shared" ref="EK11:EK39" si="93">EI11+EK10</f>
        <v>0</v>
      </c>
      <c r="EL11" s="11">
        <f t="shared" si="48"/>
        <v>0</v>
      </c>
      <c r="EM11" s="11">
        <f t="shared" ref="EM11:EM39" si="94">EA11+EE11+EI11</f>
        <v>0</v>
      </c>
      <c r="EN11" s="11">
        <f t="shared" si="49"/>
        <v>0</v>
      </c>
      <c r="EO11" s="11">
        <f t="shared" ref="EO11:EO39" si="95">EM11+EO10</f>
        <v>0</v>
      </c>
      <c r="EP11" s="11">
        <f t="shared" si="50"/>
        <v>0</v>
      </c>
      <c r="EQ11" s="103"/>
      <c r="ER11" s="11">
        <f t="shared" si="51"/>
        <v>0</v>
      </c>
      <c r="ES11" s="11">
        <f t="shared" ref="ES11:ES39" si="96">EQ11+ES10</f>
        <v>0</v>
      </c>
      <c r="ET11" s="11">
        <f t="shared" si="52"/>
        <v>0</v>
      </c>
      <c r="EU11" s="11">
        <f t="shared" ref="EU11:EU39" si="97">BW11+DW11+EM11+EQ11+CI11</f>
        <v>49930</v>
      </c>
      <c r="EV11" s="11">
        <f t="shared" ref="EV11:EV39" si="98">EU11+EV10</f>
        <v>96150</v>
      </c>
      <c r="EW11" s="11">
        <f t="shared" si="53"/>
        <v>1.0762167521662285</v>
      </c>
      <c r="EX11" s="11">
        <f t="shared" si="54"/>
        <v>1.0610006400211869</v>
      </c>
      <c r="EY11" s="497">
        <f t="shared" ref="EY11:EY39" si="99">+(E11*1000)/DW11</f>
        <v>0.9291808531944723</v>
      </c>
      <c r="EZ11" s="498">
        <f t="shared" ref="EZ11:EZ39" si="100">+(F11*1000)/DY11</f>
        <v>0.94250650026001037</v>
      </c>
      <c r="FA11" s="6" t="s">
        <v>430</v>
      </c>
    </row>
    <row r="12" spans="1:157">
      <c r="A12" s="18">
        <f>+Chem!A11</f>
        <v>46025</v>
      </c>
      <c r="B12" s="6" t="str">
        <f>+Chem!B11</f>
        <v>Toilet</v>
      </c>
      <c r="C12" s="6" t="str">
        <f>+Chem!C11</f>
        <v>13,5</v>
      </c>
      <c r="D12" s="9">
        <f>+Chem!D11</f>
        <v>42.899000000000001</v>
      </c>
      <c r="E12" s="7">
        <f>+Chem!E11</f>
        <v>43.02</v>
      </c>
      <c r="F12" s="7">
        <f t="shared" si="55"/>
        <v>133.642</v>
      </c>
      <c r="G12" s="103"/>
      <c r="H12" s="11">
        <f t="shared" si="0"/>
        <v>0</v>
      </c>
      <c r="I12" s="9">
        <f t="shared" si="56"/>
        <v>0</v>
      </c>
      <c r="J12" s="11">
        <f t="shared" si="1"/>
        <v>0</v>
      </c>
      <c r="K12" s="103"/>
      <c r="L12" s="11">
        <f t="shared" si="2"/>
        <v>0</v>
      </c>
      <c r="M12" s="11">
        <f t="shared" si="57"/>
        <v>0</v>
      </c>
      <c r="N12" s="11">
        <f t="shared" si="3"/>
        <v>0</v>
      </c>
      <c r="O12" s="103"/>
      <c r="P12" s="11">
        <f t="shared" si="4"/>
        <v>0</v>
      </c>
      <c r="Q12" s="11">
        <f t="shared" si="58"/>
        <v>0</v>
      </c>
      <c r="R12" s="11">
        <f t="shared" si="5"/>
        <v>0</v>
      </c>
      <c r="S12" s="103"/>
      <c r="T12" s="11">
        <f t="shared" si="6"/>
        <v>0</v>
      </c>
      <c r="U12" s="11">
        <f t="shared" si="59"/>
        <v>0</v>
      </c>
      <c r="V12" s="11">
        <f t="shared" si="7"/>
        <v>0</v>
      </c>
      <c r="W12" s="11"/>
      <c r="X12" s="11">
        <f t="shared" si="8"/>
        <v>0</v>
      </c>
      <c r="Y12" s="11">
        <f t="shared" si="60"/>
        <v>0</v>
      </c>
      <c r="Z12" s="11">
        <f t="shared" si="9"/>
        <v>0</v>
      </c>
      <c r="AA12" s="103"/>
      <c r="AB12" s="11">
        <f t="shared" si="10"/>
        <v>0</v>
      </c>
      <c r="AC12" s="11">
        <f t="shared" si="61"/>
        <v>0</v>
      </c>
      <c r="AD12" s="11">
        <f t="shared" si="11"/>
        <v>0</v>
      </c>
      <c r="AE12" s="103"/>
      <c r="AF12" s="11">
        <f t="shared" si="12"/>
        <v>0</v>
      </c>
      <c r="AG12" s="11">
        <f t="shared" si="62"/>
        <v>0</v>
      </c>
      <c r="AH12" s="11">
        <f t="shared" si="13"/>
        <v>0</v>
      </c>
      <c r="AI12" s="103"/>
      <c r="AJ12" s="11">
        <f t="shared" si="14"/>
        <v>0</v>
      </c>
      <c r="AK12" s="11">
        <f t="shared" si="63"/>
        <v>0</v>
      </c>
      <c r="AL12" s="11">
        <f t="shared" si="15"/>
        <v>0</v>
      </c>
      <c r="AM12" s="103"/>
      <c r="AN12" s="11">
        <f t="shared" si="16"/>
        <v>0</v>
      </c>
      <c r="AO12" s="11">
        <f t="shared" si="64"/>
        <v>0</v>
      </c>
      <c r="AP12" s="11">
        <f t="shared" si="17"/>
        <v>0</v>
      </c>
      <c r="AQ12" s="103"/>
      <c r="AR12" s="11">
        <f t="shared" si="18"/>
        <v>0</v>
      </c>
      <c r="AS12" s="11">
        <f t="shared" si="65"/>
        <v>0</v>
      </c>
      <c r="AT12" s="11">
        <f t="shared" si="19"/>
        <v>0</v>
      </c>
      <c r="AU12" s="259"/>
      <c r="AV12" s="11">
        <f t="shared" si="20"/>
        <v>0</v>
      </c>
      <c r="AW12" s="9">
        <f t="shared" si="66"/>
        <v>0</v>
      </c>
      <c r="AX12" s="11">
        <f t="shared" si="21"/>
        <v>0</v>
      </c>
      <c r="AY12" s="103"/>
      <c r="AZ12" s="11">
        <f t="shared" si="22"/>
        <v>0</v>
      </c>
      <c r="BA12" s="11">
        <f t="shared" si="67"/>
        <v>0</v>
      </c>
      <c r="BB12" s="11">
        <f t="shared" si="23"/>
        <v>0</v>
      </c>
      <c r="BC12" s="103"/>
      <c r="BD12" s="11">
        <f t="shared" si="24"/>
        <v>0</v>
      </c>
      <c r="BE12" s="11">
        <f t="shared" si="68"/>
        <v>0</v>
      </c>
      <c r="BF12" s="11">
        <f t="shared" si="25"/>
        <v>0</v>
      </c>
      <c r="BG12" s="103"/>
      <c r="BH12" s="11">
        <f t="shared" si="26"/>
        <v>0</v>
      </c>
      <c r="BI12" s="11">
        <f t="shared" si="69"/>
        <v>0</v>
      </c>
      <c r="BJ12" s="11">
        <f t="shared" si="27"/>
        <v>0</v>
      </c>
      <c r="BK12" s="103"/>
      <c r="BL12" s="11"/>
      <c r="BM12" s="11"/>
      <c r="BN12" s="11"/>
      <c r="BO12" s="103"/>
      <c r="BP12" s="11"/>
      <c r="BQ12" s="11"/>
      <c r="BR12" s="11"/>
      <c r="BS12" s="103"/>
      <c r="BT12" s="11"/>
      <c r="BU12" s="11"/>
      <c r="BV12" s="11"/>
      <c r="BW12" s="11">
        <f t="shared" si="70"/>
        <v>0</v>
      </c>
      <c r="BX12" s="11">
        <f t="shared" si="28"/>
        <v>0</v>
      </c>
      <c r="BY12" s="11">
        <f t="shared" si="71"/>
        <v>0</v>
      </c>
      <c r="BZ12" s="11">
        <f t="shared" si="29"/>
        <v>0</v>
      </c>
      <c r="CA12" s="11"/>
      <c r="CB12" s="11">
        <f t="shared" si="72"/>
        <v>0</v>
      </c>
      <c r="CC12" s="11">
        <f t="shared" ref="CC12:CC39" si="101">+CA12+CC11</f>
        <v>0</v>
      </c>
      <c r="CD12" s="11">
        <f t="shared" si="73"/>
        <v>0</v>
      </c>
      <c r="CE12" s="11"/>
      <c r="CF12" s="11">
        <f t="shared" ref="CF12:CF39" si="102">CE12/EU12*100</f>
        <v>0</v>
      </c>
      <c r="CG12" s="11">
        <f t="shared" ref="CG12:CG39" si="103">+CE12+CG11</f>
        <v>0</v>
      </c>
      <c r="CH12" s="11">
        <f t="shared" ref="CH12:CH39" si="104">CG12/EV12*100</f>
        <v>0</v>
      </c>
      <c r="CI12" s="11">
        <f t="shared" si="74"/>
        <v>0</v>
      </c>
      <c r="CJ12" s="11">
        <f t="shared" ref="CJ12:CJ39" si="105">CI12/EU12*100</f>
        <v>0</v>
      </c>
      <c r="CK12" s="11">
        <f t="shared" ref="CK12:CK39" si="106">+CI12+CK11</f>
        <v>0</v>
      </c>
      <c r="CL12" s="11">
        <f t="shared" ref="CL12:CL39" si="107">CK12/EV12*100</f>
        <v>0</v>
      </c>
      <c r="CM12" s="103">
        <v>2400</v>
      </c>
      <c r="CN12" s="11">
        <f t="shared" si="75"/>
        <v>5.6932748191199147</v>
      </c>
      <c r="CO12" s="11">
        <f t="shared" si="76"/>
        <v>2400</v>
      </c>
      <c r="CP12" s="11">
        <f t="shared" si="77"/>
        <v>1.7352951809406745</v>
      </c>
      <c r="CQ12" s="103">
        <v>16925</v>
      </c>
      <c r="CR12" s="11">
        <f t="shared" si="30"/>
        <v>40.1494484640019</v>
      </c>
      <c r="CS12" s="11">
        <f t="shared" si="78"/>
        <v>54960</v>
      </c>
      <c r="CT12" s="11">
        <f t="shared" si="31"/>
        <v>39.738259643541447</v>
      </c>
      <c r="CU12" s="103">
        <v>16635</v>
      </c>
      <c r="CV12" s="11">
        <f t="shared" si="32"/>
        <v>39.461511090024906</v>
      </c>
      <c r="CW12" s="11">
        <f t="shared" si="79"/>
        <v>54305</v>
      </c>
      <c r="CX12" s="11">
        <f t="shared" si="33"/>
        <v>39.264668667076393</v>
      </c>
      <c r="CY12" s="103">
        <v>3070</v>
      </c>
      <c r="CZ12" s="11">
        <f t="shared" si="34"/>
        <v>7.2826473727908905</v>
      </c>
      <c r="DA12" s="11">
        <f t="shared" si="80"/>
        <v>12775</v>
      </c>
      <c r="DB12" s="11">
        <f t="shared" si="35"/>
        <v>9.2368316402154669</v>
      </c>
      <c r="DC12" s="103"/>
      <c r="DD12" s="11">
        <f t="shared" si="36"/>
        <v>0</v>
      </c>
      <c r="DE12" s="11">
        <f t="shared" si="81"/>
        <v>2730</v>
      </c>
      <c r="DF12" s="11">
        <f t="shared" si="37"/>
        <v>1.9738982683200172</v>
      </c>
      <c r="DG12" s="103"/>
      <c r="DH12" s="11">
        <f t="shared" si="38"/>
        <v>0</v>
      </c>
      <c r="DI12" s="11">
        <f t="shared" si="82"/>
        <v>580</v>
      </c>
      <c r="DJ12" s="11">
        <f t="shared" si="39"/>
        <v>0.41936300206066301</v>
      </c>
      <c r="DK12" s="103">
        <v>3125</v>
      </c>
      <c r="DL12" s="11">
        <f t="shared" si="83"/>
        <v>7.4131182540623879</v>
      </c>
      <c r="DM12" s="11">
        <f t="shared" si="84"/>
        <v>3125</v>
      </c>
      <c r="DN12" s="11">
        <f t="shared" si="85"/>
        <v>2.2594989335165034</v>
      </c>
      <c r="DO12" s="500"/>
      <c r="DP12" s="11">
        <f t="shared" si="86"/>
        <v>0</v>
      </c>
      <c r="DQ12" s="11">
        <f t="shared" si="87"/>
        <v>0</v>
      </c>
      <c r="DR12" s="11">
        <f t="shared" si="88"/>
        <v>0</v>
      </c>
      <c r="DS12" s="103"/>
      <c r="DT12" s="11">
        <f t="shared" ref="DT12:DT39" si="108">DS12/EU12*100</f>
        <v>0</v>
      </c>
      <c r="DU12" s="11">
        <f t="shared" si="89"/>
        <v>0</v>
      </c>
      <c r="DV12" s="11">
        <f t="shared" ref="DV12:DV39" si="109">DU12/EV12*100</f>
        <v>0</v>
      </c>
      <c r="DW12" s="11">
        <f t="shared" si="40"/>
        <v>42155</v>
      </c>
      <c r="DX12" s="11">
        <f t="shared" si="41"/>
        <v>100</v>
      </c>
      <c r="DY12" s="11">
        <f t="shared" si="90"/>
        <v>138305</v>
      </c>
      <c r="DZ12" s="11">
        <f t="shared" si="42"/>
        <v>100</v>
      </c>
      <c r="EA12" s="103"/>
      <c r="EB12" s="11">
        <f t="shared" si="43"/>
        <v>0</v>
      </c>
      <c r="EC12" s="11">
        <f t="shared" si="91"/>
        <v>0</v>
      </c>
      <c r="ED12" s="11">
        <f t="shared" si="44"/>
        <v>0</v>
      </c>
      <c r="EE12" s="103"/>
      <c r="EF12" s="11">
        <f t="shared" si="45"/>
        <v>0</v>
      </c>
      <c r="EG12" s="11">
        <f t="shared" si="92"/>
        <v>0</v>
      </c>
      <c r="EH12" s="11">
        <f t="shared" si="46"/>
        <v>0</v>
      </c>
      <c r="EI12" s="103"/>
      <c r="EJ12" s="17">
        <f t="shared" si="47"/>
        <v>0</v>
      </c>
      <c r="EK12" s="11">
        <f t="shared" si="93"/>
        <v>0</v>
      </c>
      <c r="EL12" s="11">
        <f t="shared" si="48"/>
        <v>0</v>
      </c>
      <c r="EM12" s="11">
        <f t="shared" si="94"/>
        <v>0</v>
      </c>
      <c r="EN12" s="11">
        <f t="shared" si="49"/>
        <v>0</v>
      </c>
      <c r="EO12" s="11">
        <f t="shared" si="95"/>
        <v>0</v>
      </c>
      <c r="EP12" s="11">
        <f t="shared" si="50"/>
        <v>0</v>
      </c>
      <c r="EQ12" s="103"/>
      <c r="ER12" s="11">
        <f t="shared" si="51"/>
        <v>0</v>
      </c>
      <c r="ES12" s="11">
        <f t="shared" si="96"/>
        <v>0</v>
      </c>
      <c r="ET12" s="11">
        <f t="shared" si="52"/>
        <v>0</v>
      </c>
      <c r="EU12" s="11">
        <f t="shared" si="97"/>
        <v>42155</v>
      </c>
      <c r="EV12" s="11">
        <f t="shared" si="98"/>
        <v>138305</v>
      </c>
      <c r="EW12" s="11">
        <f t="shared" si="53"/>
        <v>0.97989307298930728</v>
      </c>
      <c r="EX12" s="11">
        <f t="shared" si="54"/>
        <v>1.0348917256551085</v>
      </c>
      <c r="EY12" s="497">
        <f t="shared" si="99"/>
        <v>1.0205195113272447</v>
      </c>
      <c r="EZ12" s="498">
        <f t="shared" si="100"/>
        <v>0.96628466071364016</v>
      </c>
      <c r="FA12" s="6" t="s">
        <v>430</v>
      </c>
    </row>
    <row r="13" spans="1:157">
      <c r="A13" s="18">
        <f>+Chem!A12</f>
        <v>46026</v>
      </c>
      <c r="B13" s="6" t="str">
        <f>+Chem!B12</f>
        <v>Toilet</v>
      </c>
      <c r="C13" s="6" t="str">
        <f>+Chem!C12</f>
        <v>13,5/14,5</v>
      </c>
      <c r="D13" s="9">
        <f>+Chem!D12</f>
        <v>46.727000000000004</v>
      </c>
      <c r="E13" s="7">
        <f>+Chem!E12</f>
        <v>47.914000000000001</v>
      </c>
      <c r="F13" s="7">
        <f t="shared" si="55"/>
        <v>181.55599999999998</v>
      </c>
      <c r="G13" s="103"/>
      <c r="H13" s="11">
        <f t="shared" si="0"/>
        <v>0</v>
      </c>
      <c r="I13" s="9">
        <f t="shared" si="56"/>
        <v>0</v>
      </c>
      <c r="J13" s="11">
        <f t="shared" si="1"/>
        <v>0</v>
      </c>
      <c r="K13" s="103"/>
      <c r="L13" s="11">
        <f t="shared" si="2"/>
        <v>0</v>
      </c>
      <c r="M13" s="11">
        <f t="shared" si="57"/>
        <v>0</v>
      </c>
      <c r="N13" s="11">
        <f t="shared" si="3"/>
        <v>0</v>
      </c>
      <c r="O13" s="103"/>
      <c r="P13" s="11">
        <f t="shared" si="4"/>
        <v>0</v>
      </c>
      <c r="Q13" s="11">
        <f t="shared" si="58"/>
        <v>0</v>
      </c>
      <c r="R13" s="11">
        <f t="shared" si="5"/>
        <v>0</v>
      </c>
      <c r="S13" s="103"/>
      <c r="T13" s="11">
        <f t="shared" si="6"/>
        <v>0</v>
      </c>
      <c r="U13" s="11">
        <f t="shared" si="59"/>
        <v>0</v>
      </c>
      <c r="V13" s="11">
        <f t="shared" si="7"/>
        <v>0</v>
      </c>
      <c r="W13" s="11"/>
      <c r="X13" s="11">
        <f t="shared" si="8"/>
        <v>0</v>
      </c>
      <c r="Y13" s="11">
        <f t="shared" si="60"/>
        <v>0</v>
      </c>
      <c r="Z13" s="11">
        <f t="shared" si="9"/>
        <v>0</v>
      </c>
      <c r="AA13" s="103"/>
      <c r="AB13" s="11">
        <f t="shared" si="10"/>
        <v>0</v>
      </c>
      <c r="AC13" s="11">
        <f t="shared" si="61"/>
        <v>0</v>
      </c>
      <c r="AD13" s="11">
        <f t="shared" si="11"/>
        <v>0</v>
      </c>
      <c r="AE13" s="103"/>
      <c r="AF13" s="11">
        <f t="shared" si="12"/>
        <v>0</v>
      </c>
      <c r="AG13" s="11">
        <f t="shared" si="62"/>
        <v>0</v>
      </c>
      <c r="AH13" s="11">
        <f t="shared" si="13"/>
        <v>0</v>
      </c>
      <c r="AI13" s="103"/>
      <c r="AJ13" s="11">
        <f t="shared" si="14"/>
        <v>0</v>
      </c>
      <c r="AK13" s="11">
        <f t="shared" si="63"/>
        <v>0</v>
      </c>
      <c r="AL13" s="11">
        <f t="shared" si="15"/>
        <v>0</v>
      </c>
      <c r="AM13" s="103"/>
      <c r="AN13" s="11">
        <f t="shared" si="16"/>
        <v>0</v>
      </c>
      <c r="AO13" s="11">
        <f t="shared" si="64"/>
        <v>0</v>
      </c>
      <c r="AP13" s="11">
        <f t="shared" si="17"/>
        <v>0</v>
      </c>
      <c r="AQ13" s="103"/>
      <c r="AR13" s="11">
        <f t="shared" si="18"/>
        <v>0</v>
      </c>
      <c r="AS13" s="11">
        <f t="shared" si="65"/>
        <v>0</v>
      </c>
      <c r="AT13" s="11">
        <f t="shared" si="19"/>
        <v>0</v>
      </c>
      <c r="AU13" s="259"/>
      <c r="AV13" s="11">
        <f t="shared" si="20"/>
        <v>0</v>
      </c>
      <c r="AW13" s="9">
        <f t="shared" si="66"/>
        <v>0</v>
      </c>
      <c r="AX13" s="11">
        <f t="shared" si="21"/>
        <v>0</v>
      </c>
      <c r="AY13" s="103"/>
      <c r="AZ13" s="11">
        <f t="shared" si="22"/>
        <v>0</v>
      </c>
      <c r="BA13" s="11">
        <f t="shared" si="67"/>
        <v>0</v>
      </c>
      <c r="BB13" s="11">
        <f t="shared" si="23"/>
        <v>0</v>
      </c>
      <c r="BC13" s="103"/>
      <c r="BD13" s="11">
        <f t="shared" si="24"/>
        <v>0</v>
      </c>
      <c r="BE13" s="11">
        <f t="shared" si="68"/>
        <v>0</v>
      </c>
      <c r="BF13" s="11">
        <f t="shared" si="25"/>
        <v>0</v>
      </c>
      <c r="BG13" s="103"/>
      <c r="BH13" s="11">
        <f t="shared" si="26"/>
        <v>0</v>
      </c>
      <c r="BI13" s="11">
        <f t="shared" si="69"/>
        <v>0</v>
      </c>
      <c r="BJ13" s="11">
        <f t="shared" si="27"/>
        <v>0</v>
      </c>
      <c r="BK13" s="103"/>
      <c r="BL13" s="11"/>
      <c r="BM13" s="11"/>
      <c r="BN13" s="11"/>
      <c r="BO13" s="103"/>
      <c r="BP13" s="11"/>
      <c r="BQ13" s="11"/>
      <c r="BR13" s="11"/>
      <c r="BS13" s="103"/>
      <c r="BT13" s="11"/>
      <c r="BU13" s="11"/>
      <c r="BV13" s="11"/>
      <c r="BW13" s="11">
        <f t="shared" si="70"/>
        <v>0</v>
      </c>
      <c r="BX13" s="11">
        <f t="shared" si="28"/>
        <v>0</v>
      </c>
      <c r="BY13" s="11">
        <f t="shared" si="71"/>
        <v>0</v>
      </c>
      <c r="BZ13" s="11">
        <f t="shared" si="29"/>
        <v>0</v>
      </c>
      <c r="CA13" s="11"/>
      <c r="CB13" s="11">
        <f t="shared" si="72"/>
        <v>0</v>
      </c>
      <c r="CC13" s="11">
        <f t="shared" si="101"/>
        <v>0</v>
      </c>
      <c r="CD13" s="11">
        <f t="shared" si="73"/>
        <v>0</v>
      </c>
      <c r="CE13" s="11"/>
      <c r="CF13" s="11">
        <f t="shared" si="102"/>
        <v>0</v>
      </c>
      <c r="CG13" s="11">
        <f t="shared" si="103"/>
        <v>0</v>
      </c>
      <c r="CH13" s="11">
        <f t="shared" si="104"/>
        <v>0</v>
      </c>
      <c r="CI13" s="11">
        <f t="shared" si="74"/>
        <v>0</v>
      </c>
      <c r="CJ13" s="11">
        <f t="shared" si="105"/>
        <v>0</v>
      </c>
      <c r="CK13" s="11">
        <f t="shared" si="106"/>
        <v>0</v>
      </c>
      <c r="CL13" s="11">
        <f t="shared" si="107"/>
        <v>0</v>
      </c>
      <c r="CM13" s="103">
        <v>3320</v>
      </c>
      <c r="CN13" s="11">
        <f t="shared" si="75"/>
        <v>5.7653902926109231</v>
      </c>
      <c r="CO13" s="11">
        <f t="shared" si="76"/>
        <v>3320</v>
      </c>
      <c r="CP13" s="11">
        <f t="shared" si="77"/>
        <v>1.6948287304099239</v>
      </c>
      <c r="CQ13" s="103">
        <v>23200</v>
      </c>
      <c r="CR13" s="11">
        <f t="shared" si="30"/>
        <v>40.288269514630549</v>
      </c>
      <c r="CS13" s="11">
        <f t="shared" si="78"/>
        <v>78160</v>
      </c>
      <c r="CT13" s="11">
        <f t="shared" si="31"/>
        <v>39.899943846036038</v>
      </c>
      <c r="CU13" s="103">
        <v>22885</v>
      </c>
      <c r="CV13" s="11">
        <f t="shared" si="32"/>
        <v>39.741252062168968</v>
      </c>
      <c r="CW13" s="11">
        <f t="shared" si="79"/>
        <v>77190</v>
      </c>
      <c r="CX13" s="11">
        <f t="shared" si="33"/>
        <v>39.404767982030734</v>
      </c>
      <c r="CY13" s="103">
        <v>3960</v>
      </c>
      <c r="CZ13" s="11">
        <f t="shared" si="34"/>
        <v>6.8767908309455592</v>
      </c>
      <c r="DA13" s="11">
        <f t="shared" si="80"/>
        <v>16735</v>
      </c>
      <c r="DB13" s="11">
        <f t="shared" si="35"/>
        <v>8.5430598805452043</v>
      </c>
      <c r="DC13" s="103"/>
      <c r="DD13" s="11">
        <f t="shared" si="36"/>
        <v>0</v>
      </c>
      <c r="DE13" s="11">
        <f t="shared" si="81"/>
        <v>2730</v>
      </c>
      <c r="DF13" s="11">
        <f t="shared" si="37"/>
        <v>1.3936392873551484</v>
      </c>
      <c r="DG13" s="103"/>
      <c r="DH13" s="11">
        <f t="shared" si="38"/>
        <v>0</v>
      </c>
      <c r="DI13" s="11">
        <f t="shared" si="82"/>
        <v>580</v>
      </c>
      <c r="DJ13" s="11">
        <f t="shared" si="39"/>
        <v>0.29608453724028788</v>
      </c>
      <c r="DK13" s="103">
        <v>4220</v>
      </c>
      <c r="DL13" s="11">
        <f t="shared" si="83"/>
        <v>7.3282972996440048</v>
      </c>
      <c r="DM13" s="11">
        <f t="shared" si="84"/>
        <v>7345</v>
      </c>
      <c r="DN13" s="11">
        <f t="shared" si="85"/>
        <v>3.7495533207412319</v>
      </c>
      <c r="DO13" s="500"/>
      <c r="DP13" s="11">
        <f t="shared" si="86"/>
        <v>0</v>
      </c>
      <c r="DQ13" s="11">
        <f t="shared" si="87"/>
        <v>0</v>
      </c>
      <c r="DR13" s="11">
        <f t="shared" si="88"/>
        <v>0</v>
      </c>
      <c r="DS13" s="103"/>
      <c r="DT13" s="11">
        <f t="shared" si="108"/>
        <v>0</v>
      </c>
      <c r="DU13" s="11">
        <f t="shared" si="89"/>
        <v>0</v>
      </c>
      <c r="DV13" s="11">
        <f t="shared" si="109"/>
        <v>0</v>
      </c>
      <c r="DW13" s="11">
        <f t="shared" si="40"/>
        <v>57585</v>
      </c>
      <c r="DX13" s="11">
        <f t="shared" si="41"/>
        <v>100</v>
      </c>
      <c r="DY13" s="11">
        <f t="shared" si="90"/>
        <v>195890</v>
      </c>
      <c r="DZ13" s="11">
        <f t="shared" si="42"/>
        <v>100</v>
      </c>
      <c r="EA13" s="103"/>
      <c r="EB13" s="11">
        <f t="shared" si="43"/>
        <v>0</v>
      </c>
      <c r="EC13" s="11">
        <f t="shared" si="91"/>
        <v>0</v>
      </c>
      <c r="ED13" s="11">
        <f t="shared" si="44"/>
        <v>0</v>
      </c>
      <c r="EE13" s="103"/>
      <c r="EF13" s="11">
        <f t="shared" si="45"/>
        <v>0</v>
      </c>
      <c r="EG13" s="11">
        <f t="shared" si="92"/>
        <v>0</v>
      </c>
      <c r="EH13" s="11">
        <f t="shared" si="46"/>
        <v>0</v>
      </c>
      <c r="EI13" s="103"/>
      <c r="EJ13" s="17">
        <f t="shared" si="47"/>
        <v>0</v>
      </c>
      <c r="EK13" s="11">
        <f t="shared" si="93"/>
        <v>0</v>
      </c>
      <c r="EL13" s="11">
        <f t="shared" si="48"/>
        <v>0</v>
      </c>
      <c r="EM13" s="11">
        <f t="shared" si="94"/>
        <v>0</v>
      </c>
      <c r="EN13" s="11">
        <f t="shared" si="49"/>
        <v>0</v>
      </c>
      <c r="EO13" s="11">
        <f t="shared" si="95"/>
        <v>0</v>
      </c>
      <c r="EP13" s="11">
        <f t="shared" si="50"/>
        <v>0</v>
      </c>
      <c r="EQ13" s="103"/>
      <c r="ER13" s="11">
        <f t="shared" si="51"/>
        <v>0</v>
      </c>
      <c r="ES13" s="11">
        <f t="shared" si="96"/>
        <v>0</v>
      </c>
      <c r="ET13" s="11">
        <f t="shared" si="52"/>
        <v>0</v>
      </c>
      <c r="EU13" s="11">
        <f t="shared" si="97"/>
        <v>57585</v>
      </c>
      <c r="EV13" s="11">
        <f t="shared" si="98"/>
        <v>195890</v>
      </c>
      <c r="EW13" s="11">
        <f t="shared" si="53"/>
        <v>1.2018407980965897</v>
      </c>
      <c r="EX13" s="11">
        <f t="shared" si="54"/>
        <v>1.0789508471215492</v>
      </c>
      <c r="EY13" s="497">
        <f t="shared" si="99"/>
        <v>0.8320569592775896</v>
      </c>
      <c r="EZ13" s="498">
        <f t="shared" si="100"/>
        <v>0.92682628005513279</v>
      </c>
      <c r="FA13" s="6" t="s">
        <v>430</v>
      </c>
    </row>
    <row r="14" spans="1:157">
      <c r="A14" s="18">
        <f>+Chem!A13</f>
        <v>46027</v>
      </c>
      <c r="B14" s="6" t="str">
        <f>+Chem!B13</f>
        <v>Toilet</v>
      </c>
      <c r="C14" s="6" t="str">
        <f>+Chem!C13</f>
        <v>14,5</v>
      </c>
      <c r="D14" s="9">
        <f>+Chem!D13</f>
        <v>51.026000000000003</v>
      </c>
      <c r="E14" s="7">
        <f>+Chem!E13</f>
        <v>48.494999999999997</v>
      </c>
      <c r="F14" s="7">
        <f t="shared" si="55"/>
        <v>230.05099999999999</v>
      </c>
      <c r="G14" s="104"/>
      <c r="H14" s="94">
        <f t="shared" si="0"/>
        <v>0</v>
      </c>
      <c r="I14" s="9">
        <f t="shared" si="56"/>
        <v>0</v>
      </c>
      <c r="J14" s="94">
        <f t="shared" si="1"/>
        <v>0</v>
      </c>
      <c r="K14" s="104"/>
      <c r="L14" s="94">
        <f t="shared" si="2"/>
        <v>0</v>
      </c>
      <c r="M14" s="94">
        <f t="shared" si="57"/>
        <v>0</v>
      </c>
      <c r="N14" s="94">
        <f t="shared" si="3"/>
        <v>0</v>
      </c>
      <c r="O14" s="103"/>
      <c r="P14" s="94">
        <f t="shared" si="4"/>
        <v>0</v>
      </c>
      <c r="Q14" s="94">
        <f t="shared" si="58"/>
        <v>0</v>
      </c>
      <c r="R14" s="94">
        <f t="shared" si="5"/>
        <v>0</v>
      </c>
      <c r="S14" s="104"/>
      <c r="T14" s="94">
        <f t="shared" si="6"/>
        <v>0</v>
      </c>
      <c r="U14" s="94">
        <f t="shared" si="59"/>
        <v>0</v>
      </c>
      <c r="V14" s="94">
        <f t="shared" si="7"/>
        <v>0</v>
      </c>
      <c r="W14" s="11"/>
      <c r="X14" s="94">
        <f t="shared" si="8"/>
        <v>0</v>
      </c>
      <c r="Y14" s="94">
        <f t="shared" si="60"/>
        <v>0</v>
      </c>
      <c r="Z14" s="94">
        <f t="shared" si="9"/>
        <v>0</v>
      </c>
      <c r="AA14" s="104"/>
      <c r="AB14" s="94">
        <f t="shared" si="10"/>
        <v>0</v>
      </c>
      <c r="AC14" s="94">
        <f t="shared" si="61"/>
        <v>0</v>
      </c>
      <c r="AD14" s="94">
        <f t="shared" si="11"/>
        <v>0</v>
      </c>
      <c r="AE14" s="104"/>
      <c r="AF14" s="94">
        <f t="shared" si="12"/>
        <v>0</v>
      </c>
      <c r="AG14" s="94">
        <f t="shared" si="62"/>
        <v>0</v>
      </c>
      <c r="AH14" s="94">
        <f t="shared" si="13"/>
        <v>0</v>
      </c>
      <c r="AI14" s="104"/>
      <c r="AJ14" s="94">
        <f t="shared" si="14"/>
        <v>0</v>
      </c>
      <c r="AK14" s="94">
        <f t="shared" si="63"/>
        <v>0</v>
      </c>
      <c r="AL14" s="94">
        <f t="shared" si="15"/>
        <v>0</v>
      </c>
      <c r="AM14" s="104"/>
      <c r="AN14" s="94">
        <f t="shared" si="16"/>
        <v>0</v>
      </c>
      <c r="AO14" s="94">
        <f t="shared" si="64"/>
        <v>0</v>
      </c>
      <c r="AP14" s="94">
        <f t="shared" si="17"/>
        <v>0</v>
      </c>
      <c r="AQ14" s="104"/>
      <c r="AR14" s="94">
        <f t="shared" si="18"/>
        <v>0</v>
      </c>
      <c r="AS14" s="94">
        <f t="shared" si="65"/>
        <v>0</v>
      </c>
      <c r="AT14" s="94">
        <f t="shared" si="19"/>
        <v>0</v>
      </c>
      <c r="AU14" s="259"/>
      <c r="AV14" s="94">
        <f t="shared" si="20"/>
        <v>0</v>
      </c>
      <c r="AW14" s="9">
        <f t="shared" si="66"/>
        <v>0</v>
      </c>
      <c r="AX14" s="94">
        <f t="shared" si="21"/>
        <v>0</v>
      </c>
      <c r="AY14" s="104"/>
      <c r="AZ14" s="94">
        <f t="shared" si="22"/>
        <v>0</v>
      </c>
      <c r="BA14" s="94">
        <f t="shared" si="67"/>
        <v>0</v>
      </c>
      <c r="BB14" s="94">
        <f t="shared" si="23"/>
        <v>0</v>
      </c>
      <c r="BC14" s="104"/>
      <c r="BD14" s="94">
        <f t="shared" si="24"/>
        <v>0</v>
      </c>
      <c r="BE14" s="94">
        <f t="shared" si="68"/>
        <v>0</v>
      </c>
      <c r="BF14" s="94">
        <f t="shared" si="25"/>
        <v>0</v>
      </c>
      <c r="BG14" s="104"/>
      <c r="BH14" s="94">
        <f t="shared" si="26"/>
        <v>0</v>
      </c>
      <c r="BI14" s="94">
        <f t="shared" si="69"/>
        <v>0</v>
      </c>
      <c r="BJ14" s="94">
        <f t="shared" si="27"/>
        <v>0</v>
      </c>
      <c r="BK14" s="104"/>
      <c r="BL14" s="94"/>
      <c r="BM14" s="94"/>
      <c r="BN14" s="94"/>
      <c r="BO14" s="104"/>
      <c r="BP14" s="94"/>
      <c r="BQ14" s="94"/>
      <c r="BR14" s="94"/>
      <c r="BS14" s="104"/>
      <c r="BT14" s="94"/>
      <c r="BU14" s="94"/>
      <c r="BV14" s="94"/>
      <c r="BW14" s="94">
        <f t="shared" si="70"/>
        <v>0</v>
      </c>
      <c r="BX14" s="94">
        <f t="shared" si="28"/>
        <v>0</v>
      </c>
      <c r="BY14" s="94">
        <f t="shared" si="71"/>
        <v>0</v>
      </c>
      <c r="BZ14" s="94">
        <f t="shared" si="29"/>
        <v>0</v>
      </c>
      <c r="CA14" s="94"/>
      <c r="CB14" s="11">
        <f t="shared" si="72"/>
        <v>0</v>
      </c>
      <c r="CC14" s="11">
        <f t="shared" si="101"/>
        <v>0</v>
      </c>
      <c r="CD14" s="11">
        <f t="shared" si="73"/>
        <v>0</v>
      </c>
      <c r="CE14" s="11"/>
      <c r="CF14" s="11">
        <f t="shared" si="102"/>
        <v>0</v>
      </c>
      <c r="CG14" s="11">
        <f t="shared" si="103"/>
        <v>0</v>
      </c>
      <c r="CH14" s="11">
        <f t="shared" si="104"/>
        <v>0</v>
      </c>
      <c r="CI14" s="11">
        <f t="shared" si="74"/>
        <v>0</v>
      </c>
      <c r="CJ14" s="11">
        <f t="shared" si="105"/>
        <v>0</v>
      </c>
      <c r="CK14" s="11">
        <f t="shared" si="106"/>
        <v>0</v>
      </c>
      <c r="CL14" s="11">
        <f t="shared" si="107"/>
        <v>0</v>
      </c>
      <c r="CM14" s="103">
        <v>3360</v>
      </c>
      <c r="CN14" s="11">
        <f t="shared" si="75"/>
        <v>5.79510175922732</v>
      </c>
      <c r="CO14" s="11">
        <f t="shared" si="76"/>
        <v>3360</v>
      </c>
      <c r="CP14" s="11">
        <f t="shared" si="77"/>
        <v>1.3235120337180446</v>
      </c>
      <c r="CQ14" s="104">
        <v>23240</v>
      </c>
      <c r="CR14" s="94">
        <f t="shared" si="30"/>
        <v>40.082787167988961</v>
      </c>
      <c r="CS14" s="94">
        <f t="shared" si="78"/>
        <v>101400</v>
      </c>
      <c r="CT14" s="94">
        <f t="shared" si="31"/>
        <v>39.941702446133846</v>
      </c>
      <c r="CU14" s="104">
        <v>22770</v>
      </c>
      <c r="CV14" s="94">
        <f t="shared" si="32"/>
        <v>39.272162814763711</v>
      </c>
      <c r="CW14" s="94">
        <f t="shared" si="79"/>
        <v>99960</v>
      </c>
      <c r="CX14" s="94">
        <f t="shared" si="33"/>
        <v>39.374483003111827</v>
      </c>
      <c r="CY14" s="103">
        <v>4130</v>
      </c>
      <c r="CZ14" s="94">
        <f t="shared" si="34"/>
        <v>7.1231459123835803</v>
      </c>
      <c r="DA14" s="94">
        <f t="shared" si="80"/>
        <v>20865</v>
      </c>
      <c r="DB14" s="94">
        <f t="shared" si="35"/>
        <v>8.2187733879544638</v>
      </c>
      <c r="DC14" s="104">
        <v>370</v>
      </c>
      <c r="DD14" s="94">
        <f t="shared" si="36"/>
        <v>0.63815108658157982</v>
      </c>
      <c r="DE14" s="94">
        <f t="shared" si="81"/>
        <v>3100</v>
      </c>
      <c r="DF14" s="94">
        <f t="shared" si="37"/>
        <v>1.2210974120612912</v>
      </c>
      <c r="DG14" s="104"/>
      <c r="DH14" s="94">
        <f t="shared" si="38"/>
        <v>0</v>
      </c>
      <c r="DI14" s="94">
        <f t="shared" si="82"/>
        <v>580</v>
      </c>
      <c r="DJ14" s="94">
        <f t="shared" si="39"/>
        <v>0.22846338677275771</v>
      </c>
      <c r="DK14" s="104">
        <v>4110</v>
      </c>
      <c r="DL14" s="11">
        <f t="shared" si="83"/>
        <v>7.0886512590548474</v>
      </c>
      <c r="DM14" s="94">
        <f t="shared" si="84"/>
        <v>11455</v>
      </c>
      <c r="DN14" s="11">
        <f t="shared" si="85"/>
        <v>4.5121518887619647</v>
      </c>
      <c r="DO14" s="500"/>
      <c r="DP14" s="94">
        <f t="shared" si="86"/>
        <v>0</v>
      </c>
      <c r="DQ14" s="94">
        <f t="shared" si="87"/>
        <v>0</v>
      </c>
      <c r="DR14" s="94">
        <f t="shared" si="88"/>
        <v>0</v>
      </c>
      <c r="DS14" s="104"/>
      <c r="DT14" s="11">
        <f t="shared" si="108"/>
        <v>0</v>
      </c>
      <c r="DU14" s="11">
        <f t="shared" si="89"/>
        <v>0</v>
      </c>
      <c r="DV14" s="11">
        <f t="shared" si="109"/>
        <v>0</v>
      </c>
      <c r="DW14" s="11">
        <f t="shared" si="40"/>
        <v>57980</v>
      </c>
      <c r="DX14" s="94">
        <f t="shared" si="41"/>
        <v>100</v>
      </c>
      <c r="DY14" s="94">
        <f t="shared" si="90"/>
        <v>253870</v>
      </c>
      <c r="DZ14" s="94">
        <f t="shared" si="42"/>
        <v>100</v>
      </c>
      <c r="EA14" s="104"/>
      <c r="EB14" s="94">
        <f t="shared" si="43"/>
        <v>0</v>
      </c>
      <c r="EC14" s="94">
        <f t="shared" si="91"/>
        <v>0</v>
      </c>
      <c r="ED14" s="94">
        <f t="shared" si="44"/>
        <v>0</v>
      </c>
      <c r="EE14" s="104"/>
      <c r="EF14" s="94">
        <f t="shared" si="45"/>
        <v>0</v>
      </c>
      <c r="EG14" s="94">
        <f t="shared" si="92"/>
        <v>0</v>
      </c>
      <c r="EH14" s="94">
        <f t="shared" si="46"/>
        <v>0</v>
      </c>
      <c r="EI14" s="104"/>
      <c r="EJ14" s="95">
        <f t="shared" si="47"/>
        <v>0</v>
      </c>
      <c r="EK14" s="94">
        <f t="shared" si="93"/>
        <v>0</v>
      </c>
      <c r="EL14" s="94">
        <f t="shared" si="48"/>
        <v>0</v>
      </c>
      <c r="EM14" s="94">
        <f t="shared" si="94"/>
        <v>0</v>
      </c>
      <c r="EN14" s="94">
        <f t="shared" si="49"/>
        <v>0</v>
      </c>
      <c r="EO14" s="94">
        <f t="shared" si="95"/>
        <v>0</v>
      </c>
      <c r="EP14" s="94">
        <f t="shared" si="50"/>
        <v>0</v>
      </c>
      <c r="EQ14" s="104"/>
      <c r="ER14" s="94">
        <f t="shared" si="51"/>
        <v>0</v>
      </c>
      <c r="ES14" s="94">
        <f t="shared" si="96"/>
        <v>0</v>
      </c>
      <c r="ET14" s="94">
        <f t="shared" si="52"/>
        <v>0</v>
      </c>
      <c r="EU14" s="11">
        <f t="shared" si="97"/>
        <v>57980</v>
      </c>
      <c r="EV14" s="94">
        <f t="shared" si="98"/>
        <v>253870</v>
      </c>
      <c r="EW14" s="94">
        <f t="shared" si="53"/>
        <v>1.1955871739354573</v>
      </c>
      <c r="EX14" s="94">
        <f t="shared" si="54"/>
        <v>1.1035379111588302</v>
      </c>
      <c r="EY14" s="497">
        <f t="shared" si="99"/>
        <v>0.83640910658847878</v>
      </c>
      <c r="EZ14" s="498">
        <f t="shared" si="100"/>
        <v>0.90617638949068424</v>
      </c>
      <c r="FA14" s="6" t="s">
        <v>430</v>
      </c>
    </row>
    <row r="15" spans="1:157">
      <c r="A15" s="18">
        <f>+Chem!A14</f>
        <v>46028</v>
      </c>
      <c r="B15" s="6" t="str">
        <f>+Chem!B14</f>
        <v>Toilet/Towel</v>
      </c>
      <c r="C15" s="6" t="str">
        <f>+Chem!C14</f>
        <v>14,5/29/17</v>
      </c>
      <c r="D15" s="9">
        <f>+Chem!D14</f>
        <v>14.664</v>
      </c>
      <c r="E15" s="7">
        <f>+Chem!E14</f>
        <v>13.914999999999999</v>
      </c>
      <c r="F15" s="7">
        <f t="shared" si="55"/>
        <v>243.96599999999998</v>
      </c>
      <c r="G15" s="104"/>
      <c r="H15" s="94">
        <f t="shared" si="0"/>
        <v>0</v>
      </c>
      <c r="I15" s="9">
        <f t="shared" si="56"/>
        <v>0</v>
      </c>
      <c r="J15" s="94">
        <f t="shared" si="1"/>
        <v>0</v>
      </c>
      <c r="K15" s="104"/>
      <c r="L15" s="94">
        <f t="shared" si="2"/>
        <v>0</v>
      </c>
      <c r="M15" s="94">
        <f t="shared" si="57"/>
        <v>0</v>
      </c>
      <c r="N15" s="94">
        <f t="shared" si="3"/>
        <v>0</v>
      </c>
      <c r="O15" s="103"/>
      <c r="P15" s="94">
        <f t="shared" si="4"/>
        <v>0</v>
      </c>
      <c r="Q15" s="94">
        <f t="shared" si="58"/>
        <v>0</v>
      </c>
      <c r="R15" s="94">
        <f t="shared" si="5"/>
        <v>0</v>
      </c>
      <c r="S15" s="104"/>
      <c r="T15" s="94">
        <f t="shared" si="6"/>
        <v>0</v>
      </c>
      <c r="U15" s="94">
        <f t="shared" si="59"/>
        <v>0</v>
      </c>
      <c r="V15" s="94">
        <f t="shared" si="7"/>
        <v>0</v>
      </c>
      <c r="W15" s="11"/>
      <c r="X15" s="94">
        <f t="shared" si="8"/>
        <v>0</v>
      </c>
      <c r="Y15" s="94">
        <f t="shared" si="60"/>
        <v>0</v>
      </c>
      <c r="Z15" s="94">
        <f t="shared" si="9"/>
        <v>0</v>
      </c>
      <c r="AA15" s="104"/>
      <c r="AB15" s="94">
        <f t="shared" si="10"/>
        <v>0</v>
      </c>
      <c r="AC15" s="94">
        <f t="shared" si="61"/>
        <v>0</v>
      </c>
      <c r="AD15" s="94">
        <f t="shared" si="11"/>
        <v>0</v>
      </c>
      <c r="AE15" s="104"/>
      <c r="AF15" s="94">
        <f t="shared" si="12"/>
        <v>0</v>
      </c>
      <c r="AG15" s="94">
        <f t="shared" si="62"/>
        <v>0</v>
      </c>
      <c r="AH15" s="94">
        <f t="shared" si="13"/>
        <v>0</v>
      </c>
      <c r="AI15" s="104"/>
      <c r="AJ15" s="94">
        <f t="shared" si="14"/>
        <v>0</v>
      </c>
      <c r="AK15" s="94">
        <f t="shared" si="63"/>
        <v>0</v>
      </c>
      <c r="AL15" s="94">
        <f t="shared" si="15"/>
        <v>0</v>
      </c>
      <c r="AM15" s="104"/>
      <c r="AN15" s="94">
        <f t="shared" si="16"/>
        <v>0</v>
      </c>
      <c r="AO15" s="94">
        <f t="shared" si="64"/>
        <v>0</v>
      </c>
      <c r="AP15" s="94">
        <f t="shared" si="17"/>
        <v>0</v>
      </c>
      <c r="AQ15" s="104"/>
      <c r="AR15" s="94">
        <f t="shared" si="18"/>
        <v>0</v>
      </c>
      <c r="AS15" s="94">
        <f t="shared" si="65"/>
        <v>0</v>
      </c>
      <c r="AT15" s="94">
        <f t="shared" si="19"/>
        <v>0</v>
      </c>
      <c r="AU15" s="259"/>
      <c r="AV15" s="94">
        <f t="shared" si="20"/>
        <v>0</v>
      </c>
      <c r="AW15" s="9">
        <f t="shared" si="66"/>
        <v>0</v>
      </c>
      <c r="AX15" s="94">
        <f t="shared" si="21"/>
        <v>0</v>
      </c>
      <c r="AY15" s="104"/>
      <c r="AZ15" s="94">
        <f t="shared" si="22"/>
        <v>0</v>
      </c>
      <c r="BA15" s="94">
        <f t="shared" si="67"/>
        <v>0</v>
      </c>
      <c r="BB15" s="94">
        <f t="shared" si="23"/>
        <v>0</v>
      </c>
      <c r="BC15" s="104"/>
      <c r="BD15" s="94">
        <f t="shared" si="24"/>
        <v>0</v>
      </c>
      <c r="BE15" s="94">
        <f t="shared" si="68"/>
        <v>0</v>
      </c>
      <c r="BF15" s="94">
        <f t="shared" si="25"/>
        <v>0</v>
      </c>
      <c r="BG15" s="104"/>
      <c r="BH15" s="94">
        <f t="shared" si="26"/>
        <v>0</v>
      </c>
      <c r="BI15" s="94">
        <f t="shared" si="69"/>
        <v>0</v>
      </c>
      <c r="BJ15" s="94">
        <f t="shared" si="27"/>
        <v>0</v>
      </c>
      <c r="BK15" s="104"/>
      <c r="BL15" s="94"/>
      <c r="BM15" s="94"/>
      <c r="BN15" s="94"/>
      <c r="BO15" s="104"/>
      <c r="BP15" s="94"/>
      <c r="BQ15" s="94"/>
      <c r="BR15" s="94"/>
      <c r="BS15" s="104"/>
      <c r="BT15" s="94"/>
      <c r="BU15" s="94"/>
      <c r="BV15" s="94"/>
      <c r="BW15" s="94">
        <f t="shared" si="70"/>
        <v>0</v>
      </c>
      <c r="BX15" s="94">
        <f t="shared" si="28"/>
        <v>0</v>
      </c>
      <c r="BY15" s="94">
        <f t="shared" si="71"/>
        <v>0</v>
      </c>
      <c r="BZ15" s="94">
        <f t="shared" si="29"/>
        <v>0</v>
      </c>
      <c r="CA15" s="94"/>
      <c r="CB15" s="11">
        <f t="shared" si="72"/>
        <v>0</v>
      </c>
      <c r="CC15" s="11">
        <f t="shared" si="101"/>
        <v>0</v>
      </c>
      <c r="CD15" s="11">
        <f t="shared" si="73"/>
        <v>0</v>
      </c>
      <c r="CE15" s="11"/>
      <c r="CF15" s="11">
        <f t="shared" si="102"/>
        <v>0</v>
      </c>
      <c r="CG15" s="11">
        <f t="shared" si="103"/>
        <v>0</v>
      </c>
      <c r="CH15" s="11">
        <f t="shared" si="104"/>
        <v>0</v>
      </c>
      <c r="CI15" s="11">
        <f t="shared" si="74"/>
        <v>0</v>
      </c>
      <c r="CJ15" s="11">
        <f t="shared" si="105"/>
        <v>0</v>
      </c>
      <c r="CK15" s="11">
        <f t="shared" si="106"/>
        <v>0</v>
      </c>
      <c r="CL15" s="11">
        <f t="shared" si="107"/>
        <v>0</v>
      </c>
      <c r="CM15" s="103">
        <v>1860</v>
      </c>
      <c r="CN15" s="11">
        <f t="shared" si="75"/>
        <v>6.079424742605001</v>
      </c>
      <c r="CO15" s="11">
        <f t="shared" si="76"/>
        <v>1860</v>
      </c>
      <c r="CP15" s="11">
        <f t="shared" si="77"/>
        <v>0.65385899847081363</v>
      </c>
      <c r="CQ15" s="104">
        <v>12390</v>
      </c>
      <c r="CR15" s="94">
        <f t="shared" si="30"/>
        <v>40.496813204772018</v>
      </c>
      <c r="CS15" s="94">
        <f t="shared" si="78"/>
        <v>113790</v>
      </c>
      <c r="CT15" s="94">
        <f t="shared" si="31"/>
        <v>40.001406148383808</v>
      </c>
      <c r="CU15" s="104">
        <v>12015</v>
      </c>
      <c r="CV15" s="94">
        <f t="shared" si="32"/>
        <v>39.271122732472627</v>
      </c>
      <c r="CW15" s="94">
        <f t="shared" si="79"/>
        <v>111975</v>
      </c>
      <c r="CX15" s="94">
        <f t="shared" si="33"/>
        <v>39.363366319230835</v>
      </c>
      <c r="CY15" s="103">
        <v>2355</v>
      </c>
      <c r="CZ15" s="94">
        <f t="shared" si="34"/>
        <v>7.6973361660402029</v>
      </c>
      <c r="DA15" s="94">
        <f t="shared" si="80"/>
        <v>23220</v>
      </c>
      <c r="DB15" s="94">
        <f t="shared" si="35"/>
        <v>8.1626913680066089</v>
      </c>
      <c r="DC15" s="104"/>
      <c r="DD15" s="94">
        <f t="shared" si="36"/>
        <v>0</v>
      </c>
      <c r="DE15" s="94">
        <f t="shared" si="81"/>
        <v>3100</v>
      </c>
      <c r="DF15" s="94">
        <f t="shared" si="37"/>
        <v>1.0897649974513561</v>
      </c>
      <c r="DG15" s="104">
        <v>100</v>
      </c>
      <c r="DH15" s="94">
        <f t="shared" si="38"/>
        <v>0.32685079261317207</v>
      </c>
      <c r="DI15" s="94">
        <f t="shared" si="82"/>
        <v>680</v>
      </c>
      <c r="DJ15" s="94">
        <f t="shared" si="39"/>
        <v>0.23904522524739424</v>
      </c>
      <c r="DK15" s="104">
        <v>1875</v>
      </c>
      <c r="DL15" s="11">
        <f t="shared" si="83"/>
        <v>6.1284523614969766</v>
      </c>
      <c r="DM15" s="94">
        <f t="shared" si="84"/>
        <v>13330</v>
      </c>
      <c r="DN15" s="11">
        <f t="shared" si="85"/>
        <v>4.6859894890408311</v>
      </c>
      <c r="DO15" s="500"/>
      <c r="DP15" s="94">
        <f t="shared" si="86"/>
        <v>0</v>
      </c>
      <c r="DQ15" s="94">
        <f t="shared" si="87"/>
        <v>0</v>
      </c>
      <c r="DR15" s="94">
        <f t="shared" si="88"/>
        <v>0</v>
      </c>
      <c r="DS15" s="104"/>
      <c r="DT15" s="11">
        <f t="shared" si="108"/>
        <v>0</v>
      </c>
      <c r="DU15" s="11">
        <f t="shared" si="89"/>
        <v>0</v>
      </c>
      <c r="DV15" s="11">
        <f t="shared" si="109"/>
        <v>0</v>
      </c>
      <c r="DW15" s="11">
        <f t="shared" si="40"/>
        <v>30595</v>
      </c>
      <c r="DX15" s="94">
        <f t="shared" si="41"/>
        <v>100</v>
      </c>
      <c r="DY15" s="94">
        <f t="shared" si="90"/>
        <v>284465</v>
      </c>
      <c r="DZ15" s="94">
        <f t="shared" si="42"/>
        <v>100</v>
      </c>
      <c r="EA15" s="104"/>
      <c r="EB15" s="94">
        <f t="shared" si="43"/>
        <v>0</v>
      </c>
      <c r="EC15" s="94">
        <f t="shared" si="91"/>
        <v>0</v>
      </c>
      <c r="ED15" s="94">
        <f t="shared" si="44"/>
        <v>0</v>
      </c>
      <c r="EE15" s="104"/>
      <c r="EF15" s="94">
        <f t="shared" si="45"/>
        <v>0</v>
      </c>
      <c r="EG15" s="94">
        <f t="shared" si="92"/>
        <v>0</v>
      </c>
      <c r="EH15" s="94">
        <f t="shared" si="46"/>
        <v>0</v>
      </c>
      <c r="EI15" s="104"/>
      <c r="EJ15" s="95">
        <f t="shared" si="47"/>
        <v>0</v>
      </c>
      <c r="EK15" s="94">
        <f t="shared" si="93"/>
        <v>0</v>
      </c>
      <c r="EL15" s="94">
        <f t="shared" si="48"/>
        <v>0</v>
      </c>
      <c r="EM15" s="94">
        <f t="shared" si="94"/>
        <v>0</v>
      </c>
      <c r="EN15" s="94">
        <f t="shared" si="49"/>
        <v>0</v>
      </c>
      <c r="EO15" s="94">
        <f t="shared" si="95"/>
        <v>0</v>
      </c>
      <c r="EP15" s="94">
        <f t="shared" si="50"/>
        <v>0</v>
      </c>
      <c r="EQ15" s="104"/>
      <c r="ER15" s="94">
        <f t="shared" si="51"/>
        <v>0</v>
      </c>
      <c r="ES15" s="94">
        <f t="shared" si="96"/>
        <v>0</v>
      </c>
      <c r="ET15" s="94">
        <f t="shared" si="52"/>
        <v>0</v>
      </c>
      <c r="EU15" s="11">
        <f t="shared" si="97"/>
        <v>30595</v>
      </c>
      <c r="EV15" s="94">
        <f t="shared" si="98"/>
        <v>284465</v>
      </c>
      <c r="EW15" s="94">
        <f t="shared" si="53"/>
        <v>2.198706431908013</v>
      </c>
      <c r="EX15" s="94">
        <f t="shared" si="54"/>
        <v>1.1660026397120911</v>
      </c>
      <c r="EY15" s="497">
        <f t="shared" si="99"/>
        <v>0.45481287792122899</v>
      </c>
      <c r="EZ15" s="498">
        <f t="shared" si="100"/>
        <v>0.85763099151037903</v>
      </c>
      <c r="FA15" s="6" t="s">
        <v>430</v>
      </c>
    </row>
    <row r="16" spans="1:157">
      <c r="A16" s="18">
        <f>+Chem!A15</f>
        <v>46029</v>
      </c>
      <c r="B16" s="6" t="str">
        <f>+Chem!B15</f>
        <v>Towel</v>
      </c>
      <c r="C16" s="6" t="str">
        <f>+Chem!C15</f>
        <v>17/35,5/22/14</v>
      </c>
      <c r="D16" s="9">
        <f>+Chem!D15</f>
        <v>45.86</v>
      </c>
      <c r="E16" s="7">
        <f>+Chem!E15</f>
        <v>38.475000000000001</v>
      </c>
      <c r="F16" s="7">
        <f t="shared" si="55"/>
        <v>282.44099999999997</v>
      </c>
      <c r="G16" s="104"/>
      <c r="H16" s="94">
        <f t="shared" si="0"/>
        <v>0</v>
      </c>
      <c r="I16" s="9">
        <f t="shared" si="56"/>
        <v>0</v>
      </c>
      <c r="J16" s="94">
        <f t="shared" si="1"/>
        <v>0</v>
      </c>
      <c r="K16" s="104"/>
      <c r="L16" s="94">
        <f t="shared" si="2"/>
        <v>0</v>
      </c>
      <c r="M16" s="94">
        <f t="shared" si="57"/>
        <v>0</v>
      </c>
      <c r="N16" s="94">
        <f t="shared" si="3"/>
        <v>0</v>
      </c>
      <c r="O16" s="103"/>
      <c r="P16" s="94">
        <f t="shared" si="4"/>
        <v>0</v>
      </c>
      <c r="Q16" s="94">
        <f t="shared" si="58"/>
        <v>0</v>
      </c>
      <c r="R16" s="94">
        <f t="shared" si="5"/>
        <v>0</v>
      </c>
      <c r="S16" s="104"/>
      <c r="T16" s="94">
        <f t="shared" si="6"/>
        <v>0</v>
      </c>
      <c r="U16" s="94">
        <f t="shared" si="59"/>
        <v>0</v>
      </c>
      <c r="V16" s="94">
        <f t="shared" si="7"/>
        <v>0</v>
      </c>
      <c r="W16" s="11"/>
      <c r="X16" s="94">
        <f t="shared" si="8"/>
        <v>0</v>
      </c>
      <c r="Y16" s="94">
        <f t="shared" si="60"/>
        <v>0</v>
      </c>
      <c r="Z16" s="94">
        <f t="shared" si="9"/>
        <v>0</v>
      </c>
      <c r="AA16" s="104"/>
      <c r="AB16" s="94">
        <f t="shared" si="10"/>
        <v>0</v>
      </c>
      <c r="AC16" s="94">
        <f t="shared" si="61"/>
        <v>0</v>
      </c>
      <c r="AD16" s="94">
        <f t="shared" si="11"/>
        <v>0</v>
      </c>
      <c r="AE16" s="104"/>
      <c r="AF16" s="94">
        <f t="shared" si="12"/>
        <v>0</v>
      </c>
      <c r="AG16" s="94">
        <f t="shared" si="62"/>
        <v>0</v>
      </c>
      <c r="AH16" s="94">
        <f t="shared" si="13"/>
        <v>0</v>
      </c>
      <c r="AI16" s="104"/>
      <c r="AJ16" s="94">
        <f t="shared" si="14"/>
        <v>0</v>
      </c>
      <c r="AK16" s="94">
        <f t="shared" si="63"/>
        <v>0</v>
      </c>
      <c r="AL16" s="94">
        <f t="shared" si="15"/>
        <v>0</v>
      </c>
      <c r="AM16" s="104"/>
      <c r="AN16" s="94">
        <f t="shared" si="16"/>
        <v>0</v>
      </c>
      <c r="AO16" s="94">
        <f t="shared" si="64"/>
        <v>0</v>
      </c>
      <c r="AP16" s="94">
        <f t="shared" si="17"/>
        <v>0</v>
      </c>
      <c r="AQ16" s="104"/>
      <c r="AR16" s="94">
        <f t="shared" si="18"/>
        <v>0</v>
      </c>
      <c r="AS16" s="94">
        <f t="shared" si="65"/>
        <v>0</v>
      </c>
      <c r="AT16" s="94">
        <f t="shared" si="19"/>
        <v>0</v>
      </c>
      <c r="AU16" s="259"/>
      <c r="AV16" s="94">
        <f t="shared" si="20"/>
        <v>0</v>
      </c>
      <c r="AW16" s="9">
        <f t="shared" si="66"/>
        <v>0</v>
      </c>
      <c r="AX16" s="94">
        <f t="shared" si="21"/>
        <v>0</v>
      </c>
      <c r="AY16" s="104"/>
      <c r="AZ16" s="94">
        <f t="shared" si="22"/>
        <v>0</v>
      </c>
      <c r="BA16" s="94">
        <f t="shared" si="67"/>
        <v>0</v>
      </c>
      <c r="BB16" s="94">
        <f t="shared" si="23"/>
        <v>0</v>
      </c>
      <c r="BC16" s="104"/>
      <c r="BD16" s="94">
        <f t="shared" si="24"/>
        <v>0</v>
      </c>
      <c r="BE16" s="94">
        <f t="shared" si="68"/>
        <v>0</v>
      </c>
      <c r="BF16" s="94">
        <f t="shared" si="25"/>
        <v>0</v>
      </c>
      <c r="BG16" s="104"/>
      <c r="BH16" s="94">
        <f t="shared" si="26"/>
        <v>0</v>
      </c>
      <c r="BI16" s="94">
        <f t="shared" si="69"/>
        <v>0</v>
      </c>
      <c r="BJ16" s="94">
        <f t="shared" si="27"/>
        <v>0</v>
      </c>
      <c r="BK16" s="104"/>
      <c r="BL16" s="94"/>
      <c r="BM16" s="94"/>
      <c r="BN16" s="94"/>
      <c r="BO16" s="104"/>
      <c r="BP16" s="94"/>
      <c r="BQ16" s="94"/>
      <c r="BR16" s="94"/>
      <c r="BS16" s="104"/>
      <c r="BT16" s="94"/>
      <c r="BU16" s="94"/>
      <c r="BV16" s="94"/>
      <c r="BW16" s="94">
        <f t="shared" si="70"/>
        <v>0</v>
      </c>
      <c r="BX16" s="94">
        <f t="shared" si="28"/>
        <v>0</v>
      </c>
      <c r="BY16" s="94">
        <f t="shared" si="71"/>
        <v>0</v>
      </c>
      <c r="BZ16" s="94">
        <f t="shared" si="29"/>
        <v>0</v>
      </c>
      <c r="CA16" s="94"/>
      <c r="CB16" s="11">
        <f t="shared" si="72"/>
        <v>0</v>
      </c>
      <c r="CC16" s="11">
        <f t="shared" si="101"/>
        <v>0</v>
      </c>
      <c r="CD16" s="11">
        <f t="shared" si="73"/>
        <v>0</v>
      </c>
      <c r="CE16" s="11"/>
      <c r="CF16" s="11">
        <f t="shared" si="102"/>
        <v>0</v>
      </c>
      <c r="CG16" s="11">
        <f t="shared" si="103"/>
        <v>0</v>
      </c>
      <c r="CH16" s="11">
        <f t="shared" si="104"/>
        <v>0</v>
      </c>
      <c r="CI16" s="11">
        <f t="shared" si="74"/>
        <v>0</v>
      </c>
      <c r="CJ16" s="11">
        <f t="shared" si="105"/>
        <v>0</v>
      </c>
      <c r="CK16" s="11">
        <f t="shared" si="106"/>
        <v>0</v>
      </c>
      <c r="CL16" s="11">
        <f t="shared" si="107"/>
        <v>0</v>
      </c>
      <c r="CM16" s="103">
        <v>3060</v>
      </c>
      <c r="CN16" s="11">
        <f t="shared" si="75"/>
        <v>6.2455352586998671</v>
      </c>
      <c r="CO16" s="11">
        <f t="shared" si="76"/>
        <v>3060</v>
      </c>
      <c r="CP16" s="11">
        <f t="shared" si="77"/>
        <v>0.91765129250884669</v>
      </c>
      <c r="CQ16" s="104">
        <v>20130</v>
      </c>
      <c r="CR16" s="94">
        <f t="shared" si="30"/>
        <v>41.085825084192265</v>
      </c>
      <c r="CS16" s="94">
        <f t="shared" si="78"/>
        <v>133920</v>
      </c>
      <c r="CT16" s="94">
        <f t="shared" si="31"/>
        <v>40.160738919210701</v>
      </c>
      <c r="CU16" s="104">
        <v>19625</v>
      </c>
      <c r="CV16" s="94">
        <f t="shared" si="32"/>
        <v>40.055107664047348</v>
      </c>
      <c r="CW16" s="94">
        <f t="shared" si="79"/>
        <v>131600</v>
      </c>
      <c r="CX16" s="94">
        <f t="shared" si="33"/>
        <v>39.465003298746474</v>
      </c>
      <c r="CY16" s="103">
        <v>3750</v>
      </c>
      <c r="CZ16" s="94">
        <f t="shared" si="34"/>
        <v>7.6538422287988572</v>
      </c>
      <c r="DA16" s="94">
        <f t="shared" si="80"/>
        <v>26970</v>
      </c>
      <c r="DB16" s="94">
        <f t="shared" si="35"/>
        <v>8.0879265878965985</v>
      </c>
      <c r="DC16" s="104"/>
      <c r="DD16" s="94">
        <f t="shared" si="36"/>
        <v>0</v>
      </c>
      <c r="DE16" s="94">
        <f t="shared" si="81"/>
        <v>3100</v>
      </c>
      <c r="DF16" s="94">
        <f t="shared" si="37"/>
        <v>0.92964673424098843</v>
      </c>
      <c r="DG16" s="104">
        <v>210</v>
      </c>
      <c r="DH16" s="94">
        <f t="shared" si="38"/>
        <v>0.42861516481273604</v>
      </c>
      <c r="DI16" s="94">
        <f t="shared" si="82"/>
        <v>890</v>
      </c>
      <c r="DJ16" s="94">
        <f t="shared" si="39"/>
        <v>0.2668985785401547</v>
      </c>
      <c r="DK16" s="104">
        <v>2220</v>
      </c>
      <c r="DL16" s="11">
        <f t="shared" si="83"/>
        <v>4.5310745994489237</v>
      </c>
      <c r="DM16" s="94">
        <f t="shared" si="84"/>
        <v>15550</v>
      </c>
      <c r="DN16" s="11">
        <f t="shared" si="85"/>
        <v>4.6632279733701196</v>
      </c>
      <c r="DO16" s="500"/>
      <c r="DP16" s="94">
        <f t="shared" si="86"/>
        <v>0</v>
      </c>
      <c r="DQ16" s="94">
        <f t="shared" si="87"/>
        <v>0</v>
      </c>
      <c r="DR16" s="94">
        <f t="shared" si="88"/>
        <v>0</v>
      </c>
      <c r="DS16" s="104"/>
      <c r="DT16" s="11">
        <f t="shared" si="108"/>
        <v>0</v>
      </c>
      <c r="DU16" s="11">
        <f t="shared" si="89"/>
        <v>0</v>
      </c>
      <c r="DV16" s="11">
        <f t="shared" si="109"/>
        <v>0</v>
      </c>
      <c r="DW16" s="11">
        <f t="shared" si="40"/>
        <v>48995</v>
      </c>
      <c r="DX16" s="94">
        <f t="shared" si="41"/>
        <v>100</v>
      </c>
      <c r="DY16" s="94">
        <f t="shared" si="90"/>
        <v>333460</v>
      </c>
      <c r="DZ16" s="94">
        <f t="shared" si="42"/>
        <v>100</v>
      </c>
      <c r="EA16" s="104"/>
      <c r="EB16" s="94">
        <f t="shared" si="43"/>
        <v>0</v>
      </c>
      <c r="EC16" s="94">
        <f t="shared" si="91"/>
        <v>0</v>
      </c>
      <c r="ED16" s="94">
        <f t="shared" si="44"/>
        <v>0</v>
      </c>
      <c r="EE16" s="104"/>
      <c r="EF16" s="94">
        <f t="shared" si="45"/>
        <v>0</v>
      </c>
      <c r="EG16" s="94">
        <f t="shared" si="92"/>
        <v>0</v>
      </c>
      <c r="EH16" s="94">
        <f t="shared" si="46"/>
        <v>0</v>
      </c>
      <c r="EI16" s="104"/>
      <c r="EJ16" s="95">
        <f t="shared" si="47"/>
        <v>0</v>
      </c>
      <c r="EK16" s="94">
        <f t="shared" si="93"/>
        <v>0</v>
      </c>
      <c r="EL16" s="94">
        <f t="shared" si="48"/>
        <v>0</v>
      </c>
      <c r="EM16" s="94">
        <f t="shared" si="94"/>
        <v>0</v>
      </c>
      <c r="EN16" s="94">
        <f t="shared" si="49"/>
        <v>0</v>
      </c>
      <c r="EO16" s="94">
        <f t="shared" si="95"/>
        <v>0</v>
      </c>
      <c r="EP16" s="94">
        <f t="shared" si="50"/>
        <v>0</v>
      </c>
      <c r="EQ16" s="104"/>
      <c r="ER16" s="94">
        <f t="shared" si="51"/>
        <v>0</v>
      </c>
      <c r="ES16" s="94">
        <f t="shared" si="96"/>
        <v>0</v>
      </c>
      <c r="ET16" s="94">
        <f t="shared" si="52"/>
        <v>0</v>
      </c>
      <c r="EU16" s="11">
        <f t="shared" si="97"/>
        <v>48995</v>
      </c>
      <c r="EV16" s="94">
        <f t="shared" si="98"/>
        <v>333460</v>
      </c>
      <c r="EW16" s="94">
        <f t="shared" si="53"/>
        <v>1.2734243014944768</v>
      </c>
      <c r="EX16" s="94">
        <f t="shared" si="54"/>
        <v>1.1806359558279429</v>
      </c>
      <c r="EY16" s="497">
        <f t="shared" si="99"/>
        <v>0.78528421267476278</v>
      </c>
      <c r="EZ16" s="498">
        <f t="shared" si="100"/>
        <v>0.84700113956696454</v>
      </c>
      <c r="FA16" s="6" t="s">
        <v>430</v>
      </c>
    </row>
    <row r="17" spans="1:163">
      <c r="A17" s="18">
        <f>+Chem!A16</f>
        <v>46030</v>
      </c>
      <c r="B17" s="6" t="str">
        <f>+Chem!B16</f>
        <v>Towel/Napkin</v>
      </c>
      <c r="C17" s="6" t="str">
        <f>+Chem!C16</f>
        <v>14/35,5/29/15,5</v>
      </c>
      <c r="D17" s="9">
        <f>+Chem!D16</f>
        <v>50.231000000000002</v>
      </c>
      <c r="E17" s="7">
        <f>+Chem!E16</f>
        <v>43.527000000000001</v>
      </c>
      <c r="F17" s="7">
        <f t="shared" si="55"/>
        <v>325.96799999999996</v>
      </c>
      <c r="G17" s="104"/>
      <c r="H17" s="94">
        <f t="shared" si="0"/>
        <v>0</v>
      </c>
      <c r="I17" s="9">
        <f t="shared" si="56"/>
        <v>0</v>
      </c>
      <c r="J17" s="94">
        <f t="shared" si="1"/>
        <v>0</v>
      </c>
      <c r="K17" s="104"/>
      <c r="L17" s="94">
        <f t="shared" si="2"/>
        <v>0</v>
      </c>
      <c r="M17" s="94">
        <f t="shared" si="57"/>
        <v>0</v>
      </c>
      <c r="N17" s="94">
        <f t="shared" si="3"/>
        <v>0</v>
      </c>
      <c r="O17" s="103"/>
      <c r="P17" s="94">
        <f t="shared" si="4"/>
        <v>0</v>
      </c>
      <c r="Q17" s="94">
        <f t="shared" si="58"/>
        <v>0</v>
      </c>
      <c r="R17" s="94">
        <f t="shared" si="5"/>
        <v>0</v>
      </c>
      <c r="S17" s="104">
        <f>25*S7</f>
        <v>6250</v>
      </c>
      <c r="T17" s="94">
        <f t="shared" si="6"/>
        <v>11.501656238498343</v>
      </c>
      <c r="U17" s="94">
        <f t="shared" si="59"/>
        <v>6250</v>
      </c>
      <c r="V17" s="94">
        <f t="shared" si="7"/>
        <v>1.6116554925219184</v>
      </c>
      <c r="W17" s="11"/>
      <c r="X17" s="94">
        <f t="shared" si="8"/>
        <v>0</v>
      </c>
      <c r="Y17" s="94">
        <f t="shared" si="60"/>
        <v>0</v>
      </c>
      <c r="Z17" s="94">
        <f t="shared" si="9"/>
        <v>0</v>
      </c>
      <c r="AA17" s="104"/>
      <c r="AB17" s="94">
        <f t="shared" si="10"/>
        <v>0</v>
      </c>
      <c r="AC17" s="94">
        <f t="shared" si="61"/>
        <v>0</v>
      </c>
      <c r="AD17" s="94">
        <f t="shared" si="11"/>
        <v>0</v>
      </c>
      <c r="AE17" s="104"/>
      <c r="AF17" s="94">
        <f t="shared" si="12"/>
        <v>0</v>
      </c>
      <c r="AG17" s="94">
        <f t="shared" si="62"/>
        <v>0</v>
      </c>
      <c r="AH17" s="94">
        <f t="shared" si="13"/>
        <v>0</v>
      </c>
      <c r="AI17" s="104"/>
      <c r="AJ17" s="94">
        <f t="shared" si="14"/>
        <v>0</v>
      </c>
      <c r="AK17" s="94">
        <f t="shared" si="63"/>
        <v>0</v>
      </c>
      <c r="AL17" s="94">
        <f t="shared" si="15"/>
        <v>0</v>
      </c>
      <c r="AM17" s="104"/>
      <c r="AN17" s="94">
        <f t="shared" si="16"/>
        <v>0</v>
      </c>
      <c r="AO17" s="94">
        <f t="shared" si="64"/>
        <v>0</v>
      </c>
      <c r="AP17" s="94">
        <f t="shared" si="17"/>
        <v>0</v>
      </c>
      <c r="AQ17" s="104"/>
      <c r="AR17" s="94">
        <f t="shared" si="18"/>
        <v>0</v>
      </c>
      <c r="AS17" s="94">
        <f t="shared" si="65"/>
        <v>0</v>
      </c>
      <c r="AT17" s="94">
        <f t="shared" si="19"/>
        <v>0</v>
      </c>
      <c r="AU17" s="259"/>
      <c r="AV17" s="94">
        <f t="shared" si="20"/>
        <v>0</v>
      </c>
      <c r="AW17" s="9">
        <f t="shared" si="66"/>
        <v>0</v>
      </c>
      <c r="AX17" s="94">
        <f t="shared" si="21"/>
        <v>0</v>
      </c>
      <c r="AY17" s="104"/>
      <c r="AZ17" s="94">
        <f t="shared" si="22"/>
        <v>0</v>
      </c>
      <c r="BA17" s="94">
        <f t="shared" si="67"/>
        <v>0</v>
      </c>
      <c r="BB17" s="94">
        <f t="shared" si="23"/>
        <v>0</v>
      </c>
      <c r="BC17" s="104"/>
      <c r="BD17" s="94">
        <f t="shared" si="24"/>
        <v>0</v>
      </c>
      <c r="BE17" s="94">
        <f t="shared" si="68"/>
        <v>0</v>
      </c>
      <c r="BF17" s="94">
        <f t="shared" si="25"/>
        <v>0</v>
      </c>
      <c r="BG17" s="104"/>
      <c r="BH17" s="94">
        <f t="shared" si="26"/>
        <v>0</v>
      </c>
      <c r="BI17" s="94">
        <f t="shared" si="69"/>
        <v>0</v>
      </c>
      <c r="BJ17" s="94">
        <f t="shared" si="27"/>
        <v>0</v>
      </c>
      <c r="BK17" s="104"/>
      <c r="BL17" s="94"/>
      <c r="BM17" s="94"/>
      <c r="BN17" s="94"/>
      <c r="BO17" s="104"/>
      <c r="BP17" s="94"/>
      <c r="BQ17" s="94"/>
      <c r="BR17" s="94"/>
      <c r="BS17" s="104"/>
      <c r="BT17" s="94"/>
      <c r="BU17" s="94"/>
      <c r="BV17" s="94"/>
      <c r="BW17" s="94">
        <f t="shared" si="70"/>
        <v>6250</v>
      </c>
      <c r="BX17" s="94">
        <f t="shared" si="28"/>
        <v>11.501656238498343</v>
      </c>
      <c r="BY17" s="94">
        <f t="shared" si="71"/>
        <v>6250</v>
      </c>
      <c r="BZ17" s="94">
        <f t="shared" si="29"/>
        <v>1.6116554925219184</v>
      </c>
      <c r="CA17" s="94"/>
      <c r="CB17" s="11">
        <f t="shared" si="72"/>
        <v>0</v>
      </c>
      <c r="CC17" s="11">
        <f t="shared" si="101"/>
        <v>0</v>
      </c>
      <c r="CD17" s="11">
        <f t="shared" si="73"/>
        <v>0</v>
      </c>
      <c r="CE17" s="11"/>
      <c r="CF17" s="11">
        <f t="shared" si="102"/>
        <v>0</v>
      </c>
      <c r="CG17" s="11">
        <f t="shared" si="103"/>
        <v>0</v>
      </c>
      <c r="CH17" s="11">
        <f t="shared" si="104"/>
        <v>0</v>
      </c>
      <c r="CI17" s="11">
        <f t="shared" si="74"/>
        <v>0</v>
      </c>
      <c r="CJ17" s="11">
        <f t="shared" si="105"/>
        <v>0</v>
      </c>
      <c r="CK17" s="11">
        <f t="shared" si="106"/>
        <v>0</v>
      </c>
      <c r="CL17" s="11">
        <f t="shared" si="107"/>
        <v>0</v>
      </c>
      <c r="CM17" s="103">
        <v>2970</v>
      </c>
      <c r="CN17" s="11">
        <f t="shared" si="75"/>
        <v>5.4655870445344128</v>
      </c>
      <c r="CO17" s="11">
        <f t="shared" si="76"/>
        <v>2970</v>
      </c>
      <c r="CP17" s="11">
        <f t="shared" si="77"/>
        <v>0.76585869004641571</v>
      </c>
      <c r="CQ17" s="104">
        <v>20160</v>
      </c>
      <c r="CR17" s="94">
        <f t="shared" si="30"/>
        <v>37.099742362900258</v>
      </c>
      <c r="CS17" s="94">
        <f t="shared" si="78"/>
        <v>154080</v>
      </c>
      <c r="CT17" s="94">
        <f t="shared" si="31"/>
        <v>39.731820526044352</v>
      </c>
      <c r="CU17" s="104">
        <v>19750</v>
      </c>
      <c r="CV17" s="94">
        <f t="shared" si="32"/>
        <v>36.345233713654764</v>
      </c>
      <c r="CW17" s="94">
        <f t="shared" si="79"/>
        <v>151350</v>
      </c>
      <c r="CX17" s="94">
        <f t="shared" si="33"/>
        <v>39.027849406910782</v>
      </c>
      <c r="CY17" s="103">
        <v>1630</v>
      </c>
      <c r="CZ17" s="94">
        <f t="shared" si="34"/>
        <v>2.9996319470003683</v>
      </c>
      <c r="DA17" s="94">
        <f t="shared" si="80"/>
        <v>28600</v>
      </c>
      <c r="DB17" s="94">
        <f t="shared" si="35"/>
        <v>7.3749355337802998</v>
      </c>
      <c r="DC17" s="104"/>
      <c r="DD17" s="94">
        <f t="shared" si="36"/>
        <v>0</v>
      </c>
      <c r="DE17" s="94">
        <f t="shared" si="81"/>
        <v>3100</v>
      </c>
      <c r="DF17" s="94">
        <f t="shared" si="37"/>
        <v>0.7993811242908716</v>
      </c>
      <c r="DG17" s="104">
        <v>880</v>
      </c>
      <c r="DH17" s="94">
        <f t="shared" si="38"/>
        <v>1.6194331983805668</v>
      </c>
      <c r="DI17" s="94">
        <f t="shared" si="82"/>
        <v>1770</v>
      </c>
      <c r="DJ17" s="94">
        <f t="shared" si="39"/>
        <v>0.4564208354822073</v>
      </c>
      <c r="DK17" s="104">
        <v>2700</v>
      </c>
      <c r="DL17" s="11">
        <f t="shared" si="83"/>
        <v>4.9687154950312848</v>
      </c>
      <c r="DM17" s="94">
        <f t="shared" si="84"/>
        <v>18250</v>
      </c>
      <c r="DN17" s="11">
        <f t="shared" si="85"/>
        <v>4.7060340381640016</v>
      </c>
      <c r="DO17" s="500"/>
      <c r="DP17" s="94">
        <f t="shared" si="86"/>
        <v>0</v>
      </c>
      <c r="DQ17" s="94">
        <f t="shared" si="87"/>
        <v>0</v>
      </c>
      <c r="DR17" s="94">
        <f t="shared" si="88"/>
        <v>0</v>
      </c>
      <c r="DS17" s="104"/>
      <c r="DT17" s="11">
        <f t="shared" si="108"/>
        <v>0</v>
      </c>
      <c r="DU17" s="11">
        <f t="shared" si="89"/>
        <v>0</v>
      </c>
      <c r="DV17" s="11">
        <f t="shared" si="109"/>
        <v>0</v>
      </c>
      <c r="DW17" s="11">
        <f t="shared" si="40"/>
        <v>48090</v>
      </c>
      <c r="DX17" s="94">
        <f t="shared" si="41"/>
        <v>88.498343761501658</v>
      </c>
      <c r="DY17" s="94">
        <f t="shared" si="90"/>
        <v>381550</v>
      </c>
      <c r="DZ17" s="94">
        <f t="shared" si="42"/>
        <v>98.388344507478081</v>
      </c>
      <c r="EA17" s="104"/>
      <c r="EB17" s="94">
        <f t="shared" si="43"/>
        <v>0</v>
      </c>
      <c r="EC17" s="94">
        <f t="shared" si="91"/>
        <v>0</v>
      </c>
      <c r="ED17" s="94">
        <f t="shared" si="44"/>
        <v>0</v>
      </c>
      <c r="EE17" s="104"/>
      <c r="EF17" s="94">
        <f t="shared" si="45"/>
        <v>0</v>
      </c>
      <c r="EG17" s="94">
        <f t="shared" si="92"/>
        <v>0</v>
      </c>
      <c r="EH17" s="94">
        <f t="shared" si="46"/>
        <v>0</v>
      </c>
      <c r="EI17" s="104"/>
      <c r="EJ17" s="95">
        <f t="shared" si="47"/>
        <v>0</v>
      </c>
      <c r="EK17" s="94">
        <f t="shared" si="93"/>
        <v>0</v>
      </c>
      <c r="EL17" s="94">
        <f t="shared" si="48"/>
        <v>0</v>
      </c>
      <c r="EM17" s="94">
        <f t="shared" si="94"/>
        <v>0</v>
      </c>
      <c r="EN17" s="94">
        <f t="shared" si="49"/>
        <v>0</v>
      </c>
      <c r="EO17" s="94">
        <f t="shared" si="95"/>
        <v>0</v>
      </c>
      <c r="EP17" s="94">
        <f t="shared" si="50"/>
        <v>0</v>
      </c>
      <c r="EQ17" s="104"/>
      <c r="ER17" s="94">
        <f t="shared" si="51"/>
        <v>0</v>
      </c>
      <c r="ES17" s="94">
        <f t="shared" si="96"/>
        <v>0</v>
      </c>
      <c r="ET17" s="94">
        <f t="shared" si="52"/>
        <v>0</v>
      </c>
      <c r="EU17" s="11">
        <f t="shared" si="97"/>
        <v>54340</v>
      </c>
      <c r="EV17" s="94">
        <f t="shared" si="98"/>
        <v>387800</v>
      </c>
      <c r="EW17" s="94">
        <f t="shared" si="53"/>
        <v>1.2484205205964114</v>
      </c>
      <c r="EX17" s="94">
        <f t="shared" si="54"/>
        <v>1.1896873312717815</v>
      </c>
      <c r="EY17" s="497">
        <f t="shared" si="99"/>
        <v>0.90511540860885842</v>
      </c>
      <c r="EZ17" s="498">
        <f t="shared" si="100"/>
        <v>0.85432577643821239</v>
      </c>
      <c r="FA17" s="6" t="s">
        <v>430</v>
      </c>
    </row>
    <row r="18" spans="1:163">
      <c r="A18" s="18">
        <f>+Chem!A17</f>
        <v>46031</v>
      </c>
      <c r="B18" s="6" t="str">
        <f>+Chem!B17</f>
        <v>Napkin/Facial/Toilet</v>
      </c>
      <c r="C18" s="6" t="str">
        <f>+Chem!C17</f>
        <v>15,5/14/13,5</v>
      </c>
      <c r="D18" s="9">
        <f>+Chem!D17</f>
        <v>46.224000000000004</v>
      </c>
      <c r="E18" s="7">
        <f>+Chem!E17</f>
        <v>50.356000000000002</v>
      </c>
      <c r="F18" s="7">
        <f t="shared" si="55"/>
        <v>376.32399999999996</v>
      </c>
      <c r="G18" s="103"/>
      <c r="H18" s="11">
        <f t="shared" si="0"/>
        <v>0</v>
      </c>
      <c r="I18" s="9">
        <f t="shared" si="56"/>
        <v>0</v>
      </c>
      <c r="J18" s="11">
        <f t="shared" si="1"/>
        <v>0</v>
      </c>
      <c r="K18" s="103"/>
      <c r="L18" s="11">
        <f t="shared" si="2"/>
        <v>0</v>
      </c>
      <c r="M18" s="11">
        <f t="shared" si="57"/>
        <v>0</v>
      </c>
      <c r="N18" s="11">
        <f t="shared" si="3"/>
        <v>0</v>
      </c>
      <c r="O18" s="103"/>
      <c r="P18" s="11">
        <f t="shared" si="4"/>
        <v>0</v>
      </c>
      <c r="Q18" s="11">
        <f t="shared" si="58"/>
        <v>0</v>
      </c>
      <c r="R18" s="11">
        <f t="shared" si="5"/>
        <v>0</v>
      </c>
      <c r="S18" s="103">
        <f>13*S7</f>
        <v>3250</v>
      </c>
      <c r="T18" s="11">
        <f t="shared" si="6"/>
        <v>7.2560839473096674</v>
      </c>
      <c r="U18" s="11">
        <f t="shared" si="59"/>
        <v>9500</v>
      </c>
      <c r="V18" s="11">
        <f t="shared" si="7"/>
        <v>2.1960748052428398</v>
      </c>
      <c r="W18" s="11"/>
      <c r="X18" s="11">
        <f t="shared" si="8"/>
        <v>0</v>
      </c>
      <c r="Y18" s="11">
        <f t="shared" si="60"/>
        <v>0</v>
      </c>
      <c r="Z18" s="11">
        <f t="shared" si="9"/>
        <v>0</v>
      </c>
      <c r="AA18" s="103"/>
      <c r="AB18" s="11">
        <f t="shared" si="10"/>
        <v>0</v>
      </c>
      <c r="AC18" s="11">
        <f t="shared" si="61"/>
        <v>0</v>
      </c>
      <c r="AD18" s="11">
        <f t="shared" si="11"/>
        <v>0</v>
      </c>
      <c r="AE18" s="103"/>
      <c r="AF18" s="11">
        <f t="shared" si="12"/>
        <v>0</v>
      </c>
      <c r="AG18" s="11">
        <f t="shared" si="62"/>
        <v>0</v>
      </c>
      <c r="AH18" s="11">
        <f t="shared" si="13"/>
        <v>0</v>
      </c>
      <c r="AI18" s="103"/>
      <c r="AJ18" s="11">
        <f t="shared" si="14"/>
        <v>0</v>
      </c>
      <c r="AK18" s="11">
        <f t="shared" si="63"/>
        <v>0</v>
      </c>
      <c r="AL18" s="11">
        <f t="shared" si="15"/>
        <v>0</v>
      </c>
      <c r="AM18" s="103"/>
      <c r="AN18" s="11">
        <f t="shared" si="16"/>
        <v>0</v>
      </c>
      <c r="AO18" s="11">
        <f t="shared" si="64"/>
        <v>0</v>
      </c>
      <c r="AP18" s="11">
        <f t="shared" si="17"/>
        <v>0</v>
      </c>
      <c r="AQ18" s="103"/>
      <c r="AR18" s="11">
        <f t="shared" si="18"/>
        <v>0</v>
      </c>
      <c r="AS18" s="11">
        <f t="shared" si="65"/>
        <v>0</v>
      </c>
      <c r="AT18" s="11">
        <f t="shared" si="19"/>
        <v>0</v>
      </c>
      <c r="AU18" s="259"/>
      <c r="AV18" s="11">
        <f t="shared" si="20"/>
        <v>0</v>
      </c>
      <c r="AW18" s="9">
        <f t="shared" si="66"/>
        <v>0</v>
      </c>
      <c r="AX18" s="11">
        <f t="shared" si="21"/>
        <v>0</v>
      </c>
      <c r="AY18" s="103"/>
      <c r="AZ18" s="11">
        <f t="shared" si="22"/>
        <v>0</v>
      </c>
      <c r="BA18" s="11">
        <f t="shared" si="67"/>
        <v>0</v>
      </c>
      <c r="BB18" s="11">
        <f t="shared" si="23"/>
        <v>0</v>
      </c>
      <c r="BC18" s="103"/>
      <c r="BD18" s="11">
        <f t="shared" si="24"/>
        <v>0</v>
      </c>
      <c r="BE18" s="11">
        <f t="shared" si="68"/>
        <v>0</v>
      </c>
      <c r="BF18" s="11">
        <f t="shared" si="25"/>
        <v>0</v>
      </c>
      <c r="BG18" s="103"/>
      <c r="BH18" s="11">
        <f t="shared" si="26"/>
        <v>0</v>
      </c>
      <c r="BI18" s="11">
        <f t="shared" si="69"/>
        <v>0</v>
      </c>
      <c r="BJ18" s="11">
        <f t="shared" si="27"/>
        <v>0</v>
      </c>
      <c r="BK18" s="103"/>
      <c r="BL18" s="11"/>
      <c r="BM18" s="11"/>
      <c r="BN18" s="11"/>
      <c r="BO18" s="103"/>
      <c r="BP18" s="11"/>
      <c r="BQ18" s="11"/>
      <c r="BR18" s="11"/>
      <c r="BS18" s="103"/>
      <c r="BT18" s="11"/>
      <c r="BU18" s="11"/>
      <c r="BV18" s="11"/>
      <c r="BW18" s="11">
        <f t="shared" si="70"/>
        <v>3250</v>
      </c>
      <c r="BX18" s="11">
        <f t="shared" si="28"/>
        <v>7.2560839473096674</v>
      </c>
      <c r="BY18" s="11">
        <f t="shared" si="71"/>
        <v>9500</v>
      </c>
      <c r="BZ18" s="11">
        <f t="shared" si="29"/>
        <v>2.1960748052428398</v>
      </c>
      <c r="CA18" s="11"/>
      <c r="CB18" s="11">
        <f t="shared" si="72"/>
        <v>0</v>
      </c>
      <c r="CC18" s="11">
        <f t="shared" si="101"/>
        <v>0</v>
      </c>
      <c r="CD18" s="11">
        <f t="shared" si="73"/>
        <v>0</v>
      </c>
      <c r="CE18" s="11"/>
      <c r="CF18" s="11">
        <f t="shared" si="102"/>
        <v>0</v>
      </c>
      <c r="CG18" s="11">
        <f t="shared" si="103"/>
        <v>0</v>
      </c>
      <c r="CH18" s="11">
        <f t="shared" si="104"/>
        <v>0</v>
      </c>
      <c r="CI18" s="11">
        <f t="shared" si="74"/>
        <v>0</v>
      </c>
      <c r="CJ18" s="11">
        <f t="shared" si="105"/>
        <v>0</v>
      </c>
      <c r="CK18" s="11">
        <f t="shared" si="106"/>
        <v>0</v>
      </c>
      <c r="CL18" s="11">
        <f t="shared" si="107"/>
        <v>0</v>
      </c>
      <c r="CM18" s="103">
        <v>2500</v>
      </c>
      <c r="CN18" s="11">
        <f t="shared" si="75"/>
        <v>5.5816030363920524</v>
      </c>
      <c r="CO18" s="11">
        <f t="shared" si="76"/>
        <v>2500</v>
      </c>
      <c r="CP18" s="11">
        <f t="shared" si="77"/>
        <v>0.57791442243232627</v>
      </c>
      <c r="CQ18" s="104">
        <v>17080</v>
      </c>
      <c r="CR18" s="11">
        <f t="shared" si="30"/>
        <v>38.133511944630499</v>
      </c>
      <c r="CS18" s="11">
        <f t="shared" si="78"/>
        <v>171160</v>
      </c>
      <c r="CT18" s="11">
        <f t="shared" si="31"/>
        <v>39.566333017406784</v>
      </c>
      <c r="CU18" s="103">
        <v>16530</v>
      </c>
      <c r="CV18" s="11">
        <f t="shared" si="32"/>
        <v>36.905559276624246</v>
      </c>
      <c r="CW18" s="11">
        <f t="shared" si="79"/>
        <v>167880</v>
      </c>
      <c r="CX18" s="11">
        <f t="shared" si="33"/>
        <v>38.808109295175569</v>
      </c>
      <c r="CY18" s="103">
        <v>2100</v>
      </c>
      <c r="CZ18" s="11">
        <f t="shared" si="34"/>
        <v>4.688546550569324</v>
      </c>
      <c r="DA18" s="11">
        <f t="shared" si="80"/>
        <v>30700</v>
      </c>
      <c r="DB18" s="11">
        <f t="shared" si="35"/>
        <v>7.0967891074689664</v>
      </c>
      <c r="DC18" s="103"/>
      <c r="DD18" s="11">
        <f t="shared" si="36"/>
        <v>0</v>
      </c>
      <c r="DE18" s="11">
        <f t="shared" si="81"/>
        <v>3100</v>
      </c>
      <c r="DF18" s="11">
        <f t="shared" si="37"/>
        <v>0.71661388381608448</v>
      </c>
      <c r="DG18" s="103">
        <v>390</v>
      </c>
      <c r="DH18" s="11">
        <f t="shared" si="38"/>
        <v>0.87073007367716015</v>
      </c>
      <c r="DI18" s="11">
        <f t="shared" si="82"/>
        <v>2160</v>
      </c>
      <c r="DJ18" s="11">
        <f t="shared" si="39"/>
        <v>0.49931806098152987</v>
      </c>
      <c r="DK18" s="103">
        <v>2940</v>
      </c>
      <c r="DL18" s="11">
        <f t="shared" si="83"/>
        <v>6.5639651707970526</v>
      </c>
      <c r="DM18" s="11">
        <f t="shared" si="84"/>
        <v>21190</v>
      </c>
      <c r="DN18" s="11">
        <f t="shared" si="85"/>
        <v>4.8984026445363966</v>
      </c>
      <c r="DO18" s="500"/>
      <c r="DP18" s="11">
        <f t="shared" si="86"/>
        <v>0</v>
      </c>
      <c r="DQ18" s="11">
        <f t="shared" si="87"/>
        <v>0</v>
      </c>
      <c r="DR18" s="11">
        <f t="shared" si="88"/>
        <v>0</v>
      </c>
      <c r="DS18" s="103"/>
      <c r="DT18" s="11">
        <f t="shared" si="108"/>
        <v>0</v>
      </c>
      <c r="DU18" s="11">
        <f t="shared" si="89"/>
        <v>0</v>
      </c>
      <c r="DV18" s="11">
        <f t="shared" si="109"/>
        <v>0</v>
      </c>
      <c r="DW18" s="11">
        <f t="shared" si="40"/>
        <v>41540</v>
      </c>
      <c r="DX18" s="11">
        <f t="shared" si="41"/>
        <v>92.743916052690338</v>
      </c>
      <c r="DY18" s="11">
        <f t="shared" si="90"/>
        <v>423090</v>
      </c>
      <c r="DZ18" s="11">
        <f t="shared" si="42"/>
        <v>97.803925194757156</v>
      </c>
      <c r="EA18" s="103"/>
      <c r="EB18" s="11">
        <f t="shared" si="43"/>
        <v>0</v>
      </c>
      <c r="EC18" s="11">
        <f t="shared" si="91"/>
        <v>0</v>
      </c>
      <c r="ED18" s="11">
        <f t="shared" si="44"/>
        <v>0</v>
      </c>
      <c r="EE18" s="103"/>
      <c r="EF18" s="11">
        <f t="shared" si="45"/>
        <v>0</v>
      </c>
      <c r="EG18" s="11">
        <f t="shared" si="92"/>
        <v>0</v>
      </c>
      <c r="EH18" s="11">
        <f t="shared" si="46"/>
        <v>0</v>
      </c>
      <c r="EI18" s="103"/>
      <c r="EJ18" s="17">
        <f t="shared" si="47"/>
        <v>0</v>
      </c>
      <c r="EK18" s="11">
        <f t="shared" si="93"/>
        <v>0</v>
      </c>
      <c r="EL18" s="11">
        <f t="shared" si="48"/>
        <v>0</v>
      </c>
      <c r="EM18" s="11">
        <f t="shared" si="94"/>
        <v>0</v>
      </c>
      <c r="EN18" s="11">
        <f t="shared" si="49"/>
        <v>0</v>
      </c>
      <c r="EO18" s="11">
        <f t="shared" si="95"/>
        <v>0</v>
      </c>
      <c r="EP18" s="11">
        <f t="shared" si="50"/>
        <v>0</v>
      </c>
      <c r="EQ18" s="103"/>
      <c r="ER18" s="11">
        <f t="shared" si="51"/>
        <v>0</v>
      </c>
      <c r="ES18" s="11">
        <f t="shared" si="96"/>
        <v>0</v>
      </c>
      <c r="ET18" s="11">
        <f t="shared" si="52"/>
        <v>0</v>
      </c>
      <c r="EU18" s="11">
        <f t="shared" si="97"/>
        <v>44790</v>
      </c>
      <c r="EV18" s="11">
        <f t="shared" si="98"/>
        <v>432590</v>
      </c>
      <c r="EW18" s="11">
        <f t="shared" si="53"/>
        <v>0.88946699499563109</v>
      </c>
      <c r="EX18" s="11">
        <f t="shared" si="54"/>
        <v>1.1495147798173915</v>
      </c>
      <c r="EY18" s="497">
        <f t="shared" si="99"/>
        <v>1.2122291766971593</v>
      </c>
      <c r="EZ18" s="498">
        <f t="shared" si="100"/>
        <v>0.88946559833605132</v>
      </c>
      <c r="FA18" s="6" t="s">
        <v>430</v>
      </c>
    </row>
    <row r="19" spans="1:163">
      <c r="A19" s="18">
        <f>+Chem!A18</f>
        <v>46032</v>
      </c>
      <c r="B19" s="6" t="str">
        <f>+Chem!B18</f>
        <v>Toilet</v>
      </c>
      <c r="C19" s="6" t="str">
        <f>+Chem!C18</f>
        <v>13,5/15</v>
      </c>
      <c r="D19" s="9">
        <f>+Chem!D18</f>
        <v>36.938000000000002</v>
      </c>
      <c r="E19" s="7">
        <f>+Chem!E18</f>
        <v>35.656999999999996</v>
      </c>
      <c r="F19" s="7">
        <f t="shared" si="55"/>
        <v>411.98099999999994</v>
      </c>
      <c r="G19" s="103"/>
      <c r="H19" s="11">
        <f t="shared" si="0"/>
        <v>0</v>
      </c>
      <c r="I19" s="9">
        <f t="shared" si="56"/>
        <v>0</v>
      </c>
      <c r="J19" s="11">
        <f t="shared" si="1"/>
        <v>0</v>
      </c>
      <c r="K19" s="103"/>
      <c r="L19" s="11">
        <f t="shared" si="2"/>
        <v>0</v>
      </c>
      <c r="M19" s="11">
        <f t="shared" si="57"/>
        <v>0</v>
      </c>
      <c r="N19" s="11">
        <f t="shared" si="3"/>
        <v>0</v>
      </c>
      <c r="O19" s="103"/>
      <c r="P19" s="11">
        <f t="shared" si="4"/>
        <v>0</v>
      </c>
      <c r="Q19" s="11">
        <f t="shared" si="58"/>
        <v>0</v>
      </c>
      <c r="R19" s="11">
        <f t="shared" si="5"/>
        <v>0</v>
      </c>
      <c r="S19" s="103"/>
      <c r="T19" s="11">
        <f t="shared" si="6"/>
        <v>0</v>
      </c>
      <c r="U19" s="11">
        <f t="shared" si="59"/>
        <v>9500</v>
      </c>
      <c r="V19" s="11">
        <f t="shared" si="7"/>
        <v>2.0102841907019067</v>
      </c>
      <c r="W19" s="11"/>
      <c r="X19" s="11">
        <f t="shared" si="8"/>
        <v>0</v>
      </c>
      <c r="Y19" s="11">
        <f t="shared" si="60"/>
        <v>0</v>
      </c>
      <c r="Z19" s="11">
        <f t="shared" si="9"/>
        <v>0</v>
      </c>
      <c r="AA19" s="103"/>
      <c r="AB19" s="11">
        <f t="shared" si="10"/>
        <v>0</v>
      </c>
      <c r="AC19" s="11">
        <f t="shared" si="61"/>
        <v>0</v>
      </c>
      <c r="AD19" s="11">
        <f t="shared" si="11"/>
        <v>0</v>
      </c>
      <c r="AE19" s="103"/>
      <c r="AF19" s="11">
        <f t="shared" si="12"/>
        <v>0</v>
      </c>
      <c r="AG19" s="11">
        <f t="shared" si="62"/>
        <v>0</v>
      </c>
      <c r="AH19" s="11">
        <f t="shared" si="13"/>
        <v>0</v>
      </c>
      <c r="AI19" s="103"/>
      <c r="AJ19" s="11">
        <f t="shared" si="14"/>
        <v>0</v>
      </c>
      <c r="AK19" s="11">
        <f t="shared" si="63"/>
        <v>0</v>
      </c>
      <c r="AL19" s="11">
        <f t="shared" si="15"/>
        <v>0</v>
      </c>
      <c r="AM19" s="103"/>
      <c r="AN19" s="11">
        <f t="shared" si="16"/>
        <v>0</v>
      </c>
      <c r="AO19" s="11">
        <f t="shared" si="64"/>
        <v>0</v>
      </c>
      <c r="AP19" s="11">
        <f t="shared" si="17"/>
        <v>0</v>
      </c>
      <c r="AQ19" s="103"/>
      <c r="AR19" s="11">
        <f t="shared" si="18"/>
        <v>0</v>
      </c>
      <c r="AS19" s="11">
        <f t="shared" si="65"/>
        <v>0</v>
      </c>
      <c r="AT19" s="11">
        <f t="shared" si="19"/>
        <v>0</v>
      </c>
      <c r="AU19" s="259"/>
      <c r="AV19" s="11">
        <f t="shared" si="20"/>
        <v>0</v>
      </c>
      <c r="AW19" s="9">
        <f t="shared" si="66"/>
        <v>0</v>
      </c>
      <c r="AX19" s="11">
        <f t="shared" si="21"/>
        <v>0</v>
      </c>
      <c r="AY19" s="103"/>
      <c r="AZ19" s="11">
        <f t="shared" si="22"/>
        <v>0</v>
      </c>
      <c r="BA19" s="11">
        <f t="shared" si="67"/>
        <v>0</v>
      </c>
      <c r="BB19" s="11">
        <f t="shared" si="23"/>
        <v>0</v>
      </c>
      <c r="BC19" s="103"/>
      <c r="BD19" s="11">
        <f t="shared" si="24"/>
        <v>0</v>
      </c>
      <c r="BE19" s="11">
        <f t="shared" si="68"/>
        <v>0</v>
      </c>
      <c r="BF19" s="11">
        <f t="shared" si="25"/>
        <v>0</v>
      </c>
      <c r="BG19" s="103"/>
      <c r="BH19" s="11">
        <f t="shared" si="26"/>
        <v>0</v>
      </c>
      <c r="BI19" s="11">
        <f t="shared" si="69"/>
        <v>0</v>
      </c>
      <c r="BJ19" s="11">
        <f t="shared" si="27"/>
        <v>0</v>
      </c>
      <c r="BK19" s="103"/>
      <c r="BL19" s="11"/>
      <c r="BM19" s="11"/>
      <c r="BN19" s="11"/>
      <c r="BO19" s="103"/>
      <c r="BP19" s="11"/>
      <c r="BQ19" s="11"/>
      <c r="BR19" s="11"/>
      <c r="BS19" s="103"/>
      <c r="BT19" s="11"/>
      <c r="BU19" s="11"/>
      <c r="BV19" s="11"/>
      <c r="BW19" s="11">
        <f t="shared" si="70"/>
        <v>0</v>
      </c>
      <c r="BX19" s="11">
        <f t="shared" si="28"/>
        <v>0</v>
      </c>
      <c r="BY19" s="11">
        <f t="shared" si="71"/>
        <v>9500</v>
      </c>
      <c r="BZ19" s="11">
        <f t="shared" si="29"/>
        <v>2.0102841907019067</v>
      </c>
      <c r="CA19" s="11"/>
      <c r="CB19" s="11">
        <f t="shared" si="72"/>
        <v>0</v>
      </c>
      <c r="CC19" s="11">
        <f t="shared" si="101"/>
        <v>0</v>
      </c>
      <c r="CD19" s="11">
        <f t="shared" si="73"/>
        <v>0</v>
      </c>
      <c r="CE19" s="11"/>
      <c r="CF19" s="11">
        <f t="shared" si="102"/>
        <v>0</v>
      </c>
      <c r="CG19" s="11">
        <f t="shared" si="103"/>
        <v>0</v>
      </c>
      <c r="CH19" s="11">
        <f t="shared" si="104"/>
        <v>0</v>
      </c>
      <c r="CI19" s="11">
        <f t="shared" si="74"/>
        <v>0</v>
      </c>
      <c r="CJ19" s="11">
        <f t="shared" si="105"/>
        <v>0</v>
      </c>
      <c r="CK19" s="11">
        <f t="shared" si="106"/>
        <v>0</v>
      </c>
      <c r="CL19" s="11">
        <f t="shared" si="107"/>
        <v>0</v>
      </c>
      <c r="CM19" s="103">
        <v>2460</v>
      </c>
      <c r="CN19" s="11">
        <f t="shared" si="75"/>
        <v>6.1530765382691346</v>
      </c>
      <c r="CO19" s="11">
        <f t="shared" si="76"/>
        <v>2460</v>
      </c>
      <c r="CP19" s="11">
        <f t="shared" si="77"/>
        <v>0.52055780096070425</v>
      </c>
      <c r="CQ19" s="104">
        <v>15980</v>
      </c>
      <c r="CR19" s="11">
        <f t="shared" si="30"/>
        <v>39.969984992496251</v>
      </c>
      <c r="CS19" s="11">
        <f t="shared" si="78"/>
        <v>187140</v>
      </c>
      <c r="CT19" s="11">
        <f t="shared" si="31"/>
        <v>39.600482468205769</v>
      </c>
      <c r="CU19" s="103">
        <v>16690</v>
      </c>
      <c r="CV19" s="11">
        <f t="shared" si="32"/>
        <v>41.745872936468238</v>
      </c>
      <c r="CW19" s="11">
        <f t="shared" si="79"/>
        <v>184570</v>
      </c>
      <c r="CX19" s="11">
        <f t="shared" si="33"/>
        <v>39.056647692405356</v>
      </c>
      <c r="CY19" s="103">
        <v>2500</v>
      </c>
      <c r="CZ19" s="11">
        <f t="shared" si="34"/>
        <v>6.2531265632816417</v>
      </c>
      <c r="DA19" s="11">
        <f t="shared" si="80"/>
        <v>33200</v>
      </c>
      <c r="DB19" s="11">
        <f t="shared" si="35"/>
        <v>7.025414224347716</v>
      </c>
      <c r="DC19" s="103"/>
      <c r="DD19" s="11">
        <f t="shared" si="36"/>
        <v>0</v>
      </c>
      <c r="DE19" s="11">
        <f t="shared" si="81"/>
        <v>3100</v>
      </c>
      <c r="DF19" s="11">
        <f t="shared" si="37"/>
        <v>0.65598747275535896</v>
      </c>
      <c r="DG19" s="103"/>
      <c r="DH19" s="11">
        <f t="shared" si="38"/>
        <v>0</v>
      </c>
      <c r="DI19" s="11">
        <f t="shared" si="82"/>
        <v>2160</v>
      </c>
      <c r="DJ19" s="11">
        <f t="shared" si="39"/>
        <v>0.45707514230695978</v>
      </c>
      <c r="DK19" s="103">
        <v>2350</v>
      </c>
      <c r="DL19" s="11">
        <f t="shared" si="83"/>
        <v>5.8779389694847426</v>
      </c>
      <c r="DM19" s="11">
        <f t="shared" si="84"/>
        <v>23540</v>
      </c>
      <c r="DN19" s="11">
        <f t="shared" si="85"/>
        <v>4.9812726156971454</v>
      </c>
      <c r="DO19" s="500"/>
      <c r="DP19" s="11">
        <f t="shared" si="86"/>
        <v>0</v>
      </c>
      <c r="DQ19" s="11">
        <f t="shared" si="87"/>
        <v>0</v>
      </c>
      <c r="DR19" s="11">
        <f t="shared" si="88"/>
        <v>0</v>
      </c>
      <c r="DS19" s="103"/>
      <c r="DT19" s="11">
        <f t="shared" si="108"/>
        <v>0</v>
      </c>
      <c r="DU19" s="11">
        <f t="shared" si="89"/>
        <v>0</v>
      </c>
      <c r="DV19" s="11">
        <f t="shared" si="109"/>
        <v>0</v>
      </c>
      <c r="DW19" s="11">
        <f t="shared" si="40"/>
        <v>39980</v>
      </c>
      <c r="DX19" s="11">
        <f t="shared" si="41"/>
        <v>100</v>
      </c>
      <c r="DY19" s="11">
        <f t="shared" si="90"/>
        <v>463070</v>
      </c>
      <c r="DZ19" s="11">
        <f t="shared" si="42"/>
        <v>97.98971580929809</v>
      </c>
      <c r="EA19" s="103"/>
      <c r="EB19" s="11">
        <f t="shared" si="43"/>
        <v>0</v>
      </c>
      <c r="EC19" s="11">
        <f t="shared" si="91"/>
        <v>0</v>
      </c>
      <c r="ED19" s="11">
        <f t="shared" si="44"/>
        <v>0</v>
      </c>
      <c r="EE19" s="103"/>
      <c r="EF19" s="11">
        <f t="shared" si="45"/>
        <v>0</v>
      </c>
      <c r="EG19" s="11">
        <f t="shared" si="92"/>
        <v>0</v>
      </c>
      <c r="EH19" s="11">
        <f t="shared" si="46"/>
        <v>0</v>
      </c>
      <c r="EI19" s="103"/>
      <c r="EJ19" s="17">
        <f t="shared" si="47"/>
        <v>0</v>
      </c>
      <c r="EK19" s="11">
        <f t="shared" si="93"/>
        <v>0</v>
      </c>
      <c r="EL19" s="11">
        <f t="shared" si="48"/>
        <v>0</v>
      </c>
      <c r="EM19" s="11">
        <f t="shared" si="94"/>
        <v>0</v>
      </c>
      <c r="EN19" s="11">
        <f t="shared" si="49"/>
        <v>0</v>
      </c>
      <c r="EO19" s="11">
        <f t="shared" si="95"/>
        <v>0</v>
      </c>
      <c r="EP19" s="11">
        <f t="shared" si="50"/>
        <v>0</v>
      </c>
      <c r="EQ19" s="103"/>
      <c r="ER19" s="11">
        <f t="shared" si="51"/>
        <v>0</v>
      </c>
      <c r="ES19" s="11">
        <f t="shared" si="96"/>
        <v>0</v>
      </c>
      <c r="ET19" s="11">
        <f t="shared" si="52"/>
        <v>0</v>
      </c>
      <c r="EU19" s="11">
        <f t="shared" si="97"/>
        <v>39980</v>
      </c>
      <c r="EV19" s="11">
        <f t="shared" si="98"/>
        <v>472570</v>
      </c>
      <c r="EW19" s="11">
        <f t="shared" si="53"/>
        <v>1.1212384665002664</v>
      </c>
      <c r="EX19" s="11">
        <f t="shared" si="54"/>
        <v>1.1470674618489689</v>
      </c>
      <c r="EY19" s="497">
        <f t="shared" si="99"/>
        <v>0.89187093546773388</v>
      </c>
      <c r="EZ19" s="498">
        <f t="shared" si="100"/>
        <v>0.88967326754054454</v>
      </c>
      <c r="FA19" s="6" t="s">
        <v>430</v>
      </c>
    </row>
    <row r="20" spans="1:163">
      <c r="A20" s="18">
        <f>+Chem!A19</f>
        <v>46033</v>
      </c>
      <c r="B20" s="6" t="str">
        <f>+Chem!B19</f>
        <v>Toilet</v>
      </c>
      <c r="C20" s="6" t="str">
        <f>+Chem!C19</f>
        <v>15</v>
      </c>
      <c r="D20" s="9">
        <f>+Chem!D19</f>
        <v>54.876000000000005</v>
      </c>
      <c r="E20" s="7">
        <f>+Chem!E19</f>
        <v>52.124000000000002</v>
      </c>
      <c r="F20" s="7">
        <f t="shared" si="55"/>
        <v>464.10499999999996</v>
      </c>
      <c r="G20" s="103"/>
      <c r="H20" s="11">
        <f t="shared" si="0"/>
        <v>0</v>
      </c>
      <c r="I20" s="9">
        <f t="shared" si="56"/>
        <v>0</v>
      </c>
      <c r="J20" s="11">
        <f t="shared" si="1"/>
        <v>0</v>
      </c>
      <c r="K20" s="103"/>
      <c r="L20" s="11">
        <f t="shared" si="2"/>
        <v>0</v>
      </c>
      <c r="M20" s="11">
        <f t="shared" si="57"/>
        <v>0</v>
      </c>
      <c r="N20" s="11">
        <f t="shared" si="3"/>
        <v>0</v>
      </c>
      <c r="O20" s="103"/>
      <c r="P20" s="11">
        <f t="shared" si="4"/>
        <v>0</v>
      </c>
      <c r="Q20" s="11">
        <f t="shared" si="58"/>
        <v>0</v>
      </c>
      <c r="R20" s="11">
        <f t="shared" si="5"/>
        <v>0</v>
      </c>
      <c r="S20" s="103"/>
      <c r="T20" s="11">
        <f t="shared" si="6"/>
        <v>0</v>
      </c>
      <c r="U20" s="11">
        <f t="shared" si="59"/>
        <v>9500</v>
      </c>
      <c r="V20" s="11">
        <f t="shared" si="7"/>
        <v>1.8240466955954073</v>
      </c>
      <c r="W20" s="11"/>
      <c r="X20" s="11">
        <f t="shared" si="8"/>
        <v>0</v>
      </c>
      <c r="Y20" s="11">
        <f t="shared" si="60"/>
        <v>0</v>
      </c>
      <c r="Z20" s="11">
        <f t="shared" si="9"/>
        <v>0</v>
      </c>
      <c r="AA20" s="103"/>
      <c r="AB20" s="11">
        <f t="shared" si="10"/>
        <v>0</v>
      </c>
      <c r="AC20" s="11">
        <f t="shared" si="61"/>
        <v>0</v>
      </c>
      <c r="AD20" s="11">
        <f t="shared" si="11"/>
        <v>0</v>
      </c>
      <c r="AE20" s="103"/>
      <c r="AF20" s="11">
        <f t="shared" si="12"/>
        <v>0</v>
      </c>
      <c r="AG20" s="11">
        <f t="shared" si="62"/>
        <v>0</v>
      </c>
      <c r="AH20" s="11">
        <f t="shared" si="13"/>
        <v>0</v>
      </c>
      <c r="AI20" s="103"/>
      <c r="AJ20" s="11">
        <f t="shared" si="14"/>
        <v>0</v>
      </c>
      <c r="AK20" s="11">
        <f t="shared" si="63"/>
        <v>0</v>
      </c>
      <c r="AL20" s="11">
        <f t="shared" si="15"/>
        <v>0</v>
      </c>
      <c r="AM20" s="103"/>
      <c r="AN20" s="11">
        <f t="shared" si="16"/>
        <v>0</v>
      </c>
      <c r="AO20" s="11">
        <f t="shared" si="64"/>
        <v>0</v>
      </c>
      <c r="AP20" s="11">
        <f t="shared" si="17"/>
        <v>0</v>
      </c>
      <c r="AQ20" s="103"/>
      <c r="AR20" s="11">
        <f t="shared" si="18"/>
        <v>0</v>
      </c>
      <c r="AS20" s="11">
        <f t="shared" si="65"/>
        <v>0</v>
      </c>
      <c r="AT20" s="11">
        <f t="shared" si="19"/>
        <v>0</v>
      </c>
      <c r="AU20" s="259"/>
      <c r="AV20" s="11">
        <f t="shared" si="20"/>
        <v>0</v>
      </c>
      <c r="AW20" s="9">
        <f t="shared" si="66"/>
        <v>0</v>
      </c>
      <c r="AX20" s="11">
        <f t="shared" si="21"/>
        <v>0</v>
      </c>
      <c r="AY20" s="103"/>
      <c r="AZ20" s="11">
        <f t="shared" si="22"/>
        <v>0</v>
      </c>
      <c r="BA20" s="11">
        <f t="shared" si="67"/>
        <v>0</v>
      </c>
      <c r="BB20" s="11">
        <f t="shared" si="23"/>
        <v>0</v>
      </c>
      <c r="BC20" s="103"/>
      <c r="BD20" s="11">
        <f t="shared" si="24"/>
        <v>0</v>
      </c>
      <c r="BE20" s="11">
        <f t="shared" si="68"/>
        <v>0</v>
      </c>
      <c r="BF20" s="11">
        <f t="shared" si="25"/>
        <v>0</v>
      </c>
      <c r="BG20" s="103"/>
      <c r="BH20" s="11">
        <f t="shared" si="26"/>
        <v>0</v>
      </c>
      <c r="BI20" s="11">
        <f t="shared" si="69"/>
        <v>0</v>
      </c>
      <c r="BJ20" s="11">
        <f t="shared" si="27"/>
        <v>0</v>
      </c>
      <c r="BK20" s="103"/>
      <c r="BL20" s="11"/>
      <c r="BM20" s="11"/>
      <c r="BN20" s="11"/>
      <c r="BO20" s="103"/>
      <c r="BP20" s="11"/>
      <c r="BQ20" s="11"/>
      <c r="BR20" s="11"/>
      <c r="BS20" s="103"/>
      <c r="BT20" s="11"/>
      <c r="BU20" s="11"/>
      <c r="BV20" s="11"/>
      <c r="BW20" s="11">
        <f t="shared" si="70"/>
        <v>0</v>
      </c>
      <c r="BX20" s="11">
        <f t="shared" si="28"/>
        <v>0</v>
      </c>
      <c r="BY20" s="11">
        <f t="shared" si="71"/>
        <v>9500</v>
      </c>
      <c r="BZ20" s="11">
        <f t="shared" si="29"/>
        <v>1.8240466955954073</v>
      </c>
      <c r="CA20" s="11"/>
      <c r="CB20" s="11">
        <f t="shared" si="72"/>
        <v>0</v>
      </c>
      <c r="CC20" s="11">
        <f t="shared" si="101"/>
        <v>0</v>
      </c>
      <c r="CD20" s="11">
        <f t="shared" si="73"/>
        <v>0</v>
      </c>
      <c r="CE20" s="11"/>
      <c r="CF20" s="11">
        <f t="shared" si="102"/>
        <v>0</v>
      </c>
      <c r="CG20" s="11">
        <f t="shared" si="103"/>
        <v>0</v>
      </c>
      <c r="CH20" s="11">
        <f t="shared" si="104"/>
        <v>0</v>
      </c>
      <c r="CI20" s="11">
        <f t="shared" si="74"/>
        <v>0</v>
      </c>
      <c r="CJ20" s="11">
        <f t="shared" si="105"/>
        <v>0</v>
      </c>
      <c r="CK20" s="11">
        <f t="shared" si="106"/>
        <v>0</v>
      </c>
      <c r="CL20" s="11">
        <f t="shared" si="107"/>
        <v>0</v>
      </c>
      <c r="CM20" s="103">
        <v>2945</v>
      </c>
      <c r="CN20" s="11">
        <f t="shared" si="75"/>
        <v>6.1036269430051808</v>
      </c>
      <c r="CO20" s="11">
        <f t="shared" si="76"/>
        <v>2945</v>
      </c>
      <c r="CP20" s="11">
        <f t="shared" si="77"/>
        <v>0.56545447563457618</v>
      </c>
      <c r="CQ20" s="104">
        <v>20180</v>
      </c>
      <c r="CR20" s="11">
        <f t="shared" si="30"/>
        <v>41.823834196891191</v>
      </c>
      <c r="CS20" s="11">
        <f t="shared" si="78"/>
        <v>207320</v>
      </c>
      <c r="CT20" s="11">
        <f t="shared" si="31"/>
        <v>39.806459045351559</v>
      </c>
      <c r="CU20" s="103">
        <v>19485</v>
      </c>
      <c r="CV20" s="11">
        <f t="shared" si="32"/>
        <v>40.383419689119172</v>
      </c>
      <c r="CW20" s="11">
        <f t="shared" si="79"/>
        <v>204055</v>
      </c>
      <c r="CX20" s="11">
        <f t="shared" si="33"/>
        <v>39.17956299681272</v>
      </c>
      <c r="CY20" s="103">
        <v>3760</v>
      </c>
      <c r="CZ20" s="11">
        <f t="shared" si="34"/>
        <v>7.7927461139896375</v>
      </c>
      <c r="DA20" s="11">
        <f t="shared" si="80"/>
        <v>36960</v>
      </c>
      <c r="DB20" s="11">
        <f t="shared" si="35"/>
        <v>7.0965016704427635</v>
      </c>
      <c r="DC20" s="103"/>
      <c r="DD20" s="11">
        <f t="shared" si="36"/>
        <v>0</v>
      </c>
      <c r="DE20" s="11">
        <f t="shared" si="81"/>
        <v>3100</v>
      </c>
      <c r="DF20" s="11">
        <f t="shared" si="37"/>
        <v>0.59521523751008021</v>
      </c>
      <c r="DG20" s="103">
        <v>620</v>
      </c>
      <c r="DH20" s="11">
        <f t="shared" si="38"/>
        <v>1.2849740932642488</v>
      </c>
      <c r="DI20" s="11">
        <f t="shared" si="82"/>
        <v>2780</v>
      </c>
      <c r="DJ20" s="11">
        <f t="shared" si="39"/>
        <v>0.53377366460581388</v>
      </c>
      <c r="DK20" s="103">
        <v>1260</v>
      </c>
      <c r="DL20" s="11">
        <f t="shared" si="83"/>
        <v>2.6113989637305699</v>
      </c>
      <c r="DM20" s="11">
        <f t="shared" si="84"/>
        <v>24800</v>
      </c>
      <c r="DN20" s="11">
        <f t="shared" si="85"/>
        <v>4.7617219000806417</v>
      </c>
      <c r="DO20" s="500"/>
      <c r="DP20" s="11">
        <f t="shared" si="86"/>
        <v>0</v>
      </c>
      <c r="DQ20" s="11">
        <f t="shared" si="87"/>
        <v>0</v>
      </c>
      <c r="DR20" s="11">
        <f t="shared" si="88"/>
        <v>0</v>
      </c>
      <c r="DS20" s="103"/>
      <c r="DT20" s="11">
        <f t="shared" si="108"/>
        <v>0</v>
      </c>
      <c r="DU20" s="11">
        <f t="shared" si="89"/>
        <v>0</v>
      </c>
      <c r="DV20" s="11">
        <f t="shared" si="109"/>
        <v>0</v>
      </c>
      <c r="DW20" s="11">
        <f t="shared" si="40"/>
        <v>48250</v>
      </c>
      <c r="DX20" s="11">
        <f t="shared" si="41"/>
        <v>100</v>
      </c>
      <c r="DY20" s="11">
        <f t="shared" si="90"/>
        <v>511320</v>
      </c>
      <c r="DZ20" s="11">
        <f t="shared" si="42"/>
        <v>98.175953304404601</v>
      </c>
      <c r="EA20" s="103"/>
      <c r="EB20" s="11">
        <f t="shared" si="43"/>
        <v>0</v>
      </c>
      <c r="EC20" s="11">
        <f t="shared" si="91"/>
        <v>0</v>
      </c>
      <c r="ED20" s="11">
        <f t="shared" si="44"/>
        <v>0</v>
      </c>
      <c r="EE20" s="103"/>
      <c r="EF20" s="11">
        <f t="shared" si="45"/>
        <v>0</v>
      </c>
      <c r="EG20" s="11">
        <f t="shared" si="92"/>
        <v>0</v>
      </c>
      <c r="EH20" s="11">
        <f t="shared" si="46"/>
        <v>0</v>
      </c>
      <c r="EI20" s="103"/>
      <c r="EJ20" s="17">
        <f t="shared" si="47"/>
        <v>0</v>
      </c>
      <c r="EK20" s="11">
        <f t="shared" si="93"/>
        <v>0</v>
      </c>
      <c r="EL20" s="11">
        <f t="shared" si="48"/>
        <v>0</v>
      </c>
      <c r="EM20" s="11">
        <f t="shared" si="94"/>
        <v>0</v>
      </c>
      <c r="EN20" s="11">
        <f t="shared" si="49"/>
        <v>0</v>
      </c>
      <c r="EO20" s="11">
        <f t="shared" si="95"/>
        <v>0</v>
      </c>
      <c r="EP20" s="11">
        <f t="shared" si="50"/>
        <v>0</v>
      </c>
      <c r="EQ20" s="103"/>
      <c r="ER20" s="11">
        <f t="shared" si="51"/>
        <v>0</v>
      </c>
      <c r="ES20" s="11">
        <f t="shared" si="96"/>
        <v>0</v>
      </c>
      <c r="ET20" s="11">
        <f t="shared" si="52"/>
        <v>0</v>
      </c>
      <c r="EU20" s="11">
        <f t="shared" si="97"/>
        <v>48250</v>
      </c>
      <c r="EV20" s="11">
        <f t="shared" si="98"/>
        <v>520820</v>
      </c>
      <c r="EW20" s="11">
        <f t="shared" si="53"/>
        <v>0.92567723121786505</v>
      </c>
      <c r="EX20" s="11">
        <f t="shared" si="54"/>
        <v>1.1222029497635235</v>
      </c>
      <c r="EY20" s="497">
        <f t="shared" si="99"/>
        <v>1.0802901554404145</v>
      </c>
      <c r="EZ20" s="498">
        <f t="shared" si="100"/>
        <v>0.90766056481264168</v>
      </c>
      <c r="FA20" s="6" t="s">
        <v>430</v>
      </c>
    </row>
    <row r="21" spans="1:163">
      <c r="A21" s="18">
        <f>+Chem!A20</f>
        <v>46034</v>
      </c>
      <c r="B21" s="6" t="str">
        <f>+Chem!B20</f>
        <v>Toilet</v>
      </c>
      <c r="C21" s="6" t="str">
        <f>+Chem!C20</f>
        <v>15/14</v>
      </c>
      <c r="D21" s="9">
        <f>+Chem!D20</f>
        <v>51.634</v>
      </c>
      <c r="E21" s="7">
        <f>+Chem!E20</f>
        <v>52.847999999999999</v>
      </c>
      <c r="F21" s="7">
        <f t="shared" si="55"/>
        <v>516.95299999999997</v>
      </c>
      <c r="G21" s="103"/>
      <c r="H21" s="11">
        <f t="shared" si="0"/>
        <v>0</v>
      </c>
      <c r="I21" s="9">
        <f t="shared" si="56"/>
        <v>0</v>
      </c>
      <c r="J21" s="11">
        <f t="shared" si="1"/>
        <v>0</v>
      </c>
      <c r="K21" s="103"/>
      <c r="L21" s="11">
        <f t="shared" si="2"/>
        <v>0</v>
      </c>
      <c r="M21" s="11">
        <f t="shared" si="57"/>
        <v>0</v>
      </c>
      <c r="N21" s="11">
        <f t="shared" si="3"/>
        <v>0</v>
      </c>
      <c r="O21" s="103"/>
      <c r="P21" s="11">
        <f t="shared" si="4"/>
        <v>0</v>
      </c>
      <c r="Q21" s="11">
        <f t="shared" si="58"/>
        <v>0</v>
      </c>
      <c r="R21" s="11">
        <f t="shared" si="5"/>
        <v>0</v>
      </c>
      <c r="S21" s="103"/>
      <c r="T21" s="11">
        <f t="shared" si="6"/>
        <v>0</v>
      </c>
      <c r="U21" s="11">
        <f t="shared" si="59"/>
        <v>9500</v>
      </c>
      <c r="V21" s="11">
        <f t="shared" si="7"/>
        <v>1.6533221818139119</v>
      </c>
      <c r="W21" s="11"/>
      <c r="X21" s="11">
        <f t="shared" si="8"/>
        <v>0</v>
      </c>
      <c r="Y21" s="11">
        <f t="shared" si="60"/>
        <v>0</v>
      </c>
      <c r="Z21" s="11">
        <f t="shared" si="9"/>
        <v>0</v>
      </c>
      <c r="AA21" s="103"/>
      <c r="AB21" s="11">
        <f t="shared" si="10"/>
        <v>0</v>
      </c>
      <c r="AC21" s="11">
        <f t="shared" si="61"/>
        <v>0</v>
      </c>
      <c r="AD21" s="11">
        <f t="shared" si="11"/>
        <v>0</v>
      </c>
      <c r="AE21" s="103"/>
      <c r="AF21" s="11">
        <f t="shared" si="12"/>
        <v>0</v>
      </c>
      <c r="AG21" s="11">
        <f t="shared" si="62"/>
        <v>0</v>
      </c>
      <c r="AH21" s="11">
        <f t="shared" si="13"/>
        <v>0</v>
      </c>
      <c r="AI21" s="103"/>
      <c r="AJ21" s="11">
        <f t="shared" si="14"/>
        <v>0</v>
      </c>
      <c r="AK21" s="11">
        <f t="shared" si="63"/>
        <v>0</v>
      </c>
      <c r="AL21" s="11">
        <f t="shared" si="15"/>
        <v>0</v>
      </c>
      <c r="AM21" s="103"/>
      <c r="AN21" s="11">
        <f t="shared" si="16"/>
        <v>0</v>
      </c>
      <c r="AO21" s="11">
        <f t="shared" si="64"/>
        <v>0</v>
      </c>
      <c r="AP21" s="11">
        <f t="shared" si="17"/>
        <v>0</v>
      </c>
      <c r="AQ21" s="103"/>
      <c r="AR21" s="11">
        <f t="shared" si="18"/>
        <v>0</v>
      </c>
      <c r="AS21" s="11">
        <f t="shared" si="65"/>
        <v>0</v>
      </c>
      <c r="AT21" s="11">
        <f t="shared" si="19"/>
        <v>0</v>
      </c>
      <c r="AU21" s="259"/>
      <c r="AV21" s="11">
        <f t="shared" si="20"/>
        <v>0</v>
      </c>
      <c r="AW21" s="9">
        <f t="shared" si="66"/>
        <v>0</v>
      </c>
      <c r="AX21" s="11">
        <f t="shared" si="21"/>
        <v>0</v>
      </c>
      <c r="AY21" s="103"/>
      <c r="AZ21" s="11">
        <f t="shared" si="22"/>
        <v>0</v>
      </c>
      <c r="BA21" s="11">
        <f t="shared" si="67"/>
        <v>0</v>
      </c>
      <c r="BB21" s="11">
        <f t="shared" si="23"/>
        <v>0</v>
      </c>
      <c r="BC21" s="103"/>
      <c r="BD21" s="11">
        <f t="shared" si="24"/>
        <v>0</v>
      </c>
      <c r="BE21" s="11">
        <f t="shared" si="68"/>
        <v>0</v>
      </c>
      <c r="BF21" s="11">
        <f t="shared" si="25"/>
        <v>0</v>
      </c>
      <c r="BG21" s="103"/>
      <c r="BH21" s="11">
        <f t="shared" si="26"/>
        <v>0</v>
      </c>
      <c r="BI21" s="11">
        <f t="shared" si="69"/>
        <v>0</v>
      </c>
      <c r="BJ21" s="11">
        <f t="shared" si="27"/>
        <v>0</v>
      </c>
      <c r="BK21" s="103"/>
      <c r="BL21" s="11"/>
      <c r="BM21" s="11"/>
      <c r="BN21" s="11"/>
      <c r="BO21" s="103"/>
      <c r="BP21" s="11"/>
      <c r="BQ21" s="11"/>
      <c r="BR21" s="11"/>
      <c r="BS21" s="103"/>
      <c r="BT21" s="11"/>
      <c r="BU21" s="11"/>
      <c r="BV21" s="11"/>
      <c r="BW21" s="11">
        <f t="shared" si="70"/>
        <v>0</v>
      </c>
      <c r="BX21" s="11">
        <f t="shared" si="28"/>
        <v>0</v>
      </c>
      <c r="BY21" s="11">
        <f t="shared" si="71"/>
        <v>9500</v>
      </c>
      <c r="BZ21" s="11">
        <f t="shared" si="29"/>
        <v>1.6533221818139119</v>
      </c>
      <c r="CA21" s="11"/>
      <c r="CB21" s="11">
        <f t="shared" si="72"/>
        <v>0</v>
      </c>
      <c r="CC21" s="11">
        <f t="shared" si="101"/>
        <v>0</v>
      </c>
      <c r="CD21" s="11">
        <f t="shared" si="73"/>
        <v>0</v>
      </c>
      <c r="CE21" s="11"/>
      <c r="CF21" s="11">
        <f t="shared" si="102"/>
        <v>0</v>
      </c>
      <c r="CG21" s="11">
        <f t="shared" si="103"/>
        <v>0</v>
      </c>
      <c r="CH21" s="11">
        <f t="shared" si="104"/>
        <v>0</v>
      </c>
      <c r="CI21" s="11">
        <f t="shared" si="74"/>
        <v>0</v>
      </c>
      <c r="CJ21" s="11">
        <f t="shared" si="105"/>
        <v>0</v>
      </c>
      <c r="CK21" s="11">
        <f t="shared" si="106"/>
        <v>0</v>
      </c>
      <c r="CL21" s="11">
        <f t="shared" si="107"/>
        <v>0</v>
      </c>
      <c r="CM21" s="103">
        <v>3125.3307416508883</v>
      </c>
      <c r="CN21" s="11">
        <f t="shared" si="75"/>
        <v>5.8112550763875443</v>
      </c>
      <c r="CO21" s="11">
        <f t="shared" si="76"/>
        <v>3125.3307416508883</v>
      </c>
      <c r="CP21" s="11">
        <f t="shared" si="77"/>
        <v>0.54391354112382517</v>
      </c>
      <c r="CQ21" s="104">
        <v>21612.10409700681</v>
      </c>
      <c r="CR21" s="11">
        <f t="shared" si="30"/>
        <v>40.185650744536836</v>
      </c>
      <c r="CS21" s="11">
        <f t="shared" si="78"/>
        <v>228932.10409700681</v>
      </c>
      <c r="CT21" s="11">
        <f t="shared" si="31"/>
        <v>39.841950087675052</v>
      </c>
      <c r="CU21" s="103">
        <v>21466.498005881644</v>
      </c>
      <c r="CV21" s="11">
        <f t="shared" si="32"/>
        <v>39.914910075420615</v>
      </c>
      <c r="CW21" s="11">
        <f t="shared" si="79"/>
        <v>225521.49800588164</v>
      </c>
      <c r="CX21" s="11">
        <f t="shared" si="33"/>
        <v>39.248388960950109</v>
      </c>
      <c r="CY21" s="103">
        <v>3130.5309591910727</v>
      </c>
      <c r="CZ21" s="11">
        <f t="shared" si="34"/>
        <v>5.8209243859988389</v>
      </c>
      <c r="DA21" s="11">
        <f t="shared" si="80"/>
        <v>40090.53095919107</v>
      </c>
      <c r="DB21" s="11">
        <f t="shared" si="35"/>
        <v>6.9771120121608385</v>
      </c>
      <c r="DC21" s="103"/>
      <c r="DD21" s="11">
        <f t="shared" si="36"/>
        <v>0</v>
      </c>
      <c r="DE21" s="11">
        <f t="shared" si="81"/>
        <v>3100</v>
      </c>
      <c r="DF21" s="11">
        <f t="shared" si="37"/>
        <v>0.53950513301296077</v>
      </c>
      <c r="DG21" s="103">
        <v>260.01087700922534</v>
      </c>
      <c r="DH21" s="11">
        <f t="shared" si="38"/>
        <v>0.48346548056468763</v>
      </c>
      <c r="DI21" s="11">
        <f t="shared" si="82"/>
        <v>3040.0108770092252</v>
      </c>
      <c r="DJ21" s="11">
        <f t="shared" si="39"/>
        <v>0.52906499114893857</v>
      </c>
      <c r="DK21" s="103">
        <v>4186.1751198485272</v>
      </c>
      <c r="DL21" s="11">
        <f t="shared" si="83"/>
        <v>7.7837942370914694</v>
      </c>
      <c r="DM21" s="11">
        <f t="shared" si="84"/>
        <v>28986.175119848529</v>
      </c>
      <c r="DN21" s="11">
        <f t="shared" si="85"/>
        <v>5.0445775043776955</v>
      </c>
      <c r="DO21" s="500"/>
      <c r="DP21" s="11">
        <f t="shared" si="86"/>
        <v>0</v>
      </c>
      <c r="DQ21" s="11">
        <f t="shared" si="87"/>
        <v>0</v>
      </c>
      <c r="DR21" s="11">
        <f t="shared" si="88"/>
        <v>0</v>
      </c>
      <c r="DS21" s="103"/>
      <c r="DT21" s="11">
        <f t="shared" si="108"/>
        <v>0</v>
      </c>
      <c r="DU21" s="11">
        <f t="shared" si="89"/>
        <v>0</v>
      </c>
      <c r="DV21" s="11">
        <f t="shared" si="109"/>
        <v>0</v>
      </c>
      <c r="DW21" s="11">
        <f t="shared" si="40"/>
        <v>53780.649800588173</v>
      </c>
      <c r="DX21" s="11">
        <f t="shared" si="41"/>
        <v>100</v>
      </c>
      <c r="DY21" s="11">
        <f t="shared" si="90"/>
        <v>565100.64980058814</v>
      </c>
      <c r="DZ21" s="11">
        <f t="shared" si="42"/>
        <v>98.346677818186095</v>
      </c>
      <c r="EA21" s="103"/>
      <c r="EB21" s="11">
        <f t="shared" si="43"/>
        <v>0</v>
      </c>
      <c r="EC21" s="11">
        <f t="shared" si="91"/>
        <v>0</v>
      </c>
      <c r="ED21" s="11">
        <f t="shared" si="44"/>
        <v>0</v>
      </c>
      <c r="EE21" s="103"/>
      <c r="EF21" s="11">
        <f t="shared" si="45"/>
        <v>0</v>
      </c>
      <c r="EG21" s="11">
        <f t="shared" si="92"/>
        <v>0</v>
      </c>
      <c r="EH21" s="11">
        <f t="shared" si="46"/>
        <v>0</v>
      </c>
      <c r="EI21" s="103"/>
      <c r="EJ21" s="17">
        <f t="shared" si="47"/>
        <v>0</v>
      </c>
      <c r="EK21" s="11">
        <f t="shared" si="93"/>
        <v>0</v>
      </c>
      <c r="EL21" s="11">
        <f t="shared" si="48"/>
        <v>0</v>
      </c>
      <c r="EM21" s="11">
        <f t="shared" si="94"/>
        <v>0</v>
      </c>
      <c r="EN21" s="11">
        <f t="shared" si="49"/>
        <v>0</v>
      </c>
      <c r="EO21" s="11">
        <f t="shared" si="95"/>
        <v>0</v>
      </c>
      <c r="EP21" s="11">
        <f t="shared" si="50"/>
        <v>0</v>
      </c>
      <c r="EQ21" s="103"/>
      <c r="ER21" s="11">
        <f t="shared" si="51"/>
        <v>0</v>
      </c>
      <c r="ES21" s="11">
        <f t="shared" si="96"/>
        <v>0</v>
      </c>
      <c r="ET21" s="11">
        <f t="shared" si="52"/>
        <v>0</v>
      </c>
      <c r="EU21" s="11">
        <f t="shared" si="97"/>
        <v>53780.649800588173</v>
      </c>
      <c r="EV21" s="11">
        <f t="shared" si="98"/>
        <v>574600.64980058814</v>
      </c>
      <c r="EW21" s="11">
        <f t="shared" si="53"/>
        <v>1.0176477785457949</v>
      </c>
      <c r="EX21" s="11">
        <f t="shared" si="54"/>
        <v>1.1115142958849029</v>
      </c>
      <c r="EY21" s="497">
        <f t="shared" si="99"/>
        <v>0.98265826456083516</v>
      </c>
      <c r="EZ21" s="498">
        <f t="shared" si="100"/>
        <v>0.91479809867927353</v>
      </c>
      <c r="FA21" s="6" t="s">
        <v>430</v>
      </c>
      <c r="FF21" s="15"/>
      <c r="FG21" s="15"/>
    </row>
    <row r="22" spans="1:163">
      <c r="A22" s="18">
        <f>+Chem!A21</f>
        <v>46035</v>
      </c>
      <c r="B22" s="6" t="str">
        <f>+Chem!B21</f>
        <v>Toilet</v>
      </c>
      <c r="C22" s="6" t="str">
        <f>+Chem!C21</f>
        <v>14/15</v>
      </c>
      <c r="D22" s="9">
        <f>+Chem!D21</f>
        <v>43.606000000000002</v>
      </c>
      <c r="E22" s="7">
        <f>+Chem!E21</f>
        <v>42.447000000000003</v>
      </c>
      <c r="F22" s="7">
        <f t="shared" si="55"/>
        <v>559.4</v>
      </c>
      <c r="G22" s="103"/>
      <c r="H22" s="11">
        <f t="shared" si="0"/>
        <v>0</v>
      </c>
      <c r="I22" s="9">
        <f t="shared" si="56"/>
        <v>0</v>
      </c>
      <c r="J22" s="11">
        <f t="shared" si="1"/>
        <v>0</v>
      </c>
      <c r="K22" s="103"/>
      <c r="L22" s="11">
        <f t="shared" si="2"/>
        <v>0</v>
      </c>
      <c r="M22" s="11">
        <f t="shared" si="57"/>
        <v>0</v>
      </c>
      <c r="N22" s="11">
        <f t="shared" si="3"/>
        <v>0</v>
      </c>
      <c r="O22" s="103"/>
      <c r="P22" s="11">
        <f t="shared" si="4"/>
        <v>0</v>
      </c>
      <c r="Q22" s="11">
        <f t="shared" si="58"/>
        <v>0</v>
      </c>
      <c r="R22" s="11">
        <f t="shared" si="5"/>
        <v>0</v>
      </c>
      <c r="S22" s="103"/>
      <c r="T22" s="11">
        <f t="shared" si="6"/>
        <v>0</v>
      </c>
      <c r="U22" s="11">
        <f t="shared" si="59"/>
        <v>9500</v>
      </c>
      <c r="V22" s="11">
        <f t="shared" si="7"/>
        <v>1.5273390449467388</v>
      </c>
      <c r="W22" s="11"/>
      <c r="X22" s="11">
        <f t="shared" si="8"/>
        <v>0</v>
      </c>
      <c r="Y22" s="11">
        <f t="shared" si="60"/>
        <v>0</v>
      </c>
      <c r="Z22" s="11">
        <f t="shared" si="9"/>
        <v>0</v>
      </c>
      <c r="AA22" s="103"/>
      <c r="AB22" s="11">
        <f t="shared" si="10"/>
        <v>0</v>
      </c>
      <c r="AC22" s="11">
        <f t="shared" si="61"/>
        <v>0</v>
      </c>
      <c r="AD22" s="11">
        <f t="shared" si="11"/>
        <v>0</v>
      </c>
      <c r="AE22" s="103"/>
      <c r="AF22" s="11">
        <f t="shared" si="12"/>
        <v>0</v>
      </c>
      <c r="AG22" s="11">
        <f t="shared" si="62"/>
        <v>0</v>
      </c>
      <c r="AH22" s="11">
        <f t="shared" si="13"/>
        <v>0</v>
      </c>
      <c r="AI22" s="103"/>
      <c r="AJ22" s="11">
        <f t="shared" si="14"/>
        <v>0</v>
      </c>
      <c r="AK22" s="11">
        <f t="shared" si="63"/>
        <v>0</v>
      </c>
      <c r="AL22" s="11">
        <f t="shared" si="15"/>
        <v>0</v>
      </c>
      <c r="AM22" s="103"/>
      <c r="AN22" s="11">
        <f t="shared" si="16"/>
        <v>0</v>
      </c>
      <c r="AO22" s="11">
        <f t="shared" si="64"/>
        <v>0</v>
      </c>
      <c r="AP22" s="11">
        <f t="shared" si="17"/>
        <v>0</v>
      </c>
      <c r="AQ22" s="103"/>
      <c r="AR22" s="11">
        <f t="shared" si="18"/>
        <v>0</v>
      </c>
      <c r="AS22" s="11">
        <f t="shared" si="65"/>
        <v>0</v>
      </c>
      <c r="AT22" s="11">
        <f t="shared" si="19"/>
        <v>0</v>
      </c>
      <c r="AU22" s="259"/>
      <c r="AV22" s="11">
        <f t="shared" si="20"/>
        <v>0</v>
      </c>
      <c r="AW22" s="9">
        <f t="shared" si="66"/>
        <v>0</v>
      </c>
      <c r="AX22" s="11">
        <f t="shared" si="21"/>
        <v>0</v>
      </c>
      <c r="AY22" s="103"/>
      <c r="AZ22" s="11">
        <f t="shared" si="22"/>
        <v>0</v>
      </c>
      <c r="BA22" s="11">
        <f t="shared" si="67"/>
        <v>0</v>
      </c>
      <c r="BB22" s="11">
        <f t="shared" si="23"/>
        <v>0</v>
      </c>
      <c r="BC22" s="103"/>
      <c r="BD22" s="11">
        <f t="shared" si="24"/>
        <v>0</v>
      </c>
      <c r="BE22" s="11">
        <f t="shared" si="68"/>
        <v>0</v>
      </c>
      <c r="BF22" s="11">
        <f t="shared" si="25"/>
        <v>0</v>
      </c>
      <c r="BG22" s="103"/>
      <c r="BH22" s="11">
        <f t="shared" si="26"/>
        <v>0</v>
      </c>
      <c r="BI22" s="11">
        <f t="shared" si="69"/>
        <v>0</v>
      </c>
      <c r="BJ22" s="11">
        <f t="shared" si="27"/>
        <v>0</v>
      </c>
      <c r="BK22" s="103"/>
      <c r="BL22" s="11"/>
      <c r="BM22" s="11"/>
      <c r="BN22" s="11"/>
      <c r="BO22" s="103"/>
      <c r="BP22" s="11"/>
      <c r="BQ22" s="11"/>
      <c r="BR22" s="11"/>
      <c r="BS22" s="103"/>
      <c r="BT22" s="11"/>
      <c r="BU22" s="11"/>
      <c r="BV22" s="11"/>
      <c r="BW22" s="11">
        <f t="shared" si="70"/>
        <v>0</v>
      </c>
      <c r="BX22" s="11">
        <f t="shared" si="28"/>
        <v>0</v>
      </c>
      <c r="BY22" s="11">
        <f t="shared" si="71"/>
        <v>9500</v>
      </c>
      <c r="BZ22" s="11">
        <f t="shared" si="29"/>
        <v>1.5273390449467388</v>
      </c>
      <c r="CA22" s="11"/>
      <c r="CB22" s="11">
        <f t="shared" si="72"/>
        <v>0</v>
      </c>
      <c r="CC22" s="11">
        <f t="shared" si="101"/>
        <v>0</v>
      </c>
      <c r="CD22" s="11">
        <f t="shared" si="73"/>
        <v>0</v>
      </c>
      <c r="CE22" s="11"/>
      <c r="CF22" s="11">
        <f t="shared" si="102"/>
        <v>0</v>
      </c>
      <c r="CG22" s="11">
        <f t="shared" si="103"/>
        <v>0</v>
      </c>
      <c r="CH22" s="11">
        <f t="shared" si="104"/>
        <v>0</v>
      </c>
      <c r="CI22" s="11">
        <f t="shared" si="74"/>
        <v>0</v>
      </c>
      <c r="CJ22" s="11">
        <f t="shared" si="105"/>
        <v>0</v>
      </c>
      <c r="CK22" s="11">
        <f t="shared" si="106"/>
        <v>0</v>
      </c>
      <c r="CL22" s="11">
        <f t="shared" si="107"/>
        <v>0</v>
      </c>
      <c r="CM22" s="103">
        <v>2827.9975472109923</v>
      </c>
      <c r="CN22" s="11">
        <f t="shared" si="75"/>
        <v>5.9667240390131955</v>
      </c>
      <c r="CO22" s="11">
        <f t="shared" si="76"/>
        <v>2827.9975472109923</v>
      </c>
      <c r="CP22" s="11">
        <f t="shared" si="77"/>
        <v>0.45466432345989022</v>
      </c>
      <c r="CQ22" s="104">
        <v>19070.855254268998</v>
      </c>
      <c r="CR22" s="11">
        <f t="shared" si="30"/>
        <v>40.237139032319753</v>
      </c>
      <c r="CS22" s="11">
        <f t="shared" si="78"/>
        <v>248002.95935127581</v>
      </c>
      <c r="CT22" s="11">
        <f t="shared" si="31"/>
        <v>39.872063482057101</v>
      </c>
      <c r="CU22" s="103">
        <v>18912.23359697351</v>
      </c>
      <c r="CV22" s="11">
        <f t="shared" si="32"/>
        <v>39.90246701090075</v>
      </c>
      <c r="CW22" s="11">
        <f t="shared" si="79"/>
        <v>244433.73160285514</v>
      </c>
      <c r="CX22" s="11">
        <f t="shared" si="33"/>
        <v>39.298229703060237</v>
      </c>
      <c r="CY22" s="103">
        <v>2723.7604581310998</v>
      </c>
      <c r="CZ22" s="11">
        <f t="shared" si="34"/>
        <v>5.7467967106521325</v>
      </c>
      <c r="DA22" s="11">
        <f t="shared" si="80"/>
        <v>42814.291417322172</v>
      </c>
      <c r="DB22" s="11">
        <f t="shared" si="35"/>
        <v>6.8833619961478103</v>
      </c>
      <c r="DC22" s="103"/>
      <c r="DD22" s="11">
        <f t="shared" si="36"/>
        <v>0</v>
      </c>
      <c r="DE22" s="11">
        <f t="shared" si="81"/>
        <v>3100</v>
      </c>
      <c r="DF22" s="11">
        <f t="shared" si="37"/>
        <v>0.49839484624577796</v>
      </c>
      <c r="DG22" s="103">
        <v>525.71749275076138</v>
      </c>
      <c r="DH22" s="11">
        <f t="shared" si="38"/>
        <v>1.1091986995601453</v>
      </c>
      <c r="DI22" s="11">
        <f t="shared" si="82"/>
        <v>3565.7283697599864</v>
      </c>
      <c r="DJ22" s="11">
        <f t="shared" si="39"/>
        <v>0.57327117503249569</v>
      </c>
      <c r="DK22" s="103">
        <v>3335.5868505565545</v>
      </c>
      <c r="DL22" s="11">
        <f t="shared" si="83"/>
        <v>7.0376745075540246</v>
      </c>
      <c r="DM22" s="11">
        <f t="shared" si="84"/>
        <v>32321.761970405085</v>
      </c>
      <c r="DN22" s="11">
        <f t="shared" si="85"/>
        <v>5.1964514798815076</v>
      </c>
      <c r="DO22" s="500"/>
      <c r="DP22" s="11">
        <f t="shared" si="86"/>
        <v>0</v>
      </c>
      <c r="DQ22" s="11">
        <f t="shared" si="87"/>
        <v>0</v>
      </c>
      <c r="DR22" s="11">
        <f t="shared" si="88"/>
        <v>0</v>
      </c>
      <c r="DS22" s="103"/>
      <c r="DT22" s="11">
        <f t="shared" si="108"/>
        <v>0</v>
      </c>
      <c r="DU22" s="11">
        <f t="shared" si="89"/>
        <v>0</v>
      </c>
      <c r="DV22" s="11">
        <f t="shared" si="109"/>
        <v>0</v>
      </c>
      <c r="DW22" s="11">
        <f t="shared" si="40"/>
        <v>47396.151199891916</v>
      </c>
      <c r="DX22" s="11">
        <f t="shared" si="41"/>
        <v>100</v>
      </c>
      <c r="DY22" s="11">
        <f t="shared" si="90"/>
        <v>612496.80100048007</v>
      </c>
      <c r="DZ22" s="11">
        <f t="shared" si="42"/>
        <v>98.472660955053257</v>
      </c>
      <c r="EA22" s="103"/>
      <c r="EB22" s="11">
        <f t="shared" si="43"/>
        <v>0</v>
      </c>
      <c r="EC22" s="11">
        <f t="shared" si="91"/>
        <v>0</v>
      </c>
      <c r="ED22" s="11">
        <f t="shared" si="44"/>
        <v>0</v>
      </c>
      <c r="EE22" s="103"/>
      <c r="EF22" s="11">
        <f t="shared" si="45"/>
        <v>0</v>
      </c>
      <c r="EG22" s="11">
        <f t="shared" si="92"/>
        <v>0</v>
      </c>
      <c r="EH22" s="11">
        <f t="shared" si="46"/>
        <v>0</v>
      </c>
      <c r="EI22" s="103"/>
      <c r="EJ22" s="17">
        <f t="shared" si="47"/>
        <v>0</v>
      </c>
      <c r="EK22" s="11">
        <f t="shared" si="93"/>
        <v>0</v>
      </c>
      <c r="EL22" s="11">
        <f t="shared" si="48"/>
        <v>0</v>
      </c>
      <c r="EM22" s="11">
        <f t="shared" si="94"/>
        <v>0</v>
      </c>
      <c r="EN22" s="11">
        <f t="shared" si="49"/>
        <v>0</v>
      </c>
      <c r="EO22" s="11">
        <f t="shared" si="95"/>
        <v>0</v>
      </c>
      <c r="EP22" s="11">
        <f t="shared" si="50"/>
        <v>0</v>
      </c>
      <c r="EQ22" s="103"/>
      <c r="ER22" s="11">
        <f t="shared" si="51"/>
        <v>0</v>
      </c>
      <c r="ES22" s="11">
        <f t="shared" si="96"/>
        <v>0</v>
      </c>
      <c r="ET22" s="11">
        <f t="shared" si="52"/>
        <v>0</v>
      </c>
      <c r="EU22" s="11">
        <f t="shared" si="97"/>
        <v>47396.151199891916</v>
      </c>
      <c r="EV22" s="11">
        <f t="shared" si="98"/>
        <v>621996.80100048007</v>
      </c>
      <c r="EW22" s="11">
        <f t="shared" si="53"/>
        <v>1.1165960185617809</v>
      </c>
      <c r="EX22" s="11">
        <f t="shared" si="54"/>
        <v>1.1118998945307117</v>
      </c>
      <c r="EY22" s="497">
        <f t="shared" si="99"/>
        <v>0.8955790486231886</v>
      </c>
      <c r="EZ22" s="498">
        <f t="shared" si="100"/>
        <v>0.91331089254058251</v>
      </c>
      <c r="FA22" s="6" t="s">
        <v>430</v>
      </c>
      <c r="FF22" s="15"/>
      <c r="FG22" s="15"/>
    </row>
    <row r="23" spans="1:163">
      <c r="A23" s="18">
        <f>+Chem!A22</f>
        <v>46036</v>
      </c>
      <c r="B23" s="6" t="str">
        <f>+Chem!B22</f>
        <v>Toilet</v>
      </c>
      <c r="C23" s="6" t="str">
        <f>+Chem!C22</f>
        <v>15</v>
      </c>
      <c r="D23" s="9">
        <f>+Chem!D22</f>
        <v>54.194000000000003</v>
      </c>
      <c r="E23" s="7">
        <f>+Chem!E22</f>
        <v>50.981000000000002</v>
      </c>
      <c r="F23" s="7">
        <f t="shared" si="55"/>
        <v>610.38099999999997</v>
      </c>
      <c r="G23" s="103"/>
      <c r="H23" s="11">
        <f t="shared" si="0"/>
        <v>0</v>
      </c>
      <c r="I23" s="9">
        <f t="shared" si="56"/>
        <v>0</v>
      </c>
      <c r="J23" s="11">
        <f t="shared" si="1"/>
        <v>0</v>
      </c>
      <c r="K23" s="103"/>
      <c r="L23" s="11">
        <f t="shared" si="2"/>
        <v>0</v>
      </c>
      <c r="M23" s="11">
        <f t="shared" si="57"/>
        <v>0</v>
      </c>
      <c r="N23" s="11">
        <f t="shared" si="3"/>
        <v>0</v>
      </c>
      <c r="O23" s="103"/>
      <c r="P23" s="11">
        <f t="shared" si="4"/>
        <v>0</v>
      </c>
      <c r="Q23" s="11">
        <f t="shared" si="58"/>
        <v>0</v>
      </c>
      <c r="R23" s="11">
        <f t="shared" si="5"/>
        <v>0</v>
      </c>
      <c r="S23" s="103"/>
      <c r="T23" s="11">
        <f t="shared" si="6"/>
        <v>0</v>
      </c>
      <c r="U23" s="11">
        <f t="shared" si="59"/>
        <v>9500</v>
      </c>
      <c r="V23" s="11">
        <f t="shared" si="7"/>
        <v>1.4014814388130201</v>
      </c>
      <c r="W23" s="11"/>
      <c r="X23" s="11">
        <f t="shared" si="8"/>
        <v>0</v>
      </c>
      <c r="Y23" s="11">
        <f t="shared" si="60"/>
        <v>0</v>
      </c>
      <c r="Z23" s="11">
        <f t="shared" si="9"/>
        <v>0</v>
      </c>
      <c r="AA23" s="103"/>
      <c r="AB23" s="11">
        <f t="shared" si="10"/>
        <v>0</v>
      </c>
      <c r="AC23" s="11">
        <f t="shared" si="61"/>
        <v>0</v>
      </c>
      <c r="AD23" s="11">
        <f t="shared" si="11"/>
        <v>0</v>
      </c>
      <c r="AE23" s="103"/>
      <c r="AF23" s="11">
        <f t="shared" si="12"/>
        <v>0</v>
      </c>
      <c r="AG23" s="11">
        <f t="shared" si="62"/>
        <v>0</v>
      </c>
      <c r="AH23" s="11">
        <f t="shared" si="13"/>
        <v>0</v>
      </c>
      <c r="AI23" s="103"/>
      <c r="AJ23" s="11">
        <f t="shared" si="14"/>
        <v>0</v>
      </c>
      <c r="AK23" s="11">
        <f t="shared" si="63"/>
        <v>0</v>
      </c>
      <c r="AL23" s="11">
        <f t="shared" si="15"/>
        <v>0</v>
      </c>
      <c r="AM23" s="103"/>
      <c r="AN23" s="11">
        <f t="shared" si="16"/>
        <v>0</v>
      </c>
      <c r="AO23" s="11">
        <f t="shared" si="64"/>
        <v>0</v>
      </c>
      <c r="AP23" s="11">
        <f t="shared" si="17"/>
        <v>0</v>
      </c>
      <c r="AQ23" s="103"/>
      <c r="AR23" s="11">
        <f t="shared" si="18"/>
        <v>0</v>
      </c>
      <c r="AS23" s="11">
        <f t="shared" si="65"/>
        <v>0</v>
      </c>
      <c r="AT23" s="11">
        <f t="shared" si="19"/>
        <v>0</v>
      </c>
      <c r="AU23" s="259"/>
      <c r="AV23" s="11">
        <f t="shared" si="20"/>
        <v>0</v>
      </c>
      <c r="AW23" s="9">
        <f t="shared" si="66"/>
        <v>0</v>
      </c>
      <c r="AX23" s="11">
        <f t="shared" si="21"/>
        <v>0</v>
      </c>
      <c r="AY23" s="103"/>
      <c r="AZ23" s="11">
        <f t="shared" si="22"/>
        <v>0</v>
      </c>
      <c r="BA23" s="11">
        <f t="shared" si="67"/>
        <v>0</v>
      </c>
      <c r="BB23" s="11">
        <f t="shared" si="23"/>
        <v>0</v>
      </c>
      <c r="BC23" s="103"/>
      <c r="BD23" s="11">
        <f t="shared" si="24"/>
        <v>0</v>
      </c>
      <c r="BE23" s="11">
        <f t="shared" si="68"/>
        <v>0</v>
      </c>
      <c r="BF23" s="11">
        <f t="shared" si="25"/>
        <v>0</v>
      </c>
      <c r="BG23" s="103"/>
      <c r="BH23" s="11">
        <f t="shared" si="26"/>
        <v>0</v>
      </c>
      <c r="BI23" s="11">
        <f t="shared" si="69"/>
        <v>0</v>
      </c>
      <c r="BJ23" s="11">
        <f t="shared" si="27"/>
        <v>0</v>
      </c>
      <c r="BK23" s="103"/>
      <c r="BL23" s="11"/>
      <c r="BM23" s="11"/>
      <c r="BN23" s="11"/>
      <c r="BO23" s="103"/>
      <c r="BP23" s="11"/>
      <c r="BQ23" s="11"/>
      <c r="BR23" s="11"/>
      <c r="BS23" s="103"/>
      <c r="BT23" s="11"/>
      <c r="BU23" s="11"/>
      <c r="BV23" s="11"/>
      <c r="BW23" s="11">
        <f t="shared" si="70"/>
        <v>0</v>
      </c>
      <c r="BX23" s="11">
        <f t="shared" si="28"/>
        <v>0</v>
      </c>
      <c r="BY23" s="11">
        <f t="shared" si="71"/>
        <v>9500</v>
      </c>
      <c r="BZ23" s="11">
        <f t="shared" si="29"/>
        <v>1.4014814388130201</v>
      </c>
      <c r="CA23" s="11"/>
      <c r="CB23" s="11">
        <f t="shared" si="72"/>
        <v>0</v>
      </c>
      <c r="CC23" s="11">
        <f t="shared" si="101"/>
        <v>0</v>
      </c>
      <c r="CD23" s="11">
        <f t="shared" si="73"/>
        <v>0</v>
      </c>
      <c r="CE23" s="11"/>
      <c r="CF23" s="11">
        <f t="shared" si="102"/>
        <v>0</v>
      </c>
      <c r="CG23" s="11">
        <f t="shared" si="103"/>
        <v>0</v>
      </c>
      <c r="CH23" s="11">
        <f t="shared" si="104"/>
        <v>0</v>
      </c>
      <c r="CI23" s="11">
        <f t="shared" si="74"/>
        <v>0</v>
      </c>
      <c r="CJ23" s="11">
        <f t="shared" si="105"/>
        <v>0</v>
      </c>
      <c r="CK23" s="11">
        <f t="shared" si="106"/>
        <v>0</v>
      </c>
      <c r="CL23" s="11">
        <f t="shared" si="107"/>
        <v>0</v>
      </c>
      <c r="CM23" s="103">
        <v>3234.4166682172563</v>
      </c>
      <c r="CN23" s="11">
        <f t="shared" si="75"/>
        <v>5.7904951031276797</v>
      </c>
      <c r="CO23" s="11">
        <f t="shared" si="76"/>
        <v>3234.4166682172563</v>
      </c>
      <c r="CP23" s="11">
        <f t="shared" si="77"/>
        <v>0.47715525535725639</v>
      </c>
      <c r="CQ23" s="104">
        <v>22492.178888413375</v>
      </c>
      <c r="CR23" s="11">
        <f t="shared" si="30"/>
        <v>40.267184185584689</v>
      </c>
      <c r="CS23" s="11">
        <f t="shared" si="78"/>
        <v>270495.13823968917</v>
      </c>
      <c r="CT23" s="11">
        <f t="shared" si="31"/>
        <v>39.904622687588045</v>
      </c>
      <c r="CU23" s="103">
        <v>22282.937591872429</v>
      </c>
      <c r="CV23" s="11">
        <f t="shared" si="32"/>
        <v>39.892584736200746</v>
      </c>
      <c r="CW23" s="11">
        <f t="shared" si="79"/>
        <v>266716.66919472755</v>
      </c>
      <c r="CX23" s="11">
        <f t="shared" si="33"/>
        <v>39.347206452467695</v>
      </c>
      <c r="CY23" s="103">
        <v>3322.6509498911487</v>
      </c>
      <c r="CZ23" s="11">
        <f t="shared" si="34"/>
        <v>5.9484587263618716</v>
      </c>
      <c r="DA23" s="11">
        <f t="shared" si="80"/>
        <v>46136.94236721332</v>
      </c>
      <c r="DB23" s="11">
        <f t="shared" si="35"/>
        <v>6.8063229864458439</v>
      </c>
      <c r="DC23" s="103"/>
      <c r="DD23" s="11">
        <f t="shared" si="36"/>
        <v>0</v>
      </c>
      <c r="DE23" s="11">
        <f t="shared" si="81"/>
        <v>3100</v>
      </c>
      <c r="DF23" s="11">
        <f t="shared" si="37"/>
        <v>0.45732552213898553</v>
      </c>
      <c r="DG23" s="103">
        <v>983.1819957948012</v>
      </c>
      <c r="DH23" s="11">
        <f t="shared" si="38"/>
        <v>1.7601660874667147</v>
      </c>
      <c r="DI23" s="11">
        <f t="shared" si="82"/>
        <v>4548.9103655547879</v>
      </c>
      <c r="DJ23" s="11">
        <f t="shared" si="39"/>
        <v>0.67107509938412491</v>
      </c>
      <c r="DK23" s="103">
        <v>3541.9761643376814</v>
      </c>
      <c r="DL23" s="11">
        <f t="shared" si="83"/>
        <v>6.3411111612582935</v>
      </c>
      <c r="DM23" s="11">
        <f t="shared" si="84"/>
        <v>35863.738134742765</v>
      </c>
      <c r="DN23" s="11">
        <f t="shared" si="85"/>
        <v>5.2907750865571233</v>
      </c>
      <c r="DO23" s="500"/>
      <c r="DP23" s="11">
        <f t="shared" si="86"/>
        <v>0</v>
      </c>
      <c r="DQ23" s="11">
        <f t="shared" si="87"/>
        <v>0</v>
      </c>
      <c r="DR23" s="11">
        <f t="shared" si="88"/>
        <v>0</v>
      </c>
      <c r="DS23" s="103"/>
      <c r="DT23" s="11">
        <f t="shared" si="108"/>
        <v>0</v>
      </c>
      <c r="DU23" s="11">
        <f t="shared" si="89"/>
        <v>0</v>
      </c>
      <c r="DV23" s="11">
        <f t="shared" si="109"/>
        <v>0</v>
      </c>
      <c r="DW23" s="11">
        <f t="shared" si="40"/>
        <v>55857.342258526696</v>
      </c>
      <c r="DX23" s="11">
        <f t="shared" si="41"/>
        <v>100</v>
      </c>
      <c r="DY23" s="11">
        <f t="shared" si="90"/>
        <v>668354.14325900679</v>
      </c>
      <c r="DZ23" s="11">
        <f t="shared" si="42"/>
        <v>98.598518561186978</v>
      </c>
      <c r="EA23" s="103"/>
      <c r="EB23" s="11">
        <f t="shared" si="43"/>
        <v>0</v>
      </c>
      <c r="EC23" s="11">
        <f t="shared" si="91"/>
        <v>0</v>
      </c>
      <c r="ED23" s="11">
        <f t="shared" si="44"/>
        <v>0</v>
      </c>
      <c r="EE23" s="103"/>
      <c r="EF23" s="11">
        <f t="shared" si="45"/>
        <v>0</v>
      </c>
      <c r="EG23" s="11">
        <f t="shared" si="92"/>
        <v>0</v>
      </c>
      <c r="EH23" s="11">
        <f t="shared" si="46"/>
        <v>0</v>
      </c>
      <c r="EI23" s="103"/>
      <c r="EJ23" s="17">
        <f t="shared" si="47"/>
        <v>0</v>
      </c>
      <c r="EK23" s="11">
        <f t="shared" si="93"/>
        <v>0</v>
      </c>
      <c r="EL23" s="11">
        <f t="shared" si="48"/>
        <v>0</v>
      </c>
      <c r="EM23" s="11">
        <f t="shared" si="94"/>
        <v>0</v>
      </c>
      <c r="EN23" s="11">
        <f t="shared" si="49"/>
        <v>0</v>
      </c>
      <c r="EO23" s="11">
        <f t="shared" si="95"/>
        <v>0</v>
      </c>
      <c r="EP23" s="11">
        <f t="shared" si="50"/>
        <v>0</v>
      </c>
      <c r="EQ23" s="103"/>
      <c r="ER23" s="11">
        <f t="shared" si="51"/>
        <v>0</v>
      </c>
      <c r="ES23" s="11">
        <f t="shared" si="96"/>
        <v>0</v>
      </c>
      <c r="ET23" s="11">
        <f t="shared" si="52"/>
        <v>0</v>
      </c>
      <c r="EU23" s="11">
        <f t="shared" si="97"/>
        <v>55857.342258526696</v>
      </c>
      <c r="EV23" s="11">
        <f t="shared" si="98"/>
        <v>677854.14325900679</v>
      </c>
      <c r="EW23" s="11">
        <f t="shared" si="53"/>
        <v>1.0956501884726997</v>
      </c>
      <c r="EX23" s="11">
        <f t="shared" si="54"/>
        <v>1.1105426663985394</v>
      </c>
      <c r="EY23" s="497">
        <f t="shared" si="99"/>
        <v>0.91270006660973357</v>
      </c>
      <c r="EZ23" s="498">
        <f t="shared" si="100"/>
        <v>0.91325984308809693</v>
      </c>
      <c r="FA23" s="6" t="s">
        <v>430</v>
      </c>
      <c r="FF23" s="15"/>
      <c r="FG23" s="15"/>
    </row>
    <row r="24" spans="1:163">
      <c r="A24" s="18">
        <f>+Chem!A23</f>
        <v>46037</v>
      </c>
      <c r="B24" s="6" t="str">
        <f>+Chem!B23</f>
        <v>Toilet</v>
      </c>
      <c r="C24" s="6" t="str">
        <f>+Chem!C23</f>
        <v>15</v>
      </c>
      <c r="D24" s="9">
        <f>+Chem!D23</f>
        <v>53.844999999999999</v>
      </c>
      <c r="E24" s="7">
        <f>+Chem!E23</f>
        <v>53.661999999999999</v>
      </c>
      <c r="F24" s="7">
        <f t="shared" si="55"/>
        <v>664.04300000000001</v>
      </c>
      <c r="G24" s="103"/>
      <c r="H24" s="11">
        <f t="shared" si="0"/>
        <v>0</v>
      </c>
      <c r="I24" s="9">
        <f t="shared" si="56"/>
        <v>0</v>
      </c>
      <c r="J24" s="11">
        <f t="shared" si="1"/>
        <v>0</v>
      </c>
      <c r="K24" s="103"/>
      <c r="L24" s="11">
        <f t="shared" si="2"/>
        <v>0</v>
      </c>
      <c r="M24" s="11">
        <f t="shared" si="57"/>
        <v>0</v>
      </c>
      <c r="N24" s="11">
        <f t="shared" si="3"/>
        <v>0</v>
      </c>
      <c r="O24" s="103"/>
      <c r="P24" s="11">
        <f t="shared" si="4"/>
        <v>0</v>
      </c>
      <c r="Q24" s="11">
        <f t="shared" si="58"/>
        <v>0</v>
      </c>
      <c r="R24" s="11">
        <f t="shared" si="5"/>
        <v>0</v>
      </c>
      <c r="S24" s="103"/>
      <c r="T24" s="11">
        <f t="shared" si="6"/>
        <v>0</v>
      </c>
      <c r="U24" s="11">
        <f t="shared" si="59"/>
        <v>9500</v>
      </c>
      <c r="V24" s="11">
        <f t="shared" si="7"/>
        <v>1.3043719979711967</v>
      </c>
      <c r="W24" s="11"/>
      <c r="X24" s="11">
        <f t="shared" si="8"/>
        <v>0</v>
      </c>
      <c r="Y24" s="11">
        <f t="shared" si="60"/>
        <v>0</v>
      </c>
      <c r="Z24" s="11">
        <f t="shared" si="9"/>
        <v>0</v>
      </c>
      <c r="AA24" s="103"/>
      <c r="AB24" s="11">
        <f t="shared" si="10"/>
        <v>0</v>
      </c>
      <c r="AC24" s="11">
        <f t="shared" si="61"/>
        <v>0</v>
      </c>
      <c r="AD24" s="11">
        <f t="shared" si="11"/>
        <v>0</v>
      </c>
      <c r="AE24" s="103"/>
      <c r="AF24" s="11">
        <f t="shared" si="12"/>
        <v>0</v>
      </c>
      <c r="AG24" s="11">
        <f t="shared" si="62"/>
        <v>0</v>
      </c>
      <c r="AH24" s="11">
        <f t="shared" si="13"/>
        <v>0</v>
      </c>
      <c r="AI24" s="103"/>
      <c r="AJ24" s="11">
        <f t="shared" si="14"/>
        <v>0</v>
      </c>
      <c r="AK24" s="11">
        <f t="shared" si="63"/>
        <v>0</v>
      </c>
      <c r="AL24" s="11">
        <f t="shared" si="15"/>
        <v>0</v>
      </c>
      <c r="AM24" s="103"/>
      <c r="AN24" s="11">
        <f t="shared" si="16"/>
        <v>0</v>
      </c>
      <c r="AO24" s="11">
        <f t="shared" si="64"/>
        <v>0</v>
      </c>
      <c r="AP24" s="11">
        <f t="shared" si="17"/>
        <v>0</v>
      </c>
      <c r="AQ24" s="103"/>
      <c r="AR24" s="11">
        <f t="shared" si="18"/>
        <v>0</v>
      </c>
      <c r="AS24" s="11">
        <f t="shared" si="65"/>
        <v>0</v>
      </c>
      <c r="AT24" s="11">
        <f t="shared" si="19"/>
        <v>0</v>
      </c>
      <c r="AU24" s="259"/>
      <c r="AV24" s="11">
        <f t="shared" si="20"/>
        <v>0</v>
      </c>
      <c r="AW24" s="9">
        <f t="shared" si="66"/>
        <v>0</v>
      </c>
      <c r="AX24" s="11">
        <f t="shared" si="21"/>
        <v>0</v>
      </c>
      <c r="AY24" s="103"/>
      <c r="AZ24" s="11">
        <f t="shared" si="22"/>
        <v>0</v>
      </c>
      <c r="BA24" s="11">
        <f t="shared" si="67"/>
        <v>0</v>
      </c>
      <c r="BB24" s="11">
        <f t="shared" si="23"/>
        <v>0</v>
      </c>
      <c r="BC24" s="103"/>
      <c r="BD24" s="11">
        <f t="shared" si="24"/>
        <v>0</v>
      </c>
      <c r="BE24" s="11">
        <f t="shared" si="68"/>
        <v>0</v>
      </c>
      <c r="BF24" s="11">
        <f t="shared" si="25"/>
        <v>0</v>
      </c>
      <c r="BG24" s="103"/>
      <c r="BH24" s="11">
        <f t="shared" si="26"/>
        <v>0</v>
      </c>
      <c r="BI24" s="11">
        <f t="shared" si="69"/>
        <v>0</v>
      </c>
      <c r="BJ24" s="11">
        <f t="shared" si="27"/>
        <v>0</v>
      </c>
      <c r="BK24" s="103"/>
      <c r="BL24" s="11"/>
      <c r="BM24" s="11"/>
      <c r="BN24" s="11"/>
      <c r="BO24" s="103"/>
      <c r="BP24" s="11"/>
      <c r="BQ24" s="11"/>
      <c r="BR24" s="11"/>
      <c r="BS24" s="103"/>
      <c r="BT24" s="11"/>
      <c r="BU24" s="11"/>
      <c r="BV24" s="11"/>
      <c r="BW24" s="11">
        <f t="shared" si="70"/>
        <v>0</v>
      </c>
      <c r="BX24" s="11">
        <f t="shared" si="28"/>
        <v>0</v>
      </c>
      <c r="BY24" s="11">
        <f t="shared" si="71"/>
        <v>9500</v>
      </c>
      <c r="BZ24" s="11">
        <f t="shared" si="29"/>
        <v>1.3043719979711967</v>
      </c>
      <c r="CA24" s="11"/>
      <c r="CB24" s="11">
        <f t="shared" si="72"/>
        <v>0</v>
      </c>
      <c r="CC24" s="11">
        <f t="shared" si="101"/>
        <v>0</v>
      </c>
      <c r="CD24" s="11">
        <f t="shared" si="73"/>
        <v>0</v>
      </c>
      <c r="CE24" s="11"/>
      <c r="CF24" s="11">
        <f t="shared" si="102"/>
        <v>0</v>
      </c>
      <c r="CG24" s="11">
        <f t="shared" si="103"/>
        <v>0</v>
      </c>
      <c r="CH24" s="11">
        <f t="shared" si="104"/>
        <v>0</v>
      </c>
      <c r="CI24" s="11">
        <f t="shared" si="74"/>
        <v>0</v>
      </c>
      <c r="CJ24" s="11">
        <f t="shared" si="105"/>
        <v>0</v>
      </c>
      <c r="CK24" s="11">
        <f t="shared" si="106"/>
        <v>0</v>
      </c>
      <c r="CL24" s="11">
        <f t="shared" si="107"/>
        <v>0</v>
      </c>
      <c r="CM24" s="103">
        <v>3197.6616889852448</v>
      </c>
      <c r="CN24" s="11">
        <f t="shared" si="75"/>
        <v>6.3363078917194287</v>
      </c>
      <c r="CO24" s="11">
        <f t="shared" si="76"/>
        <v>3197.6616889852448</v>
      </c>
      <c r="CP24" s="11">
        <f t="shared" si="77"/>
        <v>0.43904635432606687</v>
      </c>
      <c r="CQ24" s="104">
        <v>17641.230340806087</v>
      </c>
      <c r="CR24" s="11">
        <f t="shared" si="30"/>
        <v>34.956877212223944</v>
      </c>
      <c r="CS24" s="11">
        <f t="shared" si="78"/>
        <v>288136.36858049524</v>
      </c>
      <c r="CT24" s="11">
        <f t="shared" si="31"/>
        <v>39.561790607737443</v>
      </c>
      <c r="CU24" s="103">
        <v>22255.322817280467</v>
      </c>
      <c r="CV24" s="11">
        <f t="shared" si="32"/>
        <v>44.099905279425691</v>
      </c>
      <c r="CW24" s="11">
        <f t="shared" si="79"/>
        <v>288971.99201200804</v>
      </c>
      <c r="CX24" s="11">
        <f t="shared" si="33"/>
        <v>39.676523639833647</v>
      </c>
      <c r="CY24" s="103">
        <v>5421.684453000159</v>
      </c>
      <c r="CZ24" s="11">
        <f t="shared" si="34"/>
        <v>10.743307243631287</v>
      </c>
      <c r="DA24" s="11">
        <f t="shared" si="80"/>
        <v>51558.626820213482</v>
      </c>
      <c r="DB24" s="11">
        <f t="shared" si="35"/>
        <v>7.0791188503298104</v>
      </c>
      <c r="DC24" s="103"/>
      <c r="DD24" s="11">
        <f t="shared" si="36"/>
        <v>0</v>
      </c>
      <c r="DE24" s="11">
        <f t="shared" si="81"/>
        <v>3100</v>
      </c>
      <c r="DF24" s="11">
        <f t="shared" si="37"/>
        <v>0.42563717828533787</v>
      </c>
      <c r="DG24" s="103"/>
      <c r="DH24" s="11">
        <f t="shared" si="38"/>
        <v>0</v>
      </c>
      <c r="DI24" s="11">
        <f t="shared" si="82"/>
        <v>4548.9103655547879</v>
      </c>
      <c r="DJ24" s="11">
        <f t="shared" si="39"/>
        <v>0.62457592653795635</v>
      </c>
      <c r="DK24" s="103">
        <v>1949.793712795881</v>
      </c>
      <c r="DL24" s="11">
        <f t="shared" si="83"/>
        <v>3.8636023729996514</v>
      </c>
      <c r="DM24" s="11">
        <f t="shared" si="84"/>
        <v>37813.531847538645</v>
      </c>
      <c r="DN24" s="11">
        <f t="shared" si="85"/>
        <v>5.1918854827706795</v>
      </c>
      <c r="DO24" s="500"/>
      <c r="DP24" s="11">
        <f>DO24/EU24*100</f>
        <v>0</v>
      </c>
      <c r="DQ24" s="11">
        <f t="shared" si="87"/>
        <v>0</v>
      </c>
      <c r="DR24" s="11">
        <f>DQ24/EV24*100</f>
        <v>0</v>
      </c>
      <c r="DS24" s="103"/>
      <c r="DT24" s="11">
        <f t="shared" si="108"/>
        <v>0</v>
      </c>
      <c r="DU24" s="11">
        <f t="shared" si="89"/>
        <v>0</v>
      </c>
      <c r="DV24" s="11">
        <f t="shared" si="109"/>
        <v>0</v>
      </c>
      <c r="DW24" s="11">
        <f t="shared" si="40"/>
        <v>50465.693012867836</v>
      </c>
      <c r="DX24" s="11">
        <f t="shared" si="41"/>
        <v>100</v>
      </c>
      <c r="DY24" s="11">
        <f t="shared" si="90"/>
        <v>718819.83627187461</v>
      </c>
      <c r="DZ24" s="11">
        <f t="shared" si="42"/>
        <v>98.695628002028798</v>
      </c>
      <c r="EA24" s="103"/>
      <c r="EB24" s="11">
        <f t="shared" si="43"/>
        <v>0</v>
      </c>
      <c r="EC24" s="11">
        <f t="shared" si="91"/>
        <v>0</v>
      </c>
      <c r="ED24" s="11">
        <f t="shared" si="44"/>
        <v>0</v>
      </c>
      <c r="EE24" s="103"/>
      <c r="EF24" s="11">
        <f t="shared" si="45"/>
        <v>0</v>
      </c>
      <c r="EG24" s="11">
        <f t="shared" si="92"/>
        <v>0</v>
      </c>
      <c r="EH24" s="11">
        <f t="shared" si="46"/>
        <v>0</v>
      </c>
      <c r="EI24" s="103"/>
      <c r="EJ24" s="17">
        <f t="shared" si="47"/>
        <v>0</v>
      </c>
      <c r="EK24" s="11">
        <f t="shared" si="93"/>
        <v>0</v>
      </c>
      <c r="EL24" s="11">
        <f t="shared" si="48"/>
        <v>0</v>
      </c>
      <c r="EM24" s="11">
        <f t="shared" si="94"/>
        <v>0</v>
      </c>
      <c r="EN24" s="11">
        <f t="shared" si="49"/>
        <v>0</v>
      </c>
      <c r="EO24" s="11">
        <f t="shared" si="95"/>
        <v>0</v>
      </c>
      <c r="EP24" s="11">
        <f t="shared" si="50"/>
        <v>0</v>
      </c>
      <c r="EQ24" s="103"/>
      <c r="ER24" s="11">
        <f t="shared" si="51"/>
        <v>0</v>
      </c>
      <c r="ES24" s="11">
        <f t="shared" si="96"/>
        <v>0</v>
      </c>
      <c r="ET24" s="11">
        <f t="shared" si="52"/>
        <v>0</v>
      </c>
      <c r="EU24" s="11">
        <f t="shared" si="97"/>
        <v>50465.693012867836</v>
      </c>
      <c r="EV24" s="11">
        <f t="shared" si="98"/>
        <v>728319.83627187461</v>
      </c>
      <c r="EW24" s="11">
        <f t="shared" si="53"/>
        <v>0.94043630526010658</v>
      </c>
      <c r="EX24" s="11">
        <f t="shared" si="54"/>
        <v>1.0967961958365264</v>
      </c>
      <c r="EY24" s="497">
        <f t="shared" si="99"/>
        <v>1.0633362349015432</v>
      </c>
      <c r="EZ24" s="498">
        <f t="shared" si="100"/>
        <v>0.92379615376785917</v>
      </c>
      <c r="FA24" s="6" t="s">
        <v>430</v>
      </c>
      <c r="FF24" s="15"/>
      <c r="FG24" s="15"/>
    </row>
    <row r="25" spans="1:163">
      <c r="A25" s="18">
        <f>+Chem!A24</f>
        <v>46038</v>
      </c>
      <c r="B25" s="6" t="str">
        <f>+Chem!B24</f>
        <v>Toilet</v>
      </c>
      <c r="C25" s="6" t="str">
        <f>+Chem!C24</f>
        <v>15</v>
      </c>
      <c r="D25" s="9">
        <f>+Chem!D24</f>
        <v>54.427999999999997</v>
      </c>
      <c r="E25" s="7">
        <f>+Chem!E24</f>
        <v>49.744</v>
      </c>
      <c r="F25" s="7">
        <f t="shared" si="55"/>
        <v>713.78700000000003</v>
      </c>
      <c r="G25" s="103"/>
      <c r="H25" s="11">
        <f t="shared" si="0"/>
        <v>0</v>
      </c>
      <c r="I25" s="9">
        <f t="shared" si="56"/>
        <v>0</v>
      </c>
      <c r="J25" s="11">
        <f t="shared" si="1"/>
        <v>0</v>
      </c>
      <c r="K25" s="103"/>
      <c r="L25" s="11">
        <f t="shared" si="2"/>
        <v>0</v>
      </c>
      <c r="M25" s="11">
        <f t="shared" si="57"/>
        <v>0</v>
      </c>
      <c r="N25" s="11">
        <f t="shared" si="3"/>
        <v>0</v>
      </c>
      <c r="O25" s="103"/>
      <c r="P25" s="11">
        <f t="shared" si="4"/>
        <v>0</v>
      </c>
      <c r="Q25" s="11">
        <f t="shared" si="58"/>
        <v>0</v>
      </c>
      <c r="R25" s="11">
        <f t="shared" si="5"/>
        <v>0</v>
      </c>
      <c r="S25" s="103"/>
      <c r="T25" s="11">
        <f t="shared" si="6"/>
        <v>0</v>
      </c>
      <c r="U25" s="11">
        <f t="shared" si="59"/>
        <v>9500</v>
      </c>
      <c r="V25" s="11">
        <f t="shared" si="7"/>
        <v>1.2127934740073747</v>
      </c>
      <c r="W25" s="11"/>
      <c r="X25" s="11">
        <f t="shared" si="8"/>
        <v>0</v>
      </c>
      <c r="Y25" s="11">
        <f t="shared" si="60"/>
        <v>0</v>
      </c>
      <c r="Z25" s="11">
        <f t="shared" si="9"/>
        <v>0</v>
      </c>
      <c r="AA25" s="103"/>
      <c r="AB25" s="11">
        <f t="shared" si="10"/>
        <v>0</v>
      </c>
      <c r="AC25" s="11">
        <f t="shared" si="61"/>
        <v>0</v>
      </c>
      <c r="AD25" s="11">
        <f t="shared" si="11"/>
        <v>0</v>
      </c>
      <c r="AE25" s="103"/>
      <c r="AF25" s="11">
        <f t="shared" si="12"/>
        <v>0</v>
      </c>
      <c r="AG25" s="11">
        <f t="shared" si="62"/>
        <v>0</v>
      </c>
      <c r="AH25" s="11">
        <f t="shared" si="13"/>
        <v>0</v>
      </c>
      <c r="AI25" s="103"/>
      <c r="AJ25" s="11">
        <f t="shared" si="14"/>
        <v>0</v>
      </c>
      <c r="AK25" s="11">
        <f t="shared" si="63"/>
        <v>0</v>
      </c>
      <c r="AL25" s="11">
        <f t="shared" si="15"/>
        <v>0</v>
      </c>
      <c r="AM25" s="103"/>
      <c r="AN25" s="11">
        <f t="shared" si="16"/>
        <v>0</v>
      </c>
      <c r="AO25" s="11">
        <f t="shared" si="64"/>
        <v>0</v>
      </c>
      <c r="AP25" s="11">
        <f t="shared" si="17"/>
        <v>0</v>
      </c>
      <c r="AQ25" s="103"/>
      <c r="AR25" s="11">
        <f t="shared" si="18"/>
        <v>0</v>
      </c>
      <c r="AS25" s="11">
        <f t="shared" si="65"/>
        <v>0</v>
      </c>
      <c r="AT25" s="11">
        <f t="shared" si="19"/>
        <v>0</v>
      </c>
      <c r="AU25" s="259"/>
      <c r="AV25" s="11">
        <f t="shared" si="20"/>
        <v>0</v>
      </c>
      <c r="AW25" s="9">
        <f t="shared" si="66"/>
        <v>0</v>
      </c>
      <c r="AX25" s="11">
        <f t="shared" si="21"/>
        <v>0</v>
      </c>
      <c r="AY25" s="103"/>
      <c r="AZ25" s="11">
        <f t="shared" si="22"/>
        <v>0</v>
      </c>
      <c r="BA25" s="11">
        <f t="shared" si="67"/>
        <v>0</v>
      </c>
      <c r="BB25" s="11">
        <f t="shared" si="23"/>
        <v>0</v>
      </c>
      <c r="BC25" s="103"/>
      <c r="BD25" s="11">
        <f t="shared" si="24"/>
        <v>0</v>
      </c>
      <c r="BE25" s="11">
        <f t="shared" si="68"/>
        <v>0</v>
      </c>
      <c r="BF25" s="11">
        <f t="shared" si="25"/>
        <v>0</v>
      </c>
      <c r="BG25" s="103"/>
      <c r="BH25" s="11">
        <f t="shared" si="26"/>
        <v>0</v>
      </c>
      <c r="BI25" s="11">
        <f t="shared" si="69"/>
        <v>0</v>
      </c>
      <c r="BJ25" s="11">
        <f t="shared" si="27"/>
        <v>0</v>
      </c>
      <c r="BK25" s="103"/>
      <c r="BL25" s="11"/>
      <c r="BM25" s="11"/>
      <c r="BN25" s="11"/>
      <c r="BO25" s="103"/>
      <c r="BP25" s="11"/>
      <c r="BQ25" s="11"/>
      <c r="BR25" s="11"/>
      <c r="BS25" s="103"/>
      <c r="BT25" s="11"/>
      <c r="BU25" s="11"/>
      <c r="BV25" s="11"/>
      <c r="BW25" s="11">
        <f t="shared" si="70"/>
        <v>0</v>
      </c>
      <c r="BX25" s="11">
        <f t="shared" si="28"/>
        <v>0</v>
      </c>
      <c r="BY25" s="11">
        <f t="shared" si="71"/>
        <v>9500</v>
      </c>
      <c r="BZ25" s="11">
        <f t="shared" si="29"/>
        <v>1.2127934740073747</v>
      </c>
      <c r="CA25" s="11"/>
      <c r="CB25" s="11">
        <f t="shared" si="72"/>
        <v>0</v>
      </c>
      <c r="CC25" s="11">
        <f t="shared" si="101"/>
        <v>0</v>
      </c>
      <c r="CD25" s="11">
        <f t="shared" si="73"/>
        <v>0</v>
      </c>
      <c r="CE25" s="11"/>
      <c r="CF25" s="11">
        <f t="shared" si="102"/>
        <v>0</v>
      </c>
      <c r="CG25" s="11">
        <f t="shared" si="103"/>
        <v>0</v>
      </c>
      <c r="CH25" s="11">
        <f t="shared" si="104"/>
        <v>0</v>
      </c>
      <c r="CI25" s="11">
        <f t="shared" si="74"/>
        <v>0</v>
      </c>
      <c r="CJ25" s="11">
        <f t="shared" si="105"/>
        <v>0</v>
      </c>
      <c r="CK25" s="11">
        <f t="shared" si="106"/>
        <v>0</v>
      </c>
      <c r="CL25" s="11">
        <f t="shared" si="107"/>
        <v>0</v>
      </c>
      <c r="CM25" s="103">
        <v>3134.311467200801</v>
      </c>
      <c r="CN25" s="11">
        <f t="shared" si="75"/>
        <v>5.6991911730328679</v>
      </c>
      <c r="CO25" s="11">
        <f t="shared" si="76"/>
        <v>3134.311467200801</v>
      </c>
      <c r="CP25" s="11">
        <f t="shared" si="77"/>
        <v>0.40013394662395907</v>
      </c>
      <c r="CQ25" s="104">
        <v>22223.013954894603</v>
      </c>
      <c r="CR25" s="11">
        <f t="shared" si="30"/>
        <v>40.40862125391557</v>
      </c>
      <c r="CS25" s="11">
        <f t="shared" si="78"/>
        <v>310359.38253538986</v>
      </c>
      <c r="CT25" s="11">
        <f t="shared" si="31"/>
        <v>39.621245656408341</v>
      </c>
      <c r="CU25" s="103">
        <v>21976.177284795114</v>
      </c>
      <c r="CV25" s="11">
        <f t="shared" si="32"/>
        <v>39.959792416662772</v>
      </c>
      <c r="CW25" s="11">
        <f t="shared" si="79"/>
        <v>310948.16929680313</v>
      </c>
      <c r="CX25" s="11">
        <f t="shared" si="33"/>
        <v>39.69641162923191</v>
      </c>
      <c r="CY25" s="103">
        <v>6620.8794323560805</v>
      </c>
      <c r="CZ25" s="11">
        <f t="shared" si="34"/>
        <v>12.038898499228576</v>
      </c>
      <c r="DA25" s="11">
        <f t="shared" si="80"/>
        <v>58179.506252569561</v>
      </c>
      <c r="DB25" s="11">
        <f t="shared" si="35"/>
        <v>7.4273395267460645</v>
      </c>
      <c r="DC25" s="103"/>
      <c r="DD25" s="11">
        <f t="shared" si="36"/>
        <v>0</v>
      </c>
      <c r="DE25" s="11">
        <f t="shared" si="81"/>
        <v>3100</v>
      </c>
      <c r="DF25" s="11">
        <f t="shared" si="37"/>
        <v>0.39575365993924855</v>
      </c>
      <c r="DG25" s="103"/>
      <c r="DH25" s="11">
        <f t="shared" si="38"/>
        <v>0</v>
      </c>
      <c r="DI25" s="11">
        <f t="shared" si="82"/>
        <v>4548.9103655547879</v>
      </c>
      <c r="DJ25" s="11">
        <f t="shared" si="39"/>
        <v>0.58072513738835241</v>
      </c>
      <c r="DK25" s="103">
        <v>1041.3422019822185</v>
      </c>
      <c r="DL25" s="11">
        <f t="shared" si="83"/>
        <v>1.8934966571602228</v>
      </c>
      <c r="DM25" s="11">
        <f t="shared" si="84"/>
        <v>38854.874049520862</v>
      </c>
      <c r="DN25" s="11">
        <f t="shared" si="85"/>
        <v>4.960309229540778</v>
      </c>
      <c r="DO25" s="500"/>
      <c r="DP25" s="11">
        <f t="shared" si="86"/>
        <v>0</v>
      </c>
      <c r="DQ25" s="11">
        <f t="shared" si="87"/>
        <v>0</v>
      </c>
      <c r="DR25" s="11">
        <f t="shared" si="88"/>
        <v>0</v>
      </c>
      <c r="DS25" s="103"/>
      <c r="DT25" s="11">
        <f t="shared" si="108"/>
        <v>0</v>
      </c>
      <c r="DU25" s="11">
        <f t="shared" si="89"/>
        <v>0</v>
      </c>
      <c r="DV25" s="11">
        <f t="shared" si="109"/>
        <v>0</v>
      </c>
      <c r="DW25" s="11">
        <f t="shared" si="40"/>
        <v>54995.724341228815</v>
      </c>
      <c r="DX25" s="11">
        <f t="shared" si="41"/>
        <v>100</v>
      </c>
      <c r="DY25" s="11">
        <f t="shared" si="90"/>
        <v>773815.56061310344</v>
      </c>
      <c r="DZ25" s="11">
        <f t="shared" si="42"/>
        <v>98.787206525992616</v>
      </c>
      <c r="EA25" s="103"/>
      <c r="EB25" s="11">
        <f t="shared" si="43"/>
        <v>0</v>
      </c>
      <c r="EC25" s="11">
        <f t="shared" si="91"/>
        <v>0</v>
      </c>
      <c r="ED25" s="11">
        <f t="shared" si="44"/>
        <v>0</v>
      </c>
      <c r="EE25" s="103"/>
      <c r="EF25" s="11">
        <f t="shared" si="45"/>
        <v>0</v>
      </c>
      <c r="EG25" s="11">
        <f t="shared" si="92"/>
        <v>0</v>
      </c>
      <c r="EH25" s="11">
        <f t="shared" si="46"/>
        <v>0</v>
      </c>
      <c r="EI25" s="103"/>
      <c r="EJ25" s="17">
        <f t="shared" si="47"/>
        <v>0</v>
      </c>
      <c r="EK25" s="11">
        <f t="shared" si="93"/>
        <v>0</v>
      </c>
      <c r="EL25" s="11">
        <f t="shared" si="48"/>
        <v>0</v>
      </c>
      <c r="EM25" s="11">
        <f>EA25+EE25+EI25</f>
        <v>0</v>
      </c>
      <c r="EN25" s="11">
        <f t="shared" si="49"/>
        <v>0</v>
      </c>
      <c r="EO25" s="11">
        <f t="shared" si="95"/>
        <v>0</v>
      </c>
      <c r="EP25" s="11">
        <f t="shared" si="50"/>
        <v>0</v>
      </c>
      <c r="EQ25" s="103"/>
      <c r="ER25" s="11">
        <f t="shared" si="51"/>
        <v>0</v>
      </c>
      <c r="ES25" s="11">
        <f t="shared" si="96"/>
        <v>0</v>
      </c>
      <c r="ET25" s="11">
        <f t="shared" si="52"/>
        <v>0</v>
      </c>
      <c r="EU25" s="11">
        <f t="shared" si="97"/>
        <v>54995.724341228815</v>
      </c>
      <c r="EV25" s="11">
        <f t="shared" si="98"/>
        <v>783315.56061310344</v>
      </c>
      <c r="EW25" s="11">
        <f t="shared" si="53"/>
        <v>1.1055750309832104</v>
      </c>
      <c r="EX25" s="11">
        <f t="shared" si="54"/>
        <v>1.097407995120538</v>
      </c>
      <c r="EY25" s="497">
        <f t="shared" si="99"/>
        <v>0.90450667930758144</v>
      </c>
      <c r="EZ25" s="498">
        <f t="shared" si="100"/>
        <v>0.92242523455390057</v>
      </c>
      <c r="FA25" s="6" t="s">
        <v>430</v>
      </c>
      <c r="FF25" s="15"/>
      <c r="FG25" s="15"/>
    </row>
    <row r="26" spans="1:163">
      <c r="A26" s="18">
        <f>+Chem!A25</f>
        <v>46039</v>
      </c>
      <c r="B26" s="6" t="str">
        <f>+Chem!B25</f>
        <v>Toilet</v>
      </c>
      <c r="C26" s="6" t="str">
        <f>+Chem!C25</f>
        <v>15/18/16</v>
      </c>
      <c r="D26" s="9">
        <f>+Chem!D25</f>
        <v>47.941000000000003</v>
      </c>
      <c r="E26" s="7">
        <f>+Chem!E25</f>
        <v>51.39</v>
      </c>
      <c r="F26" s="7">
        <f t="shared" si="55"/>
        <v>765.17700000000002</v>
      </c>
      <c r="G26" s="103"/>
      <c r="H26" s="11">
        <f t="shared" si="0"/>
        <v>0</v>
      </c>
      <c r="I26" s="9">
        <f t="shared" si="56"/>
        <v>0</v>
      </c>
      <c r="J26" s="11">
        <f t="shared" si="1"/>
        <v>0</v>
      </c>
      <c r="K26" s="103"/>
      <c r="L26" s="11">
        <f t="shared" si="2"/>
        <v>0</v>
      </c>
      <c r="M26" s="11">
        <f t="shared" si="57"/>
        <v>0</v>
      </c>
      <c r="N26" s="11">
        <f t="shared" si="3"/>
        <v>0</v>
      </c>
      <c r="O26" s="103"/>
      <c r="P26" s="11">
        <f t="shared" si="4"/>
        <v>0</v>
      </c>
      <c r="Q26" s="11">
        <f t="shared" si="58"/>
        <v>0</v>
      </c>
      <c r="R26" s="11">
        <f t="shared" si="5"/>
        <v>0</v>
      </c>
      <c r="S26" s="103"/>
      <c r="T26" s="11">
        <f t="shared" si="6"/>
        <v>0</v>
      </c>
      <c r="U26" s="11">
        <f t="shared" si="59"/>
        <v>9500</v>
      </c>
      <c r="V26" s="11">
        <f t="shared" si="7"/>
        <v>1.1348061181948306</v>
      </c>
      <c r="W26" s="11"/>
      <c r="X26" s="11">
        <f t="shared" si="8"/>
        <v>0</v>
      </c>
      <c r="Y26" s="11">
        <f t="shared" si="60"/>
        <v>0</v>
      </c>
      <c r="Z26" s="11">
        <f t="shared" si="9"/>
        <v>0</v>
      </c>
      <c r="AA26" s="103"/>
      <c r="AB26" s="11">
        <f t="shared" si="10"/>
        <v>0</v>
      </c>
      <c r="AC26" s="11">
        <f t="shared" si="61"/>
        <v>0</v>
      </c>
      <c r="AD26" s="11">
        <f t="shared" si="11"/>
        <v>0</v>
      </c>
      <c r="AE26" s="103"/>
      <c r="AF26" s="11">
        <f t="shared" si="12"/>
        <v>0</v>
      </c>
      <c r="AG26" s="11">
        <f t="shared" si="62"/>
        <v>0</v>
      </c>
      <c r="AH26" s="11">
        <f t="shared" si="13"/>
        <v>0</v>
      </c>
      <c r="AI26" s="103"/>
      <c r="AJ26" s="11">
        <f t="shared" si="14"/>
        <v>0</v>
      </c>
      <c r="AK26" s="11">
        <f t="shared" si="63"/>
        <v>0</v>
      </c>
      <c r="AL26" s="11">
        <f t="shared" si="15"/>
        <v>0</v>
      </c>
      <c r="AM26" s="103"/>
      <c r="AN26" s="11">
        <f t="shared" si="16"/>
        <v>0</v>
      </c>
      <c r="AO26" s="11">
        <f t="shared" si="64"/>
        <v>0</v>
      </c>
      <c r="AP26" s="11">
        <f t="shared" si="17"/>
        <v>0</v>
      </c>
      <c r="AQ26" s="103"/>
      <c r="AR26" s="11">
        <f t="shared" si="18"/>
        <v>0</v>
      </c>
      <c r="AS26" s="11">
        <f t="shared" si="65"/>
        <v>0</v>
      </c>
      <c r="AT26" s="11">
        <f t="shared" si="19"/>
        <v>0</v>
      </c>
      <c r="AU26" s="259"/>
      <c r="AV26" s="11">
        <f t="shared" si="20"/>
        <v>0</v>
      </c>
      <c r="AW26" s="9">
        <f t="shared" si="66"/>
        <v>0</v>
      </c>
      <c r="AX26" s="11">
        <f t="shared" si="21"/>
        <v>0</v>
      </c>
      <c r="AY26" s="103"/>
      <c r="AZ26" s="11">
        <f t="shared" si="22"/>
        <v>0</v>
      </c>
      <c r="BA26" s="11">
        <f t="shared" si="67"/>
        <v>0</v>
      </c>
      <c r="BB26" s="11">
        <f t="shared" si="23"/>
        <v>0</v>
      </c>
      <c r="BC26" s="103"/>
      <c r="BD26" s="11">
        <f t="shared" si="24"/>
        <v>0</v>
      </c>
      <c r="BE26" s="11">
        <f t="shared" si="68"/>
        <v>0</v>
      </c>
      <c r="BF26" s="11">
        <f t="shared" si="25"/>
        <v>0</v>
      </c>
      <c r="BG26" s="103"/>
      <c r="BH26" s="11">
        <f t="shared" si="26"/>
        <v>0</v>
      </c>
      <c r="BI26" s="11">
        <f t="shared" si="69"/>
        <v>0</v>
      </c>
      <c r="BJ26" s="11">
        <f t="shared" si="27"/>
        <v>0</v>
      </c>
      <c r="BK26" s="103"/>
      <c r="BL26" s="11"/>
      <c r="BM26" s="11"/>
      <c r="BN26" s="11"/>
      <c r="BO26" s="103"/>
      <c r="BP26" s="11"/>
      <c r="BQ26" s="11"/>
      <c r="BR26" s="11"/>
      <c r="BS26" s="103"/>
      <c r="BT26" s="11"/>
      <c r="BU26" s="11"/>
      <c r="BV26" s="11"/>
      <c r="BW26" s="11">
        <f t="shared" si="70"/>
        <v>0</v>
      </c>
      <c r="BX26" s="11">
        <f t="shared" si="28"/>
        <v>0</v>
      </c>
      <c r="BY26" s="11">
        <f t="shared" si="71"/>
        <v>9500</v>
      </c>
      <c r="BZ26" s="11">
        <f t="shared" si="29"/>
        <v>1.1348061181948306</v>
      </c>
      <c r="CA26" s="11"/>
      <c r="CB26" s="11">
        <f t="shared" si="72"/>
        <v>0</v>
      </c>
      <c r="CC26" s="11">
        <f t="shared" si="101"/>
        <v>0</v>
      </c>
      <c r="CD26" s="11">
        <f t="shared" si="73"/>
        <v>0</v>
      </c>
      <c r="CE26" s="11"/>
      <c r="CF26" s="11">
        <f t="shared" si="102"/>
        <v>0</v>
      </c>
      <c r="CG26" s="11">
        <f t="shared" si="103"/>
        <v>0</v>
      </c>
      <c r="CH26" s="11">
        <f t="shared" si="104"/>
        <v>0</v>
      </c>
      <c r="CI26" s="11">
        <f t="shared" si="74"/>
        <v>0</v>
      </c>
      <c r="CJ26" s="11">
        <f t="shared" si="105"/>
        <v>0</v>
      </c>
      <c r="CK26" s="11">
        <f t="shared" si="106"/>
        <v>0</v>
      </c>
      <c r="CL26" s="11">
        <f t="shared" si="107"/>
        <v>0</v>
      </c>
      <c r="CM26" s="103">
        <v>3046.9091982167424</v>
      </c>
      <c r="CN26" s="11">
        <f t="shared" si="75"/>
        <v>5.6600495200034757</v>
      </c>
      <c r="CO26" s="11">
        <f t="shared" si="76"/>
        <v>3046.9091982167424</v>
      </c>
      <c r="CP26" s="11">
        <f t="shared" si="77"/>
        <v>0.36396328418110152</v>
      </c>
      <c r="CQ26" s="103">
        <v>21681.459774263723</v>
      </c>
      <c r="CR26" s="11">
        <f t="shared" si="30"/>
        <v>40.276269493071545</v>
      </c>
      <c r="CS26" s="11">
        <f t="shared" si="78"/>
        <v>332040.84230965358</v>
      </c>
      <c r="CT26" s="11">
        <f t="shared" si="31"/>
        <v>39.663366246690508</v>
      </c>
      <c r="CU26" s="103">
        <v>21424.237969349033</v>
      </c>
      <c r="CV26" s="11">
        <f t="shared" si="32"/>
        <v>39.798444898136481</v>
      </c>
      <c r="CW26" s="11">
        <f t="shared" si="79"/>
        <v>332372.40726615215</v>
      </c>
      <c r="CX26" s="11">
        <f t="shared" si="33"/>
        <v>39.702972766818249</v>
      </c>
      <c r="CY26" s="103">
        <v>4569.1946073027739</v>
      </c>
      <c r="CZ26" s="11">
        <f t="shared" si="34"/>
        <v>8.4879023500282358</v>
      </c>
      <c r="DA26" s="11">
        <f t="shared" si="80"/>
        <v>62748.700859872333</v>
      </c>
      <c r="DB26" s="11">
        <f t="shared" si="35"/>
        <v>7.4955378573221418</v>
      </c>
      <c r="DC26" s="103"/>
      <c r="DD26" s="11">
        <f t="shared" si="36"/>
        <v>0</v>
      </c>
      <c r="DE26" s="11">
        <f t="shared" si="81"/>
        <v>3100</v>
      </c>
      <c r="DF26" s="11">
        <f t="shared" si="37"/>
        <v>0.37030515435831307</v>
      </c>
      <c r="DG26" s="103"/>
      <c r="DH26" s="11">
        <f t="shared" si="38"/>
        <v>0</v>
      </c>
      <c r="DI26" s="11">
        <f t="shared" si="82"/>
        <v>4548.9103655547879</v>
      </c>
      <c r="DJ26" s="11">
        <f t="shared" si="39"/>
        <v>0.54338224357383746</v>
      </c>
      <c r="DK26" s="103">
        <v>3110.0454594230755</v>
      </c>
      <c r="DL26" s="11">
        <f t="shared" si="83"/>
        <v>5.7773337387602632</v>
      </c>
      <c r="DM26" s="11">
        <f t="shared" si="84"/>
        <v>41964.919508943938</v>
      </c>
      <c r="DN26" s="11">
        <f t="shared" si="85"/>
        <v>5.0128470956108613</v>
      </c>
      <c r="DO26" s="500"/>
      <c r="DP26" s="11">
        <f t="shared" si="86"/>
        <v>0</v>
      </c>
      <c r="DQ26" s="11">
        <f t="shared" si="87"/>
        <v>0</v>
      </c>
      <c r="DR26" s="11">
        <f t="shared" si="88"/>
        <v>0</v>
      </c>
      <c r="DS26" s="103"/>
      <c r="DT26" s="11">
        <f t="shared" si="108"/>
        <v>0</v>
      </c>
      <c r="DU26" s="11">
        <f t="shared" si="89"/>
        <v>0</v>
      </c>
      <c r="DV26" s="11">
        <f t="shared" si="109"/>
        <v>0</v>
      </c>
      <c r="DW26" s="11">
        <f t="shared" si="40"/>
        <v>53831.847008555349</v>
      </c>
      <c r="DX26" s="11">
        <f t="shared" si="41"/>
        <v>100</v>
      </c>
      <c r="DY26" s="11">
        <f>DW26+DY25</f>
        <v>827647.40762165876</v>
      </c>
      <c r="DZ26" s="11">
        <f t="shared" si="42"/>
        <v>98.865193881805169</v>
      </c>
      <c r="EA26" s="103"/>
      <c r="EB26" s="11">
        <f t="shared" si="43"/>
        <v>0</v>
      </c>
      <c r="EC26" s="11">
        <f t="shared" si="91"/>
        <v>0</v>
      </c>
      <c r="ED26" s="11">
        <f t="shared" si="44"/>
        <v>0</v>
      </c>
      <c r="EE26" s="103"/>
      <c r="EF26" s="11">
        <f t="shared" si="45"/>
        <v>0</v>
      </c>
      <c r="EG26" s="11">
        <f t="shared" si="92"/>
        <v>0</v>
      </c>
      <c r="EH26" s="11">
        <f t="shared" si="46"/>
        <v>0</v>
      </c>
      <c r="EI26" s="103"/>
      <c r="EJ26" s="17">
        <f t="shared" si="47"/>
        <v>0</v>
      </c>
      <c r="EK26" s="11">
        <f t="shared" si="93"/>
        <v>0</v>
      </c>
      <c r="EL26" s="11">
        <f t="shared" si="48"/>
        <v>0</v>
      </c>
      <c r="EM26" s="11">
        <f t="shared" si="94"/>
        <v>0</v>
      </c>
      <c r="EN26" s="11">
        <f t="shared" si="49"/>
        <v>0</v>
      </c>
      <c r="EO26" s="11">
        <f t="shared" si="95"/>
        <v>0</v>
      </c>
      <c r="EP26" s="11">
        <f t="shared" si="50"/>
        <v>0</v>
      </c>
      <c r="EQ26" s="103"/>
      <c r="ER26" s="11">
        <f t="shared" si="51"/>
        <v>0</v>
      </c>
      <c r="ES26" s="11">
        <f t="shared" si="96"/>
        <v>0</v>
      </c>
      <c r="ET26" s="11">
        <f t="shared" si="52"/>
        <v>0</v>
      </c>
      <c r="EU26" s="11">
        <f t="shared" si="97"/>
        <v>53831.847008555349</v>
      </c>
      <c r="EV26" s="11">
        <f t="shared" si="98"/>
        <v>837147.40762165876</v>
      </c>
      <c r="EW26" s="11">
        <f t="shared" si="53"/>
        <v>1.0475159954963096</v>
      </c>
      <c r="EX26" s="11">
        <f t="shared" si="54"/>
        <v>1.0940572019567483</v>
      </c>
      <c r="EY26" s="497">
        <f t="shared" si="99"/>
        <v>0.95463936044833697</v>
      </c>
      <c r="EZ26" s="498">
        <f t="shared" si="100"/>
        <v>0.92452050589855073</v>
      </c>
      <c r="FA26" s="6" t="s">
        <v>430</v>
      </c>
      <c r="FF26" s="15"/>
    </row>
    <row r="27" spans="1:163">
      <c r="A27" s="18">
        <f>+Chem!A26</f>
        <v>46040</v>
      </c>
      <c r="B27" s="6" t="str">
        <f>+Chem!B26</f>
        <v>Toilet</v>
      </c>
      <c r="C27" s="6" t="str">
        <f>+Chem!C26</f>
        <v>16/20/14</v>
      </c>
      <c r="D27" s="9">
        <f>+Chem!D26</f>
        <v>52.677</v>
      </c>
      <c r="E27" s="7">
        <f>+Chem!E26</f>
        <v>50.365000000000002</v>
      </c>
      <c r="F27" s="7">
        <f t="shared" si="55"/>
        <v>815.54200000000003</v>
      </c>
      <c r="G27" s="103"/>
      <c r="H27" s="11">
        <f t="shared" si="0"/>
        <v>0</v>
      </c>
      <c r="I27" s="9">
        <f t="shared" si="56"/>
        <v>0</v>
      </c>
      <c r="J27" s="11">
        <f t="shared" si="1"/>
        <v>0</v>
      </c>
      <c r="K27" s="103"/>
      <c r="L27" s="11">
        <f t="shared" si="2"/>
        <v>0</v>
      </c>
      <c r="M27" s="11">
        <f t="shared" si="57"/>
        <v>0</v>
      </c>
      <c r="N27" s="11">
        <f t="shared" si="3"/>
        <v>0</v>
      </c>
      <c r="O27" s="103"/>
      <c r="P27" s="11">
        <f t="shared" si="4"/>
        <v>0</v>
      </c>
      <c r="Q27" s="11">
        <f t="shared" si="58"/>
        <v>0</v>
      </c>
      <c r="R27" s="11">
        <f t="shared" si="5"/>
        <v>0</v>
      </c>
      <c r="S27" s="103">
        <f>20*S7</f>
        <v>5000</v>
      </c>
      <c r="T27" s="11">
        <f t="shared" si="6"/>
        <v>7.8172700224289366</v>
      </c>
      <c r="U27" s="11">
        <f t="shared" si="59"/>
        <v>14500</v>
      </c>
      <c r="V27" s="11">
        <f t="shared" si="7"/>
        <v>1.6091294584536353</v>
      </c>
      <c r="W27" s="103"/>
      <c r="X27" s="11">
        <f t="shared" si="8"/>
        <v>0</v>
      </c>
      <c r="Y27" s="11">
        <f t="shared" si="60"/>
        <v>0</v>
      </c>
      <c r="Z27" s="11">
        <f t="shared" si="9"/>
        <v>0</v>
      </c>
      <c r="AA27" s="103"/>
      <c r="AB27" s="11">
        <f t="shared" si="10"/>
        <v>0</v>
      </c>
      <c r="AC27" s="11">
        <f t="shared" si="61"/>
        <v>0</v>
      </c>
      <c r="AD27" s="11">
        <f t="shared" si="11"/>
        <v>0</v>
      </c>
      <c r="AE27" s="103"/>
      <c r="AF27" s="11">
        <f t="shared" si="12"/>
        <v>0</v>
      </c>
      <c r="AG27" s="11">
        <f t="shared" si="62"/>
        <v>0</v>
      </c>
      <c r="AH27" s="11">
        <f t="shared" si="13"/>
        <v>0</v>
      </c>
      <c r="AI27" s="103"/>
      <c r="AJ27" s="11">
        <f t="shared" si="14"/>
        <v>0</v>
      </c>
      <c r="AK27" s="11">
        <f t="shared" si="63"/>
        <v>0</v>
      </c>
      <c r="AL27" s="11">
        <f t="shared" si="15"/>
        <v>0</v>
      </c>
      <c r="AM27" s="103"/>
      <c r="AN27" s="11">
        <f t="shared" si="16"/>
        <v>0</v>
      </c>
      <c r="AO27" s="11">
        <f t="shared" si="64"/>
        <v>0</v>
      </c>
      <c r="AP27" s="11">
        <f t="shared" si="17"/>
        <v>0</v>
      </c>
      <c r="AQ27" s="103"/>
      <c r="AR27" s="11">
        <f t="shared" si="18"/>
        <v>0</v>
      </c>
      <c r="AS27" s="11">
        <f t="shared" si="65"/>
        <v>0</v>
      </c>
      <c r="AT27" s="11">
        <f t="shared" si="19"/>
        <v>0</v>
      </c>
      <c r="AU27" s="259"/>
      <c r="AV27" s="11">
        <f t="shared" si="20"/>
        <v>0</v>
      </c>
      <c r="AW27" s="9">
        <f t="shared" si="66"/>
        <v>0</v>
      </c>
      <c r="AX27" s="11">
        <f t="shared" si="21"/>
        <v>0</v>
      </c>
      <c r="AY27" s="103"/>
      <c r="AZ27" s="11">
        <f t="shared" si="22"/>
        <v>0</v>
      </c>
      <c r="BA27" s="11">
        <f t="shared" si="67"/>
        <v>0</v>
      </c>
      <c r="BB27" s="11">
        <f t="shared" si="23"/>
        <v>0</v>
      </c>
      <c r="BC27" s="103"/>
      <c r="BD27" s="11">
        <f t="shared" si="24"/>
        <v>0</v>
      </c>
      <c r="BE27" s="11">
        <f t="shared" si="68"/>
        <v>0</v>
      </c>
      <c r="BF27" s="11">
        <f t="shared" si="25"/>
        <v>0</v>
      </c>
      <c r="BG27" s="103"/>
      <c r="BH27" s="11">
        <f t="shared" si="26"/>
        <v>0</v>
      </c>
      <c r="BI27" s="11">
        <f t="shared" si="69"/>
        <v>0</v>
      </c>
      <c r="BJ27" s="11">
        <f t="shared" si="27"/>
        <v>0</v>
      </c>
      <c r="BK27" s="103"/>
      <c r="BL27" s="11"/>
      <c r="BM27" s="11"/>
      <c r="BN27" s="11"/>
      <c r="BO27" s="103"/>
      <c r="BP27" s="11"/>
      <c r="BQ27" s="11"/>
      <c r="BR27" s="11"/>
      <c r="BS27" s="103"/>
      <c r="BT27" s="11"/>
      <c r="BU27" s="11"/>
      <c r="BV27" s="11"/>
      <c r="BW27" s="11">
        <f t="shared" si="70"/>
        <v>5000</v>
      </c>
      <c r="BX27" s="11">
        <f t="shared" si="28"/>
        <v>7.8172700224289366</v>
      </c>
      <c r="BY27" s="11">
        <f t="shared" si="71"/>
        <v>14500</v>
      </c>
      <c r="BZ27" s="11">
        <f t="shared" si="29"/>
        <v>1.6091294584536353</v>
      </c>
      <c r="CA27" s="11"/>
      <c r="CB27" s="11">
        <f t="shared" si="72"/>
        <v>0</v>
      </c>
      <c r="CC27" s="11">
        <f t="shared" si="101"/>
        <v>0</v>
      </c>
      <c r="CD27" s="11">
        <f t="shared" si="73"/>
        <v>0</v>
      </c>
      <c r="CE27" s="11"/>
      <c r="CF27" s="11">
        <f t="shared" si="102"/>
        <v>0</v>
      </c>
      <c r="CG27" s="11">
        <f t="shared" si="103"/>
        <v>0</v>
      </c>
      <c r="CH27" s="11">
        <f t="shared" si="104"/>
        <v>0</v>
      </c>
      <c r="CI27" s="11">
        <f t="shared" si="74"/>
        <v>0</v>
      </c>
      <c r="CJ27" s="11">
        <f t="shared" si="105"/>
        <v>0</v>
      </c>
      <c r="CK27" s="11">
        <f t="shared" si="106"/>
        <v>0</v>
      </c>
      <c r="CL27" s="11">
        <f t="shared" si="107"/>
        <v>0</v>
      </c>
      <c r="CM27" s="103">
        <v>3658.4100561053533</v>
      </c>
      <c r="CN27" s="11">
        <f t="shared" si="75"/>
        <v>5.719755852268988</v>
      </c>
      <c r="CO27" s="11">
        <f t="shared" si="76"/>
        <v>3658.4100561053533</v>
      </c>
      <c r="CP27" s="11">
        <f t="shared" si="77"/>
        <v>0.40599002706083726</v>
      </c>
      <c r="CQ27" s="103">
        <v>24344.076453284499</v>
      </c>
      <c r="CR27" s="11">
        <f t="shared" si="30"/>
        <v>38.060843816395803</v>
      </c>
      <c r="CS27" s="11">
        <f t="shared" si="78"/>
        <v>356384.91876293806</v>
      </c>
      <c r="CT27" s="11">
        <f t="shared" si="31"/>
        <v>39.549618712417193</v>
      </c>
      <c r="CU27" s="103">
        <v>23402.536137302264</v>
      </c>
      <c r="CV27" s="11">
        <f t="shared" si="32"/>
        <v>36.58878883898857</v>
      </c>
      <c r="CW27" s="11">
        <f t="shared" si="79"/>
        <v>355774.94340345444</v>
      </c>
      <c r="CX27" s="11">
        <f t="shared" si="33"/>
        <v>39.48192703518437</v>
      </c>
      <c r="CY27" s="103">
        <v>2948.2782864489986</v>
      </c>
      <c r="CZ27" s="11">
        <f t="shared" si="34"/>
        <v>4.6094974932871819</v>
      </c>
      <c r="DA27" s="11">
        <f t="shared" si="80"/>
        <v>65696.979146321333</v>
      </c>
      <c r="DB27" s="11">
        <f t="shared" si="35"/>
        <v>7.29068582591447</v>
      </c>
      <c r="DC27" s="103"/>
      <c r="DD27" s="11">
        <f t="shared" si="36"/>
        <v>0</v>
      </c>
      <c r="DE27" s="11">
        <f t="shared" si="81"/>
        <v>3100</v>
      </c>
      <c r="DF27" s="11">
        <f t="shared" si="37"/>
        <v>0.34402078077284615</v>
      </c>
      <c r="DG27" s="103"/>
      <c r="DH27" s="11">
        <f t="shared" si="38"/>
        <v>0</v>
      </c>
      <c r="DI27" s="11">
        <f t="shared" si="82"/>
        <v>4548.9103655547879</v>
      </c>
      <c r="DJ27" s="11">
        <f t="shared" si="39"/>
        <v>0.50481280503995196</v>
      </c>
      <c r="DK27" s="103">
        <v>4607.6468869321279</v>
      </c>
      <c r="DL27" s="11">
        <f t="shared" si="83"/>
        <v>7.2038439766305071</v>
      </c>
      <c r="DM27" s="11">
        <f t="shared" si="84"/>
        <v>46572.566395876063</v>
      </c>
      <c r="DN27" s="11">
        <f t="shared" si="85"/>
        <v>5.1683647271304842</v>
      </c>
      <c r="DO27" s="500"/>
      <c r="DP27" s="11">
        <f t="shared" si="86"/>
        <v>0</v>
      </c>
      <c r="DQ27" s="11">
        <f t="shared" si="87"/>
        <v>0</v>
      </c>
      <c r="DR27" s="11">
        <f t="shared" si="88"/>
        <v>0</v>
      </c>
      <c r="DS27" s="103"/>
      <c r="DT27" s="11">
        <f t="shared" si="108"/>
        <v>0</v>
      </c>
      <c r="DU27" s="11">
        <f t="shared" si="89"/>
        <v>0</v>
      </c>
      <c r="DV27" s="11">
        <f t="shared" si="109"/>
        <v>0</v>
      </c>
      <c r="DW27" s="11">
        <f t="shared" si="40"/>
        <v>58960.947820073248</v>
      </c>
      <c r="DX27" s="11">
        <f t="shared" si="41"/>
        <v>92.182729977571071</v>
      </c>
      <c r="DY27" s="11">
        <f t="shared" si="90"/>
        <v>886608.35544173198</v>
      </c>
      <c r="DZ27" s="11">
        <f t="shared" si="42"/>
        <v>98.390870541546363</v>
      </c>
      <c r="EA27" s="103"/>
      <c r="EB27" s="11">
        <f t="shared" si="43"/>
        <v>0</v>
      </c>
      <c r="EC27" s="11">
        <f t="shared" si="91"/>
        <v>0</v>
      </c>
      <c r="ED27" s="11">
        <f t="shared" si="44"/>
        <v>0</v>
      </c>
      <c r="EE27" s="103"/>
      <c r="EF27" s="11">
        <f t="shared" si="45"/>
        <v>0</v>
      </c>
      <c r="EG27" s="11">
        <f t="shared" si="92"/>
        <v>0</v>
      </c>
      <c r="EH27" s="11">
        <f t="shared" si="46"/>
        <v>0</v>
      </c>
      <c r="EI27" s="103"/>
      <c r="EJ27" s="17">
        <f t="shared" si="47"/>
        <v>0</v>
      </c>
      <c r="EK27" s="11">
        <f t="shared" si="93"/>
        <v>0</v>
      </c>
      <c r="EL27" s="11">
        <f t="shared" si="48"/>
        <v>0</v>
      </c>
      <c r="EM27" s="11">
        <f t="shared" si="94"/>
        <v>0</v>
      </c>
      <c r="EN27" s="11">
        <f t="shared" si="49"/>
        <v>0</v>
      </c>
      <c r="EO27" s="11">
        <f t="shared" si="95"/>
        <v>0</v>
      </c>
      <c r="EP27" s="11">
        <f t="shared" si="50"/>
        <v>0</v>
      </c>
      <c r="EQ27" s="103"/>
      <c r="ER27" s="11">
        <f t="shared" si="51"/>
        <v>0</v>
      </c>
      <c r="ES27" s="11">
        <f t="shared" si="96"/>
        <v>0</v>
      </c>
      <c r="ET27" s="11">
        <f t="shared" si="52"/>
        <v>0</v>
      </c>
      <c r="EU27" s="11">
        <f t="shared" si="97"/>
        <v>63960.947820073248</v>
      </c>
      <c r="EV27" s="11">
        <f t="shared" si="98"/>
        <v>901108.35544173198</v>
      </c>
      <c r="EW27" s="11">
        <f t="shared" si="53"/>
        <v>1.2699483335664301</v>
      </c>
      <c r="EX27" s="11">
        <f t="shared" si="54"/>
        <v>1.1049196184153998</v>
      </c>
      <c r="EY27" s="497">
        <f t="shared" si="99"/>
        <v>0.85420947020212656</v>
      </c>
      <c r="EZ27" s="498">
        <f t="shared" si="100"/>
        <v>0.9198447036895735</v>
      </c>
      <c r="FA27" s="6" t="s">
        <v>430</v>
      </c>
      <c r="FF27" s="15"/>
    </row>
    <row r="28" spans="1:163">
      <c r="A28" s="18">
        <f>+Chem!A27</f>
        <v>46041</v>
      </c>
      <c r="B28" s="6" t="str">
        <f>+Chem!B27</f>
        <v>Toilet</v>
      </c>
      <c r="C28" s="6" t="str">
        <f>+Chem!C27</f>
        <v>14/15</v>
      </c>
      <c r="D28" s="9">
        <f>+Chem!D27</f>
        <v>51.174999999999997</v>
      </c>
      <c r="E28" s="7">
        <f>+Chem!E27</f>
        <v>50.515999999999998</v>
      </c>
      <c r="F28" s="7">
        <f t="shared" si="55"/>
        <v>866.05799999999999</v>
      </c>
      <c r="G28" s="103"/>
      <c r="H28" s="11">
        <f t="shared" si="0"/>
        <v>0</v>
      </c>
      <c r="I28" s="9">
        <f t="shared" si="56"/>
        <v>0</v>
      </c>
      <c r="J28" s="11">
        <f t="shared" si="1"/>
        <v>0</v>
      </c>
      <c r="K28" s="103"/>
      <c r="L28" s="11">
        <f t="shared" si="2"/>
        <v>0</v>
      </c>
      <c r="M28" s="11">
        <f t="shared" si="57"/>
        <v>0</v>
      </c>
      <c r="N28" s="11">
        <f t="shared" si="3"/>
        <v>0</v>
      </c>
      <c r="O28" s="103"/>
      <c r="P28" s="11">
        <f t="shared" si="4"/>
        <v>0</v>
      </c>
      <c r="Q28" s="11">
        <f t="shared" si="58"/>
        <v>0</v>
      </c>
      <c r="R28" s="11">
        <f t="shared" si="5"/>
        <v>0</v>
      </c>
      <c r="S28" s="103">
        <f>6*S7</f>
        <v>1500</v>
      </c>
      <c r="T28" s="11">
        <f t="shared" si="6"/>
        <v>2.6050334671185249</v>
      </c>
      <c r="U28" s="11">
        <f t="shared" si="59"/>
        <v>16000</v>
      </c>
      <c r="V28" s="11">
        <f t="shared" si="7"/>
        <v>1.6689454907670531</v>
      </c>
      <c r="W28" s="103"/>
      <c r="X28" s="11">
        <f t="shared" si="8"/>
        <v>0</v>
      </c>
      <c r="Y28" s="11">
        <f t="shared" si="60"/>
        <v>0</v>
      </c>
      <c r="Z28" s="11">
        <f t="shared" si="9"/>
        <v>0</v>
      </c>
      <c r="AA28" s="103"/>
      <c r="AB28" s="11">
        <f t="shared" si="10"/>
        <v>0</v>
      </c>
      <c r="AC28" s="11">
        <f t="shared" si="61"/>
        <v>0</v>
      </c>
      <c r="AD28" s="11">
        <f t="shared" si="11"/>
        <v>0</v>
      </c>
      <c r="AE28" s="103"/>
      <c r="AF28" s="11">
        <f t="shared" si="12"/>
        <v>0</v>
      </c>
      <c r="AG28" s="11">
        <f t="shared" si="62"/>
        <v>0</v>
      </c>
      <c r="AH28" s="11">
        <f t="shared" si="13"/>
        <v>0</v>
      </c>
      <c r="AI28" s="103"/>
      <c r="AJ28" s="11">
        <f t="shared" si="14"/>
        <v>0</v>
      </c>
      <c r="AK28" s="11">
        <f t="shared" si="63"/>
        <v>0</v>
      </c>
      <c r="AL28" s="11">
        <f t="shared" si="15"/>
        <v>0</v>
      </c>
      <c r="AM28" s="103"/>
      <c r="AN28" s="11">
        <f t="shared" si="16"/>
        <v>0</v>
      </c>
      <c r="AO28" s="11">
        <f t="shared" si="64"/>
        <v>0</v>
      </c>
      <c r="AP28" s="11">
        <f t="shared" si="17"/>
        <v>0</v>
      </c>
      <c r="AQ28" s="103"/>
      <c r="AR28" s="11">
        <f t="shared" si="18"/>
        <v>0</v>
      </c>
      <c r="AS28" s="11">
        <f t="shared" si="65"/>
        <v>0</v>
      </c>
      <c r="AT28" s="11">
        <f t="shared" si="19"/>
        <v>0</v>
      </c>
      <c r="AU28" s="259"/>
      <c r="AV28" s="11">
        <f t="shared" si="20"/>
        <v>0</v>
      </c>
      <c r="AW28" s="9">
        <f t="shared" si="66"/>
        <v>0</v>
      </c>
      <c r="AX28" s="11">
        <f t="shared" si="21"/>
        <v>0</v>
      </c>
      <c r="AY28" s="103"/>
      <c r="AZ28" s="11">
        <f t="shared" si="22"/>
        <v>0</v>
      </c>
      <c r="BA28" s="11">
        <f t="shared" si="67"/>
        <v>0</v>
      </c>
      <c r="BB28" s="11">
        <f t="shared" si="23"/>
        <v>0</v>
      </c>
      <c r="BC28" s="103"/>
      <c r="BD28" s="11">
        <f t="shared" si="24"/>
        <v>0</v>
      </c>
      <c r="BE28" s="11">
        <f t="shared" si="68"/>
        <v>0</v>
      </c>
      <c r="BF28" s="11">
        <f t="shared" si="25"/>
        <v>0</v>
      </c>
      <c r="BG28" s="103"/>
      <c r="BH28" s="11">
        <f t="shared" si="26"/>
        <v>0</v>
      </c>
      <c r="BI28" s="11">
        <f t="shared" si="69"/>
        <v>0</v>
      </c>
      <c r="BJ28" s="11">
        <f t="shared" si="27"/>
        <v>0</v>
      </c>
      <c r="BK28" s="103"/>
      <c r="BL28" s="11"/>
      <c r="BM28" s="11"/>
      <c r="BN28" s="11"/>
      <c r="BO28" s="103"/>
      <c r="BP28" s="11"/>
      <c r="BQ28" s="11"/>
      <c r="BR28" s="11"/>
      <c r="BS28" s="103"/>
      <c r="BT28" s="11"/>
      <c r="BU28" s="11"/>
      <c r="BV28" s="11"/>
      <c r="BW28" s="11">
        <f t="shared" si="70"/>
        <v>1500</v>
      </c>
      <c r="BX28" s="11">
        <f t="shared" si="28"/>
        <v>2.6050334671185249</v>
      </c>
      <c r="BY28" s="11">
        <f t="shared" si="71"/>
        <v>16000</v>
      </c>
      <c r="BZ28" s="11">
        <f t="shared" si="29"/>
        <v>1.6689454907670531</v>
      </c>
      <c r="CA28" s="11"/>
      <c r="CB28" s="11">
        <f t="shared" si="72"/>
        <v>0</v>
      </c>
      <c r="CC28" s="11">
        <f t="shared" si="101"/>
        <v>0</v>
      </c>
      <c r="CD28" s="11">
        <f t="shared" si="73"/>
        <v>0</v>
      </c>
      <c r="CE28" s="11"/>
      <c r="CF28" s="11">
        <f t="shared" si="102"/>
        <v>0</v>
      </c>
      <c r="CG28" s="11">
        <f t="shared" si="103"/>
        <v>0</v>
      </c>
      <c r="CH28" s="11">
        <f t="shared" si="104"/>
        <v>0</v>
      </c>
      <c r="CI28" s="11">
        <f t="shared" si="74"/>
        <v>0</v>
      </c>
      <c r="CJ28" s="11">
        <f t="shared" si="105"/>
        <v>0</v>
      </c>
      <c r="CK28" s="11">
        <f t="shared" si="106"/>
        <v>0</v>
      </c>
      <c r="CL28" s="11">
        <f t="shared" si="107"/>
        <v>0</v>
      </c>
      <c r="CM28" s="103">
        <v>3367.3041453405262</v>
      </c>
      <c r="CN28" s="11">
        <f t="shared" si="75"/>
        <v>5.8479599950526744</v>
      </c>
      <c r="CO28" s="11">
        <f t="shared" si="76"/>
        <v>3367.3041453405262</v>
      </c>
      <c r="CP28" s="11">
        <f t="shared" si="77"/>
        <v>0.35124044183795478</v>
      </c>
      <c r="CQ28" s="103">
        <v>23080.309632498731</v>
      </c>
      <c r="CR28" s="11">
        <f t="shared" si="30"/>
        <v>40.083319349411504</v>
      </c>
      <c r="CS28" s="11">
        <f t="shared" si="78"/>
        <v>379465.22839543677</v>
      </c>
      <c r="CT28" s="11">
        <f t="shared" si="31"/>
        <v>39.581673864590883</v>
      </c>
      <c r="CU28" s="499">
        <v>22178.900954488861</v>
      </c>
      <c r="CV28" s="11">
        <f t="shared" si="32"/>
        <v>38.517852833566984</v>
      </c>
      <c r="CW28" s="11">
        <f t="shared" si="79"/>
        <v>377953.84435794328</v>
      </c>
      <c r="CX28" s="11">
        <f t="shared" si="33"/>
        <v>39.424022766203876</v>
      </c>
      <c r="CY28" s="103">
        <v>2734.9022455849126</v>
      </c>
      <c r="CZ28" s="11">
        <f t="shared" si="34"/>
        <v>4.7496745860308689</v>
      </c>
      <c r="DA28" s="11">
        <f t="shared" si="80"/>
        <v>68431.881391906252</v>
      </c>
      <c r="DB28" s="11">
        <f t="shared" si="35"/>
        <v>7.1380674921079841</v>
      </c>
      <c r="DC28" s="103"/>
      <c r="DD28" s="11">
        <f t="shared" si="36"/>
        <v>0</v>
      </c>
      <c r="DE28" s="11">
        <f t="shared" si="81"/>
        <v>3100</v>
      </c>
      <c r="DF28" s="11">
        <f t="shared" si="37"/>
        <v>0.3233581888361165</v>
      </c>
      <c r="DG28" s="103"/>
      <c r="DH28" s="11">
        <f t="shared" si="38"/>
        <v>0</v>
      </c>
      <c r="DI28" s="11">
        <f t="shared" si="82"/>
        <v>4548.9103655547879</v>
      </c>
      <c r="DJ28" s="11">
        <f t="shared" si="39"/>
        <v>0.47449271515601066</v>
      </c>
      <c r="DK28" s="103">
        <v>4719.4171623553275</v>
      </c>
      <c r="DL28" s="11">
        <f t="shared" si="83"/>
        <v>8.1961597688194452</v>
      </c>
      <c r="DM28" s="11">
        <f t="shared" si="84"/>
        <v>51291.98355823139</v>
      </c>
      <c r="DN28" s="11">
        <f t="shared" si="85"/>
        <v>5.3502202920005066</v>
      </c>
      <c r="DO28" s="500"/>
      <c r="DP28" s="11">
        <f t="shared" si="86"/>
        <v>0</v>
      </c>
      <c r="DQ28" s="11">
        <f t="shared" si="87"/>
        <v>0</v>
      </c>
      <c r="DR28" s="11">
        <f t="shared" si="88"/>
        <v>0</v>
      </c>
      <c r="DS28" s="103"/>
      <c r="DT28" s="11">
        <f t="shared" si="108"/>
        <v>0</v>
      </c>
      <c r="DU28" s="11">
        <f t="shared" si="89"/>
        <v>0</v>
      </c>
      <c r="DV28" s="11">
        <f t="shared" si="109"/>
        <v>0</v>
      </c>
      <c r="DW28" s="11">
        <f t="shared" si="40"/>
        <v>56080.834140268358</v>
      </c>
      <c r="DX28" s="11">
        <f t="shared" si="41"/>
        <v>97.394966532881483</v>
      </c>
      <c r="DY28" s="11">
        <f t="shared" si="90"/>
        <v>942689.18958200037</v>
      </c>
      <c r="DZ28" s="11">
        <f t="shared" si="42"/>
        <v>98.331054509232956</v>
      </c>
      <c r="EA28" s="103"/>
      <c r="EB28" s="11">
        <f t="shared" si="43"/>
        <v>0</v>
      </c>
      <c r="EC28" s="11">
        <f t="shared" si="91"/>
        <v>0</v>
      </c>
      <c r="ED28" s="11">
        <f t="shared" si="44"/>
        <v>0</v>
      </c>
      <c r="EE28" s="103"/>
      <c r="EF28" s="11">
        <f t="shared" si="45"/>
        <v>0</v>
      </c>
      <c r="EG28" s="11">
        <f t="shared" si="92"/>
        <v>0</v>
      </c>
      <c r="EH28" s="11">
        <f t="shared" si="46"/>
        <v>0</v>
      </c>
      <c r="EI28" s="103"/>
      <c r="EJ28" s="17">
        <f t="shared" si="47"/>
        <v>0</v>
      </c>
      <c r="EK28" s="11">
        <f t="shared" si="93"/>
        <v>0</v>
      </c>
      <c r="EL28" s="11">
        <f t="shared" si="48"/>
        <v>0</v>
      </c>
      <c r="EM28" s="11">
        <f t="shared" si="94"/>
        <v>0</v>
      </c>
      <c r="EN28" s="11">
        <f t="shared" si="49"/>
        <v>0</v>
      </c>
      <c r="EO28" s="11">
        <f t="shared" si="95"/>
        <v>0</v>
      </c>
      <c r="EP28" s="11">
        <f t="shared" si="50"/>
        <v>0</v>
      </c>
      <c r="EQ28" s="103"/>
      <c r="ER28" s="11">
        <f t="shared" si="51"/>
        <v>0</v>
      </c>
      <c r="ES28" s="11">
        <f t="shared" si="96"/>
        <v>0</v>
      </c>
      <c r="ET28" s="11">
        <f t="shared" si="52"/>
        <v>0</v>
      </c>
      <c r="EU28" s="11">
        <f t="shared" si="97"/>
        <v>57580.834140268358</v>
      </c>
      <c r="EV28" s="11">
        <f t="shared" si="98"/>
        <v>958689.18958200037</v>
      </c>
      <c r="EW28" s="11">
        <f t="shared" si="53"/>
        <v>1.1398533957611126</v>
      </c>
      <c r="EX28" s="11">
        <f t="shared" si="54"/>
        <v>1.10695725873094</v>
      </c>
      <c r="EY28" s="497">
        <f t="shared" si="99"/>
        <v>0.90077119526521843</v>
      </c>
      <c r="EZ28" s="498">
        <f t="shared" si="100"/>
        <v>0.91871001552910614</v>
      </c>
      <c r="FA28" s="6" t="s">
        <v>430</v>
      </c>
      <c r="FF28" s="15"/>
    </row>
    <row r="29" spans="1:163">
      <c r="A29" s="18">
        <f>+Chem!A28</f>
        <v>46042</v>
      </c>
      <c r="B29" s="6" t="str">
        <f>+Chem!B28</f>
        <v>Toilet</v>
      </c>
      <c r="C29" s="6" t="str">
        <f>+Chem!C28</f>
        <v>15</v>
      </c>
      <c r="D29" s="9">
        <f>+Chem!D28</f>
        <v>55.125999999999998</v>
      </c>
      <c r="E29" s="7">
        <f>+Chem!E28</f>
        <v>54.661000000000001</v>
      </c>
      <c r="F29" s="7">
        <f t="shared" si="55"/>
        <v>920.71900000000005</v>
      </c>
      <c r="G29" s="103"/>
      <c r="H29" s="11">
        <f t="shared" si="0"/>
        <v>0</v>
      </c>
      <c r="I29" s="9">
        <f t="shared" si="56"/>
        <v>0</v>
      </c>
      <c r="J29" s="11">
        <f t="shared" si="1"/>
        <v>0</v>
      </c>
      <c r="K29" s="103"/>
      <c r="L29" s="11">
        <f t="shared" si="2"/>
        <v>0</v>
      </c>
      <c r="M29" s="11">
        <f t="shared" si="57"/>
        <v>0</v>
      </c>
      <c r="N29" s="11">
        <f t="shared" si="3"/>
        <v>0</v>
      </c>
      <c r="O29" s="103"/>
      <c r="P29" s="11">
        <f t="shared" si="4"/>
        <v>0</v>
      </c>
      <c r="Q29" s="11">
        <f t="shared" si="58"/>
        <v>0</v>
      </c>
      <c r="R29" s="11">
        <f t="shared" si="5"/>
        <v>0</v>
      </c>
      <c r="S29" s="103"/>
      <c r="T29" s="11">
        <f>+S29/EU29*100</f>
        <v>0</v>
      </c>
      <c r="U29" s="11">
        <f>+S29+U28</f>
        <v>16000</v>
      </c>
      <c r="V29" s="11">
        <f t="shared" si="7"/>
        <v>1.5820918509614776</v>
      </c>
      <c r="W29" s="103"/>
      <c r="X29" s="11">
        <f t="shared" si="8"/>
        <v>0</v>
      </c>
      <c r="Y29" s="11">
        <f t="shared" si="60"/>
        <v>0</v>
      </c>
      <c r="Z29" s="11">
        <f t="shared" si="9"/>
        <v>0</v>
      </c>
      <c r="AA29" s="103"/>
      <c r="AB29" s="11">
        <f t="shared" si="10"/>
        <v>0</v>
      </c>
      <c r="AC29" s="11">
        <f t="shared" si="61"/>
        <v>0</v>
      </c>
      <c r="AD29" s="11">
        <f t="shared" si="11"/>
        <v>0</v>
      </c>
      <c r="AE29" s="103"/>
      <c r="AF29" s="11">
        <f t="shared" si="12"/>
        <v>0</v>
      </c>
      <c r="AG29" s="11">
        <f t="shared" si="62"/>
        <v>0</v>
      </c>
      <c r="AH29" s="11">
        <f t="shared" si="13"/>
        <v>0</v>
      </c>
      <c r="AI29" s="103"/>
      <c r="AJ29" s="11">
        <f t="shared" si="14"/>
        <v>0</v>
      </c>
      <c r="AK29" s="11">
        <f t="shared" si="63"/>
        <v>0</v>
      </c>
      <c r="AL29" s="11">
        <f t="shared" si="15"/>
        <v>0</v>
      </c>
      <c r="AM29" s="103"/>
      <c r="AN29" s="11">
        <f t="shared" si="16"/>
        <v>0</v>
      </c>
      <c r="AO29" s="11">
        <f t="shared" si="64"/>
        <v>0</v>
      </c>
      <c r="AP29" s="11">
        <f t="shared" si="17"/>
        <v>0</v>
      </c>
      <c r="AQ29" s="103"/>
      <c r="AR29" s="11">
        <f t="shared" si="18"/>
        <v>0</v>
      </c>
      <c r="AS29" s="11">
        <f t="shared" si="65"/>
        <v>0</v>
      </c>
      <c r="AT29" s="11">
        <f t="shared" si="19"/>
        <v>0</v>
      </c>
      <c r="AU29" s="259"/>
      <c r="AV29" s="11">
        <f t="shared" si="20"/>
        <v>0</v>
      </c>
      <c r="AW29" s="9">
        <f t="shared" si="66"/>
        <v>0</v>
      </c>
      <c r="AX29" s="11">
        <f t="shared" si="21"/>
        <v>0</v>
      </c>
      <c r="AY29" s="103"/>
      <c r="AZ29" s="11">
        <f t="shared" si="22"/>
        <v>0</v>
      </c>
      <c r="BA29" s="11">
        <f t="shared" si="67"/>
        <v>0</v>
      </c>
      <c r="BB29" s="11">
        <f t="shared" si="23"/>
        <v>0</v>
      </c>
      <c r="BC29" s="103"/>
      <c r="BD29" s="11">
        <f t="shared" si="24"/>
        <v>0</v>
      </c>
      <c r="BE29" s="11">
        <f t="shared" si="68"/>
        <v>0</v>
      </c>
      <c r="BF29" s="11">
        <f t="shared" si="25"/>
        <v>0</v>
      </c>
      <c r="BG29" s="103"/>
      <c r="BH29" s="11">
        <f t="shared" si="26"/>
        <v>0</v>
      </c>
      <c r="BI29" s="11">
        <f t="shared" si="69"/>
        <v>0</v>
      </c>
      <c r="BJ29" s="11">
        <f t="shared" si="27"/>
        <v>0</v>
      </c>
      <c r="BK29" s="103"/>
      <c r="BL29" s="11"/>
      <c r="BM29" s="11"/>
      <c r="BN29" s="11"/>
      <c r="BO29" s="103"/>
      <c r="BP29" s="11"/>
      <c r="BQ29" s="11"/>
      <c r="BR29" s="11"/>
      <c r="BS29" s="103"/>
      <c r="BT29" s="11"/>
      <c r="BU29" s="11"/>
      <c r="BV29" s="11"/>
      <c r="BW29" s="11">
        <f>G29+AY29+BK29+BG29+BS29+BO29+AU29+AI29+BC29+AQ29+AA29+AM29+AE29+K29+W29+S29+O29</f>
        <v>0</v>
      </c>
      <c r="BX29" s="11">
        <f t="shared" si="28"/>
        <v>0</v>
      </c>
      <c r="BY29" s="11">
        <f t="shared" si="71"/>
        <v>16000</v>
      </c>
      <c r="BZ29" s="11">
        <f t="shared" si="29"/>
        <v>1.5820918509614776</v>
      </c>
      <c r="CA29" s="11"/>
      <c r="CB29" s="11">
        <f t="shared" si="72"/>
        <v>0</v>
      </c>
      <c r="CC29" s="11">
        <f t="shared" si="101"/>
        <v>0</v>
      </c>
      <c r="CD29" s="11">
        <f t="shared" si="73"/>
        <v>0</v>
      </c>
      <c r="CE29" s="11"/>
      <c r="CF29" s="11">
        <f t="shared" si="102"/>
        <v>0</v>
      </c>
      <c r="CG29" s="11">
        <f t="shared" si="103"/>
        <v>0</v>
      </c>
      <c r="CH29" s="11">
        <f t="shared" si="104"/>
        <v>0</v>
      </c>
      <c r="CI29" s="11">
        <f t="shared" si="74"/>
        <v>0</v>
      </c>
      <c r="CJ29" s="11">
        <f t="shared" si="105"/>
        <v>0</v>
      </c>
      <c r="CK29" s="11">
        <f t="shared" si="106"/>
        <v>0</v>
      </c>
      <c r="CL29" s="11">
        <f t="shared" si="107"/>
        <v>0</v>
      </c>
      <c r="CM29" s="103">
        <v>3234.4639641580152</v>
      </c>
      <c r="CN29" s="11">
        <f t="shared" si="75"/>
        <v>6.1456547243028607</v>
      </c>
      <c r="CO29" s="11">
        <f t="shared" si="76"/>
        <v>3234.4639641580152</v>
      </c>
      <c r="CP29" s="11">
        <f t="shared" si="77"/>
        <v>0.31982619249518457</v>
      </c>
      <c r="CQ29" s="103">
        <v>21622.462844095982</v>
      </c>
      <c r="CR29" s="11">
        <f t="shared" si="30"/>
        <v>41.083837198808773</v>
      </c>
      <c r="CS29" s="11">
        <f t="shared" si="78"/>
        <v>401087.69123953278</v>
      </c>
      <c r="CT29" s="11">
        <f t="shared" si="31"/>
        <v>39.659847989438632</v>
      </c>
      <c r="CU29" s="103">
        <v>20800.785508120451</v>
      </c>
      <c r="CV29" s="11">
        <f t="shared" si="32"/>
        <v>39.522606262972658</v>
      </c>
      <c r="CW29" s="11">
        <f t="shared" si="79"/>
        <v>398754.62986606371</v>
      </c>
      <c r="CX29" s="11">
        <f t="shared" si="33"/>
        <v>39.429153152766226</v>
      </c>
      <c r="CY29" s="103">
        <v>2412.786628182484</v>
      </c>
      <c r="CZ29" s="11">
        <f t="shared" si="34"/>
        <v>4.5844237884667454</v>
      </c>
      <c r="DA29" s="11">
        <f t="shared" si="80"/>
        <v>70844.668020088735</v>
      </c>
      <c r="DB29" s="11">
        <f t="shared" si="35"/>
        <v>7.0051732474158497</v>
      </c>
      <c r="DC29" s="103"/>
      <c r="DD29" s="11">
        <f t="shared" si="36"/>
        <v>0</v>
      </c>
      <c r="DE29" s="11">
        <f t="shared" si="81"/>
        <v>3100</v>
      </c>
      <c r="DF29" s="11">
        <f t="shared" si="37"/>
        <v>0.30653029612378629</v>
      </c>
      <c r="DG29" s="103"/>
      <c r="DH29" s="11">
        <f t="shared" si="38"/>
        <v>0</v>
      </c>
      <c r="DI29" s="11">
        <f t="shared" si="82"/>
        <v>4548.9103655547879</v>
      </c>
      <c r="DJ29" s="11">
        <f t="shared" si="39"/>
        <v>0.44979962625615166</v>
      </c>
      <c r="DK29" s="103">
        <v>4559.5967776676862</v>
      </c>
      <c r="DL29" s="11">
        <f t="shared" si="83"/>
        <v>8.6634780254489669</v>
      </c>
      <c r="DM29" s="11">
        <f t="shared" si="84"/>
        <v>55851.580335899074</v>
      </c>
      <c r="DN29" s="11">
        <f t="shared" si="85"/>
        <v>5.5226456320466397</v>
      </c>
      <c r="DO29" s="500"/>
      <c r="DP29" s="11">
        <f t="shared" si="86"/>
        <v>0</v>
      </c>
      <c r="DQ29" s="11">
        <f t="shared" si="87"/>
        <v>0</v>
      </c>
      <c r="DR29" s="11">
        <f t="shared" si="88"/>
        <v>0</v>
      </c>
      <c r="DS29" s="103"/>
      <c r="DT29" s="11">
        <f t="shared" si="108"/>
        <v>0</v>
      </c>
      <c r="DU29" s="11">
        <f t="shared" si="89"/>
        <v>0</v>
      </c>
      <c r="DV29" s="11">
        <f t="shared" si="109"/>
        <v>0</v>
      </c>
      <c r="DW29" s="11">
        <f t="shared" si="40"/>
        <v>52630.095722224614</v>
      </c>
      <c r="DX29" s="11">
        <f t="shared" si="41"/>
        <v>100</v>
      </c>
      <c r="DY29" s="11">
        <f t="shared" si="90"/>
        <v>995319.28530422493</v>
      </c>
      <c r="DZ29" s="11">
        <f t="shared" si="42"/>
        <v>98.417908149038524</v>
      </c>
      <c r="EA29" s="103"/>
      <c r="EB29" s="11">
        <f t="shared" si="43"/>
        <v>0</v>
      </c>
      <c r="EC29" s="11">
        <f t="shared" si="91"/>
        <v>0</v>
      </c>
      <c r="ED29" s="11">
        <f t="shared" si="44"/>
        <v>0</v>
      </c>
      <c r="EE29" s="103"/>
      <c r="EF29" s="11">
        <f t="shared" si="45"/>
        <v>0</v>
      </c>
      <c r="EG29" s="11">
        <f t="shared" si="92"/>
        <v>0</v>
      </c>
      <c r="EH29" s="11">
        <f t="shared" si="46"/>
        <v>0</v>
      </c>
      <c r="EI29" s="103"/>
      <c r="EJ29" s="17">
        <f t="shared" si="47"/>
        <v>0</v>
      </c>
      <c r="EK29" s="11">
        <f t="shared" si="93"/>
        <v>0</v>
      </c>
      <c r="EL29" s="11">
        <f t="shared" si="48"/>
        <v>0</v>
      </c>
      <c r="EM29" s="11">
        <f t="shared" si="94"/>
        <v>0</v>
      </c>
      <c r="EN29" s="11">
        <f t="shared" si="49"/>
        <v>0</v>
      </c>
      <c r="EO29" s="11">
        <f t="shared" si="95"/>
        <v>0</v>
      </c>
      <c r="EP29" s="11">
        <f t="shared" si="50"/>
        <v>0</v>
      </c>
      <c r="EQ29" s="103"/>
      <c r="ER29" s="11">
        <f t="shared" si="51"/>
        <v>0</v>
      </c>
      <c r="ES29" s="11">
        <f t="shared" si="96"/>
        <v>0</v>
      </c>
      <c r="ET29" s="11">
        <f t="shared" si="52"/>
        <v>0</v>
      </c>
      <c r="EU29" s="11">
        <f t="shared" si="97"/>
        <v>52630.095722224614</v>
      </c>
      <c r="EV29" s="11">
        <f t="shared" si="98"/>
        <v>1011319.2853042249</v>
      </c>
      <c r="EW29" s="11">
        <f t="shared" si="53"/>
        <v>0.96284546060673271</v>
      </c>
      <c r="EX29" s="11">
        <f t="shared" si="54"/>
        <v>1.0984016679401911</v>
      </c>
      <c r="EY29" s="497">
        <f t="shared" si="99"/>
        <v>1.038588268744451</v>
      </c>
      <c r="EZ29" s="498">
        <f t="shared" si="100"/>
        <v>0.92504888993342183</v>
      </c>
      <c r="FA29" s="6" t="s">
        <v>430</v>
      </c>
      <c r="FF29" s="15"/>
    </row>
    <row r="30" spans="1:163">
      <c r="A30" s="18">
        <f>+Chem!A29</f>
        <v>46043</v>
      </c>
      <c r="B30" s="6" t="str">
        <f>+Chem!B29</f>
        <v>Toilet</v>
      </c>
      <c r="C30" s="6" t="str">
        <f>+Chem!C29</f>
        <v>15/13,5/13</v>
      </c>
      <c r="D30" s="9">
        <f>+Chem!D29</f>
        <v>52.666000000000004</v>
      </c>
      <c r="E30" s="7">
        <f>+Chem!E29</f>
        <v>50.985999999999997</v>
      </c>
      <c r="F30" s="7">
        <f t="shared" si="55"/>
        <v>971.70500000000004</v>
      </c>
      <c r="G30" s="103"/>
      <c r="H30" s="11">
        <f t="shared" si="0"/>
        <v>0</v>
      </c>
      <c r="I30" s="9">
        <f t="shared" si="56"/>
        <v>0</v>
      </c>
      <c r="J30" s="11">
        <f t="shared" si="1"/>
        <v>0</v>
      </c>
      <c r="K30" s="103"/>
      <c r="L30" s="11">
        <f t="shared" si="2"/>
        <v>0</v>
      </c>
      <c r="M30" s="11">
        <f t="shared" si="57"/>
        <v>0</v>
      </c>
      <c r="N30" s="11">
        <f t="shared" si="3"/>
        <v>0</v>
      </c>
      <c r="O30" s="103"/>
      <c r="P30" s="11">
        <f t="shared" si="4"/>
        <v>0</v>
      </c>
      <c r="Q30" s="11">
        <f t="shared" si="58"/>
        <v>0</v>
      </c>
      <c r="R30" s="11">
        <f t="shared" si="5"/>
        <v>0</v>
      </c>
      <c r="S30" s="103">
        <f>5*S7</f>
        <v>1250</v>
      </c>
      <c r="T30" s="11">
        <f>+S30/EU30*100</f>
        <v>2.0188415866908169</v>
      </c>
      <c r="U30" s="11">
        <f>+S30+U29</f>
        <v>17250</v>
      </c>
      <c r="V30" s="11">
        <f t="shared" si="7"/>
        <v>1.6072886398543047</v>
      </c>
      <c r="W30" s="103"/>
      <c r="X30" s="11">
        <f t="shared" si="8"/>
        <v>0</v>
      </c>
      <c r="Y30" s="11">
        <f t="shared" si="60"/>
        <v>0</v>
      </c>
      <c r="Z30" s="11">
        <f t="shared" si="9"/>
        <v>0</v>
      </c>
      <c r="AA30" s="103"/>
      <c r="AB30" s="11">
        <f t="shared" si="10"/>
        <v>0</v>
      </c>
      <c r="AC30" s="11">
        <f t="shared" si="61"/>
        <v>0</v>
      </c>
      <c r="AD30" s="11">
        <f t="shared" si="11"/>
        <v>0</v>
      </c>
      <c r="AE30" s="103"/>
      <c r="AF30" s="11">
        <f t="shared" si="12"/>
        <v>0</v>
      </c>
      <c r="AG30" s="11">
        <f t="shared" si="62"/>
        <v>0</v>
      </c>
      <c r="AH30" s="11">
        <f t="shared" si="13"/>
        <v>0</v>
      </c>
      <c r="AI30" s="103"/>
      <c r="AJ30" s="11">
        <f t="shared" si="14"/>
        <v>0</v>
      </c>
      <c r="AK30" s="11">
        <f t="shared" si="63"/>
        <v>0</v>
      </c>
      <c r="AL30" s="11">
        <f t="shared" si="15"/>
        <v>0</v>
      </c>
      <c r="AM30" s="103"/>
      <c r="AN30" s="11">
        <f t="shared" si="16"/>
        <v>0</v>
      </c>
      <c r="AO30" s="11">
        <f t="shared" si="64"/>
        <v>0</v>
      </c>
      <c r="AP30" s="11">
        <f t="shared" si="17"/>
        <v>0</v>
      </c>
      <c r="AQ30" s="103"/>
      <c r="AR30" s="11">
        <f t="shared" si="18"/>
        <v>0</v>
      </c>
      <c r="AS30" s="11">
        <f t="shared" si="65"/>
        <v>0</v>
      </c>
      <c r="AT30" s="11">
        <f t="shared" si="19"/>
        <v>0</v>
      </c>
      <c r="AU30" s="259"/>
      <c r="AV30" s="11">
        <f t="shared" si="20"/>
        <v>0</v>
      </c>
      <c r="AW30" s="9">
        <f t="shared" si="66"/>
        <v>0</v>
      </c>
      <c r="AX30" s="11">
        <f t="shared" si="21"/>
        <v>0</v>
      </c>
      <c r="AY30" s="103"/>
      <c r="AZ30" s="11">
        <f t="shared" si="22"/>
        <v>0</v>
      </c>
      <c r="BA30" s="11">
        <f t="shared" si="67"/>
        <v>0</v>
      </c>
      <c r="BB30" s="11">
        <f t="shared" si="23"/>
        <v>0</v>
      </c>
      <c r="BC30" s="103"/>
      <c r="BD30" s="11">
        <f t="shared" si="24"/>
        <v>0</v>
      </c>
      <c r="BE30" s="11">
        <f t="shared" si="68"/>
        <v>0</v>
      </c>
      <c r="BF30" s="11">
        <f t="shared" si="25"/>
        <v>0</v>
      </c>
      <c r="BG30" s="103"/>
      <c r="BH30" s="11">
        <f t="shared" si="26"/>
        <v>0</v>
      </c>
      <c r="BI30" s="11">
        <f t="shared" si="69"/>
        <v>0</v>
      </c>
      <c r="BJ30" s="11">
        <f t="shared" si="27"/>
        <v>0</v>
      </c>
      <c r="BK30" s="103"/>
      <c r="BL30" s="11"/>
      <c r="BM30" s="11"/>
      <c r="BN30" s="11"/>
      <c r="BO30" s="103"/>
      <c r="BP30" s="11"/>
      <c r="BQ30" s="11"/>
      <c r="BR30" s="11"/>
      <c r="BS30" s="103"/>
      <c r="BT30" s="11"/>
      <c r="BU30" s="11"/>
      <c r="BV30" s="11"/>
      <c r="BW30" s="11">
        <f>G30+AY30+BK30+BG30+BS30+BO30+AU30+AI30+BC30+AQ30+AA30+AM30+AE30+K30+W30+S30+O30</f>
        <v>1250</v>
      </c>
      <c r="BX30" s="11">
        <f t="shared" si="28"/>
        <v>2.0188415866908169</v>
      </c>
      <c r="BY30" s="11">
        <f t="shared" si="71"/>
        <v>17250</v>
      </c>
      <c r="BZ30" s="11">
        <f t="shared" si="29"/>
        <v>1.6072886398543047</v>
      </c>
      <c r="CA30" s="11"/>
      <c r="CB30" s="11">
        <f t="shared" si="72"/>
        <v>0</v>
      </c>
      <c r="CC30" s="11">
        <f t="shared" si="101"/>
        <v>0</v>
      </c>
      <c r="CD30" s="11">
        <f t="shared" si="73"/>
        <v>0</v>
      </c>
      <c r="CE30" s="11"/>
      <c r="CF30" s="11">
        <f t="shared" si="102"/>
        <v>0</v>
      </c>
      <c r="CG30" s="11">
        <f t="shared" si="103"/>
        <v>0</v>
      </c>
      <c r="CH30" s="11">
        <f t="shared" si="104"/>
        <v>0</v>
      </c>
      <c r="CI30" s="11">
        <f t="shared" si="74"/>
        <v>0</v>
      </c>
      <c r="CJ30" s="11">
        <f t="shared" si="105"/>
        <v>0</v>
      </c>
      <c r="CK30" s="11">
        <f t="shared" si="106"/>
        <v>0</v>
      </c>
      <c r="CL30" s="11">
        <f t="shared" si="107"/>
        <v>0</v>
      </c>
      <c r="CM30" s="103">
        <v>3604.4073265208917</v>
      </c>
      <c r="CN30" s="11">
        <f t="shared" si="75"/>
        <v>5.821381924922755</v>
      </c>
      <c r="CO30" s="11">
        <f t="shared" si="76"/>
        <v>3604.4073265208917</v>
      </c>
      <c r="CP30" s="11">
        <f t="shared" si="77"/>
        <v>0.33584480865650179</v>
      </c>
      <c r="CQ30" s="103">
        <v>23990.726900159079</v>
      </c>
      <c r="CR30" s="11">
        <f t="shared" si="30"/>
        <v>38.74678172878658</v>
      </c>
      <c r="CS30" s="11">
        <f t="shared" si="78"/>
        <v>425078.41813969187</v>
      </c>
      <c r="CT30" s="11">
        <f t="shared" si="31"/>
        <v>39.607171740473326</v>
      </c>
      <c r="CU30" s="103">
        <v>24684.155230212014</v>
      </c>
      <c r="CV30" s="11">
        <f t="shared" si="32"/>
        <v>39.866719288866925</v>
      </c>
      <c r="CW30" s="11">
        <f t="shared" si="79"/>
        <v>423438.78509627574</v>
      </c>
      <c r="CX30" s="11">
        <f t="shared" si="33"/>
        <v>39.454397041098687</v>
      </c>
      <c r="CY30" s="103">
        <v>3351.1758203240856</v>
      </c>
      <c r="CZ30" s="11">
        <f t="shared" si="34"/>
        <v>5.4123944883063828</v>
      </c>
      <c r="DA30" s="11">
        <f t="shared" si="80"/>
        <v>74195.843840412825</v>
      </c>
      <c r="DB30" s="11">
        <f t="shared" si="35"/>
        <v>6.9132833002376533</v>
      </c>
      <c r="DC30" s="103"/>
      <c r="DD30" s="11">
        <f t="shared" si="36"/>
        <v>0</v>
      </c>
      <c r="DE30" s="11">
        <f t="shared" si="81"/>
        <v>3100</v>
      </c>
      <c r="DF30" s="11">
        <f t="shared" si="37"/>
        <v>0.28884607440859972</v>
      </c>
      <c r="DG30" s="103"/>
      <c r="DH30" s="11">
        <f t="shared" si="38"/>
        <v>0</v>
      </c>
      <c r="DI30" s="11">
        <f t="shared" si="82"/>
        <v>4548.9103655547879</v>
      </c>
      <c r="DJ30" s="11">
        <f t="shared" si="39"/>
        <v>0.42384996836357702</v>
      </c>
      <c r="DK30" s="103">
        <v>5036.2303288486255</v>
      </c>
      <c r="DL30" s="11">
        <f t="shared" si="83"/>
        <v>8.1338809824265397</v>
      </c>
      <c r="DM30" s="11">
        <f t="shared" si="84"/>
        <v>60887.810664747696</v>
      </c>
      <c r="DN30" s="11">
        <f t="shared" si="85"/>
        <v>5.6732919644665945</v>
      </c>
      <c r="DO30" s="500"/>
      <c r="DP30" s="11">
        <f t="shared" si="86"/>
        <v>0</v>
      </c>
      <c r="DQ30" s="11">
        <f t="shared" si="87"/>
        <v>0</v>
      </c>
      <c r="DR30" s="11">
        <f t="shared" si="88"/>
        <v>0</v>
      </c>
      <c r="DS30" s="103"/>
      <c r="DT30" s="11">
        <f t="shared" si="108"/>
        <v>0</v>
      </c>
      <c r="DU30" s="11">
        <f t="shared" si="89"/>
        <v>0</v>
      </c>
      <c r="DV30" s="11">
        <f t="shared" si="109"/>
        <v>0</v>
      </c>
      <c r="DW30" s="11">
        <f t="shared" si="40"/>
        <v>60666.695606064699</v>
      </c>
      <c r="DX30" s="11">
        <f t="shared" si="41"/>
        <v>97.981158413309188</v>
      </c>
      <c r="DY30" s="11">
        <f t="shared" si="90"/>
        <v>1055985.9809102896</v>
      </c>
      <c r="DZ30" s="11">
        <f t="shared" si="42"/>
        <v>98.392711360145697</v>
      </c>
      <c r="EA30" s="103"/>
      <c r="EB30" s="11">
        <f t="shared" si="43"/>
        <v>0</v>
      </c>
      <c r="EC30" s="11">
        <f t="shared" si="91"/>
        <v>0</v>
      </c>
      <c r="ED30" s="11">
        <f t="shared" si="44"/>
        <v>0</v>
      </c>
      <c r="EE30" s="103"/>
      <c r="EF30" s="11">
        <f t="shared" si="45"/>
        <v>0</v>
      </c>
      <c r="EG30" s="11">
        <f t="shared" si="92"/>
        <v>0</v>
      </c>
      <c r="EH30" s="11">
        <f t="shared" si="46"/>
        <v>0</v>
      </c>
      <c r="EI30" s="103"/>
      <c r="EJ30" s="17">
        <f t="shared" si="47"/>
        <v>0</v>
      </c>
      <c r="EK30" s="11">
        <f t="shared" si="93"/>
        <v>0</v>
      </c>
      <c r="EL30" s="11">
        <f t="shared" si="48"/>
        <v>0</v>
      </c>
      <c r="EM30" s="11">
        <f t="shared" si="94"/>
        <v>0</v>
      </c>
      <c r="EN30" s="11">
        <f t="shared" si="49"/>
        <v>0</v>
      </c>
      <c r="EO30" s="11">
        <f t="shared" si="95"/>
        <v>0</v>
      </c>
      <c r="EP30" s="11">
        <f t="shared" si="50"/>
        <v>0</v>
      </c>
      <c r="EQ30" s="103"/>
      <c r="ER30" s="11">
        <f t="shared" si="51"/>
        <v>0</v>
      </c>
      <c r="ES30" s="11">
        <f t="shared" si="96"/>
        <v>0</v>
      </c>
      <c r="ET30" s="11">
        <f t="shared" si="52"/>
        <v>0</v>
      </c>
      <c r="EU30" s="11">
        <f t="shared" si="97"/>
        <v>61916.695606064699</v>
      </c>
      <c r="EV30" s="11">
        <f t="shared" si="98"/>
        <v>1073235.9809102896</v>
      </c>
      <c r="EW30" s="11">
        <f t="shared" si="53"/>
        <v>1.2143862159429</v>
      </c>
      <c r="EX30" s="11">
        <f t="shared" si="54"/>
        <v>1.104487453404366</v>
      </c>
      <c r="EY30" s="497">
        <f t="shared" si="99"/>
        <v>0.84042817052496688</v>
      </c>
      <c r="EZ30" s="498">
        <f t="shared" si="100"/>
        <v>0.92018740548275368</v>
      </c>
      <c r="FA30" s="6" t="s">
        <v>430</v>
      </c>
    </row>
    <row r="31" spans="1:163">
      <c r="A31" s="18">
        <f>+Chem!A30</f>
        <v>46044</v>
      </c>
      <c r="B31" s="6" t="str">
        <f>+Chem!B30</f>
        <v>Toilet</v>
      </c>
      <c r="C31" s="6" t="str">
        <f>+Chem!C30</f>
        <v>13</v>
      </c>
      <c r="D31" s="9">
        <f>+Chem!D30</f>
        <v>49.217999999999996</v>
      </c>
      <c r="E31" s="7">
        <f>+Chem!E30</f>
        <v>48.567</v>
      </c>
      <c r="F31" s="7">
        <f t="shared" si="55"/>
        <v>1020.272</v>
      </c>
      <c r="G31" s="103"/>
      <c r="H31" s="11">
        <f t="shared" si="0"/>
        <v>0</v>
      </c>
      <c r="I31" s="9">
        <f t="shared" si="56"/>
        <v>0</v>
      </c>
      <c r="J31" s="11">
        <f t="shared" si="1"/>
        <v>0</v>
      </c>
      <c r="K31" s="103"/>
      <c r="L31" s="11">
        <f t="shared" si="2"/>
        <v>0</v>
      </c>
      <c r="M31" s="11">
        <f t="shared" si="57"/>
        <v>0</v>
      </c>
      <c r="N31" s="11">
        <f t="shared" si="3"/>
        <v>0</v>
      </c>
      <c r="O31" s="103"/>
      <c r="P31" s="11">
        <f t="shared" si="4"/>
        <v>0</v>
      </c>
      <c r="Q31" s="11">
        <f t="shared" si="58"/>
        <v>0</v>
      </c>
      <c r="R31" s="11">
        <f t="shared" si="5"/>
        <v>0</v>
      </c>
      <c r="S31" s="103">
        <f>13*S7</f>
        <v>3250</v>
      </c>
      <c r="T31" s="11">
        <f t="shared" si="6"/>
        <v>6.7465524450327665</v>
      </c>
      <c r="U31" s="11">
        <f t="shared" si="59"/>
        <v>20500</v>
      </c>
      <c r="V31" s="11">
        <f t="shared" si="7"/>
        <v>1.8280578162441066</v>
      </c>
      <c r="W31" s="103"/>
      <c r="X31" s="11">
        <f t="shared" si="8"/>
        <v>0</v>
      </c>
      <c r="Y31" s="11">
        <f t="shared" si="60"/>
        <v>0</v>
      </c>
      <c r="Z31" s="11">
        <f t="shared" si="9"/>
        <v>0</v>
      </c>
      <c r="AA31" s="103"/>
      <c r="AB31" s="11">
        <f t="shared" si="10"/>
        <v>0</v>
      </c>
      <c r="AC31" s="11">
        <f t="shared" si="61"/>
        <v>0</v>
      </c>
      <c r="AD31" s="11">
        <f t="shared" si="11"/>
        <v>0</v>
      </c>
      <c r="AE31" s="103"/>
      <c r="AF31" s="11">
        <f t="shared" si="12"/>
        <v>0</v>
      </c>
      <c r="AG31" s="11">
        <f t="shared" si="62"/>
        <v>0</v>
      </c>
      <c r="AH31" s="11">
        <f t="shared" si="13"/>
        <v>0</v>
      </c>
      <c r="AI31" s="103"/>
      <c r="AJ31" s="11">
        <f t="shared" si="14"/>
        <v>0</v>
      </c>
      <c r="AK31" s="11">
        <f t="shared" si="63"/>
        <v>0</v>
      </c>
      <c r="AL31" s="11">
        <f t="shared" si="15"/>
        <v>0</v>
      </c>
      <c r="AM31" s="103"/>
      <c r="AN31" s="11">
        <f t="shared" si="16"/>
        <v>0</v>
      </c>
      <c r="AO31" s="11">
        <f t="shared" si="64"/>
        <v>0</v>
      </c>
      <c r="AP31" s="11">
        <f t="shared" si="17"/>
        <v>0</v>
      </c>
      <c r="AQ31" s="103"/>
      <c r="AR31" s="11">
        <f t="shared" si="18"/>
        <v>0</v>
      </c>
      <c r="AS31" s="11">
        <f t="shared" si="65"/>
        <v>0</v>
      </c>
      <c r="AT31" s="11">
        <f t="shared" si="19"/>
        <v>0</v>
      </c>
      <c r="AU31" s="259"/>
      <c r="AV31" s="11">
        <f t="shared" si="20"/>
        <v>0</v>
      </c>
      <c r="AW31" s="9">
        <f t="shared" si="66"/>
        <v>0</v>
      </c>
      <c r="AX31" s="11">
        <f t="shared" si="21"/>
        <v>0</v>
      </c>
      <c r="AY31" s="103"/>
      <c r="AZ31" s="11">
        <f t="shared" si="22"/>
        <v>0</v>
      </c>
      <c r="BA31" s="11">
        <f t="shared" si="67"/>
        <v>0</v>
      </c>
      <c r="BB31" s="11">
        <f t="shared" si="23"/>
        <v>0</v>
      </c>
      <c r="BC31" s="103"/>
      <c r="BD31" s="11">
        <f t="shared" si="24"/>
        <v>0</v>
      </c>
      <c r="BE31" s="11">
        <f t="shared" si="68"/>
        <v>0</v>
      </c>
      <c r="BF31" s="11">
        <f t="shared" si="25"/>
        <v>0</v>
      </c>
      <c r="BG31" s="103"/>
      <c r="BH31" s="11">
        <f t="shared" si="26"/>
        <v>0</v>
      </c>
      <c r="BI31" s="11">
        <f t="shared" si="69"/>
        <v>0</v>
      </c>
      <c r="BJ31" s="11">
        <f t="shared" si="27"/>
        <v>0</v>
      </c>
      <c r="BK31" s="103"/>
      <c r="BL31" s="11"/>
      <c r="BM31" s="11"/>
      <c r="BN31" s="11"/>
      <c r="BO31" s="103"/>
      <c r="BP31" s="11"/>
      <c r="BQ31" s="11"/>
      <c r="BR31" s="11"/>
      <c r="BS31" s="103"/>
      <c r="BT31" s="11"/>
      <c r="BU31" s="11"/>
      <c r="BV31" s="11"/>
      <c r="BW31" s="11">
        <f t="shared" si="70"/>
        <v>3250</v>
      </c>
      <c r="BX31" s="11">
        <f t="shared" si="28"/>
        <v>6.7465524450327665</v>
      </c>
      <c r="BY31" s="11">
        <f t="shared" si="71"/>
        <v>20500</v>
      </c>
      <c r="BZ31" s="11">
        <f t="shared" si="29"/>
        <v>1.8280578162441066</v>
      </c>
      <c r="CA31" s="11"/>
      <c r="CB31" s="11">
        <f t="shared" si="72"/>
        <v>0</v>
      </c>
      <c r="CC31" s="11">
        <f t="shared" si="101"/>
        <v>0</v>
      </c>
      <c r="CD31" s="11">
        <f t="shared" si="73"/>
        <v>0</v>
      </c>
      <c r="CE31" s="11"/>
      <c r="CF31" s="11">
        <f t="shared" si="102"/>
        <v>0</v>
      </c>
      <c r="CG31" s="11">
        <f t="shared" si="103"/>
        <v>0</v>
      </c>
      <c r="CH31" s="11">
        <f t="shared" si="104"/>
        <v>0</v>
      </c>
      <c r="CI31" s="11">
        <f t="shared" si="74"/>
        <v>0</v>
      </c>
      <c r="CJ31" s="11">
        <f t="shared" si="105"/>
        <v>0</v>
      </c>
      <c r="CK31" s="11">
        <f t="shared" si="106"/>
        <v>0</v>
      </c>
      <c r="CL31" s="11">
        <f t="shared" si="107"/>
        <v>0</v>
      </c>
      <c r="CM31" s="103">
        <v>2663.7376477980233</v>
      </c>
      <c r="CN31" s="11">
        <f t="shared" si="75"/>
        <v>5.529552535593103</v>
      </c>
      <c r="CO31" s="11">
        <f t="shared" si="76"/>
        <v>2663.7376477980233</v>
      </c>
      <c r="CP31" s="11">
        <f t="shared" si="77"/>
        <v>0.23753494768199357</v>
      </c>
      <c r="CQ31" s="103">
        <v>18280.690295310444</v>
      </c>
      <c r="CR31" s="11">
        <f t="shared" si="30"/>
        <v>37.94819563345029</v>
      </c>
      <c r="CS31" s="11">
        <f t="shared" si="78"/>
        <v>443359.10843500233</v>
      </c>
      <c r="CT31" s="11">
        <f t="shared" si="31"/>
        <v>39.535906515981679</v>
      </c>
      <c r="CU31" s="103">
        <v>17755.908208145313</v>
      </c>
      <c r="CV31" s="11">
        <f t="shared" si="32"/>
        <v>36.858820287827733</v>
      </c>
      <c r="CW31" s="11">
        <f t="shared" si="79"/>
        <v>441194.69330442103</v>
      </c>
      <c r="CX31" s="11">
        <f t="shared" si="33"/>
        <v>39.342897930759428</v>
      </c>
      <c r="CY31" s="103">
        <v>2698.8793054206885</v>
      </c>
      <c r="CZ31" s="11">
        <f t="shared" si="34"/>
        <v>5.602501777487471</v>
      </c>
      <c r="DA31" s="11">
        <f t="shared" si="80"/>
        <v>76894.723145833515</v>
      </c>
      <c r="DB31" s="11">
        <f t="shared" si="35"/>
        <v>6.8569755938862231</v>
      </c>
      <c r="DC31" s="103"/>
      <c r="DD31" s="11">
        <f t="shared" si="36"/>
        <v>0</v>
      </c>
      <c r="DE31" s="11">
        <f t="shared" si="81"/>
        <v>3100</v>
      </c>
      <c r="DF31" s="11">
        <f t="shared" si="37"/>
        <v>0.27643801123691369</v>
      </c>
      <c r="DG31" s="103"/>
      <c r="DH31" s="11">
        <f t="shared" si="38"/>
        <v>0</v>
      </c>
      <c r="DI31" s="11">
        <f t="shared" si="82"/>
        <v>4548.9103655547879</v>
      </c>
      <c r="DJ31" s="11">
        <f t="shared" si="39"/>
        <v>0.40564249508030564</v>
      </c>
      <c r="DK31" s="103">
        <v>3523.5368709658987</v>
      </c>
      <c r="DL31" s="11">
        <f t="shared" si="83"/>
        <v>7.3143773206086422</v>
      </c>
      <c r="DM31" s="11">
        <f t="shared" si="84"/>
        <v>64411.347535713598</v>
      </c>
      <c r="DN31" s="11">
        <f t="shared" si="85"/>
        <v>5.7437886496330162</v>
      </c>
      <c r="DO31" s="500"/>
      <c r="DP31" s="11">
        <f t="shared" si="86"/>
        <v>0</v>
      </c>
      <c r="DQ31" s="11">
        <f t="shared" si="87"/>
        <v>0</v>
      </c>
      <c r="DR31" s="11">
        <f t="shared" si="88"/>
        <v>0</v>
      </c>
      <c r="DS31" s="103"/>
      <c r="DT31" s="11">
        <f t="shared" si="108"/>
        <v>0</v>
      </c>
      <c r="DU31" s="11">
        <f t="shared" si="89"/>
        <v>0</v>
      </c>
      <c r="DV31" s="11">
        <f t="shared" si="109"/>
        <v>0</v>
      </c>
      <c r="DW31" s="11">
        <f t="shared" si="40"/>
        <v>44922.752327640366</v>
      </c>
      <c r="DX31" s="11">
        <f t="shared" si="41"/>
        <v>93.253447554967224</v>
      </c>
      <c r="DY31" s="11">
        <f t="shared" si="90"/>
        <v>1100908.7332379299</v>
      </c>
      <c r="DZ31" s="11">
        <f t="shared" si="42"/>
        <v>98.171942183755888</v>
      </c>
      <c r="EA31" s="103"/>
      <c r="EB31" s="11">
        <f t="shared" si="43"/>
        <v>0</v>
      </c>
      <c r="EC31" s="11">
        <f t="shared" si="91"/>
        <v>0</v>
      </c>
      <c r="ED31" s="11">
        <f t="shared" si="44"/>
        <v>0</v>
      </c>
      <c r="EE31" s="103"/>
      <c r="EF31" s="11">
        <f t="shared" si="45"/>
        <v>0</v>
      </c>
      <c r="EG31" s="11">
        <f t="shared" si="92"/>
        <v>0</v>
      </c>
      <c r="EH31" s="11">
        <f t="shared" si="46"/>
        <v>0</v>
      </c>
      <c r="EI31" s="103"/>
      <c r="EJ31" s="17">
        <f t="shared" si="47"/>
        <v>0</v>
      </c>
      <c r="EK31" s="11">
        <f t="shared" si="93"/>
        <v>0</v>
      </c>
      <c r="EL31" s="11">
        <f t="shared" si="48"/>
        <v>0</v>
      </c>
      <c r="EM31" s="11">
        <f t="shared" si="94"/>
        <v>0</v>
      </c>
      <c r="EN31" s="11">
        <f t="shared" si="49"/>
        <v>0</v>
      </c>
      <c r="EO31" s="11">
        <f t="shared" si="95"/>
        <v>0</v>
      </c>
      <c r="EP31" s="11">
        <f t="shared" si="50"/>
        <v>0</v>
      </c>
      <c r="EQ31" s="103"/>
      <c r="ER31" s="11">
        <f t="shared" si="51"/>
        <v>0</v>
      </c>
      <c r="ES31" s="11">
        <f t="shared" si="96"/>
        <v>0</v>
      </c>
      <c r="ET31" s="11">
        <f t="shared" si="52"/>
        <v>0</v>
      </c>
      <c r="EU31" s="11">
        <f t="shared" si="97"/>
        <v>48172.752327640366</v>
      </c>
      <c r="EV31" s="11">
        <f t="shared" si="98"/>
        <v>1121408.7332379299</v>
      </c>
      <c r="EW31" s="11">
        <f t="shared" si="53"/>
        <v>0.99188239602282136</v>
      </c>
      <c r="EX31" s="11">
        <f t="shared" si="54"/>
        <v>1.0991272261102234</v>
      </c>
      <c r="EY31" s="497">
        <f t="shared" si="99"/>
        <v>1.0811225377684033</v>
      </c>
      <c r="EZ31" s="498">
        <f t="shared" si="100"/>
        <v>0.92675438862151116</v>
      </c>
      <c r="FA31" s="7" t="str">
        <f>+Efficiency1!D123</f>
        <v>RC HW</v>
      </c>
    </row>
    <row r="32" spans="1:163">
      <c r="A32" s="18">
        <f>+Chem!A31</f>
        <v>46045</v>
      </c>
      <c r="B32" s="6" t="str">
        <f>+Chem!B31</f>
        <v>Toilet</v>
      </c>
      <c r="C32" s="6" t="str">
        <f>+Chem!C31</f>
        <v>13/13,5</v>
      </c>
      <c r="D32" s="9">
        <f>+Chem!D31</f>
        <v>45.509</v>
      </c>
      <c r="E32" s="7">
        <f>+Chem!E31</f>
        <v>45.709000000000003</v>
      </c>
      <c r="F32" s="7">
        <f t="shared" si="55"/>
        <v>1065.981</v>
      </c>
      <c r="G32" s="103"/>
      <c r="H32" s="11">
        <f t="shared" si="0"/>
        <v>0</v>
      </c>
      <c r="I32" s="9">
        <f t="shared" si="56"/>
        <v>0</v>
      </c>
      <c r="J32" s="11">
        <f t="shared" si="1"/>
        <v>0</v>
      </c>
      <c r="K32" s="103"/>
      <c r="L32" s="11">
        <f t="shared" si="2"/>
        <v>0</v>
      </c>
      <c r="M32" s="11">
        <f t="shared" si="57"/>
        <v>0</v>
      </c>
      <c r="N32" s="11">
        <f t="shared" si="3"/>
        <v>0</v>
      </c>
      <c r="O32" s="103"/>
      <c r="P32" s="11">
        <f t="shared" si="4"/>
        <v>0</v>
      </c>
      <c r="Q32" s="11">
        <f t="shared" si="58"/>
        <v>0</v>
      </c>
      <c r="R32" s="11">
        <f t="shared" si="5"/>
        <v>0</v>
      </c>
      <c r="S32" s="103">
        <f>21*S7</f>
        <v>5250</v>
      </c>
      <c r="T32" s="11">
        <f t="shared" si="6"/>
        <v>10.564058140362558</v>
      </c>
      <c r="U32" s="11">
        <f t="shared" si="59"/>
        <v>25750</v>
      </c>
      <c r="V32" s="11">
        <f t="shared" si="7"/>
        <v>2.1987770554369721</v>
      </c>
      <c r="W32" s="103"/>
      <c r="X32" s="11">
        <f t="shared" si="8"/>
        <v>0</v>
      </c>
      <c r="Y32" s="11">
        <f t="shared" si="60"/>
        <v>0</v>
      </c>
      <c r="Z32" s="11">
        <f t="shared" si="9"/>
        <v>0</v>
      </c>
      <c r="AA32" s="103"/>
      <c r="AB32" s="11">
        <f t="shared" si="10"/>
        <v>0</v>
      </c>
      <c r="AC32" s="11">
        <f t="shared" si="61"/>
        <v>0</v>
      </c>
      <c r="AD32" s="11">
        <f t="shared" si="11"/>
        <v>0</v>
      </c>
      <c r="AE32" s="103"/>
      <c r="AF32" s="11">
        <f t="shared" si="12"/>
        <v>0</v>
      </c>
      <c r="AG32" s="11">
        <f t="shared" si="62"/>
        <v>0</v>
      </c>
      <c r="AH32" s="11">
        <f t="shared" si="13"/>
        <v>0</v>
      </c>
      <c r="AI32" s="103"/>
      <c r="AJ32" s="11">
        <f t="shared" si="14"/>
        <v>0</v>
      </c>
      <c r="AK32" s="11">
        <f t="shared" si="63"/>
        <v>0</v>
      </c>
      <c r="AL32" s="11">
        <f t="shared" si="15"/>
        <v>0</v>
      </c>
      <c r="AM32" s="103"/>
      <c r="AN32" s="11">
        <f t="shared" si="16"/>
        <v>0</v>
      </c>
      <c r="AO32" s="11">
        <f t="shared" si="64"/>
        <v>0</v>
      </c>
      <c r="AP32" s="11">
        <f t="shared" si="17"/>
        <v>0</v>
      </c>
      <c r="AQ32" s="103"/>
      <c r="AR32" s="11">
        <f t="shared" si="18"/>
        <v>0</v>
      </c>
      <c r="AS32" s="11">
        <f t="shared" si="65"/>
        <v>0</v>
      </c>
      <c r="AT32" s="11">
        <f t="shared" si="19"/>
        <v>0</v>
      </c>
      <c r="AU32" s="259"/>
      <c r="AV32" s="11">
        <f t="shared" si="20"/>
        <v>0</v>
      </c>
      <c r="AW32" s="9">
        <f t="shared" si="66"/>
        <v>0</v>
      </c>
      <c r="AX32" s="11">
        <f t="shared" si="21"/>
        <v>0</v>
      </c>
      <c r="AY32" s="103"/>
      <c r="AZ32" s="11">
        <f t="shared" si="22"/>
        <v>0</v>
      </c>
      <c r="BA32" s="11">
        <f t="shared" si="67"/>
        <v>0</v>
      </c>
      <c r="BB32" s="11">
        <f t="shared" si="23"/>
        <v>0</v>
      </c>
      <c r="BC32" s="103"/>
      <c r="BD32" s="11">
        <f t="shared" si="24"/>
        <v>0</v>
      </c>
      <c r="BE32" s="11">
        <f t="shared" si="68"/>
        <v>0</v>
      </c>
      <c r="BF32" s="11">
        <f t="shared" si="25"/>
        <v>0</v>
      </c>
      <c r="BG32" s="103"/>
      <c r="BH32" s="11">
        <f t="shared" si="26"/>
        <v>0</v>
      </c>
      <c r="BI32" s="11">
        <f t="shared" si="69"/>
        <v>0</v>
      </c>
      <c r="BJ32" s="11">
        <f t="shared" si="27"/>
        <v>0</v>
      </c>
      <c r="BK32" s="103"/>
      <c r="BL32" s="11"/>
      <c r="BM32" s="11"/>
      <c r="BN32" s="11"/>
      <c r="BO32" s="103"/>
      <c r="BP32" s="11"/>
      <c r="BQ32" s="11"/>
      <c r="BR32" s="11"/>
      <c r="BS32" s="103"/>
      <c r="BT32" s="11"/>
      <c r="BU32" s="11"/>
      <c r="BV32" s="11"/>
      <c r="BW32" s="11">
        <f t="shared" si="70"/>
        <v>5250</v>
      </c>
      <c r="BX32" s="11">
        <f t="shared" si="28"/>
        <v>10.564058140362558</v>
      </c>
      <c r="BY32" s="11">
        <f t="shared" si="71"/>
        <v>25750</v>
      </c>
      <c r="BZ32" s="11">
        <f t="shared" si="29"/>
        <v>2.1987770554369721</v>
      </c>
      <c r="CA32" s="11"/>
      <c r="CB32" s="11">
        <f t="shared" si="72"/>
        <v>0</v>
      </c>
      <c r="CC32" s="11">
        <f t="shared" si="101"/>
        <v>0</v>
      </c>
      <c r="CD32" s="11">
        <f t="shared" si="73"/>
        <v>0</v>
      </c>
      <c r="CE32" s="11"/>
      <c r="CF32" s="11">
        <f t="shared" si="102"/>
        <v>0</v>
      </c>
      <c r="CG32" s="11">
        <f t="shared" si="103"/>
        <v>0</v>
      </c>
      <c r="CH32" s="11">
        <f t="shared" si="104"/>
        <v>0</v>
      </c>
      <c r="CI32" s="11">
        <f t="shared" si="74"/>
        <v>0</v>
      </c>
      <c r="CJ32" s="11">
        <f t="shared" si="105"/>
        <v>0</v>
      </c>
      <c r="CK32" s="11">
        <f t="shared" si="106"/>
        <v>0</v>
      </c>
      <c r="CL32" s="11">
        <f t="shared" si="107"/>
        <v>0</v>
      </c>
      <c r="CM32" s="103">
        <v>2655.4726880455037</v>
      </c>
      <c r="CN32" s="11">
        <f t="shared" si="75"/>
        <v>5.3433462603157231</v>
      </c>
      <c r="CO32" s="11">
        <f t="shared" si="76"/>
        <v>2655.4726880455037</v>
      </c>
      <c r="CP32" s="11">
        <f t="shared" si="77"/>
        <v>0.22674922010928134</v>
      </c>
      <c r="CQ32" s="103">
        <v>18171.020251054233</v>
      </c>
      <c r="CR32" s="11">
        <f t="shared" si="30"/>
        <v>36.563755124160451</v>
      </c>
      <c r="CS32" s="11">
        <f t="shared" si="78"/>
        <v>461530.12868605659</v>
      </c>
      <c r="CT32" s="11">
        <f t="shared" si="31"/>
        <v>39.40978086787473</v>
      </c>
      <c r="CU32" s="103">
        <v>17541.740168677061</v>
      </c>
      <c r="CV32" s="11">
        <f t="shared" si="32"/>
        <v>35.297516766673866</v>
      </c>
      <c r="CW32" s="11">
        <f t="shared" si="79"/>
        <v>458736.43347309809</v>
      </c>
      <c r="CX32" s="11">
        <f t="shared" si="33"/>
        <v>39.171228909267455</v>
      </c>
      <c r="CY32" s="103">
        <v>2133.3041090516817</v>
      </c>
      <c r="CZ32" s="11">
        <f t="shared" si="34"/>
        <v>4.2926378360183453</v>
      </c>
      <c r="DA32" s="11">
        <f t="shared" si="80"/>
        <v>79028.027254885194</v>
      </c>
      <c r="DB32" s="11">
        <f t="shared" si="35"/>
        <v>6.7481558471646315</v>
      </c>
      <c r="DC32" s="103"/>
      <c r="DD32" s="11">
        <f t="shared" si="36"/>
        <v>0</v>
      </c>
      <c r="DE32" s="11">
        <f t="shared" si="81"/>
        <v>3100</v>
      </c>
      <c r="DF32" s="11">
        <f t="shared" si="37"/>
        <v>0.26470714065454815</v>
      </c>
      <c r="DG32" s="103"/>
      <c r="DH32" s="11">
        <f t="shared" si="38"/>
        <v>0</v>
      </c>
      <c r="DI32" s="11">
        <f t="shared" si="82"/>
        <v>4548.9103655547879</v>
      </c>
      <c r="DJ32" s="11">
        <f t="shared" si="39"/>
        <v>0.38842872772898163</v>
      </c>
      <c r="DK32" s="103">
        <v>3945.2737079533199</v>
      </c>
      <c r="DL32" s="11">
        <f t="shared" si="83"/>
        <v>7.9386858724690743</v>
      </c>
      <c r="DM32" s="11">
        <f t="shared" si="84"/>
        <v>68356.621243666916</v>
      </c>
      <c r="DN32" s="11">
        <f t="shared" si="85"/>
        <v>5.8369308884571005</v>
      </c>
      <c r="DO32" s="500"/>
      <c r="DP32" s="11">
        <f t="shared" si="86"/>
        <v>0</v>
      </c>
      <c r="DQ32" s="11">
        <f t="shared" si="87"/>
        <v>0</v>
      </c>
      <c r="DR32" s="11">
        <f t="shared" si="88"/>
        <v>0</v>
      </c>
      <c r="DS32" s="103"/>
      <c r="DT32" s="11">
        <f t="shared" si="108"/>
        <v>0</v>
      </c>
      <c r="DU32" s="11">
        <f t="shared" si="89"/>
        <v>0</v>
      </c>
      <c r="DV32" s="11">
        <f t="shared" si="109"/>
        <v>0</v>
      </c>
      <c r="DW32" s="11">
        <f t="shared" si="40"/>
        <v>44446.810924781792</v>
      </c>
      <c r="DX32" s="11">
        <f t="shared" si="41"/>
        <v>89.435941859637452</v>
      </c>
      <c r="DY32" s="11">
        <f t="shared" si="90"/>
        <v>1145355.5441627116</v>
      </c>
      <c r="DZ32" s="11">
        <f t="shared" si="42"/>
        <v>97.801222944563023</v>
      </c>
      <c r="EA32" s="103"/>
      <c r="EB32" s="11">
        <f t="shared" si="43"/>
        <v>0</v>
      </c>
      <c r="EC32" s="11">
        <f t="shared" si="91"/>
        <v>0</v>
      </c>
      <c r="ED32" s="11">
        <f t="shared" si="44"/>
        <v>0</v>
      </c>
      <c r="EE32" s="103"/>
      <c r="EF32" s="11">
        <f t="shared" si="45"/>
        <v>0</v>
      </c>
      <c r="EG32" s="11">
        <f t="shared" si="92"/>
        <v>0</v>
      </c>
      <c r="EH32" s="11">
        <f t="shared" si="46"/>
        <v>0</v>
      </c>
      <c r="EI32" s="103"/>
      <c r="EJ32" s="17">
        <f t="shared" si="47"/>
        <v>0</v>
      </c>
      <c r="EK32" s="11">
        <f t="shared" si="93"/>
        <v>0</v>
      </c>
      <c r="EL32" s="11">
        <f t="shared" si="48"/>
        <v>0</v>
      </c>
      <c r="EM32" s="11">
        <f t="shared" si="94"/>
        <v>0</v>
      </c>
      <c r="EN32" s="11">
        <f t="shared" si="49"/>
        <v>0</v>
      </c>
      <c r="EO32" s="11">
        <f t="shared" si="95"/>
        <v>0</v>
      </c>
      <c r="EP32" s="11">
        <f t="shared" si="50"/>
        <v>0</v>
      </c>
      <c r="EQ32" s="103"/>
      <c r="ER32" s="11">
        <f t="shared" si="51"/>
        <v>0</v>
      </c>
      <c r="ES32" s="11">
        <f t="shared" si="96"/>
        <v>0</v>
      </c>
      <c r="ET32" s="11">
        <f t="shared" si="52"/>
        <v>0</v>
      </c>
      <c r="EU32" s="11">
        <f t="shared" si="97"/>
        <v>49696.810924781792</v>
      </c>
      <c r="EV32" s="11">
        <f t="shared" si="98"/>
        <v>1171105.5441627116</v>
      </c>
      <c r="EW32" s="11">
        <f t="shared" si="53"/>
        <v>1.0872434515036817</v>
      </c>
      <c r="EX32" s="11">
        <f t="shared" si="54"/>
        <v>1.0986176528124907</v>
      </c>
      <c r="EY32" s="497">
        <f t="shared" si="99"/>
        <v>1.0283977421316961</v>
      </c>
      <c r="EZ32" s="498">
        <f t="shared" si="100"/>
        <v>0.93069877334837825</v>
      </c>
      <c r="FA32" s="7" t="s">
        <v>430</v>
      </c>
    </row>
    <row r="33" spans="1:157">
      <c r="A33" s="18">
        <f>+Chem!A32</f>
        <v>46046</v>
      </c>
      <c r="B33" s="6" t="str">
        <f>+Chem!B32</f>
        <v>Toilet</v>
      </c>
      <c r="C33" s="6" t="str">
        <f>+Chem!C32</f>
        <v>13,5</v>
      </c>
      <c r="D33" s="9">
        <f>+Chem!D32</f>
        <v>42.703000000000003</v>
      </c>
      <c r="E33" s="7">
        <f>+Chem!E32</f>
        <v>41.923000000000002</v>
      </c>
      <c r="F33" s="7">
        <f t="shared" si="55"/>
        <v>1107.904</v>
      </c>
      <c r="G33" s="103"/>
      <c r="H33" s="11">
        <f t="shared" si="0"/>
        <v>0</v>
      </c>
      <c r="I33" s="9">
        <f t="shared" si="56"/>
        <v>0</v>
      </c>
      <c r="J33" s="11">
        <f t="shared" si="1"/>
        <v>0</v>
      </c>
      <c r="K33" s="103"/>
      <c r="L33" s="11">
        <f t="shared" si="2"/>
        <v>0</v>
      </c>
      <c r="M33" s="11">
        <f t="shared" si="57"/>
        <v>0</v>
      </c>
      <c r="N33" s="11">
        <f t="shared" si="3"/>
        <v>0</v>
      </c>
      <c r="O33" s="103"/>
      <c r="P33" s="11">
        <f t="shared" si="4"/>
        <v>0</v>
      </c>
      <c r="Q33" s="11">
        <f t="shared" si="58"/>
        <v>0</v>
      </c>
      <c r="R33" s="11">
        <f t="shared" si="5"/>
        <v>0</v>
      </c>
      <c r="S33" s="103">
        <f>9*S7</f>
        <v>2250</v>
      </c>
      <c r="T33" s="11">
        <f t="shared" si="6"/>
        <v>5.8655636785209904</v>
      </c>
      <c r="U33" s="11">
        <f t="shared" si="59"/>
        <v>28000</v>
      </c>
      <c r="V33" s="11">
        <f t="shared" si="7"/>
        <v>2.3150731383322212</v>
      </c>
      <c r="W33" s="103"/>
      <c r="X33" s="11">
        <f t="shared" si="8"/>
        <v>0</v>
      </c>
      <c r="Y33" s="11">
        <f t="shared" si="60"/>
        <v>0</v>
      </c>
      <c r="Z33" s="11">
        <f t="shared" si="9"/>
        <v>0</v>
      </c>
      <c r="AA33" s="103"/>
      <c r="AB33" s="11">
        <f t="shared" si="10"/>
        <v>0</v>
      </c>
      <c r="AC33" s="11">
        <f t="shared" si="61"/>
        <v>0</v>
      </c>
      <c r="AD33" s="11">
        <f t="shared" si="11"/>
        <v>0</v>
      </c>
      <c r="AE33" s="103"/>
      <c r="AF33" s="11">
        <f t="shared" si="12"/>
        <v>0</v>
      </c>
      <c r="AG33" s="11">
        <f t="shared" si="62"/>
        <v>0</v>
      </c>
      <c r="AH33" s="11">
        <f t="shared" si="13"/>
        <v>0</v>
      </c>
      <c r="AI33" s="103"/>
      <c r="AJ33" s="11">
        <f t="shared" si="14"/>
        <v>0</v>
      </c>
      <c r="AK33" s="11">
        <f t="shared" si="63"/>
        <v>0</v>
      </c>
      <c r="AL33" s="11">
        <f t="shared" si="15"/>
        <v>0</v>
      </c>
      <c r="AM33" s="103"/>
      <c r="AN33" s="11">
        <f t="shared" si="16"/>
        <v>0</v>
      </c>
      <c r="AO33" s="11">
        <f t="shared" si="64"/>
        <v>0</v>
      </c>
      <c r="AP33" s="11">
        <f t="shared" si="17"/>
        <v>0</v>
      </c>
      <c r="AQ33" s="103"/>
      <c r="AR33" s="11">
        <f t="shared" si="18"/>
        <v>0</v>
      </c>
      <c r="AS33" s="11">
        <f t="shared" si="65"/>
        <v>0</v>
      </c>
      <c r="AT33" s="11">
        <f t="shared" si="19"/>
        <v>0</v>
      </c>
      <c r="AU33" s="259"/>
      <c r="AV33" s="11">
        <f t="shared" si="20"/>
        <v>0</v>
      </c>
      <c r="AW33" s="9">
        <f t="shared" si="66"/>
        <v>0</v>
      </c>
      <c r="AX33" s="11">
        <f t="shared" si="21"/>
        <v>0</v>
      </c>
      <c r="AY33" s="103"/>
      <c r="AZ33" s="11">
        <f t="shared" si="22"/>
        <v>0</v>
      </c>
      <c r="BA33" s="11">
        <f t="shared" si="67"/>
        <v>0</v>
      </c>
      <c r="BB33" s="11">
        <f t="shared" si="23"/>
        <v>0</v>
      </c>
      <c r="BC33" s="103"/>
      <c r="BD33" s="11">
        <f t="shared" si="24"/>
        <v>0</v>
      </c>
      <c r="BE33" s="11">
        <f t="shared" si="68"/>
        <v>0</v>
      </c>
      <c r="BF33" s="11">
        <f t="shared" si="25"/>
        <v>0</v>
      </c>
      <c r="BG33" s="103"/>
      <c r="BH33" s="11">
        <f t="shared" si="26"/>
        <v>0</v>
      </c>
      <c r="BI33" s="11">
        <f t="shared" si="69"/>
        <v>0</v>
      </c>
      <c r="BJ33" s="11">
        <f t="shared" si="27"/>
        <v>0</v>
      </c>
      <c r="BK33" s="103"/>
      <c r="BL33" s="11"/>
      <c r="BM33" s="11"/>
      <c r="BN33" s="11"/>
      <c r="BO33" s="103"/>
      <c r="BP33" s="11"/>
      <c r="BQ33" s="11"/>
      <c r="BR33" s="11"/>
      <c r="BS33" s="103"/>
      <c r="BT33" s="11"/>
      <c r="BU33" s="11"/>
      <c r="BV33" s="11"/>
      <c r="BW33" s="11">
        <f t="shared" si="70"/>
        <v>2250</v>
      </c>
      <c r="BX33" s="11">
        <f t="shared" si="28"/>
        <v>5.8655636785209904</v>
      </c>
      <c r="BY33" s="11">
        <f t="shared" si="71"/>
        <v>28000</v>
      </c>
      <c r="BZ33" s="11">
        <f t="shared" si="29"/>
        <v>2.3150731383322212</v>
      </c>
      <c r="CA33" s="11"/>
      <c r="CB33" s="11">
        <f t="shared" si="72"/>
        <v>0</v>
      </c>
      <c r="CC33" s="11">
        <f t="shared" si="101"/>
        <v>0</v>
      </c>
      <c r="CD33" s="11">
        <f t="shared" si="73"/>
        <v>0</v>
      </c>
      <c r="CE33" s="11"/>
      <c r="CF33" s="11">
        <f t="shared" si="102"/>
        <v>0</v>
      </c>
      <c r="CG33" s="11">
        <f t="shared" si="103"/>
        <v>0</v>
      </c>
      <c r="CH33" s="11">
        <f t="shared" si="104"/>
        <v>0</v>
      </c>
      <c r="CI33" s="11">
        <f t="shared" si="74"/>
        <v>0</v>
      </c>
      <c r="CJ33" s="11">
        <f t="shared" si="105"/>
        <v>0</v>
      </c>
      <c r="CK33" s="11">
        <f t="shared" si="106"/>
        <v>0</v>
      </c>
      <c r="CL33" s="11">
        <f t="shared" si="107"/>
        <v>0</v>
      </c>
      <c r="CM33" s="103">
        <v>2106.7252501778039</v>
      </c>
      <c r="CN33" s="11">
        <f t="shared" si="75"/>
        <v>5.4920582702515448</v>
      </c>
      <c r="CO33" s="11">
        <f t="shared" si="76"/>
        <v>2106.7252501778039</v>
      </c>
      <c r="CP33" s="11">
        <f t="shared" si="77"/>
        <v>0.17418653701903078</v>
      </c>
      <c r="CQ33" s="103">
        <v>14578.110969758287</v>
      </c>
      <c r="CR33" s="11">
        <f t="shared" si="30"/>
        <v>38.003928091405612</v>
      </c>
      <c r="CS33" s="11">
        <f t="shared" si="78"/>
        <v>476108.23965581489</v>
      </c>
      <c r="CT33" s="11">
        <f t="shared" si="31"/>
        <v>39.365192734493455</v>
      </c>
      <c r="CU33" s="103">
        <v>14377.063077863146</v>
      </c>
      <c r="CV33" s="11">
        <f t="shared" si="32"/>
        <v>37.479812885919678</v>
      </c>
      <c r="CW33" s="11">
        <f t="shared" si="79"/>
        <v>473113.49655096122</v>
      </c>
      <c r="CX33" s="11">
        <f t="shared" si="33"/>
        <v>39.117583830270149</v>
      </c>
      <c r="CY33" s="103">
        <v>1550.6353364252873</v>
      </c>
      <c r="CZ33" s="11">
        <f t="shared" si="34"/>
        <v>4.0423779146521523</v>
      </c>
      <c r="DA33" s="11">
        <f t="shared" si="80"/>
        <v>80578.66259131048</v>
      </c>
      <c r="DB33" s="11">
        <f t="shared" si="35"/>
        <v>6.6623391888527967</v>
      </c>
      <c r="DC33" s="103"/>
      <c r="DD33" s="11">
        <f>DC33/EU33*100</f>
        <v>0</v>
      </c>
      <c r="DE33" s="11">
        <f>DC33+DE32</f>
        <v>3100</v>
      </c>
      <c r="DF33" s="11">
        <f t="shared" si="37"/>
        <v>0.25631166888678164</v>
      </c>
      <c r="DG33" s="103"/>
      <c r="DH33" s="11">
        <f t="shared" si="38"/>
        <v>0</v>
      </c>
      <c r="DI33" s="11">
        <f t="shared" si="82"/>
        <v>4548.9103655547879</v>
      </c>
      <c r="DJ33" s="11">
        <f t="shared" si="39"/>
        <v>0.3761092927134605</v>
      </c>
      <c r="DK33" s="103">
        <v>3496.9500345590964</v>
      </c>
      <c r="DL33" s="11">
        <f t="shared" si="83"/>
        <v>9.1162591592500277</v>
      </c>
      <c r="DM33" s="11">
        <f t="shared" si="84"/>
        <v>71853.571278226009</v>
      </c>
      <c r="DN33" s="11">
        <f t="shared" si="85"/>
        <v>5.9409383128378801</v>
      </c>
      <c r="DO33" s="103"/>
      <c r="DP33" s="11">
        <f t="shared" si="86"/>
        <v>0</v>
      </c>
      <c r="DQ33" s="11">
        <f t="shared" si="87"/>
        <v>0</v>
      </c>
      <c r="DR33" s="11">
        <f t="shared" si="88"/>
        <v>0</v>
      </c>
      <c r="DS33" s="103"/>
      <c r="DT33" s="11">
        <f t="shared" si="108"/>
        <v>0</v>
      </c>
      <c r="DU33" s="11">
        <f t="shared" si="89"/>
        <v>0</v>
      </c>
      <c r="DV33" s="11">
        <f t="shared" si="109"/>
        <v>0</v>
      </c>
      <c r="DW33" s="11">
        <f t="shared" si="40"/>
        <v>36109.484668783618</v>
      </c>
      <c r="DX33" s="11">
        <f t="shared" si="41"/>
        <v>94.134436321479015</v>
      </c>
      <c r="DY33" s="11">
        <f t="shared" si="90"/>
        <v>1181465.0288314952</v>
      </c>
      <c r="DZ33" s="11">
        <f t="shared" si="42"/>
        <v>97.684926861667776</v>
      </c>
      <c r="EA33" s="103"/>
      <c r="EB33" s="11">
        <f t="shared" si="43"/>
        <v>0</v>
      </c>
      <c r="EC33" s="11">
        <f t="shared" si="91"/>
        <v>0</v>
      </c>
      <c r="ED33" s="11">
        <f t="shared" si="44"/>
        <v>0</v>
      </c>
      <c r="EE33" s="103"/>
      <c r="EF33" s="11">
        <f t="shared" si="45"/>
        <v>0</v>
      </c>
      <c r="EG33" s="11">
        <f t="shared" si="92"/>
        <v>0</v>
      </c>
      <c r="EH33" s="11">
        <f t="shared" si="46"/>
        <v>0</v>
      </c>
      <c r="EI33" s="103"/>
      <c r="EJ33" s="17">
        <f t="shared" si="47"/>
        <v>0</v>
      </c>
      <c r="EK33" s="11">
        <f t="shared" si="93"/>
        <v>0</v>
      </c>
      <c r="EL33" s="11">
        <f t="shared" si="48"/>
        <v>0</v>
      </c>
      <c r="EM33" s="11">
        <f t="shared" si="94"/>
        <v>0</v>
      </c>
      <c r="EN33" s="11">
        <f t="shared" si="49"/>
        <v>0</v>
      </c>
      <c r="EO33" s="11">
        <f t="shared" si="95"/>
        <v>0</v>
      </c>
      <c r="EP33" s="11">
        <f t="shared" si="50"/>
        <v>0</v>
      </c>
      <c r="EQ33" s="103"/>
      <c r="ER33" s="11">
        <f t="shared" si="51"/>
        <v>0</v>
      </c>
      <c r="ES33" s="11">
        <f t="shared" si="96"/>
        <v>0</v>
      </c>
      <c r="ET33" s="11">
        <f t="shared" si="52"/>
        <v>0</v>
      </c>
      <c r="EU33" s="11">
        <f t="shared" si="97"/>
        <v>38359.484668783618</v>
      </c>
      <c r="EV33" s="11">
        <f t="shared" si="98"/>
        <v>1209465.0288314952</v>
      </c>
      <c r="EW33" s="11">
        <f t="shared" si="53"/>
        <v>0.91499856090412457</v>
      </c>
      <c r="EX33" s="11">
        <f t="shared" si="54"/>
        <v>1.0916695208533367</v>
      </c>
      <c r="EY33" s="497">
        <f t="shared" si="99"/>
        <v>1.1609969066172281</v>
      </c>
      <c r="EZ33" s="498">
        <f t="shared" si="100"/>
        <v>0.93773744712168983</v>
      </c>
      <c r="FA33" s="7" t="s">
        <v>430</v>
      </c>
    </row>
    <row r="34" spans="1:157">
      <c r="A34" s="18">
        <f>+Chem!A33</f>
        <v>46047</v>
      </c>
      <c r="B34" s="6" t="str">
        <f>+Chem!B33</f>
        <v>Toilet</v>
      </c>
      <c r="C34" s="6" t="str">
        <f>+Chem!C33</f>
        <v>13,5/14</v>
      </c>
      <c r="D34" s="9">
        <f>+Chem!D33</f>
        <v>39.700000000000003</v>
      </c>
      <c r="E34" s="7">
        <f>+Chem!E33</f>
        <v>34.215000000000003</v>
      </c>
      <c r="F34" s="7">
        <f t="shared" si="55"/>
        <v>1142.1189999999999</v>
      </c>
      <c r="G34" s="103"/>
      <c r="H34" s="11">
        <f t="shared" si="0"/>
        <v>0</v>
      </c>
      <c r="I34" s="9">
        <f t="shared" si="56"/>
        <v>0</v>
      </c>
      <c r="J34" s="11">
        <f t="shared" si="1"/>
        <v>0</v>
      </c>
      <c r="K34" s="103"/>
      <c r="L34" s="11">
        <f t="shared" si="2"/>
        <v>0</v>
      </c>
      <c r="M34" s="11">
        <f t="shared" si="57"/>
        <v>0</v>
      </c>
      <c r="N34" s="11">
        <f t="shared" si="3"/>
        <v>0</v>
      </c>
      <c r="O34" s="103"/>
      <c r="P34" s="11">
        <f t="shared" si="4"/>
        <v>0</v>
      </c>
      <c r="Q34" s="11">
        <f t="shared" si="58"/>
        <v>0</v>
      </c>
      <c r="R34" s="11">
        <f t="shared" si="5"/>
        <v>0</v>
      </c>
      <c r="S34" s="103">
        <f>9*S7</f>
        <v>2250</v>
      </c>
      <c r="T34" s="11">
        <f t="shared" si="6"/>
        <v>6.1693469872487174</v>
      </c>
      <c r="U34" s="11">
        <f t="shared" si="59"/>
        <v>30250</v>
      </c>
      <c r="V34" s="11">
        <f t="shared" si="7"/>
        <v>2.427894223324262</v>
      </c>
      <c r="W34" s="103"/>
      <c r="X34" s="11">
        <f t="shared" si="8"/>
        <v>0</v>
      </c>
      <c r="Y34" s="11">
        <f t="shared" si="60"/>
        <v>0</v>
      </c>
      <c r="Z34" s="11">
        <f t="shared" si="9"/>
        <v>0</v>
      </c>
      <c r="AA34" s="103"/>
      <c r="AB34" s="11">
        <f t="shared" si="10"/>
        <v>0</v>
      </c>
      <c r="AC34" s="11">
        <f t="shared" si="61"/>
        <v>0</v>
      </c>
      <c r="AD34" s="11">
        <f t="shared" si="11"/>
        <v>0</v>
      </c>
      <c r="AE34" s="103"/>
      <c r="AF34" s="11">
        <f t="shared" si="12"/>
        <v>0</v>
      </c>
      <c r="AG34" s="11">
        <f t="shared" si="62"/>
        <v>0</v>
      </c>
      <c r="AH34" s="11">
        <f t="shared" si="13"/>
        <v>0</v>
      </c>
      <c r="AI34" s="103"/>
      <c r="AJ34" s="11">
        <f t="shared" si="14"/>
        <v>0</v>
      </c>
      <c r="AK34" s="11">
        <f t="shared" si="63"/>
        <v>0</v>
      </c>
      <c r="AL34" s="11">
        <f t="shared" si="15"/>
        <v>0</v>
      </c>
      <c r="AM34" s="103"/>
      <c r="AN34" s="11">
        <f t="shared" si="16"/>
        <v>0</v>
      </c>
      <c r="AO34" s="11">
        <f t="shared" si="64"/>
        <v>0</v>
      </c>
      <c r="AP34" s="11">
        <f t="shared" si="17"/>
        <v>0</v>
      </c>
      <c r="AQ34" s="103"/>
      <c r="AR34" s="11">
        <f t="shared" si="18"/>
        <v>0</v>
      </c>
      <c r="AS34" s="11">
        <f t="shared" si="65"/>
        <v>0</v>
      </c>
      <c r="AT34" s="11">
        <f t="shared" si="19"/>
        <v>0</v>
      </c>
      <c r="AU34" s="259"/>
      <c r="AV34" s="11">
        <f t="shared" si="20"/>
        <v>0</v>
      </c>
      <c r="AW34" s="9">
        <f t="shared" si="66"/>
        <v>0</v>
      </c>
      <c r="AX34" s="11">
        <f t="shared" si="21"/>
        <v>0</v>
      </c>
      <c r="AY34" s="103"/>
      <c r="AZ34" s="11">
        <f t="shared" si="22"/>
        <v>0</v>
      </c>
      <c r="BA34" s="11">
        <f t="shared" si="67"/>
        <v>0</v>
      </c>
      <c r="BB34" s="11">
        <f t="shared" si="23"/>
        <v>0</v>
      </c>
      <c r="BC34" s="103"/>
      <c r="BD34" s="11">
        <f t="shared" si="24"/>
        <v>0</v>
      </c>
      <c r="BE34" s="11">
        <f t="shared" si="68"/>
        <v>0</v>
      </c>
      <c r="BF34" s="11">
        <f t="shared" si="25"/>
        <v>0</v>
      </c>
      <c r="BG34" s="103"/>
      <c r="BH34" s="11">
        <f t="shared" si="26"/>
        <v>0</v>
      </c>
      <c r="BI34" s="11">
        <f t="shared" si="69"/>
        <v>0</v>
      </c>
      <c r="BJ34" s="11">
        <f t="shared" si="27"/>
        <v>0</v>
      </c>
      <c r="BK34" s="103"/>
      <c r="BL34" s="11"/>
      <c r="BM34" s="11"/>
      <c r="BN34" s="11"/>
      <c r="BO34" s="103"/>
      <c r="BP34" s="11"/>
      <c r="BQ34" s="11"/>
      <c r="BR34" s="11"/>
      <c r="BS34" s="103"/>
      <c r="BT34" s="11"/>
      <c r="BU34" s="11"/>
      <c r="BV34" s="11"/>
      <c r="BW34" s="11">
        <f t="shared" si="70"/>
        <v>2250</v>
      </c>
      <c r="BX34" s="11">
        <f t="shared" si="28"/>
        <v>6.1693469872487174</v>
      </c>
      <c r="BY34" s="11">
        <f t="shared" si="71"/>
        <v>30250</v>
      </c>
      <c r="BZ34" s="11">
        <f t="shared" si="29"/>
        <v>2.427894223324262</v>
      </c>
      <c r="CA34" s="11"/>
      <c r="CB34" s="11">
        <f t="shared" si="72"/>
        <v>0</v>
      </c>
      <c r="CC34" s="11">
        <f t="shared" si="101"/>
        <v>0</v>
      </c>
      <c r="CD34" s="11">
        <f t="shared" si="73"/>
        <v>0</v>
      </c>
      <c r="CE34" s="11"/>
      <c r="CF34" s="11">
        <f t="shared" si="102"/>
        <v>0</v>
      </c>
      <c r="CG34" s="11">
        <f t="shared" si="103"/>
        <v>0</v>
      </c>
      <c r="CH34" s="11">
        <f t="shared" si="104"/>
        <v>0</v>
      </c>
      <c r="CI34" s="11">
        <f t="shared" si="74"/>
        <v>0</v>
      </c>
      <c r="CJ34" s="11">
        <f t="shared" si="105"/>
        <v>0</v>
      </c>
      <c r="CK34" s="11">
        <f t="shared" si="106"/>
        <v>0</v>
      </c>
      <c r="CL34" s="11">
        <f t="shared" si="107"/>
        <v>0</v>
      </c>
      <c r="CM34" s="103">
        <v>1981.1055190650857</v>
      </c>
      <c r="CN34" s="11">
        <f t="shared" si="75"/>
        <v>5.4320566068737746</v>
      </c>
      <c r="CO34" s="11">
        <f t="shared" si="76"/>
        <v>1981.1055190650857</v>
      </c>
      <c r="CP34" s="11">
        <f t="shared" si="77"/>
        <v>0.15900544282756809</v>
      </c>
      <c r="CQ34" s="103">
        <v>13759.793781455259</v>
      </c>
      <c r="CR34" s="11">
        <f t="shared" si="30"/>
        <v>37.728418804793172</v>
      </c>
      <c r="CS34" s="11">
        <f t="shared" si="78"/>
        <v>489868.03343727015</v>
      </c>
      <c r="CT34" s="11">
        <f t="shared" si="31"/>
        <v>39.317281605737676</v>
      </c>
      <c r="CU34" s="103">
        <v>13550.253774631066</v>
      </c>
      <c r="CV34" s="11">
        <f t="shared" si="32"/>
        <v>37.153874355989217</v>
      </c>
      <c r="CW34" s="11">
        <f t="shared" si="79"/>
        <v>486663.75032559229</v>
      </c>
      <c r="CX34" s="11">
        <f t="shared" si="33"/>
        <v>39.060102747663684</v>
      </c>
      <c r="CY34" s="103">
        <v>2040.3693593789985</v>
      </c>
      <c r="CZ34" s="11">
        <f t="shared" si="34"/>
        <v>5.5945540267375202</v>
      </c>
      <c r="DA34" s="11">
        <f t="shared" si="80"/>
        <v>82619.031950689474</v>
      </c>
      <c r="DB34" s="11">
        <f t="shared" si="35"/>
        <v>6.6310833193296395</v>
      </c>
      <c r="DC34" s="103"/>
      <c r="DD34" s="11">
        <f>DC34/EU34*100</f>
        <v>0</v>
      </c>
      <c r="DE34" s="11">
        <f>DC34+DE33</f>
        <v>3100</v>
      </c>
      <c r="DF34" s="11">
        <f t="shared" si="37"/>
        <v>0.24880899478694915</v>
      </c>
      <c r="DG34" s="103"/>
      <c r="DH34" s="11">
        <f t="shared" si="38"/>
        <v>0</v>
      </c>
      <c r="DI34" s="11">
        <f t="shared" si="82"/>
        <v>4548.9103655547879</v>
      </c>
      <c r="DJ34" s="11">
        <f t="shared" si="39"/>
        <v>0.36509994046116784</v>
      </c>
      <c r="DK34" s="103">
        <v>2889.1122153032502</v>
      </c>
      <c r="DL34" s="11">
        <f t="shared" si="83"/>
        <v>7.9217492183575891</v>
      </c>
      <c r="DM34" s="11">
        <f t="shared" si="84"/>
        <v>74742.683493529257</v>
      </c>
      <c r="DN34" s="11">
        <f t="shared" si="85"/>
        <v>5.9989199831303592</v>
      </c>
      <c r="DO34" s="103"/>
      <c r="DP34" s="11">
        <f t="shared" si="86"/>
        <v>0</v>
      </c>
      <c r="DQ34" s="11">
        <f t="shared" si="87"/>
        <v>0</v>
      </c>
      <c r="DR34" s="11">
        <f t="shared" si="88"/>
        <v>0</v>
      </c>
      <c r="DS34" s="103"/>
      <c r="DT34" s="11">
        <f t="shared" si="108"/>
        <v>0</v>
      </c>
      <c r="DU34" s="11">
        <f t="shared" si="89"/>
        <v>0</v>
      </c>
      <c r="DV34" s="11">
        <f t="shared" si="109"/>
        <v>0</v>
      </c>
      <c r="DW34" s="11">
        <f t="shared" si="40"/>
        <v>34220.634649833664</v>
      </c>
      <c r="DX34" s="11">
        <f t="shared" si="41"/>
        <v>93.830653012751284</v>
      </c>
      <c r="DY34" s="11">
        <f t="shared" si="90"/>
        <v>1215685.6634813289</v>
      </c>
      <c r="DZ34" s="11">
        <f t="shared" si="42"/>
        <v>97.572105776675727</v>
      </c>
      <c r="EA34" s="103"/>
      <c r="EB34" s="11">
        <f t="shared" si="43"/>
        <v>0</v>
      </c>
      <c r="EC34" s="11">
        <f t="shared" si="91"/>
        <v>0</v>
      </c>
      <c r="ED34" s="11">
        <f t="shared" si="44"/>
        <v>0</v>
      </c>
      <c r="EE34" s="103"/>
      <c r="EF34" s="11">
        <f t="shared" si="45"/>
        <v>0</v>
      </c>
      <c r="EG34" s="11">
        <f t="shared" si="92"/>
        <v>0</v>
      </c>
      <c r="EH34" s="11">
        <f t="shared" si="46"/>
        <v>0</v>
      </c>
      <c r="EI34" s="103"/>
      <c r="EJ34" s="17">
        <f t="shared" si="47"/>
        <v>0</v>
      </c>
      <c r="EK34" s="11">
        <f t="shared" si="93"/>
        <v>0</v>
      </c>
      <c r="EL34" s="11">
        <f t="shared" si="48"/>
        <v>0</v>
      </c>
      <c r="EM34" s="11">
        <f t="shared" si="94"/>
        <v>0</v>
      </c>
      <c r="EN34" s="11">
        <f t="shared" si="49"/>
        <v>0</v>
      </c>
      <c r="EO34" s="11">
        <f t="shared" si="95"/>
        <v>0</v>
      </c>
      <c r="EP34" s="11">
        <f t="shared" si="50"/>
        <v>0</v>
      </c>
      <c r="EQ34" s="103"/>
      <c r="ER34" s="11">
        <f t="shared" si="51"/>
        <v>0</v>
      </c>
      <c r="ES34" s="11">
        <f t="shared" si="96"/>
        <v>0</v>
      </c>
      <c r="ET34" s="11">
        <f t="shared" si="52"/>
        <v>0</v>
      </c>
      <c r="EU34" s="11">
        <f t="shared" si="97"/>
        <v>36470.634649833664</v>
      </c>
      <c r="EV34" s="11">
        <f t="shared" si="98"/>
        <v>1245935.6634813289</v>
      </c>
      <c r="EW34" s="11">
        <f t="shared" si="53"/>
        <v>1.065925314915495</v>
      </c>
      <c r="EX34" s="11">
        <f t="shared" si="54"/>
        <v>1.0908982894788801</v>
      </c>
      <c r="EY34" s="497">
        <f t="shared" si="99"/>
        <v>0.99983534350279235</v>
      </c>
      <c r="EZ34" s="498">
        <f t="shared" si="100"/>
        <v>0.93948545607533296</v>
      </c>
      <c r="FA34" s="7" t="s">
        <v>430</v>
      </c>
    </row>
    <row r="35" spans="1:157">
      <c r="A35" s="18">
        <f>+Chem!A34</f>
        <v>46048</v>
      </c>
      <c r="B35" s="6" t="str">
        <f>+Chem!B34</f>
        <v>Toilet</v>
      </c>
      <c r="C35" s="6" t="str">
        <f>+Chem!C34</f>
        <v>14</v>
      </c>
      <c r="D35" s="9">
        <f>+Chem!D34</f>
        <v>34.11</v>
      </c>
      <c r="E35" s="7">
        <f>+Chem!E34</f>
        <v>38.465000000000003</v>
      </c>
      <c r="F35" s="7">
        <f t="shared" si="55"/>
        <v>1180.5839999999998</v>
      </c>
      <c r="G35" s="103"/>
      <c r="H35" s="11">
        <f t="shared" si="0"/>
        <v>0</v>
      </c>
      <c r="I35" s="9">
        <f t="shared" si="56"/>
        <v>0</v>
      </c>
      <c r="J35" s="11">
        <f t="shared" si="1"/>
        <v>0</v>
      </c>
      <c r="K35" s="103"/>
      <c r="L35" s="11">
        <f t="shared" si="2"/>
        <v>0</v>
      </c>
      <c r="M35" s="11">
        <f t="shared" si="57"/>
        <v>0</v>
      </c>
      <c r="N35" s="11">
        <f t="shared" si="3"/>
        <v>0</v>
      </c>
      <c r="O35" s="103"/>
      <c r="P35" s="11">
        <f t="shared" si="4"/>
        <v>0</v>
      </c>
      <c r="Q35" s="11">
        <f t="shared" si="58"/>
        <v>0</v>
      </c>
      <c r="R35" s="11">
        <f t="shared" si="5"/>
        <v>0</v>
      </c>
      <c r="S35" s="103">
        <f>15*S7</f>
        <v>3750</v>
      </c>
      <c r="T35" s="11">
        <f t="shared" si="6"/>
        <v>8.2450018206678575</v>
      </c>
      <c r="U35" s="11">
        <f t="shared" si="59"/>
        <v>34000</v>
      </c>
      <c r="V35" s="11">
        <f t="shared" si="7"/>
        <v>2.6327653957421289</v>
      </c>
      <c r="W35" s="103"/>
      <c r="X35" s="11">
        <f t="shared" si="8"/>
        <v>0</v>
      </c>
      <c r="Y35" s="11">
        <f t="shared" si="60"/>
        <v>0</v>
      </c>
      <c r="Z35" s="11">
        <f t="shared" si="9"/>
        <v>0</v>
      </c>
      <c r="AA35" s="103"/>
      <c r="AB35" s="11">
        <f t="shared" si="10"/>
        <v>0</v>
      </c>
      <c r="AC35" s="11">
        <f t="shared" si="61"/>
        <v>0</v>
      </c>
      <c r="AD35" s="11">
        <f t="shared" si="11"/>
        <v>0</v>
      </c>
      <c r="AE35" s="103"/>
      <c r="AF35" s="11">
        <f t="shared" si="12"/>
        <v>0</v>
      </c>
      <c r="AG35" s="11">
        <f t="shared" si="62"/>
        <v>0</v>
      </c>
      <c r="AH35" s="11">
        <f t="shared" si="13"/>
        <v>0</v>
      </c>
      <c r="AI35" s="103"/>
      <c r="AJ35" s="11">
        <f t="shared" si="14"/>
        <v>0</v>
      </c>
      <c r="AK35" s="11">
        <f t="shared" si="63"/>
        <v>0</v>
      </c>
      <c r="AL35" s="11">
        <f t="shared" si="15"/>
        <v>0</v>
      </c>
      <c r="AM35" s="103"/>
      <c r="AN35" s="11">
        <f t="shared" si="16"/>
        <v>0</v>
      </c>
      <c r="AO35" s="11">
        <f t="shared" si="64"/>
        <v>0</v>
      </c>
      <c r="AP35" s="11">
        <f t="shared" si="17"/>
        <v>0</v>
      </c>
      <c r="AQ35" s="103"/>
      <c r="AR35" s="11">
        <f t="shared" si="18"/>
        <v>0</v>
      </c>
      <c r="AS35" s="11">
        <f t="shared" si="65"/>
        <v>0</v>
      </c>
      <c r="AT35" s="11">
        <f t="shared" si="19"/>
        <v>0</v>
      </c>
      <c r="AU35" s="259"/>
      <c r="AV35" s="11">
        <f t="shared" si="20"/>
        <v>0</v>
      </c>
      <c r="AW35" s="9">
        <f t="shared" si="66"/>
        <v>0</v>
      </c>
      <c r="AX35" s="11">
        <f t="shared" si="21"/>
        <v>0</v>
      </c>
      <c r="AY35" s="103"/>
      <c r="AZ35" s="11">
        <f t="shared" si="22"/>
        <v>0</v>
      </c>
      <c r="BA35" s="11">
        <f t="shared" si="67"/>
        <v>0</v>
      </c>
      <c r="BB35" s="11">
        <f t="shared" si="23"/>
        <v>0</v>
      </c>
      <c r="BC35" s="103"/>
      <c r="BD35" s="11">
        <f t="shared" si="24"/>
        <v>0</v>
      </c>
      <c r="BE35" s="11">
        <f t="shared" si="68"/>
        <v>0</v>
      </c>
      <c r="BF35" s="11">
        <f t="shared" si="25"/>
        <v>0</v>
      </c>
      <c r="BG35" s="103"/>
      <c r="BH35" s="11">
        <f t="shared" si="26"/>
        <v>0</v>
      </c>
      <c r="BI35" s="11">
        <f t="shared" si="69"/>
        <v>0</v>
      </c>
      <c r="BJ35" s="11">
        <f t="shared" si="27"/>
        <v>0</v>
      </c>
      <c r="BK35" s="103"/>
      <c r="BL35" s="11"/>
      <c r="BM35" s="11"/>
      <c r="BN35" s="11"/>
      <c r="BO35" s="103"/>
      <c r="BP35" s="11"/>
      <c r="BQ35" s="11"/>
      <c r="BR35" s="11"/>
      <c r="BS35" s="103"/>
      <c r="BT35" s="11"/>
      <c r="BU35" s="11"/>
      <c r="BV35" s="11"/>
      <c r="BW35" s="11">
        <f t="shared" si="70"/>
        <v>3750</v>
      </c>
      <c r="BX35" s="11">
        <f t="shared" si="28"/>
        <v>8.2450018206678575</v>
      </c>
      <c r="BY35" s="11">
        <f t="shared" si="71"/>
        <v>34000</v>
      </c>
      <c r="BZ35" s="11">
        <f t="shared" si="29"/>
        <v>2.6327653957421289</v>
      </c>
      <c r="CA35" s="11"/>
      <c r="CB35" s="11">
        <f t="shared" si="72"/>
        <v>0</v>
      </c>
      <c r="CC35" s="11">
        <f t="shared" si="101"/>
        <v>0</v>
      </c>
      <c r="CD35" s="11">
        <f t="shared" si="73"/>
        <v>0</v>
      </c>
      <c r="CE35" s="11"/>
      <c r="CF35" s="11">
        <f t="shared" si="102"/>
        <v>0</v>
      </c>
      <c r="CG35" s="11">
        <f t="shared" si="103"/>
        <v>0</v>
      </c>
      <c r="CH35" s="11">
        <f t="shared" si="104"/>
        <v>0</v>
      </c>
      <c r="CI35" s="11">
        <f t="shared" si="74"/>
        <v>0</v>
      </c>
      <c r="CJ35" s="11">
        <f t="shared" si="105"/>
        <v>0</v>
      </c>
      <c r="CK35" s="11">
        <f t="shared" si="106"/>
        <v>0</v>
      </c>
      <c r="CL35" s="11">
        <f t="shared" si="107"/>
        <v>0</v>
      </c>
      <c r="CM35" s="103">
        <v>2504.1808054292846</v>
      </c>
      <c r="CN35" s="11">
        <f t="shared" si="75"/>
        <v>5.5058600800122548</v>
      </c>
      <c r="CO35" s="11">
        <f t="shared" si="76"/>
        <v>2504.1808054292846</v>
      </c>
      <c r="CP35" s="11">
        <f t="shared" si="77"/>
        <v>0.19390942850634921</v>
      </c>
      <c r="CQ35" s="103">
        <v>17012.414367116973</v>
      </c>
      <c r="CR35" s="11">
        <f t="shared" si="30"/>
        <v>37.404636648222791</v>
      </c>
      <c r="CS35" s="11">
        <f t="shared" si="78"/>
        <v>506880.44780438713</v>
      </c>
      <c r="CT35" s="11">
        <f t="shared" si="31"/>
        <v>39.249920669343084</v>
      </c>
      <c r="CU35" s="103">
        <v>16542.880466098981</v>
      </c>
      <c r="CV35" s="11">
        <f t="shared" si="32"/>
        <v>36.372287883220487</v>
      </c>
      <c r="CW35" s="11">
        <f t="shared" si="79"/>
        <v>503206.63079169125</v>
      </c>
      <c r="CX35" s="11">
        <f t="shared" si="33"/>
        <v>38.965441307539713</v>
      </c>
      <c r="CY35" s="103">
        <v>2129.2816441513542</v>
      </c>
      <c r="CZ35" s="11">
        <f t="shared" si="34"/>
        <v>4.6815816087313511</v>
      </c>
      <c r="DA35" s="11">
        <f t="shared" si="80"/>
        <v>84748.313594840831</v>
      </c>
      <c r="DB35" s="11">
        <f t="shared" si="35"/>
        <v>6.5624243347058577</v>
      </c>
      <c r="DC35" s="103"/>
      <c r="DD35" s="11">
        <f>DC35/EU35*100</f>
        <v>0</v>
      </c>
      <c r="DE35" s="11">
        <f>DC35+DE34</f>
        <v>3100</v>
      </c>
      <c r="DF35" s="11">
        <f t="shared" si="37"/>
        <v>0.24004625667060583</v>
      </c>
      <c r="DG35" s="103"/>
      <c r="DH35" s="11">
        <f t="shared" si="38"/>
        <v>0</v>
      </c>
      <c r="DI35" s="11">
        <f t="shared" si="82"/>
        <v>4548.9103655547879</v>
      </c>
      <c r="DJ35" s="11">
        <f t="shared" si="39"/>
        <v>0.35224158231662711</v>
      </c>
      <c r="DK35" s="103">
        <v>3543.3430437287916</v>
      </c>
      <c r="DL35" s="11">
        <f t="shared" si="83"/>
        <v>7.7906319591452471</v>
      </c>
      <c r="DM35" s="11">
        <f t="shared" si="84"/>
        <v>78286.026537258047</v>
      </c>
      <c r="DN35" s="11">
        <f t="shared" si="85"/>
        <v>6.0620218128659697</v>
      </c>
      <c r="DO35" s="103"/>
      <c r="DP35" s="11">
        <f t="shared" si="86"/>
        <v>0</v>
      </c>
      <c r="DQ35" s="11">
        <f t="shared" si="87"/>
        <v>0</v>
      </c>
      <c r="DR35" s="11">
        <f t="shared" si="88"/>
        <v>0</v>
      </c>
      <c r="DS35" s="103"/>
      <c r="DT35" s="11">
        <f t="shared" si="108"/>
        <v>0</v>
      </c>
      <c r="DU35" s="11">
        <f t="shared" si="89"/>
        <v>0</v>
      </c>
      <c r="DV35" s="11">
        <f t="shared" si="109"/>
        <v>0</v>
      </c>
      <c r="DW35" s="11">
        <f t="shared" si="40"/>
        <v>41732.100326525389</v>
      </c>
      <c r="DX35" s="11">
        <f t="shared" si="41"/>
        <v>91.754998179332148</v>
      </c>
      <c r="DY35" s="11">
        <f t="shared" si="90"/>
        <v>1257417.7638078541</v>
      </c>
      <c r="DZ35" s="11">
        <f t="shared" si="42"/>
        <v>97.367234604257874</v>
      </c>
      <c r="EA35" s="103"/>
      <c r="EB35" s="11">
        <f t="shared" si="43"/>
        <v>0</v>
      </c>
      <c r="EC35" s="11">
        <f t="shared" si="91"/>
        <v>0</v>
      </c>
      <c r="ED35" s="11">
        <f t="shared" si="44"/>
        <v>0</v>
      </c>
      <c r="EE35" s="103"/>
      <c r="EF35" s="11">
        <f t="shared" si="45"/>
        <v>0</v>
      </c>
      <c r="EG35" s="11">
        <f t="shared" si="92"/>
        <v>0</v>
      </c>
      <c r="EH35" s="11">
        <f t="shared" si="46"/>
        <v>0</v>
      </c>
      <c r="EI35" s="103"/>
      <c r="EJ35" s="17">
        <f t="shared" si="47"/>
        <v>0</v>
      </c>
      <c r="EK35" s="11">
        <f t="shared" si="93"/>
        <v>0</v>
      </c>
      <c r="EL35" s="11">
        <f t="shared" si="48"/>
        <v>0</v>
      </c>
      <c r="EM35" s="11">
        <f t="shared" si="94"/>
        <v>0</v>
      </c>
      <c r="EN35" s="11">
        <f t="shared" si="49"/>
        <v>0</v>
      </c>
      <c r="EO35" s="11">
        <f t="shared" si="95"/>
        <v>0</v>
      </c>
      <c r="EP35" s="11">
        <f t="shared" si="50"/>
        <v>0</v>
      </c>
      <c r="EQ35" s="103"/>
      <c r="ER35" s="11">
        <f t="shared" si="51"/>
        <v>0</v>
      </c>
      <c r="ES35" s="11">
        <f t="shared" si="96"/>
        <v>0</v>
      </c>
      <c r="ET35" s="11">
        <f t="shared" si="52"/>
        <v>0</v>
      </c>
      <c r="EU35" s="11">
        <f t="shared" si="97"/>
        <v>45482.100326525389</v>
      </c>
      <c r="EV35" s="11">
        <f t="shared" si="98"/>
        <v>1291417.7638078541</v>
      </c>
      <c r="EW35" s="11">
        <f t="shared" si="53"/>
        <v>1.1824281899525644</v>
      </c>
      <c r="EX35" s="11">
        <f t="shared" si="54"/>
        <v>1.0938804556116755</v>
      </c>
      <c r="EY35" s="497">
        <f t="shared" si="99"/>
        <v>0.92171253541128906</v>
      </c>
      <c r="EZ35" s="498">
        <f t="shared" si="100"/>
        <v>0.93889559538655021</v>
      </c>
      <c r="FA35" s="7" t="s">
        <v>430</v>
      </c>
    </row>
    <row r="36" spans="1:157">
      <c r="A36" s="18">
        <f>+Chem!A35</f>
        <v>46049</v>
      </c>
      <c r="B36" s="6" t="str">
        <f>+Chem!B35</f>
        <v>Toilet</v>
      </c>
      <c r="C36" s="6" t="str">
        <f>+Chem!C35</f>
        <v>14</v>
      </c>
      <c r="D36" s="9">
        <f>+Chem!D35</f>
        <v>35.098999999999997</v>
      </c>
      <c r="E36" s="7">
        <f>+Chem!E35</f>
        <v>34.753</v>
      </c>
      <c r="F36" s="7">
        <f t="shared" si="55"/>
        <v>1215.3369999999998</v>
      </c>
      <c r="G36" s="103"/>
      <c r="H36" s="11">
        <f t="shared" si="0"/>
        <v>0</v>
      </c>
      <c r="I36" s="9">
        <f t="shared" si="56"/>
        <v>0</v>
      </c>
      <c r="J36" s="11">
        <f t="shared" si="1"/>
        <v>0</v>
      </c>
      <c r="K36" s="103"/>
      <c r="L36" s="11">
        <f t="shared" si="2"/>
        <v>0</v>
      </c>
      <c r="M36" s="11">
        <f t="shared" si="57"/>
        <v>0</v>
      </c>
      <c r="N36" s="11">
        <f t="shared" si="3"/>
        <v>0</v>
      </c>
      <c r="O36" s="103"/>
      <c r="P36" s="11">
        <f t="shared" si="4"/>
        <v>0</v>
      </c>
      <c r="Q36" s="11">
        <f t="shared" si="58"/>
        <v>0</v>
      </c>
      <c r="R36" s="11">
        <f t="shared" si="5"/>
        <v>0</v>
      </c>
      <c r="S36" s="103">
        <f>15*S7</f>
        <v>3750</v>
      </c>
      <c r="T36" s="11">
        <f t="shared" si="6"/>
        <v>9.0711068420494225</v>
      </c>
      <c r="U36" s="11">
        <f t="shared" si="59"/>
        <v>37750</v>
      </c>
      <c r="V36" s="11">
        <f t="shared" si="7"/>
        <v>2.832472609906183</v>
      </c>
      <c r="W36" s="103"/>
      <c r="X36" s="11">
        <f t="shared" si="8"/>
        <v>0</v>
      </c>
      <c r="Y36" s="11">
        <f t="shared" si="60"/>
        <v>0</v>
      </c>
      <c r="Z36" s="11">
        <f t="shared" si="9"/>
        <v>0</v>
      </c>
      <c r="AA36" s="103"/>
      <c r="AB36" s="11">
        <f t="shared" si="10"/>
        <v>0</v>
      </c>
      <c r="AC36" s="11">
        <f t="shared" si="61"/>
        <v>0</v>
      </c>
      <c r="AD36" s="11">
        <f t="shared" si="11"/>
        <v>0</v>
      </c>
      <c r="AE36" s="103"/>
      <c r="AF36" s="11">
        <f t="shared" si="12"/>
        <v>0</v>
      </c>
      <c r="AG36" s="11">
        <f t="shared" si="62"/>
        <v>0</v>
      </c>
      <c r="AH36" s="11">
        <f t="shared" si="13"/>
        <v>0</v>
      </c>
      <c r="AI36" s="103"/>
      <c r="AJ36" s="11">
        <f t="shared" si="14"/>
        <v>0</v>
      </c>
      <c r="AK36" s="11">
        <f t="shared" si="63"/>
        <v>0</v>
      </c>
      <c r="AL36" s="11">
        <f t="shared" si="15"/>
        <v>0</v>
      </c>
      <c r="AM36" s="103"/>
      <c r="AN36" s="11">
        <f t="shared" si="16"/>
        <v>0</v>
      </c>
      <c r="AO36" s="11">
        <f t="shared" si="64"/>
        <v>0</v>
      </c>
      <c r="AP36" s="11">
        <f t="shared" si="17"/>
        <v>0</v>
      </c>
      <c r="AQ36" s="103"/>
      <c r="AR36" s="11">
        <f t="shared" si="18"/>
        <v>0</v>
      </c>
      <c r="AS36" s="11">
        <f t="shared" si="65"/>
        <v>0</v>
      </c>
      <c r="AT36" s="11">
        <f t="shared" si="19"/>
        <v>0</v>
      </c>
      <c r="AU36" s="259"/>
      <c r="AV36" s="11">
        <f t="shared" si="20"/>
        <v>0</v>
      </c>
      <c r="AW36" s="9">
        <f t="shared" si="66"/>
        <v>0</v>
      </c>
      <c r="AX36" s="11">
        <f t="shared" si="21"/>
        <v>0</v>
      </c>
      <c r="AY36" s="103"/>
      <c r="AZ36" s="11">
        <f t="shared" si="22"/>
        <v>0</v>
      </c>
      <c r="BA36" s="11">
        <f t="shared" si="67"/>
        <v>0</v>
      </c>
      <c r="BB36" s="11">
        <f t="shared" si="23"/>
        <v>0</v>
      </c>
      <c r="BC36" s="103"/>
      <c r="BD36" s="11">
        <f t="shared" si="24"/>
        <v>0</v>
      </c>
      <c r="BE36" s="11">
        <f t="shared" si="68"/>
        <v>0</v>
      </c>
      <c r="BF36" s="11">
        <f t="shared" si="25"/>
        <v>0</v>
      </c>
      <c r="BG36" s="103"/>
      <c r="BH36" s="11">
        <f t="shared" si="26"/>
        <v>0</v>
      </c>
      <c r="BI36" s="11">
        <f t="shared" si="69"/>
        <v>0</v>
      </c>
      <c r="BJ36" s="11">
        <f t="shared" si="27"/>
        <v>0</v>
      </c>
      <c r="BK36" s="103"/>
      <c r="BL36" s="11"/>
      <c r="BM36" s="11"/>
      <c r="BN36" s="11"/>
      <c r="BO36" s="103"/>
      <c r="BP36" s="11"/>
      <c r="BQ36" s="11"/>
      <c r="BR36" s="11"/>
      <c r="BS36" s="103"/>
      <c r="BT36" s="11"/>
      <c r="BU36" s="11"/>
      <c r="BV36" s="11"/>
      <c r="BW36" s="11">
        <f t="shared" si="70"/>
        <v>3750</v>
      </c>
      <c r="BX36" s="11">
        <f t="shared" si="28"/>
        <v>9.0711068420494225</v>
      </c>
      <c r="BY36" s="11">
        <f t="shared" si="71"/>
        <v>37750</v>
      </c>
      <c r="BZ36" s="11">
        <f t="shared" si="29"/>
        <v>2.832472609906183</v>
      </c>
      <c r="CA36" s="11"/>
      <c r="CB36" s="11">
        <f t="shared" si="72"/>
        <v>0</v>
      </c>
      <c r="CC36" s="11">
        <f t="shared" si="101"/>
        <v>0</v>
      </c>
      <c r="CD36" s="11">
        <f t="shared" si="73"/>
        <v>0</v>
      </c>
      <c r="CE36" s="11"/>
      <c r="CF36" s="11">
        <f t="shared" si="102"/>
        <v>0</v>
      </c>
      <c r="CG36" s="11">
        <f t="shared" si="103"/>
        <v>0</v>
      </c>
      <c r="CH36" s="11">
        <f t="shared" si="104"/>
        <v>0</v>
      </c>
      <c r="CI36" s="11">
        <f t="shared" si="74"/>
        <v>0</v>
      </c>
      <c r="CJ36" s="11">
        <f t="shared" si="105"/>
        <v>0</v>
      </c>
      <c r="CK36" s="11">
        <f t="shared" si="106"/>
        <v>0</v>
      </c>
      <c r="CL36" s="11">
        <f t="shared" si="107"/>
        <v>0</v>
      </c>
      <c r="CM36" s="103">
        <v>2258.3684655213506</v>
      </c>
      <c r="CN36" s="11">
        <f t="shared" si="75"/>
        <v>5.4629071038558346</v>
      </c>
      <c r="CO36" s="11">
        <f t="shared" si="76"/>
        <v>2258.3684655213506</v>
      </c>
      <c r="CP36" s="11">
        <f t="shared" si="77"/>
        <v>0.16945077673284983</v>
      </c>
      <c r="CQ36" s="103">
        <v>15451.194349964257</v>
      </c>
      <c r="CR36" s="11">
        <f t="shared" si="30"/>
        <v>37.375849276212307</v>
      </c>
      <c r="CS36" s="11">
        <f t="shared" si="78"/>
        <v>522331.6421543514</v>
      </c>
      <c r="CT36" s="11">
        <f t="shared" si="31"/>
        <v>39.191789925550147</v>
      </c>
      <c r="CU36" s="103">
        <v>15006.364197664596</v>
      </c>
      <c r="CV36" s="11">
        <f t="shared" si="32"/>
        <v>36.299822119392218</v>
      </c>
      <c r="CW36" s="11">
        <f t="shared" si="79"/>
        <v>518212.99498935585</v>
      </c>
      <c r="CX36" s="11">
        <f t="shared" si="33"/>
        <v>38.882757997478159</v>
      </c>
      <c r="CY36" s="103">
        <v>1739.3999545050806</v>
      </c>
      <c r="CZ36" s="11">
        <f t="shared" si="34"/>
        <v>4.2075420875657317</v>
      </c>
      <c r="DA36" s="11">
        <f t="shared" si="80"/>
        <v>86487.713549345906</v>
      </c>
      <c r="DB36" s="11">
        <f t="shared" si="35"/>
        <v>6.4893795952830233</v>
      </c>
      <c r="DC36" s="103"/>
      <c r="DD36" s="11">
        <f t="shared" si="36"/>
        <v>0</v>
      </c>
      <c r="DE36" s="11">
        <f t="shared" si="81"/>
        <v>3100</v>
      </c>
      <c r="DF36" s="11">
        <f t="shared" si="37"/>
        <v>0.23260039975388519</v>
      </c>
      <c r="DG36" s="103">
        <v>387.80064559457531</v>
      </c>
      <c r="DH36" s="11">
        <f t="shared" si="38"/>
        <v>0.93807495722776946</v>
      </c>
      <c r="DI36" s="11">
        <f t="shared" si="82"/>
        <v>4936.711011149363</v>
      </c>
      <c r="DJ36" s="11">
        <f t="shared" si="39"/>
        <v>0.37041321118153187</v>
      </c>
      <c r="DK36" s="103">
        <v>2746.9212396282419</v>
      </c>
      <c r="DL36" s="11">
        <f t="shared" si="83"/>
        <v>6.6446976136967013</v>
      </c>
      <c r="DM36" s="11">
        <f t="shared" si="84"/>
        <v>81032.947776886285</v>
      </c>
      <c r="DN36" s="11">
        <f t="shared" si="85"/>
        <v>6.0800954987546625</v>
      </c>
      <c r="DO36" s="103"/>
      <c r="DP36" s="11">
        <f t="shared" si="86"/>
        <v>0</v>
      </c>
      <c r="DQ36" s="11">
        <f t="shared" si="87"/>
        <v>0</v>
      </c>
      <c r="DR36" s="11">
        <f t="shared" si="88"/>
        <v>0</v>
      </c>
      <c r="DS36" s="103"/>
      <c r="DT36" s="11">
        <f t="shared" si="108"/>
        <v>0</v>
      </c>
      <c r="DU36" s="11">
        <f t="shared" si="89"/>
        <v>0</v>
      </c>
      <c r="DV36" s="11">
        <f t="shared" si="109"/>
        <v>0</v>
      </c>
      <c r="DW36" s="11">
        <f t="shared" si="40"/>
        <v>37590.048852878106</v>
      </c>
      <c r="DX36" s="11">
        <f t="shared" si="41"/>
        <v>90.928893157950569</v>
      </c>
      <c r="DY36" s="11">
        <f t="shared" si="90"/>
        <v>1295007.8126607323</v>
      </c>
      <c r="DZ36" s="11">
        <f t="shared" si="42"/>
        <v>97.167527390093824</v>
      </c>
      <c r="EA36" s="103"/>
      <c r="EB36" s="11">
        <f t="shared" si="43"/>
        <v>0</v>
      </c>
      <c r="EC36" s="11">
        <f t="shared" si="91"/>
        <v>0</v>
      </c>
      <c r="ED36" s="11">
        <f t="shared" si="44"/>
        <v>0</v>
      </c>
      <c r="EE36" s="103"/>
      <c r="EF36" s="11">
        <f t="shared" si="45"/>
        <v>0</v>
      </c>
      <c r="EG36" s="11">
        <f t="shared" si="92"/>
        <v>0</v>
      </c>
      <c r="EH36" s="11">
        <f t="shared" si="46"/>
        <v>0</v>
      </c>
      <c r="EI36" s="103"/>
      <c r="EJ36" s="17">
        <f t="shared" si="47"/>
        <v>0</v>
      </c>
      <c r="EK36" s="11">
        <f t="shared" si="93"/>
        <v>0</v>
      </c>
      <c r="EL36" s="11">
        <f t="shared" si="48"/>
        <v>0</v>
      </c>
      <c r="EM36" s="11">
        <f t="shared" si="94"/>
        <v>0</v>
      </c>
      <c r="EN36" s="11">
        <f t="shared" si="49"/>
        <v>0</v>
      </c>
      <c r="EO36" s="11">
        <f t="shared" si="95"/>
        <v>0</v>
      </c>
      <c r="EP36" s="11">
        <f t="shared" si="50"/>
        <v>0</v>
      </c>
      <c r="EQ36" s="103"/>
      <c r="ER36" s="11">
        <f t="shared" si="51"/>
        <v>0</v>
      </c>
      <c r="ES36" s="11">
        <f t="shared" si="96"/>
        <v>0</v>
      </c>
      <c r="ET36" s="11">
        <f t="shared" si="52"/>
        <v>0</v>
      </c>
      <c r="EU36" s="11">
        <f t="shared" si="97"/>
        <v>41340.048852878106</v>
      </c>
      <c r="EV36" s="11">
        <f t="shared" si="98"/>
        <v>1332757.8126607323</v>
      </c>
      <c r="EW36" s="11">
        <f t="shared" si="53"/>
        <v>1.1895389995936496</v>
      </c>
      <c r="EX36" s="11">
        <f t="shared" si="54"/>
        <v>1.0966158461897668</v>
      </c>
      <c r="EY36" s="497">
        <f t="shared" si="99"/>
        <v>0.92452659840954465</v>
      </c>
      <c r="EZ36" s="498">
        <f t="shared" si="100"/>
        <v>0.93847850809715172</v>
      </c>
      <c r="FA36" s="7" t="s">
        <v>430</v>
      </c>
    </row>
    <row r="37" spans="1:157">
      <c r="A37" s="18">
        <f>+Chem!A36</f>
        <v>46050</v>
      </c>
      <c r="B37" s="6" t="str">
        <f>+Chem!B36</f>
        <v>Toilet</v>
      </c>
      <c r="C37" s="6" t="str">
        <f>+Chem!C36</f>
        <v>14</v>
      </c>
      <c r="D37" s="9">
        <f>+Chem!D36</f>
        <v>35.337000000000003</v>
      </c>
      <c r="E37" s="7">
        <f>+Chem!E36</f>
        <v>33.441000000000003</v>
      </c>
      <c r="F37" s="7">
        <f t="shared" si="55"/>
        <v>1248.7779999999998</v>
      </c>
      <c r="G37" s="103"/>
      <c r="H37" s="11">
        <f t="shared" si="0"/>
        <v>0</v>
      </c>
      <c r="I37" s="9">
        <f t="shared" si="56"/>
        <v>0</v>
      </c>
      <c r="J37" s="11">
        <f t="shared" si="1"/>
        <v>0</v>
      </c>
      <c r="K37" s="103"/>
      <c r="L37" s="11">
        <f t="shared" si="2"/>
        <v>0</v>
      </c>
      <c r="M37" s="11">
        <f t="shared" si="57"/>
        <v>0</v>
      </c>
      <c r="N37" s="11">
        <f t="shared" si="3"/>
        <v>0</v>
      </c>
      <c r="O37" s="103"/>
      <c r="P37" s="11">
        <f t="shared" si="4"/>
        <v>0</v>
      </c>
      <c r="Q37" s="11">
        <f t="shared" si="58"/>
        <v>0</v>
      </c>
      <c r="R37" s="11">
        <f t="shared" si="5"/>
        <v>0</v>
      </c>
      <c r="S37" s="103">
        <f>12*S7</f>
        <v>3000</v>
      </c>
      <c r="T37" s="11">
        <f t="shared" si="6"/>
        <v>6.6742883517488458</v>
      </c>
      <c r="U37" s="11">
        <f t="shared" si="59"/>
        <v>40750</v>
      </c>
      <c r="V37" s="11">
        <f t="shared" si="7"/>
        <v>2.957814470448652</v>
      </c>
      <c r="W37" s="103"/>
      <c r="X37" s="11">
        <f t="shared" si="8"/>
        <v>0</v>
      </c>
      <c r="Y37" s="11">
        <f t="shared" si="60"/>
        <v>0</v>
      </c>
      <c r="Z37" s="11">
        <f t="shared" si="9"/>
        <v>0</v>
      </c>
      <c r="AA37" s="103"/>
      <c r="AB37" s="11">
        <f t="shared" si="10"/>
        <v>0</v>
      </c>
      <c r="AC37" s="11">
        <f t="shared" si="61"/>
        <v>0</v>
      </c>
      <c r="AD37" s="11">
        <f t="shared" si="11"/>
        <v>0</v>
      </c>
      <c r="AE37" s="103"/>
      <c r="AF37" s="11">
        <f t="shared" si="12"/>
        <v>0</v>
      </c>
      <c r="AG37" s="11">
        <f t="shared" si="62"/>
        <v>0</v>
      </c>
      <c r="AH37" s="11">
        <f t="shared" si="13"/>
        <v>0</v>
      </c>
      <c r="AI37" s="103"/>
      <c r="AJ37" s="11">
        <f t="shared" si="14"/>
        <v>0</v>
      </c>
      <c r="AK37" s="11">
        <f t="shared" si="63"/>
        <v>0</v>
      </c>
      <c r="AL37" s="11">
        <f t="shared" si="15"/>
        <v>0</v>
      </c>
      <c r="AM37" s="103"/>
      <c r="AN37" s="11">
        <f t="shared" si="16"/>
        <v>0</v>
      </c>
      <c r="AO37" s="11">
        <f t="shared" si="64"/>
        <v>0</v>
      </c>
      <c r="AP37" s="11">
        <f t="shared" si="17"/>
        <v>0</v>
      </c>
      <c r="AQ37" s="103"/>
      <c r="AR37" s="11">
        <f t="shared" si="18"/>
        <v>0</v>
      </c>
      <c r="AS37" s="11">
        <f t="shared" si="65"/>
        <v>0</v>
      </c>
      <c r="AT37" s="11">
        <f t="shared" si="19"/>
        <v>0</v>
      </c>
      <c r="AU37" s="259"/>
      <c r="AV37" s="11">
        <f t="shared" si="20"/>
        <v>0</v>
      </c>
      <c r="AW37" s="9">
        <f t="shared" si="66"/>
        <v>0</v>
      </c>
      <c r="AX37" s="11">
        <f t="shared" si="21"/>
        <v>0</v>
      </c>
      <c r="AY37" s="103"/>
      <c r="AZ37" s="11">
        <f t="shared" si="22"/>
        <v>0</v>
      </c>
      <c r="BA37" s="11">
        <f t="shared" si="67"/>
        <v>0</v>
      </c>
      <c r="BB37" s="11">
        <f t="shared" si="23"/>
        <v>0</v>
      </c>
      <c r="BC37" s="103"/>
      <c r="BD37" s="11">
        <f t="shared" si="24"/>
        <v>0</v>
      </c>
      <c r="BE37" s="11">
        <f t="shared" si="68"/>
        <v>0</v>
      </c>
      <c r="BF37" s="11">
        <f t="shared" si="25"/>
        <v>0</v>
      </c>
      <c r="BG37" s="103"/>
      <c r="BH37" s="11">
        <f t="shared" si="26"/>
        <v>0</v>
      </c>
      <c r="BI37" s="11">
        <f t="shared" si="69"/>
        <v>0</v>
      </c>
      <c r="BJ37" s="11">
        <f t="shared" si="27"/>
        <v>0</v>
      </c>
      <c r="BK37" s="103"/>
      <c r="BL37" s="11"/>
      <c r="BM37" s="11"/>
      <c r="BN37" s="11"/>
      <c r="BO37" s="103"/>
      <c r="BP37" s="11"/>
      <c r="BQ37" s="11"/>
      <c r="BR37" s="11"/>
      <c r="BS37" s="103"/>
      <c r="BT37" s="11"/>
      <c r="BU37" s="11"/>
      <c r="BV37" s="11"/>
      <c r="BW37" s="11">
        <f t="shared" si="70"/>
        <v>3000</v>
      </c>
      <c r="BX37" s="11">
        <f t="shared" si="28"/>
        <v>6.6742883517488458</v>
      </c>
      <c r="BY37" s="11">
        <f t="shared" si="71"/>
        <v>40750</v>
      </c>
      <c r="BZ37" s="11">
        <f t="shared" si="29"/>
        <v>2.957814470448652</v>
      </c>
      <c r="CA37" s="11"/>
      <c r="CB37" s="11">
        <f t="shared" si="72"/>
        <v>0</v>
      </c>
      <c r="CC37" s="11">
        <f t="shared" si="101"/>
        <v>0</v>
      </c>
      <c r="CD37" s="11">
        <f t="shared" si="73"/>
        <v>0</v>
      </c>
      <c r="CE37" s="11"/>
      <c r="CF37" s="11">
        <f t="shared" si="102"/>
        <v>0</v>
      </c>
      <c r="CG37" s="11">
        <f t="shared" si="103"/>
        <v>0</v>
      </c>
      <c r="CH37" s="11">
        <f t="shared" si="104"/>
        <v>0</v>
      </c>
      <c r="CI37" s="11">
        <f t="shared" si="74"/>
        <v>0</v>
      </c>
      <c r="CJ37" s="11">
        <f t="shared" si="105"/>
        <v>0</v>
      </c>
      <c r="CK37" s="11">
        <f t="shared" si="106"/>
        <v>0</v>
      </c>
      <c r="CL37" s="11">
        <f t="shared" si="107"/>
        <v>0</v>
      </c>
      <c r="CM37" s="103">
        <v>2496.5575714009829</v>
      </c>
      <c r="CN37" s="11">
        <f t="shared" si="75"/>
        <v>5.5542483727573222</v>
      </c>
      <c r="CO37" s="11">
        <f t="shared" si="76"/>
        <v>2496.5575714009829</v>
      </c>
      <c r="CP37" s="11">
        <f t="shared" si="77"/>
        <v>0.18121114382817105</v>
      </c>
      <c r="CQ37" s="103">
        <v>17068.340450185613</v>
      </c>
      <c r="CR37" s="11">
        <f t="shared" si="30"/>
        <v>37.973008616785826</v>
      </c>
      <c r="CS37" s="11">
        <f t="shared" si="78"/>
        <v>539399.98260453704</v>
      </c>
      <c r="CT37" s="11">
        <f t="shared" si="31"/>
        <v>39.152026353557076</v>
      </c>
      <c r="CU37" s="103">
        <v>16592.53486899985</v>
      </c>
      <c r="CV37" s="11">
        <f t="shared" si="32"/>
        <v>36.914454067384085</v>
      </c>
      <c r="CW37" s="11">
        <f t="shared" si="79"/>
        <v>534805.52985835564</v>
      </c>
      <c r="CX37" s="11">
        <f t="shared" si="33"/>
        <v>38.818540738429519</v>
      </c>
      <c r="CY37" s="103">
        <v>1998.0043130270585</v>
      </c>
      <c r="CZ37" s="11">
        <f t="shared" si="34"/>
        <v>4.4450856377268169</v>
      </c>
      <c r="DA37" s="11">
        <f t="shared" si="80"/>
        <v>88485.717862372971</v>
      </c>
      <c r="DB37" s="11">
        <f t="shared" si="35"/>
        <v>6.4226831097267123</v>
      </c>
      <c r="DC37" s="103"/>
      <c r="DD37" s="11">
        <f t="shared" si="36"/>
        <v>0</v>
      </c>
      <c r="DE37" s="11">
        <f t="shared" si="81"/>
        <v>3100</v>
      </c>
      <c r="DF37" s="11">
        <f t="shared" si="37"/>
        <v>0.22501165296664591</v>
      </c>
      <c r="DG37" s="103">
        <v>553.52681157865379</v>
      </c>
      <c r="DH37" s="11">
        <f t="shared" si="38"/>
        <v>1.2314658503000291</v>
      </c>
      <c r="DI37" s="11">
        <f t="shared" si="82"/>
        <v>5490.2378227280169</v>
      </c>
      <c r="DJ37" s="11">
        <f t="shared" si="39"/>
        <v>0.39850564118452581</v>
      </c>
      <c r="DK37" s="103">
        <v>3239.6483595476689</v>
      </c>
      <c r="DL37" s="11">
        <f t="shared" si="83"/>
        <v>7.2074491032970869</v>
      </c>
      <c r="DM37" s="11">
        <f t="shared" si="84"/>
        <v>84272.59613643396</v>
      </c>
      <c r="DN37" s="11">
        <f t="shared" si="85"/>
        <v>6.1168761794998652</v>
      </c>
      <c r="DO37" s="103"/>
      <c r="DP37" s="11">
        <f t="shared" si="86"/>
        <v>0</v>
      </c>
      <c r="DQ37" s="11">
        <f t="shared" si="87"/>
        <v>0</v>
      </c>
      <c r="DR37" s="11">
        <f t="shared" si="88"/>
        <v>0</v>
      </c>
      <c r="DS37" s="103"/>
      <c r="DT37" s="11">
        <f t="shared" si="108"/>
        <v>0</v>
      </c>
      <c r="DU37" s="11">
        <f t="shared" si="89"/>
        <v>0</v>
      </c>
      <c r="DV37" s="11">
        <f t="shared" si="109"/>
        <v>0</v>
      </c>
      <c r="DW37" s="11">
        <f t="shared" si="40"/>
        <v>41948.612374739823</v>
      </c>
      <c r="DX37" s="11">
        <f t="shared" si="41"/>
        <v>93.325711648251158</v>
      </c>
      <c r="DY37" s="11">
        <f t="shared" si="90"/>
        <v>1336956.425035472</v>
      </c>
      <c r="DZ37" s="11">
        <f t="shared" si="42"/>
        <v>97.042185529551347</v>
      </c>
      <c r="EA37" s="103"/>
      <c r="EB37" s="11">
        <f t="shared" si="43"/>
        <v>0</v>
      </c>
      <c r="EC37" s="11">
        <f t="shared" si="91"/>
        <v>0</v>
      </c>
      <c r="ED37" s="11">
        <f t="shared" si="44"/>
        <v>0</v>
      </c>
      <c r="EE37" s="103"/>
      <c r="EF37" s="11">
        <f t="shared" si="45"/>
        <v>0</v>
      </c>
      <c r="EG37" s="11">
        <f t="shared" si="92"/>
        <v>0</v>
      </c>
      <c r="EH37" s="11">
        <f t="shared" si="46"/>
        <v>0</v>
      </c>
      <c r="EI37" s="103"/>
      <c r="EJ37" s="17">
        <f t="shared" si="47"/>
        <v>0</v>
      </c>
      <c r="EK37" s="11">
        <f t="shared" si="93"/>
        <v>0</v>
      </c>
      <c r="EL37" s="11">
        <f t="shared" si="48"/>
        <v>0</v>
      </c>
      <c r="EM37" s="11">
        <f t="shared" si="94"/>
        <v>0</v>
      </c>
      <c r="EN37" s="11">
        <f t="shared" si="49"/>
        <v>0</v>
      </c>
      <c r="EO37" s="11">
        <f t="shared" si="95"/>
        <v>0</v>
      </c>
      <c r="EP37" s="11">
        <f t="shared" si="50"/>
        <v>0</v>
      </c>
      <c r="EQ37" s="103"/>
      <c r="ER37" s="11">
        <f t="shared" si="51"/>
        <v>0</v>
      </c>
      <c r="ES37" s="11">
        <f t="shared" si="96"/>
        <v>0</v>
      </c>
      <c r="ET37" s="11">
        <f t="shared" si="52"/>
        <v>0</v>
      </c>
      <c r="EU37" s="11">
        <f t="shared" si="97"/>
        <v>44948.612374739823</v>
      </c>
      <c r="EV37" s="11">
        <f t="shared" si="98"/>
        <v>1377706.425035472</v>
      </c>
      <c r="EW37" s="11">
        <f t="shared" si="53"/>
        <v>1.3441168737400144</v>
      </c>
      <c r="EX37" s="11">
        <f t="shared" si="54"/>
        <v>1.1032436710411877</v>
      </c>
      <c r="EY37" s="497">
        <f t="shared" si="99"/>
        <v>0.79718965913011108</v>
      </c>
      <c r="EZ37" s="498">
        <f t="shared" si="100"/>
        <v>0.93404540089395005</v>
      </c>
      <c r="FA37" s="7" t="s">
        <v>430</v>
      </c>
    </row>
    <row r="38" spans="1:157">
      <c r="A38" s="18">
        <f>+Chem!A37</f>
        <v>46051</v>
      </c>
      <c r="B38" s="6" t="str">
        <f>+Chem!B37</f>
        <v>Toilet</v>
      </c>
      <c r="C38" s="6" t="str">
        <f>+Chem!C37</f>
        <v>14</v>
      </c>
      <c r="D38" s="9">
        <f>+Chem!D37</f>
        <v>35.326000000000001</v>
      </c>
      <c r="E38" s="7">
        <f>+Chem!E37</f>
        <v>35.091999999999999</v>
      </c>
      <c r="F38" s="7">
        <f t="shared" si="55"/>
        <v>1283.8699999999999</v>
      </c>
      <c r="G38" s="103"/>
      <c r="H38" s="11">
        <f t="shared" si="0"/>
        <v>0</v>
      </c>
      <c r="I38" s="9">
        <f t="shared" si="56"/>
        <v>0</v>
      </c>
      <c r="J38" s="11">
        <f t="shared" si="1"/>
        <v>0</v>
      </c>
      <c r="K38" s="103">
        <f>5*K7</f>
        <v>1250</v>
      </c>
      <c r="L38" s="11">
        <f t="shared" si="2"/>
        <v>2.8681155263951776</v>
      </c>
      <c r="M38" s="11">
        <f t="shared" si="57"/>
        <v>1250</v>
      </c>
      <c r="N38" s="11">
        <f t="shared" si="3"/>
        <v>8.7948331201506191E-2</v>
      </c>
      <c r="O38" s="103"/>
      <c r="P38" s="11">
        <f t="shared" si="4"/>
        <v>0</v>
      </c>
      <c r="Q38" s="11">
        <f t="shared" si="58"/>
        <v>0</v>
      </c>
      <c r="R38" s="11">
        <f t="shared" si="5"/>
        <v>0</v>
      </c>
      <c r="S38" s="103">
        <f>8*S7</f>
        <v>2000</v>
      </c>
      <c r="T38" s="11">
        <f t="shared" si="6"/>
        <v>4.5889848422322848</v>
      </c>
      <c r="U38" s="11">
        <f t="shared" si="59"/>
        <v>42750</v>
      </c>
      <c r="V38" s="11">
        <f t="shared" si="7"/>
        <v>3.0078329270915116</v>
      </c>
      <c r="W38" s="103"/>
      <c r="X38" s="11">
        <f t="shared" si="8"/>
        <v>0</v>
      </c>
      <c r="Y38" s="11">
        <f t="shared" si="60"/>
        <v>0</v>
      </c>
      <c r="Z38" s="11">
        <f t="shared" si="9"/>
        <v>0</v>
      </c>
      <c r="AA38" s="103"/>
      <c r="AB38" s="11">
        <f t="shared" si="10"/>
        <v>0</v>
      </c>
      <c r="AC38" s="11">
        <f t="shared" si="61"/>
        <v>0</v>
      </c>
      <c r="AD38" s="11">
        <f t="shared" si="11"/>
        <v>0</v>
      </c>
      <c r="AE38" s="103"/>
      <c r="AF38" s="11">
        <f t="shared" si="12"/>
        <v>0</v>
      </c>
      <c r="AG38" s="11">
        <f t="shared" si="62"/>
        <v>0</v>
      </c>
      <c r="AH38" s="11">
        <f t="shared" si="13"/>
        <v>0</v>
      </c>
      <c r="AI38" s="103"/>
      <c r="AJ38" s="11">
        <f t="shared" si="14"/>
        <v>0</v>
      </c>
      <c r="AK38" s="11">
        <f t="shared" si="63"/>
        <v>0</v>
      </c>
      <c r="AL38" s="11">
        <f t="shared" si="15"/>
        <v>0</v>
      </c>
      <c r="AM38" s="103"/>
      <c r="AN38" s="11">
        <f t="shared" si="16"/>
        <v>0</v>
      </c>
      <c r="AO38" s="11">
        <f t="shared" si="64"/>
        <v>0</v>
      </c>
      <c r="AP38" s="11">
        <f t="shared" si="17"/>
        <v>0</v>
      </c>
      <c r="AQ38" s="103"/>
      <c r="AR38" s="11">
        <f t="shared" si="18"/>
        <v>0</v>
      </c>
      <c r="AS38" s="11">
        <f t="shared" si="65"/>
        <v>0</v>
      </c>
      <c r="AT38" s="11">
        <f t="shared" si="19"/>
        <v>0</v>
      </c>
      <c r="AU38" s="259"/>
      <c r="AV38" s="11">
        <f t="shared" si="20"/>
        <v>0</v>
      </c>
      <c r="AW38" s="9">
        <f t="shared" si="66"/>
        <v>0</v>
      </c>
      <c r="AX38" s="11">
        <f t="shared" si="21"/>
        <v>0</v>
      </c>
      <c r="AY38" s="103"/>
      <c r="AZ38" s="11">
        <f t="shared" si="22"/>
        <v>0</v>
      </c>
      <c r="BA38" s="11">
        <f t="shared" si="67"/>
        <v>0</v>
      </c>
      <c r="BB38" s="11">
        <f t="shared" si="23"/>
        <v>0</v>
      </c>
      <c r="BC38" s="103"/>
      <c r="BD38" s="11">
        <f t="shared" si="24"/>
        <v>0</v>
      </c>
      <c r="BE38" s="11">
        <f t="shared" si="68"/>
        <v>0</v>
      </c>
      <c r="BF38" s="11">
        <f t="shared" si="25"/>
        <v>0</v>
      </c>
      <c r="BG38" s="103"/>
      <c r="BH38" s="11">
        <f t="shared" si="26"/>
        <v>0</v>
      </c>
      <c r="BI38" s="11">
        <f t="shared" si="69"/>
        <v>0</v>
      </c>
      <c r="BJ38" s="11">
        <f t="shared" si="27"/>
        <v>0</v>
      </c>
      <c r="BK38" s="103"/>
      <c r="BL38" s="11"/>
      <c r="BM38" s="11"/>
      <c r="BN38" s="11"/>
      <c r="BO38" s="103"/>
      <c r="BP38" s="11"/>
      <c r="BQ38" s="11"/>
      <c r="BR38" s="11"/>
      <c r="BS38" s="103"/>
      <c r="BT38" s="11"/>
      <c r="BU38" s="11"/>
      <c r="BV38" s="11"/>
      <c r="BW38" s="11">
        <f t="shared" si="70"/>
        <v>3250</v>
      </c>
      <c r="BX38" s="11">
        <f t="shared" si="28"/>
        <v>7.4571003686274615</v>
      </c>
      <c r="BY38" s="11">
        <f t="shared" si="71"/>
        <v>44000</v>
      </c>
      <c r="BZ38" s="11">
        <f t="shared" si="29"/>
        <v>3.0957812582930182</v>
      </c>
      <c r="CA38" s="11"/>
      <c r="CB38" s="11">
        <f t="shared" si="72"/>
        <v>0</v>
      </c>
      <c r="CC38" s="11">
        <f t="shared" si="101"/>
        <v>0</v>
      </c>
      <c r="CD38" s="11">
        <f t="shared" si="73"/>
        <v>0</v>
      </c>
      <c r="CE38" s="11"/>
      <c r="CF38" s="11">
        <f t="shared" si="102"/>
        <v>0</v>
      </c>
      <c r="CG38" s="11">
        <f t="shared" si="103"/>
        <v>0</v>
      </c>
      <c r="CH38" s="11">
        <f t="shared" si="104"/>
        <v>0</v>
      </c>
      <c r="CI38" s="11">
        <f t="shared" si="74"/>
        <v>0</v>
      </c>
      <c r="CJ38" s="11">
        <f t="shared" si="105"/>
        <v>0</v>
      </c>
      <c r="CK38" s="11">
        <f t="shared" si="106"/>
        <v>0</v>
      </c>
      <c r="CL38" s="11">
        <f t="shared" si="107"/>
        <v>0</v>
      </c>
      <c r="CM38" s="103">
        <v>2436.7507336459221</v>
      </c>
      <c r="CN38" s="11">
        <f t="shared" si="75"/>
        <v>5.5911060904997676</v>
      </c>
      <c r="CO38" s="11">
        <f t="shared" si="76"/>
        <v>2436.7507336459221</v>
      </c>
      <c r="CP38" s="11">
        <f t="shared" si="77"/>
        <v>0.17144652846256381</v>
      </c>
      <c r="CQ38" s="103">
        <v>16638.378832014034</v>
      </c>
      <c r="CR38" s="11">
        <f t="shared" si="30"/>
        <v>38.176634129715453</v>
      </c>
      <c r="CS38" s="11">
        <f t="shared" si="78"/>
        <v>556038.36143655109</v>
      </c>
      <c r="CT38" s="11">
        <f t="shared" si="31"/>
        <v>39.122116777891684</v>
      </c>
      <c r="CU38" s="103">
        <v>16301.747647460121</v>
      </c>
      <c r="CV38" s="11">
        <f t="shared" si="32"/>
        <v>37.404236428045145</v>
      </c>
      <c r="CW38" s="11">
        <f t="shared" si="79"/>
        <v>551107.27750581573</v>
      </c>
      <c r="CX38" s="11">
        <f t="shared" si="33"/>
        <v>38.775172295713496</v>
      </c>
      <c r="CY38" s="103">
        <v>1681.2432455845883</v>
      </c>
      <c r="CZ38" s="11">
        <f t="shared" si="34"/>
        <v>3.8575998850465427</v>
      </c>
      <c r="DA38" s="11">
        <f t="shared" si="80"/>
        <v>90166.961107957555</v>
      </c>
      <c r="DB38" s="11">
        <f t="shared" si="35"/>
        <v>6.3440270071647831</v>
      </c>
      <c r="DC38" s="103"/>
      <c r="DD38" s="11">
        <f t="shared" si="36"/>
        <v>0</v>
      </c>
      <c r="DE38" s="11">
        <f t="shared" si="81"/>
        <v>3100</v>
      </c>
      <c r="DF38" s="11">
        <f t="shared" si="37"/>
        <v>0.21811186137973537</v>
      </c>
      <c r="DG38" s="103">
        <v>390.18614573294201</v>
      </c>
      <c r="DH38" s="11">
        <f t="shared" si="38"/>
        <v>0.89527915420875392</v>
      </c>
      <c r="DI38" s="11">
        <f t="shared" si="82"/>
        <v>5880.4239684609593</v>
      </c>
      <c r="DJ38" s="11">
        <f t="shared" si="39"/>
        <v>0.41373877982678392</v>
      </c>
      <c r="DK38" s="103">
        <v>2884.3171949278262</v>
      </c>
      <c r="DL38" s="11">
        <f t="shared" si="83"/>
        <v>6.6180439438568675</v>
      </c>
      <c r="DM38" s="11">
        <f t="shared" si="84"/>
        <v>87156.913331361793</v>
      </c>
      <c r="DN38" s="11">
        <f t="shared" si="85"/>
        <v>6.1322440641340616</v>
      </c>
      <c r="DO38" s="103"/>
      <c r="DP38" s="11">
        <f t="shared" si="86"/>
        <v>0</v>
      </c>
      <c r="DQ38" s="11">
        <f t="shared" si="87"/>
        <v>0</v>
      </c>
      <c r="DR38" s="11">
        <f t="shared" si="88"/>
        <v>0</v>
      </c>
      <c r="DS38" s="103"/>
      <c r="DT38" s="11">
        <f t="shared" si="108"/>
        <v>0</v>
      </c>
      <c r="DU38" s="11">
        <f t="shared" si="89"/>
        <v>0</v>
      </c>
      <c r="DV38" s="11">
        <f t="shared" si="109"/>
        <v>0</v>
      </c>
      <c r="DW38" s="11">
        <f t="shared" si="40"/>
        <v>40332.623799365436</v>
      </c>
      <c r="DX38" s="11">
        <f t="shared" si="41"/>
        <v>92.542899631372535</v>
      </c>
      <c r="DY38" s="11">
        <f t="shared" si="90"/>
        <v>1377289.0488348375</v>
      </c>
      <c r="DZ38" s="11">
        <f t="shared" si="42"/>
        <v>96.904218741706984</v>
      </c>
      <c r="EA38" s="103"/>
      <c r="EB38" s="11">
        <f t="shared" si="43"/>
        <v>0</v>
      </c>
      <c r="EC38" s="11">
        <f t="shared" si="91"/>
        <v>0</v>
      </c>
      <c r="ED38" s="11">
        <f t="shared" si="44"/>
        <v>0</v>
      </c>
      <c r="EE38" s="103"/>
      <c r="EF38" s="11">
        <f t="shared" si="45"/>
        <v>0</v>
      </c>
      <c r="EG38" s="11">
        <f t="shared" si="92"/>
        <v>0</v>
      </c>
      <c r="EH38" s="11">
        <f t="shared" si="46"/>
        <v>0</v>
      </c>
      <c r="EI38" s="103"/>
      <c r="EJ38" s="17">
        <f t="shared" si="47"/>
        <v>0</v>
      </c>
      <c r="EK38" s="11">
        <f t="shared" si="93"/>
        <v>0</v>
      </c>
      <c r="EL38" s="11">
        <f t="shared" si="48"/>
        <v>0</v>
      </c>
      <c r="EM38" s="11">
        <f t="shared" si="94"/>
        <v>0</v>
      </c>
      <c r="EN38" s="11">
        <f t="shared" si="49"/>
        <v>0</v>
      </c>
      <c r="EO38" s="11">
        <f t="shared" si="95"/>
        <v>0</v>
      </c>
      <c r="EP38" s="11">
        <f t="shared" si="50"/>
        <v>0</v>
      </c>
      <c r="EQ38" s="103"/>
      <c r="ER38" s="11">
        <f t="shared" si="51"/>
        <v>0</v>
      </c>
      <c r="ES38" s="11">
        <f t="shared" si="96"/>
        <v>0</v>
      </c>
      <c r="ET38" s="11">
        <f t="shared" si="52"/>
        <v>0</v>
      </c>
      <c r="EU38" s="11">
        <f t="shared" si="97"/>
        <v>43582.623799365436</v>
      </c>
      <c r="EV38" s="11">
        <f t="shared" si="98"/>
        <v>1421289.0488348375</v>
      </c>
      <c r="EW38" s="11">
        <f t="shared" si="53"/>
        <v>1.2419532599841969</v>
      </c>
      <c r="EX38" s="11">
        <f t="shared" si="54"/>
        <v>1.1070350182143345</v>
      </c>
      <c r="EY38" s="497">
        <f t="shared" si="99"/>
        <v>0.87006489274204157</v>
      </c>
      <c r="EZ38" s="498">
        <f t="shared" si="100"/>
        <v>0.93217179145229656</v>
      </c>
      <c r="FA38" s="7" t="s">
        <v>430</v>
      </c>
    </row>
    <row r="39" spans="1:157">
      <c r="A39" s="18">
        <f>+Chem!A38</f>
        <v>46052</v>
      </c>
      <c r="B39" s="6" t="str">
        <f>+Chem!B38</f>
        <v>Toilet</v>
      </c>
      <c r="C39" s="6" t="str">
        <f>+Chem!C38</f>
        <v>14/15</v>
      </c>
      <c r="D39" s="9">
        <f>+Chem!D38</f>
        <v>47.183</v>
      </c>
      <c r="E39" s="7">
        <f>+Chem!E38</f>
        <v>45.441000000000003</v>
      </c>
      <c r="F39" s="7">
        <f t="shared" si="55"/>
        <v>1329.3109999999999</v>
      </c>
      <c r="G39" s="103"/>
      <c r="H39" s="11">
        <f t="shared" si="0"/>
        <v>0</v>
      </c>
      <c r="I39" s="9">
        <f t="shared" si="56"/>
        <v>0</v>
      </c>
      <c r="J39" s="11">
        <f t="shared" si="1"/>
        <v>0</v>
      </c>
      <c r="K39" s="103"/>
      <c r="L39" s="11">
        <f t="shared" si="2"/>
        <v>0</v>
      </c>
      <c r="M39" s="11">
        <f t="shared" si="57"/>
        <v>1250</v>
      </c>
      <c r="N39" s="11">
        <f t="shared" si="3"/>
        <v>8.4758405214297131E-2</v>
      </c>
      <c r="O39" s="103"/>
      <c r="P39" s="11">
        <f t="shared" si="4"/>
        <v>0</v>
      </c>
      <c r="Q39" s="11">
        <f t="shared" si="58"/>
        <v>0</v>
      </c>
      <c r="R39" s="11">
        <f t="shared" si="5"/>
        <v>0</v>
      </c>
      <c r="S39" s="103"/>
      <c r="T39" s="11">
        <f t="shared" si="6"/>
        <v>0</v>
      </c>
      <c r="U39" s="11">
        <f t="shared" si="59"/>
        <v>42750</v>
      </c>
      <c r="V39" s="11">
        <f t="shared" si="7"/>
        <v>2.898737458328962</v>
      </c>
      <c r="W39" s="103"/>
      <c r="X39" s="11">
        <f t="shared" si="8"/>
        <v>0</v>
      </c>
      <c r="Y39" s="11">
        <f t="shared" si="60"/>
        <v>0</v>
      </c>
      <c r="Z39" s="11">
        <f t="shared" si="9"/>
        <v>0</v>
      </c>
      <c r="AA39" s="103"/>
      <c r="AB39" s="11">
        <f t="shared" si="10"/>
        <v>0</v>
      </c>
      <c r="AC39" s="11">
        <f t="shared" si="61"/>
        <v>0</v>
      </c>
      <c r="AD39" s="11">
        <f t="shared" si="11"/>
        <v>0</v>
      </c>
      <c r="AE39" s="103"/>
      <c r="AF39" s="11">
        <f t="shared" si="12"/>
        <v>0</v>
      </c>
      <c r="AG39" s="11">
        <f t="shared" si="62"/>
        <v>0</v>
      </c>
      <c r="AH39" s="11">
        <f t="shared" si="13"/>
        <v>0</v>
      </c>
      <c r="AI39" s="103"/>
      <c r="AJ39" s="11">
        <f t="shared" si="14"/>
        <v>0</v>
      </c>
      <c r="AK39" s="11">
        <f t="shared" si="63"/>
        <v>0</v>
      </c>
      <c r="AL39" s="11">
        <f t="shared" si="15"/>
        <v>0</v>
      </c>
      <c r="AM39" s="103"/>
      <c r="AN39" s="11">
        <f t="shared" si="16"/>
        <v>0</v>
      </c>
      <c r="AO39" s="11">
        <f t="shared" si="64"/>
        <v>0</v>
      </c>
      <c r="AP39" s="11">
        <f t="shared" si="17"/>
        <v>0</v>
      </c>
      <c r="AQ39" s="103"/>
      <c r="AR39" s="11">
        <f t="shared" si="18"/>
        <v>0</v>
      </c>
      <c r="AS39" s="11">
        <f t="shared" si="65"/>
        <v>0</v>
      </c>
      <c r="AT39" s="11">
        <f t="shared" si="19"/>
        <v>0</v>
      </c>
      <c r="AU39" s="259"/>
      <c r="AV39" s="11">
        <f t="shared" si="20"/>
        <v>0</v>
      </c>
      <c r="AW39" s="9">
        <f t="shared" si="66"/>
        <v>0</v>
      </c>
      <c r="AX39" s="11">
        <f t="shared" si="21"/>
        <v>0</v>
      </c>
      <c r="AY39" s="103"/>
      <c r="AZ39" s="11">
        <f t="shared" si="22"/>
        <v>0</v>
      </c>
      <c r="BA39" s="11">
        <f t="shared" si="67"/>
        <v>0</v>
      </c>
      <c r="BB39" s="11">
        <f t="shared" si="23"/>
        <v>0</v>
      </c>
      <c r="BC39" s="103"/>
      <c r="BD39" s="11">
        <f t="shared" si="24"/>
        <v>0</v>
      </c>
      <c r="BE39" s="11">
        <f t="shared" si="68"/>
        <v>0</v>
      </c>
      <c r="BF39" s="11">
        <f t="shared" si="25"/>
        <v>0</v>
      </c>
      <c r="BG39" s="103"/>
      <c r="BH39" s="11">
        <f t="shared" si="26"/>
        <v>0</v>
      </c>
      <c r="BI39" s="11">
        <f t="shared" si="69"/>
        <v>0</v>
      </c>
      <c r="BJ39" s="11">
        <f t="shared" si="27"/>
        <v>0</v>
      </c>
      <c r="BK39" s="103"/>
      <c r="BL39" s="11"/>
      <c r="BM39" s="11"/>
      <c r="BN39" s="11"/>
      <c r="BO39" s="103"/>
      <c r="BP39" s="11"/>
      <c r="BQ39" s="11"/>
      <c r="BR39" s="11"/>
      <c r="BS39" s="103"/>
      <c r="BT39" s="11"/>
      <c r="BU39" s="11"/>
      <c r="BV39" s="11"/>
      <c r="BW39" s="11">
        <f t="shared" si="70"/>
        <v>0</v>
      </c>
      <c r="BX39" s="11">
        <f t="shared" si="28"/>
        <v>0</v>
      </c>
      <c r="BY39" s="11">
        <f t="shared" si="71"/>
        <v>44000</v>
      </c>
      <c r="BZ39" s="11">
        <f t="shared" si="29"/>
        <v>2.9834958635432596</v>
      </c>
      <c r="CA39" s="11"/>
      <c r="CB39" s="11">
        <f t="shared" si="72"/>
        <v>0</v>
      </c>
      <c r="CC39" s="11">
        <f t="shared" si="101"/>
        <v>0</v>
      </c>
      <c r="CD39" s="11">
        <f t="shared" si="73"/>
        <v>0</v>
      </c>
      <c r="CE39" s="11"/>
      <c r="CF39" s="11">
        <f t="shared" si="102"/>
        <v>0</v>
      </c>
      <c r="CG39" s="11">
        <f t="shared" si="103"/>
        <v>0</v>
      </c>
      <c r="CH39" s="11">
        <f t="shared" si="104"/>
        <v>0</v>
      </c>
      <c r="CI39" s="11">
        <f t="shared" si="74"/>
        <v>0</v>
      </c>
      <c r="CJ39" s="11">
        <f t="shared" si="105"/>
        <v>0</v>
      </c>
      <c r="CK39" s="11">
        <f t="shared" si="106"/>
        <v>0</v>
      </c>
      <c r="CL39" s="11">
        <f t="shared" si="107"/>
        <v>0</v>
      </c>
      <c r="CM39" s="103">
        <v>3258.1257703420824</v>
      </c>
      <c r="CN39" s="11">
        <f t="shared" si="75"/>
        <v>6.0909860535579012</v>
      </c>
      <c r="CO39" s="11">
        <f t="shared" si="76"/>
        <v>3258.1257703420824</v>
      </c>
      <c r="CP39" s="11">
        <f t="shared" si="77"/>
        <v>0.22092283542543859</v>
      </c>
      <c r="CQ39" s="103">
        <v>22163.358843021964</v>
      </c>
      <c r="CR39" s="11">
        <f t="shared" si="30"/>
        <v>41.433854654012379</v>
      </c>
      <c r="CS39" s="11">
        <f t="shared" si="78"/>
        <v>578201.720279573</v>
      </c>
      <c r="CT39" s="11">
        <f t="shared" si="31"/>
        <v>39.205964562447789</v>
      </c>
      <c r="CU39" s="103">
        <v>21655.691842961347</v>
      </c>
      <c r="CV39" s="11">
        <f t="shared" si="32"/>
        <v>40.484783674196848</v>
      </c>
      <c r="CW39" s="11">
        <f t="shared" si="79"/>
        <v>572762.96934877709</v>
      </c>
      <c r="CX39" s="11">
        <f t="shared" si="33"/>
        <v>38.837180678246156</v>
      </c>
      <c r="CY39" s="103">
        <v>2190.3566810127095</v>
      </c>
      <c r="CZ39" s="11">
        <f t="shared" si="34"/>
        <v>4.0948179833355605</v>
      </c>
      <c r="DA39" s="11">
        <f t="shared" si="80"/>
        <v>92357.317788970264</v>
      </c>
      <c r="DB39" s="11">
        <f t="shared" si="35"/>
        <v>6.2624471725305231</v>
      </c>
      <c r="DC39" s="103"/>
      <c r="DD39" s="11">
        <f t="shared" si="36"/>
        <v>0</v>
      </c>
      <c r="DE39" s="11">
        <f t="shared" si="81"/>
        <v>3100</v>
      </c>
      <c r="DF39" s="11">
        <f t="shared" si="37"/>
        <v>0.21020084493145688</v>
      </c>
      <c r="DG39" s="103"/>
      <c r="DH39" s="11">
        <f t="shared" si="38"/>
        <v>0</v>
      </c>
      <c r="DI39" s="11">
        <f t="shared" si="82"/>
        <v>5880.4239684609593</v>
      </c>
      <c r="DJ39" s="11">
        <f t="shared" si="39"/>
        <v>0.39873228604054339</v>
      </c>
      <c r="DK39" s="103">
        <v>4223.408094401002</v>
      </c>
      <c r="DL39" s="11">
        <f t="shared" si="83"/>
        <v>7.8955576348972949</v>
      </c>
      <c r="DM39" s="11">
        <f t="shared" si="84"/>
        <v>91380.321425762799</v>
      </c>
      <c r="DN39" s="11">
        <f t="shared" si="85"/>
        <v>6.1962002496140176</v>
      </c>
      <c r="DO39" s="103"/>
      <c r="DP39" s="11">
        <f t="shared" si="86"/>
        <v>0</v>
      </c>
      <c r="DQ39" s="11">
        <f t="shared" si="87"/>
        <v>0</v>
      </c>
      <c r="DR39" s="11">
        <f t="shared" si="88"/>
        <v>0</v>
      </c>
      <c r="DS39" s="103"/>
      <c r="DT39" s="11">
        <f t="shared" si="108"/>
        <v>0</v>
      </c>
      <c r="DU39" s="11">
        <f t="shared" si="89"/>
        <v>0</v>
      </c>
      <c r="DV39" s="11">
        <f t="shared" si="109"/>
        <v>0</v>
      </c>
      <c r="DW39" s="11">
        <f t="shared" si="40"/>
        <v>53490.941231739111</v>
      </c>
      <c r="DX39" s="11">
        <f t="shared" si="41"/>
        <v>100</v>
      </c>
      <c r="DY39" s="11">
        <f t="shared" si="90"/>
        <v>1430779.9900665765</v>
      </c>
      <c r="DZ39" s="11">
        <f t="shared" si="42"/>
        <v>97.016504136456732</v>
      </c>
      <c r="EA39" s="103"/>
      <c r="EB39" s="11">
        <f t="shared" si="43"/>
        <v>0</v>
      </c>
      <c r="EC39" s="11">
        <f t="shared" si="91"/>
        <v>0</v>
      </c>
      <c r="ED39" s="11">
        <f t="shared" si="44"/>
        <v>0</v>
      </c>
      <c r="EE39" s="103"/>
      <c r="EF39" s="11">
        <f t="shared" si="45"/>
        <v>0</v>
      </c>
      <c r="EG39" s="11">
        <f t="shared" si="92"/>
        <v>0</v>
      </c>
      <c r="EH39" s="11">
        <f t="shared" si="46"/>
        <v>0</v>
      </c>
      <c r="EI39" s="103"/>
      <c r="EJ39" s="17">
        <f t="shared" si="47"/>
        <v>0</v>
      </c>
      <c r="EK39" s="11">
        <f t="shared" si="93"/>
        <v>0</v>
      </c>
      <c r="EL39" s="11">
        <f t="shared" si="48"/>
        <v>0</v>
      </c>
      <c r="EM39" s="11">
        <f t="shared" si="94"/>
        <v>0</v>
      </c>
      <c r="EN39" s="11">
        <f t="shared" si="49"/>
        <v>0</v>
      </c>
      <c r="EO39" s="11">
        <f t="shared" si="95"/>
        <v>0</v>
      </c>
      <c r="EP39" s="11">
        <f t="shared" si="50"/>
        <v>0</v>
      </c>
      <c r="EQ39" s="103"/>
      <c r="ER39" s="11">
        <f t="shared" si="51"/>
        <v>0</v>
      </c>
      <c r="ES39" s="11">
        <f t="shared" si="96"/>
        <v>0</v>
      </c>
      <c r="ET39" s="11">
        <f t="shared" si="52"/>
        <v>0</v>
      </c>
      <c r="EU39" s="11">
        <f t="shared" si="97"/>
        <v>53490.941231739111</v>
      </c>
      <c r="EV39" s="11">
        <f t="shared" si="98"/>
        <v>1474779.9900665765</v>
      </c>
      <c r="EW39" s="11">
        <f t="shared" si="53"/>
        <v>1.1771514982447373</v>
      </c>
      <c r="EX39" s="11">
        <f t="shared" si="54"/>
        <v>1.109431871147216</v>
      </c>
      <c r="EY39" s="497">
        <f t="shared" si="99"/>
        <v>0.84950832708543478</v>
      </c>
      <c r="EZ39" s="498">
        <f t="shared" si="100"/>
        <v>0.92908134669827536</v>
      </c>
      <c r="FA39" s="7" t="s">
        <v>430</v>
      </c>
    </row>
    <row r="40" spans="1:157">
      <c r="A40" s="18">
        <f>+Chem!A39</f>
        <v>46053</v>
      </c>
      <c r="B40" s="6" t="str">
        <f>+Chem!B39</f>
        <v>Toilet</v>
      </c>
      <c r="C40" s="6" t="str">
        <f>+Chem!C39</f>
        <v>15</v>
      </c>
      <c r="D40" s="9">
        <f>+Chem!D39</f>
        <v>0</v>
      </c>
      <c r="E40" s="7">
        <f>+Chem!E39</f>
        <v>2.919</v>
      </c>
      <c r="F40" s="7">
        <f t="shared" ref="F40" si="110">+E40+F39</f>
        <v>1332.23</v>
      </c>
      <c r="G40" s="103"/>
      <c r="H40" s="11" t="e">
        <f t="shared" ref="H40" si="111">G40/EU40*100</f>
        <v>#DIV/0!</v>
      </c>
      <c r="I40" s="9">
        <f t="shared" ref="I40" si="112">G40+I39</f>
        <v>0</v>
      </c>
      <c r="J40" s="11">
        <f t="shared" ref="J40" si="113">I40/EV40*100</f>
        <v>0</v>
      </c>
      <c r="K40" s="103"/>
      <c r="L40" s="11" t="e">
        <f t="shared" ref="L40" si="114">+K40/EU40*100</f>
        <v>#DIV/0!</v>
      </c>
      <c r="M40" s="11">
        <f t="shared" ref="M40" si="115">+K40+M39</f>
        <v>1250</v>
      </c>
      <c r="N40" s="11">
        <f t="shared" ref="N40" si="116">+M40/EV40*100</f>
        <v>8.4758405214297131E-2</v>
      </c>
      <c r="O40" s="103"/>
      <c r="P40" s="11" t="e">
        <f t="shared" ref="P40" si="117">+O40/EU40*100</f>
        <v>#DIV/0!</v>
      </c>
      <c r="Q40" s="11">
        <f t="shared" ref="Q40" si="118">+O40+Q39</f>
        <v>0</v>
      </c>
      <c r="R40" s="11">
        <f t="shared" ref="R40" si="119">+Q40/EV40*100</f>
        <v>0</v>
      </c>
      <c r="S40" s="103"/>
      <c r="T40" s="11" t="e">
        <f t="shared" ref="T40" si="120">+S40/EU40*100</f>
        <v>#DIV/0!</v>
      </c>
      <c r="U40" s="11">
        <f t="shared" ref="U40" si="121">+S40+U39</f>
        <v>42750</v>
      </c>
      <c r="V40" s="11">
        <f t="shared" ref="V40" si="122">+U40/EV40*100</f>
        <v>2.898737458328962</v>
      </c>
      <c r="W40" s="103"/>
      <c r="X40" s="11" t="e">
        <f t="shared" ref="X40" si="123">+W40/EU40*100</f>
        <v>#DIV/0!</v>
      </c>
      <c r="Y40" s="11">
        <f t="shared" ref="Y40" si="124">+W40+Y39</f>
        <v>0</v>
      </c>
      <c r="Z40" s="11">
        <f t="shared" ref="Z40" si="125">+Y40/EV40*100</f>
        <v>0</v>
      </c>
      <c r="AA40" s="103"/>
      <c r="AB40" s="11" t="e">
        <f t="shared" ref="AB40" si="126">AA40/EU40*100</f>
        <v>#DIV/0!</v>
      </c>
      <c r="AC40" s="11">
        <f t="shared" ref="AC40" si="127">AA40+AC39</f>
        <v>0</v>
      </c>
      <c r="AD40" s="11">
        <f t="shared" ref="AD40" si="128">AC40/EV40*100</f>
        <v>0</v>
      </c>
      <c r="AE40" s="103"/>
      <c r="AF40" s="11" t="e">
        <f t="shared" ref="AF40" si="129">+AE40/EU40*100</f>
        <v>#DIV/0!</v>
      </c>
      <c r="AG40" s="11">
        <f t="shared" ref="AG40" si="130">+AE40+AG39</f>
        <v>0</v>
      </c>
      <c r="AH40" s="11">
        <f t="shared" ref="AH40" si="131">+AG40/EV40*100</f>
        <v>0</v>
      </c>
      <c r="AI40" s="103"/>
      <c r="AJ40" s="11" t="e">
        <f t="shared" ref="AJ40" si="132">AI40/EU40*100</f>
        <v>#DIV/0!</v>
      </c>
      <c r="AK40" s="11">
        <f t="shared" ref="AK40" si="133">AI40+AK39</f>
        <v>0</v>
      </c>
      <c r="AL40" s="11">
        <f t="shared" ref="AL40" si="134">AK40/EV40*100</f>
        <v>0</v>
      </c>
      <c r="AM40" s="103"/>
      <c r="AN40" s="11" t="e">
        <f t="shared" ref="AN40" si="135">AM40/EU40*100</f>
        <v>#DIV/0!</v>
      </c>
      <c r="AO40" s="11">
        <f t="shared" ref="AO40" si="136">+AM40+AO39</f>
        <v>0</v>
      </c>
      <c r="AP40" s="11">
        <f t="shared" ref="AP40" si="137">+AO40/EV40*100</f>
        <v>0</v>
      </c>
      <c r="AQ40" s="103"/>
      <c r="AR40" s="11" t="e">
        <f t="shared" ref="AR40" si="138">AQ40/EU40*100</f>
        <v>#DIV/0!</v>
      </c>
      <c r="AS40" s="11">
        <f t="shared" ref="AS40" si="139">AQ40+AS39</f>
        <v>0</v>
      </c>
      <c r="AT40" s="11">
        <f t="shared" ref="AT40" si="140">AS40/EV40*100</f>
        <v>0</v>
      </c>
      <c r="AU40" s="259"/>
      <c r="AV40" s="11" t="e">
        <f t="shared" ref="AV40" si="141">AU40/EU40*100</f>
        <v>#DIV/0!</v>
      </c>
      <c r="AW40" s="9">
        <f t="shared" ref="AW40" si="142">AU40+AW39</f>
        <v>0</v>
      </c>
      <c r="AX40" s="11">
        <f t="shared" ref="AX40" si="143">AW40/EV40*100</f>
        <v>0</v>
      </c>
      <c r="AY40" s="103"/>
      <c r="AZ40" s="11" t="e">
        <f t="shared" ref="AZ40" si="144">AY40/EU40*100</f>
        <v>#DIV/0!</v>
      </c>
      <c r="BA40" s="11">
        <f t="shared" ref="BA40" si="145">AY40+BA39</f>
        <v>0</v>
      </c>
      <c r="BB40" s="11">
        <f t="shared" ref="BB40" si="146">BA40/EV40*100</f>
        <v>0</v>
      </c>
      <c r="BC40" s="103"/>
      <c r="BD40" s="11" t="e">
        <f t="shared" ref="BD40" si="147">BC40/EU40*100</f>
        <v>#DIV/0!</v>
      </c>
      <c r="BE40" s="11">
        <f t="shared" ref="BE40" si="148">BC40+BE39</f>
        <v>0</v>
      </c>
      <c r="BF40" s="11">
        <f t="shared" ref="BF40" si="149">BE40/EV40*100</f>
        <v>0</v>
      </c>
      <c r="BG40" s="103"/>
      <c r="BH40" s="11" t="e">
        <f t="shared" ref="BH40" si="150">BG40/EU40*100</f>
        <v>#DIV/0!</v>
      </c>
      <c r="BI40" s="11">
        <f t="shared" ref="BI40" si="151">BG40+BI39</f>
        <v>0</v>
      </c>
      <c r="BJ40" s="11">
        <f t="shared" ref="BJ40" si="152">BI40/EV40*100</f>
        <v>0</v>
      </c>
      <c r="BK40" s="103"/>
      <c r="BL40" s="11"/>
      <c r="BM40" s="11"/>
      <c r="BN40" s="11"/>
      <c r="BO40" s="103"/>
      <c r="BP40" s="11"/>
      <c r="BQ40" s="11"/>
      <c r="BR40" s="11"/>
      <c r="BS40" s="103"/>
      <c r="BT40" s="11"/>
      <c r="BU40" s="11"/>
      <c r="BV40" s="11"/>
      <c r="BW40" s="11">
        <f t="shared" ref="BW40" si="153">G40+AY40+BK40+BG40+BS40+BO40+AU40+AI40+BC40+AQ40+AA40+AM40+AE40+K40+W40+S40+O40</f>
        <v>0</v>
      </c>
      <c r="BX40" s="11" t="e">
        <f t="shared" ref="BX40" si="154">BW40/EU40*100</f>
        <v>#DIV/0!</v>
      </c>
      <c r="BY40" s="11">
        <f t="shared" ref="BY40" si="155">BW40+BY39</f>
        <v>44000</v>
      </c>
      <c r="BZ40" s="11">
        <f t="shared" ref="BZ40" si="156">BY40/EV40*100</f>
        <v>2.9834958635432596</v>
      </c>
      <c r="CA40" s="11"/>
      <c r="CB40" s="11" t="e">
        <f t="shared" ref="CB40" si="157">CA40/EU40*100</f>
        <v>#DIV/0!</v>
      </c>
      <c r="CC40" s="11">
        <f t="shared" ref="CC40" si="158">+CA40+CC39</f>
        <v>0</v>
      </c>
      <c r="CD40" s="11">
        <f t="shared" ref="CD40" si="159">CC40/EV40*100</f>
        <v>0</v>
      </c>
      <c r="CE40" s="11"/>
      <c r="CF40" s="11" t="e">
        <f t="shared" ref="CF40" si="160">CE40/EU40*100</f>
        <v>#DIV/0!</v>
      </c>
      <c r="CG40" s="11">
        <f t="shared" ref="CG40" si="161">+CE40+CG39</f>
        <v>0</v>
      </c>
      <c r="CH40" s="11">
        <f t="shared" ref="CH40" si="162">CG40/EV40*100</f>
        <v>0</v>
      </c>
      <c r="CI40" s="11">
        <f t="shared" ref="CI40" si="163">+CA40+CE40</f>
        <v>0</v>
      </c>
      <c r="CJ40" s="11" t="e">
        <f t="shared" ref="CJ40" si="164">CI40/EU40*100</f>
        <v>#DIV/0!</v>
      </c>
      <c r="CK40" s="11">
        <f t="shared" ref="CK40" si="165">+CI40+CK39</f>
        <v>0</v>
      </c>
      <c r="CL40" s="11">
        <f t="shared" ref="CL40" si="166">CK40/EV40*100</f>
        <v>0</v>
      </c>
      <c r="CM40" s="103"/>
      <c r="CN40" s="11" t="e">
        <f t="shared" ref="CN40" si="167">CM40/EU40*100</f>
        <v>#DIV/0!</v>
      </c>
      <c r="CO40" s="11">
        <f t="shared" ref="CO40" si="168">CM40</f>
        <v>0</v>
      </c>
      <c r="CP40" s="11">
        <f t="shared" ref="CP40" si="169">CO40/EV40*100</f>
        <v>0</v>
      </c>
      <c r="CQ40" s="103"/>
      <c r="CR40" s="11" t="e">
        <f t="shared" ref="CR40" si="170">CQ40/EU40*100</f>
        <v>#DIV/0!</v>
      </c>
      <c r="CS40" s="11">
        <f t="shared" ref="CS40" si="171">CQ40+CS39</f>
        <v>578201.720279573</v>
      </c>
      <c r="CT40" s="11">
        <f t="shared" ref="CT40" si="172">CS40/EV40*100</f>
        <v>39.205964562447789</v>
      </c>
      <c r="CU40" s="103"/>
      <c r="CV40" s="11" t="e">
        <f t="shared" ref="CV40" si="173">CU40/EU40*100</f>
        <v>#DIV/0!</v>
      </c>
      <c r="CW40" s="11">
        <f t="shared" ref="CW40" si="174">CU40+CW39</f>
        <v>572762.96934877709</v>
      </c>
      <c r="CX40" s="11">
        <f t="shared" ref="CX40" si="175">CW40/EV40*100</f>
        <v>38.837180678246156</v>
      </c>
      <c r="CY40" s="103"/>
      <c r="CZ40" s="11" t="e">
        <f t="shared" ref="CZ40" si="176">CY40/EU40*100</f>
        <v>#DIV/0!</v>
      </c>
      <c r="DA40" s="11">
        <f t="shared" ref="DA40" si="177">CY40+DA39</f>
        <v>92357.317788970264</v>
      </c>
      <c r="DB40" s="11">
        <f t="shared" ref="DB40" si="178">DA40/EV40*100</f>
        <v>6.2624471725305231</v>
      </c>
      <c r="DC40" s="103"/>
      <c r="DD40" s="11" t="e">
        <f t="shared" ref="DD40" si="179">DC40/EU40*100</f>
        <v>#DIV/0!</v>
      </c>
      <c r="DE40" s="11">
        <f t="shared" ref="DE40" si="180">DC40+DE39</f>
        <v>3100</v>
      </c>
      <c r="DF40" s="11">
        <f t="shared" ref="DF40" si="181">DE40/EV40*100</f>
        <v>0.21020084493145688</v>
      </c>
      <c r="DG40" s="103"/>
      <c r="DH40" s="11" t="e">
        <f t="shared" ref="DH40" si="182">DG40/EU40*100</f>
        <v>#DIV/0!</v>
      </c>
      <c r="DI40" s="11">
        <f t="shared" ref="DI40" si="183">DG40+DI39</f>
        <v>5880.4239684609593</v>
      </c>
      <c r="DJ40" s="11">
        <f t="shared" ref="DJ40" si="184">DI40/EV40*100</f>
        <v>0.39873228604054339</v>
      </c>
      <c r="DK40" s="103"/>
      <c r="DL40" s="11" t="e">
        <f t="shared" si="83"/>
        <v>#DIV/0!</v>
      </c>
      <c r="DM40" s="11">
        <f t="shared" si="84"/>
        <v>91380.321425762799</v>
      </c>
      <c r="DN40" s="11">
        <f t="shared" si="85"/>
        <v>6.1962002496140176</v>
      </c>
      <c r="DO40" s="103"/>
      <c r="DP40" s="11" t="e">
        <f t="shared" ref="DP40" si="185">DO40/EU40*100</f>
        <v>#DIV/0!</v>
      </c>
      <c r="DQ40" s="11">
        <f t="shared" ref="DQ40" si="186">DO40+DQ39</f>
        <v>0</v>
      </c>
      <c r="DR40" s="11">
        <f t="shared" ref="DR40" si="187">DQ40/EV40*100</f>
        <v>0</v>
      </c>
      <c r="DS40" s="103"/>
      <c r="DT40" s="11" t="e">
        <f t="shared" ref="DT40" si="188">DS40/EU40*100</f>
        <v>#DIV/0!</v>
      </c>
      <c r="DU40" s="11">
        <f t="shared" ref="DU40" si="189">DS40+DU39</f>
        <v>0</v>
      </c>
      <c r="DV40" s="11">
        <f t="shared" ref="DV40" si="190">DU40/EV40*100</f>
        <v>0</v>
      </c>
      <c r="DW40" s="11">
        <f t="shared" ref="DW40" si="191">CQ40+CU40+CY40+DC40+DG40+DK40+DO40+DS40+CM40</f>
        <v>0</v>
      </c>
      <c r="DX40" s="11" t="e">
        <f t="shared" ref="DX40" si="192">DW40/EU40*100</f>
        <v>#DIV/0!</v>
      </c>
      <c r="DY40" s="11">
        <f t="shared" ref="DY40" si="193">DW40+DY39</f>
        <v>1430779.9900665765</v>
      </c>
      <c r="DZ40" s="11">
        <f t="shared" ref="DZ40" si="194">DY40/EV40*100</f>
        <v>97.016504136456732</v>
      </c>
      <c r="EA40" s="103"/>
      <c r="EB40" s="11" t="e">
        <f t="shared" ref="EB40" si="195">+EA40/EU40*100</f>
        <v>#DIV/0!</v>
      </c>
      <c r="EC40" s="11">
        <f t="shared" ref="EC40" si="196">+EA40+EC39</f>
        <v>0</v>
      </c>
      <c r="ED40" s="11">
        <f t="shared" ref="ED40" si="197">+EC40/EV40*100</f>
        <v>0</v>
      </c>
      <c r="EE40" s="103"/>
      <c r="EF40" s="11" t="e">
        <f t="shared" ref="EF40" si="198">EE40/EU40*100</f>
        <v>#DIV/0!</v>
      </c>
      <c r="EG40" s="11">
        <f t="shared" ref="EG40" si="199">EE40+EG39</f>
        <v>0</v>
      </c>
      <c r="EH40" s="11">
        <f t="shared" ref="EH40" si="200">EG40/EV40*100</f>
        <v>0</v>
      </c>
      <c r="EI40" s="103"/>
      <c r="EJ40" s="17" t="e">
        <f t="shared" ref="EJ40" si="201">EI40/EU40*100</f>
        <v>#DIV/0!</v>
      </c>
      <c r="EK40" s="11">
        <f t="shared" ref="EK40" si="202">EI40+EK39</f>
        <v>0</v>
      </c>
      <c r="EL40" s="11">
        <f t="shared" ref="EL40" si="203">EK40/EV40*100</f>
        <v>0</v>
      </c>
      <c r="EM40" s="11">
        <f t="shared" ref="EM40" si="204">EA40+EE40+EI40</f>
        <v>0</v>
      </c>
      <c r="EN40" s="11" t="e">
        <f t="shared" ref="EN40" si="205">EM40/EU40*100</f>
        <v>#DIV/0!</v>
      </c>
      <c r="EO40" s="11">
        <f t="shared" ref="EO40" si="206">EM40+EO39</f>
        <v>0</v>
      </c>
      <c r="EP40" s="11">
        <f t="shared" ref="EP40" si="207">EO40/EV40*100</f>
        <v>0</v>
      </c>
      <c r="EQ40" s="103"/>
      <c r="ER40" s="11" t="e">
        <f t="shared" ref="ER40" si="208">EQ40/EU40*100</f>
        <v>#DIV/0!</v>
      </c>
      <c r="ES40" s="11">
        <f t="shared" ref="ES40" si="209">EQ40+ES39</f>
        <v>0</v>
      </c>
      <c r="ET40" s="11">
        <f t="shared" ref="ET40" si="210">ES40/EV40*100</f>
        <v>0</v>
      </c>
      <c r="EU40" s="11">
        <f t="shared" ref="EU40" si="211">BW40+DW40+EM40+EQ40+CI40</f>
        <v>0</v>
      </c>
      <c r="EV40" s="11">
        <f t="shared" ref="EV40" si="212">EU40+EV39</f>
        <v>1474779.9900665765</v>
      </c>
      <c r="EW40" s="11">
        <f t="shared" ref="EW40" si="213">EU40/1000/E40</f>
        <v>0</v>
      </c>
      <c r="EX40" s="11">
        <f t="shared" ref="EX40" si="214">(EV40/1000)/F40</f>
        <v>1.1070010359071456</v>
      </c>
      <c r="EY40" s="497" t="e">
        <f t="shared" ref="EY40" si="215">+(E40*1000)/DW40</f>
        <v>#DIV/0!</v>
      </c>
      <c r="EZ40" s="498">
        <f t="shared" ref="EZ40" si="216">+(F40*1000)/DY40</f>
        <v>0.93112149264682487</v>
      </c>
      <c r="FA40" s="6" t="s">
        <v>826</v>
      </c>
    </row>
    <row r="41" spans="1:157">
      <c r="A41" s="18"/>
      <c r="B41" s="18"/>
      <c r="C41" s="18"/>
      <c r="D41" s="9"/>
      <c r="E41" s="7"/>
      <c r="F41" s="7"/>
      <c r="G41" s="103"/>
      <c r="H41" s="11"/>
      <c r="I41" s="9"/>
      <c r="J41" s="11"/>
      <c r="K41" s="103"/>
      <c r="L41" s="11"/>
      <c r="M41" s="11"/>
      <c r="N41" s="11"/>
      <c r="O41" s="103"/>
      <c r="P41" s="11"/>
      <c r="Q41" s="11"/>
      <c r="R41" s="11"/>
      <c r="S41" s="103"/>
      <c r="T41" s="11"/>
      <c r="U41" s="11"/>
      <c r="V41" s="11"/>
      <c r="W41" s="103"/>
      <c r="X41" s="11"/>
      <c r="Y41" s="11"/>
      <c r="Z41" s="11"/>
      <c r="AA41" s="103"/>
      <c r="AB41" s="11"/>
      <c r="AC41" s="11"/>
      <c r="AD41" s="11"/>
      <c r="AE41" s="103"/>
      <c r="AF41" s="11"/>
      <c r="AG41" s="11"/>
      <c r="AH41" s="11"/>
      <c r="AI41" s="103"/>
      <c r="AJ41" s="11"/>
      <c r="AK41" s="11"/>
      <c r="AL41" s="11"/>
      <c r="AM41" s="103"/>
      <c r="AN41" s="11"/>
      <c r="AO41" s="11"/>
      <c r="AP41" s="11"/>
      <c r="AQ41" s="103"/>
      <c r="AR41" s="11"/>
      <c r="AS41" s="11"/>
      <c r="AT41" s="11"/>
      <c r="AU41" s="259"/>
      <c r="AV41" s="11"/>
      <c r="AW41" s="9"/>
      <c r="AX41" s="11"/>
      <c r="AY41" s="103"/>
      <c r="AZ41" s="11"/>
      <c r="BA41" s="11"/>
      <c r="BB41" s="11"/>
      <c r="BC41" s="103"/>
      <c r="BD41" s="11"/>
      <c r="BE41" s="11"/>
      <c r="BF41" s="11"/>
      <c r="BG41" s="103"/>
      <c r="BH41" s="11"/>
      <c r="BI41" s="11"/>
      <c r="BJ41" s="11"/>
      <c r="BK41" s="103"/>
      <c r="BL41" s="11"/>
      <c r="BM41" s="11"/>
      <c r="BN41" s="11"/>
      <c r="BO41" s="103"/>
      <c r="BP41" s="11"/>
      <c r="BQ41" s="11"/>
      <c r="BR41" s="11"/>
      <c r="BS41" s="103"/>
      <c r="BT41" s="11"/>
      <c r="BU41" s="11"/>
      <c r="BV41" s="11"/>
      <c r="BW41" s="11"/>
      <c r="BX41" s="11"/>
      <c r="BY41" s="11"/>
      <c r="BZ41" s="11"/>
      <c r="CA41" s="11"/>
      <c r="CB41" s="11"/>
      <c r="CC41" s="11"/>
      <c r="CD41" s="11"/>
      <c r="CE41" s="11"/>
      <c r="CF41" s="11"/>
      <c r="CG41" s="11"/>
      <c r="CH41" s="11"/>
      <c r="CI41" s="11"/>
      <c r="CJ41" s="11"/>
      <c r="CK41" s="11"/>
      <c r="CL41" s="11"/>
      <c r="CM41" s="103"/>
      <c r="CN41" s="11"/>
      <c r="CO41" s="11"/>
      <c r="CP41" s="11"/>
      <c r="CQ41" s="103"/>
      <c r="CR41" s="11"/>
      <c r="CS41" s="11"/>
      <c r="CT41" s="11"/>
      <c r="CU41" s="103"/>
      <c r="CV41" s="11"/>
      <c r="CW41" s="11"/>
      <c r="CX41" s="11"/>
      <c r="CY41" s="103"/>
      <c r="CZ41" s="11"/>
      <c r="DA41" s="11"/>
      <c r="DB41" s="11"/>
      <c r="DC41" s="103"/>
      <c r="DD41" s="11"/>
      <c r="DE41" s="11"/>
      <c r="DF41" s="11"/>
      <c r="DG41" s="103"/>
      <c r="DH41" s="11"/>
      <c r="DI41" s="11"/>
      <c r="DJ41" s="11"/>
      <c r="DK41" s="103"/>
      <c r="DL41" s="17"/>
      <c r="DM41" s="11"/>
      <c r="DN41" s="11"/>
      <c r="DO41" s="103"/>
      <c r="DP41" s="11"/>
      <c r="DQ41" s="11"/>
      <c r="DR41" s="11"/>
      <c r="DS41" s="103"/>
      <c r="DT41" s="11"/>
      <c r="DU41" s="11"/>
      <c r="DV41" s="11"/>
      <c r="DW41" s="11"/>
      <c r="DX41" s="11"/>
      <c r="DY41" s="11"/>
      <c r="DZ41" s="11"/>
      <c r="EA41" s="103"/>
      <c r="EB41" s="11"/>
      <c r="EC41" s="11"/>
      <c r="ED41" s="11"/>
      <c r="EE41" s="103"/>
      <c r="EF41" s="11"/>
      <c r="EG41" s="11"/>
      <c r="EH41" s="11"/>
      <c r="EI41" s="103"/>
      <c r="EJ41" s="17"/>
      <c r="EK41" s="11"/>
      <c r="EL41" s="11"/>
      <c r="EM41" s="11"/>
      <c r="EN41" s="11"/>
      <c r="EO41" s="11"/>
      <c r="EP41" s="11"/>
      <c r="EQ41" s="103"/>
      <c r="ER41" s="11"/>
      <c r="ES41" s="11"/>
      <c r="ET41" s="11"/>
      <c r="EU41" s="11"/>
      <c r="EV41" s="11"/>
      <c r="EW41" s="11"/>
      <c r="EX41" s="11"/>
      <c r="EY41" s="6"/>
      <c r="EZ41" s="497"/>
      <c r="FA41" s="6"/>
    </row>
    <row r="42" spans="1:157" ht="13.5" thickBot="1">
      <c r="A42" s="12" t="s">
        <v>29</v>
      </c>
      <c r="B42" s="12"/>
      <c r="C42" s="13"/>
      <c r="D42" s="13">
        <f>SUM(D10:D41)</f>
        <v>1365.2589999999998</v>
      </c>
      <c r="E42" s="13">
        <f>SUM(E10:E41)</f>
        <v>1332.23</v>
      </c>
      <c r="F42" s="13"/>
      <c r="G42" s="13">
        <f>SUM(G10:G41)</f>
        <v>0</v>
      </c>
      <c r="H42" s="13">
        <f>G42/EU42*100</f>
        <v>0</v>
      </c>
      <c r="I42" s="13"/>
      <c r="J42" s="13"/>
      <c r="K42" s="13">
        <f>SUM(K10:K41)</f>
        <v>1250</v>
      </c>
      <c r="L42" s="13"/>
      <c r="M42" s="13"/>
      <c r="N42" s="13"/>
      <c r="O42" s="13"/>
      <c r="P42" s="13"/>
      <c r="Q42" s="13"/>
      <c r="R42" s="13"/>
      <c r="S42" s="13"/>
      <c r="T42" s="13"/>
      <c r="U42" s="13"/>
      <c r="V42" s="13"/>
      <c r="W42" s="13"/>
      <c r="X42" s="13"/>
      <c r="Y42" s="13"/>
      <c r="Z42" s="13"/>
      <c r="AA42" s="13">
        <f>SUM(AA10:AA41)</f>
        <v>0</v>
      </c>
      <c r="AB42" s="13">
        <f>+AA42/$EU$42*100</f>
        <v>0</v>
      </c>
      <c r="AC42" s="13"/>
      <c r="AD42" s="13"/>
      <c r="AE42" s="13">
        <f>SUM(AE10:AE41)</f>
        <v>0</v>
      </c>
      <c r="AF42" s="13"/>
      <c r="AG42" s="13"/>
      <c r="AH42" s="13"/>
      <c r="AI42" s="13">
        <f>SUM(AI10:AI41)</f>
        <v>0</v>
      </c>
      <c r="AJ42" s="13"/>
      <c r="AK42" s="13"/>
      <c r="AL42" s="13"/>
      <c r="AM42" s="13">
        <f>SUM(AM10:AM41)</f>
        <v>0</v>
      </c>
      <c r="AN42" s="13">
        <f>AM42/$EU$42*100</f>
        <v>0</v>
      </c>
      <c r="AO42" s="13"/>
      <c r="AP42" s="13"/>
      <c r="AQ42" s="13">
        <f>SUM(AQ10:AQ41)</f>
        <v>0</v>
      </c>
      <c r="AR42" s="13">
        <f>AQ42/$EU$42*100</f>
        <v>0</v>
      </c>
      <c r="AS42" s="13"/>
      <c r="AT42" s="13"/>
      <c r="AU42" s="13">
        <f>SUM(AU10:AU41)</f>
        <v>0</v>
      </c>
      <c r="AV42" s="13">
        <f>AU42/$EU$42*100</f>
        <v>0</v>
      </c>
      <c r="AW42" s="13"/>
      <c r="AX42" s="13"/>
      <c r="AY42" s="13">
        <f>SUM(AY10:AY41)</f>
        <v>0</v>
      </c>
      <c r="AZ42" s="13">
        <f>AY42/$EU$42*100</f>
        <v>0</v>
      </c>
      <c r="BA42" s="13"/>
      <c r="BB42" s="13"/>
      <c r="BC42" s="13">
        <f>SUM(BC10:BC41)</f>
        <v>0</v>
      </c>
      <c r="BD42" s="13">
        <f>BC42/$EU$42*100</f>
        <v>0</v>
      </c>
      <c r="BE42" s="13"/>
      <c r="BF42" s="13"/>
      <c r="BG42" s="13">
        <f>SUM(BG10:BG41)</f>
        <v>0</v>
      </c>
      <c r="BH42" s="13">
        <f>BG42/EU42*100</f>
        <v>0</v>
      </c>
      <c r="BI42" s="13"/>
      <c r="BJ42" s="13"/>
      <c r="BK42" s="13">
        <f>SUM(BK10:BK41)</f>
        <v>0</v>
      </c>
      <c r="BL42" s="13">
        <f>BK42/EU42*100</f>
        <v>0</v>
      </c>
      <c r="BM42" s="13"/>
      <c r="BN42" s="13"/>
      <c r="BO42" s="13"/>
      <c r="BP42" s="13"/>
      <c r="BQ42" s="13"/>
      <c r="BR42" s="13"/>
      <c r="BS42" s="13">
        <f>SUM(BS10:BS41)</f>
        <v>0</v>
      </c>
      <c r="BT42" s="13">
        <f>BS42/EU42*100</f>
        <v>0</v>
      </c>
      <c r="BU42" s="13"/>
      <c r="BV42" s="13"/>
      <c r="BW42" s="13">
        <f>SUM(BW10:BW41)</f>
        <v>44000</v>
      </c>
      <c r="BX42" s="20">
        <f>BW42/$EU$42*100</f>
        <v>2.9834958635432596</v>
      </c>
      <c r="BY42" s="13"/>
      <c r="BZ42" s="13"/>
      <c r="CA42" s="13">
        <f>SUM(CA10:CA41)</f>
        <v>0</v>
      </c>
      <c r="CB42" s="20">
        <f>CA42/$EU$42*100</f>
        <v>0</v>
      </c>
      <c r="CC42" s="13"/>
      <c r="CD42" s="13"/>
      <c r="CE42" s="13">
        <f>SUM(CE10:CE41)</f>
        <v>0</v>
      </c>
      <c r="CF42" s="20">
        <f>CE42/$EU$42*100</f>
        <v>0</v>
      </c>
      <c r="CG42" s="13"/>
      <c r="CH42" s="13"/>
      <c r="CI42" s="13">
        <f>SUM(CI10:CI41)</f>
        <v>0</v>
      </c>
      <c r="CJ42" s="20">
        <f>CI42/$EU$42*100</f>
        <v>0</v>
      </c>
      <c r="CK42" s="13"/>
      <c r="CL42" s="13"/>
      <c r="CM42" s="13">
        <f>SUM(CM10:CM41)</f>
        <v>87097.237255032742</v>
      </c>
      <c r="CN42" s="13" t="e">
        <f>CM42/EQ42*100</f>
        <v>#DIV/0!</v>
      </c>
      <c r="CO42" s="13"/>
      <c r="CP42" s="13"/>
      <c r="CQ42" s="13">
        <f>SUM(CQ10:CQ41)</f>
        <v>578201.720279573</v>
      </c>
      <c r="CR42" s="13">
        <f>CQ42/$EU$42*100</f>
        <v>39.205964562447789</v>
      </c>
      <c r="CS42" s="13"/>
      <c r="CT42" s="13"/>
      <c r="CU42" s="13">
        <f>SUM(CU10:CU41)</f>
        <v>572762.96934877709</v>
      </c>
      <c r="CV42" s="13">
        <f>CU42/$EU$42*100</f>
        <v>38.837180678246156</v>
      </c>
      <c r="CW42" s="13"/>
      <c r="CX42" s="13"/>
      <c r="CY42" s="13">
        <f>SUM(CY10:CY41)</f>
        <v>92357.317788970264</v>
      </c>
      <c r="CZ42" s="13">
        <f>CY42/$EU$42*100</f>
        <v>6.2624471725305231</v>
      </c>
      <c r="DA42" s="13"/>
      <c r="DB42" s="13"/>
      <c r="DC42" s="13">
        <f>SUM(DC10:DC41)</f>
        <v>3100</v>
      </c>
      <c r="DD42" s="13">
        <f>DC42/$EU$42*100</f>
        <v>0.21020084493145688</v>
      </c>
      <c r="DE42" s="13"/>
      <c r="DF42" s="13"/>
      <c r="DG42" s="13">
        <f>SUM(DG10:DG41)</f>
        <v>5880.4239684609593</v>
      </c>
      <c r="DH42" s="13">
        <f>DG42/$EU$42*100</f>
        <v>0.39873228604054339</v>
      </c>
      <c r="DI42" s="13"/>
      <c r="DJ42" s="13"/>
      <c r="DK42" s="13">
        <f>SUM(DK10:DK41)</f>
        <v>91380.321425762799</v>
      </c>
      <c r="DL42" s="13">
        <f>DK42/$EU$42*100</f>
        <v>6.1962002496140176</v>
      </c>
      <c r="DM42" s="13"/>
      <c r="DN42" s="13"/>
      <c r="DO42" s="13">
        <f>SUM(DO10:DO41)</f>
        <v>0</v>
      </c>
      <c r="DP42" s="13">
        <f>DO42/$EU$42*100</f>
        <v>0</v>
      </c>
      <c r="DQ42" s="13"/>
      <c r="DR42" s="13"/>
      <c r="DS42" s="13">
        <f>SUM(DS10:DS41)</f>
        <v>0</v>
      </c>
      <c r="DT42" s="13"/>
      <c r="DU42" s="13"/>
      <c r="DV42" s="13"/>
      <c r="DW42" s="13">
        <f>SUM(DW10:DW41)</f>
        <v>1430779.9900665765</v>
      </c>
      <c r="DX42" s="20">
        <f>DW42/$EU$42*100</f>
        <v>97.016504136456732</v>
      </c>
      <c r="DY42" s="13"/>
      <c r="DZ42" s="13"/>
      <c r="EA42" s="13">
        <f>SUM(EA10:EA41)</f>
        <v>0</v>
      </c>
      <c r="EB42" s="13">
        <f>EA42/$EU$42*100</f>
        <v>0</v>
      </c>
      <c r="EC42" s="13"/>
      <c r="ED42" s="13"/>
      <c r="EE42" s="13">
        <f>SUM(EE10:EE41)</f>
        <v>0</v>
      </c>
      <c r="EF42" s="13">
        <f>EE42/$EU$42*100</f>
        <v>0</v>
      </c>
      <c r="EG42" s="13"/>
      <c r="EH42" s="13"/>
      <c r="EI42" s="13">
        <f>SUM(EI10:EI41)</f>
        <v>0</v>
      </c>
      <c r="EJ42" s="13">
        <f>EI42/$EU$42*100</f>
        <v>0</v>
      </c>
      <c r="EK42" s="13"/>
      <c r="EL42" s="13"/>
      <c r="EM42" s="13">
        <f>SUM(EM10:EM41)</f>
        <v>0</v>
      </c>
      <c r="EN42" s="22">
        <f>EM42/$EU$42*100</f>
        <v>0</v>
      </c>
      <c r="EO42" s="13"/>
      <c r="EP42" s="13"/>
      <c r="EQ42" s="13">
        <f>SUM(EQ10:EQ41)</f>
        <v>0</v>
      </c>
      <c r="ER42" s="13">
        <f>EQ42/$EU$42*100</f>
        <v>0</v>
      </c>
      <c r="ES42" s="13"/>
      <c r="ET42" s="13"/>
      <c r="EU42" s="555">
        <f>BW42+DW42+EM42+EQ42+CI42</f>
        <v>1474779.9900665765</v>
      </c>
      <c r="EV42" s="13">
        <f>EU42/$EU$42*100</f>
        <v>100</v>
      </c>
      <c r="EW42" s="13">
        <f>EU42/1000/E42</f>
        <v>1.1070010359071456</v>
      </c>
      <c r="EX42" s="13"/>
      <c r="EY42" s="6"/>
      <c r="EZ42" s="497"/>
      <c r="FA42" s="6"/>
    </row>
    <row r="43" spans="1:157" ht="13.5" thickTop="1"/>
    <row r="44" spans="1:157">
      <c r="F44" t="s">
        <v>4</v>
      </c>
      <c r="G44" s="15">
        <f>+G42+K42</f>
        <v>1250</v>
      </c>
      <c r="CM44" s="15"/>
      <c r="DC44" s="15"/>
      <c r="DG44" s="15"/>
      <c r="EN44" s="15"/>
      <c r="EQ44" s="15"/>
      <c r="ER44" s="15"/>
    </row>
    <row r="45" spans="1:157">
      <c r="E45" s="15"/>
      <c r="F45" s="501" t="s">
        <v>148</v>
      </c>
      <c r="G45" s="15">
        <f>+EU42</f>
        <v>1474779.9900665765</v>
      </c>
      <c r="I45" s="15"/>
      <c r="AY45" s="15"/>
      <c r="DC45" s="15"/>
      <c r="DG45" s="15"/>
      <c r="EQ45" s="15"/>
    </row>
    <row r="46" spans="1:157">
      <c r="G46" s="502">
        <f>+G44/G45</f>
        <v>8.4758405214297133E-4</v>
      </c>
    </row>
    <row r="48" spans="1:157">
      <c r="G48">
        <f>+G42/G7</f>
        <v>0</v>
      </c>
      <c r="K48">
        <f>+K42/K7</f>
        <v>5</v>
      </c>
    </row>
  </sheetData>
  <mergeCells count="44">
    <mergeCell ref="CA8:CD8"/>
    <mergeCell ref="CE8:CH8"/>
    <mergeCell ref="CI8:CL8"/>
    <mergeCell ref="EY8:EZ8"/>
    <mergeCell ref="CM8:CP8"/>
    <mergeCell ref="DO8:DR8"/>
    <mergeCell ref="CQ8:CT8"/>
    <mergeCell ref="CY8:DB8"/>
    <mergeCell ref="CU8:CX8"/>
    <mergeCell ref="DC8:DF8"/>
    <mergeCell ref="DK8:DN8"/>
    <mergeCell ref="DG8:DJ8"/>
    <mergeCell ref="DS8:DV8"/>
    <mergeCell ref="EW8:EX8"/>
    <mergeCell ref="EE8:EH8"/>
    <mergeCell ref="EM8:EP8"/>
    <mergeCell ref="A8:A9"/>
    <mergeCell ref="B8:B9"/>
    <mergeCell ref="C8:C9"/>
    <mergeCell ref="K8:N8"/>
    <mergeCell ref="G8:J8"/>
    <mergeCell ref="D8:D9"/>
    <mergeCell ref="E8:F8"/>
    <mergeCell ref="O8:R8"/>
    <mergeCell ref="W8:Z8"/>
    <mergeCell ref="AI8:AL8"/>
    <mergeCell ref="BW8:BZ8"/>
    <mergeCell ref="BS8:BV8"/>
    <mergeCell ref="BC8:BF8"/>
    <mergeCell ref="BO8:BR8"/>
    <mergeCell ref="S8:V8"/>
    <mergeCell ref="AA8:AD8"/>
    <mergeCell ref="AM8:AP8"/>
    <mergeCell ref="AE8:AH8"/>
    <mergeCell ref="BK8:BN8"/>
    <mergeCell ref="AY8:BB8"/>
    <mergeCell ref="AQ8:AT8"/>
    <mergeCell ref="BG8:BJ8"/>
    <mergeCell ref="AU8:AX8"/>
    <mergeCell ref="EQ8:ET8"/>
    <mergeCell ref="EU8:EV8"/>
    <mergeCell ref="EI8:EL8"/>
    <mergeCell ref="EA8:ED8"/>
    <mergeCell ref="DW8:DZ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I39"/>
  <sheetViews>
    <sheetView workbookViewId="0">
      <pane xSplit="1" topLeftCell="U1" activePane="topRight" state="frozen"/>
      <selection pane="topRight" activeCell="AE12" sqref="AE12"/>
    </sheetView>
  </sheetViews>
  <sheetFormatPr defaultRowHeight="12.75"/>
  <cols>
    <col min="1" max="1" width="17.5703125" bestFit="1" customWidth="1"/>
    <col min="2" max="13" width="9.140625" customWidth="1"/>
    <col min="14" max="14" width="9.42578125" customWidth="1"/>
    <col min="15" max="32" width="9.140625" customWidth="1"/>
    <col min="34" max="34" width="10.85546875" bestFit="1" customWidth="1"/>
    <col min="35" max="35" width="16.28515625" bestFit="1" customWidth="1"/>
  </cols>
  <sheetData>
    <row r="1" spans="1:35">
      <c r="B1">
        <v>6420</v>
      </c>
      <c r="C1">
        <v>7110</v>
      </c>
      <c r="D1">
        <v>6570</v>
      </c>
      <c r="E1">
        <v>7060</v>
      </c>
      <c r="F1">
        <v>5570</v>
      </c>
      <c r="G1">
        <v>5780</v>
      </c>
      <c r="H1">
        <v>7050</v>
      </c>
      <c r="I1">
        <v>8040</v>
      </c>
      <c r="J1">
        <v>6060</v>
      </c>
      <c r="K1">
        <v>6260</v>
      </c>
      <c r="L1">
        <v>5970</v>
      </c>
      <c r="M1">
        <v>6140</v>
      </c>
      <c r="N1">
        <v>5230</v>
      </c>
      <c r="O1">
        <v>6240</v>
      </c>
      <c r="P1">
        <v>5920</v>
      </c>
      <c r="Q1">
        <v>7620</v>
      </c>
      <c r="R1">
        <v>6770</v>
      </c>
      <c r="S1">
        <v>9500</v>
      </c>
      <c r="T1">
        <v>7420</v>
      </c>
      <c r="U1">
        <v>6050</v>
      </c>
      <c r="V1">
        <v>6960</v>
      </c>
      <c r="W1">
        <v>8470</v>
      </c>
      <c r="X1">
        <v>7880</v>
      </c>
      <c r="Y1">
        <v>6650</v>
      </c>
      <c r="Z1">
        <v>6140</v>
      </c>
      <c r="AA1">
        <v>7350</v>
      </c>
      <c r="AB1">
        <v>7880</v>
      </c>
      <c r="AC1">
        <v>7690</v>
      </c>
      <c r="AD1">
        <v>8260</v>
      </c>
      <c r="AE1">
        <v>8590</v>
      </c>
    </row>
    <row r="2" spans="1:35" ht="15">
      <c r="A2" s="6"/>
      <c r="B2" s="6">
        <v>1</v>
      </c>
      <c r="C2" s="6">
        <v>2</v>
      </c>
      <c r="D2" s="6">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71" t="s">
        <v>255</v>
      </c>
      <c r="AH2" s="473" t="s">
        <v>256</v>
      </c>
      <c r="AI2" s="483" t="s">
        <v>268</v>
      </c>
    </row>
    <row r="3" spans="1:35">
      <c r="A3" s="462" t="s">
        <v>202</v>
      </c>
      <c r="B3" s="6">
        <f>2575/1000</f>
        <v>2.5750000000000002</v>
      </c>
      <c r="C3" s="6">
        <f>4679/1000</f>
        <v>4.6790000000000003</v>
      </c>
      <c r="D3" s="6">
        <f>3407/1000</f>
        <v>3.407</v>
      </c>
      <c r="E3" s="6">
        <f>1206/1000</f>
        <v>1.206</v>
      </c>
      <c r="F3" s="6">
        <f>2010/1000</f>
        <v>2.0099999999999998</v>
      </c>
      <c r="G3" s="6">
        <f>2180/1000</f>
        <v>2.1800000000000002</v>
      </c>
      <c r="H3" s="6">
        <f>5971/1000</f>
        <v>5.9710000000000001</v>
      </c>
      <c r="I3" s="6">
        <f>7751/1000</f>
        <v>7.7510000000000003</v>
      </c>
      <c r="J3" s="6">
        <f>3013/1000</f>
        <v>3.0129999999999999</v>
      </c>
      <c r="K3" s="6">
        <f>3453/1000</f>
        <v>3.4529999999999998</v>
      </c>
      <c r="L3" s="6">
        <f>5608/1000</f>
        <v>5.6079999999999997</v>
      </c>
      <c r="M3" s="6">
        <f>4188/1000</f>
        <v>4.1879999999999997</v>
      </c>
      <c r="N3" s="6">
        <f>3520/1000</f>
        <v>3.52</v>
      </c>
      <c r="O3" s="6">
        <f>6035/1000</f>
        <v>6.0350000000000001</v>
      </c>
      <c r="P3" s="6">
        <f>4552/1000</f>
        <v>4.5519999999999996</v>
      </c>
      <c r="Q3" s="6">
        <f>3453/1000</f>
        <v>3.4529999999999998</v>
      </c>
      <c r="R3" s="6">
        <f>1710/1000</f>
        <v>1.71</v>
      </c>
      <c r="S3" s="6">
        <f>3280/1000</f>
        <v>3.28</v>
      </c>
      <c r="T3" s="6">
        <f>3471/1000</f>
        <v>3.4710000000000001</v>
      </c>
      <c r="U3" s="6">
        <v>4.9939999999999998</v>
      </c>
      <c r="V3" s="6">
        <f>5552/1000</f>
        <v>5.5519999999999996</v>
      </c>
      <c r="W3" s="6">
        <f>3571/1000</f>
        <v>3.5710000000000002</v>
      </c>
      <c r="X3" s="6">
        <f>2456/1000</f>
        <v>2.456</v>
      </c>
      <c r="Y3" s="6">
        <f>1740/1000</f>
        <v>1.74</v>
      </c>
      <c r="Z3" s="6">
        <f>6120/1000</f>
        <v>6.12</v>
      </c>
      <c r="AA3" s="6">
        <f>3231/1000</f>
        <v>3.2309999999999999</v>
      </c>
      <c r="AB3" s="6">
        <f>706/1000</f>
        <v>0.70599999999999996</v>
      </c>
      <c r="AC3" s="6">
        <f>1903/1000</f>
        <v>1.903</v>
      </c>
      <c r="AD3" s="6">
        <f>1665/1000</f>
        <v>1.665</v>
      </c>
      <c r="AE3" s="6">
        <f>3124/1000</f>
        <v>3.1240000000000001</v>
      </c>
      <c r="AF3" s="6">
        <v>0</v>
      </c>
      <c r="AG3" s="6">
        <f>+AF3</f>
        <v>0</v>
      </c>
      <c r="AH3" s="472">
        <f>+AG3/Efficiency1!$K$197</f>
        <v>0</v>
      </c>
      <c r="AI3" s="765">
        <f>SUM(AH3:AH4)</f>
        <v>0</v>
      </c>
    </row>
    <row r="4" spans="1:35">
      <c r="A4" s="462" t="s">
        <v>269</v>
      </c>
      <c r="B4" s="6">
        <f>185/1000</f>
        <v>0.185</v>
      </c>
      <c r="C4" s="6">
        <f>296/1000</f>
        <v>0.29599999999999999</v>
      </c>
      <c r="D4" s="6">
        <f>1591/1000</f>
        <v>1.591</v>
      </c>
      <c r="E4" s="6">
        <f>2182/1000</f>
        <v>2.1819999999999999</v>
      </c>
      <c r="F4" s="6">
        <f>1110/1000</f>
        <v>1.1100000000000001</v>
      </c>
      <c r="G4" s="6">
        <f>2137/1000</f>
        <v>2.137</v>
      </c>
      <c r="H4" s="6">
        <f>573/1000</f>
        <v>0.57299999999999995</v>
      </c>
      <c r="I4" s="6">
        <f>1154/1000</f>
        <v>1.1539999999999999</v>
      </c>
      <c r="J4" s="6">
        <f>873/1000</f>
        <v>0.873</v>
      </c>
      <c r="K4" s="6">
        <f>1711/1000</f>
        <v>1.7110000000000001</v>
      </c>
      <c r="L4" s="6">
        <f>1110/1000</f>
        <v>1.1100000000000001</v>
      </c>
      <c r="M4" s="463">
        <f>960/1000</f>
        <v>0.96</v>
      </c>
      <c r="N4" s="463">
        <f>1582/1000</f>
        <v>1.5820000000000001</v>
      </c>
      <c r="O4" s="463">
        <f>1983/1000</f>
        <v>1.9830000000000001</v>
      </c>
      <c r="P4" s="6">
        <f>2137/1000</f>
        <v>2.137</v>
      </c>
      <c r="Q4" s="6">
        <f>1586/1000</f>
        <v>1.5860000000000001</v>
      </c>
      <c r="R4" s="6">
        <f>2477/1000</f>
        <v>2.4769999999999999</v>
      </c>
      <c r="S4" s="6">
        <f>1285/1000</f>
        <v>1.2849999999999999</v>
      </c>
      <c r="T4" s="6">
        <f>1256/1000</f>
        <v>1.256</v>
      </c>
      <c r="U4" s="6">
        <v>0.55900000000000005</v>
      </c>
      <c r="V4" s="6">
        <f>530/1000</f>
        <v>0.53</v>
      </c>
      <c r="W4" s="463">
        <f>1156/1000</f>
        <v>1.1559999999999999</v>
      </c>
      <c r="X4" s="6">
        <f>596/1000</f>
        <v>0.59599999999999997</v>
      </c>
      <c r="Y4" s="6">
        <f>2168/1000</f>
        <v>2.1680000000000001</v>
      </c>
      <c r="Z4" s="6">
        <f>994/1000</f>
        <v>0.99399999999999999</v>
      </c>
      <c r="AA4" s="6">
        <f>1611/1000</f>
        <v>1.611</v>
      </c>
      <c r="AB4" s="6">
        <f>1918/1000</f>
        <v>1.9179999999999999</v>
      </c>
      <c r="AC4" s="6">
        <f>1726/1000</f>
        <v>1.726</v>
      </c>
      <c r="AD4" s="6">
        <f>2110/1000</f>
        <v>2.11</v>
      </c>
      <c r="AE4" s="6">
        <v>0</v>
      </c>
      <c r="AF4" s="6">
        <v>0</v>
      </c>
      <c r="AG4" s="6">
        <f>+AF4</f>
        <v>0</v>
      </c>
      <c r="AH4" s="472">
        <f>+AG4/Efficiency1!$K$197</f>
        <v>0</v>
      </c>
      <c r="AI4" s="766"/>
    </row>
    <row r="5" spans="1:35">
      <c r="A5" s="484"/>
      <c r="B5" s="485"/>
      <c r="C5" s="485"/>
      <c r="D5" s="485"/>
      <c r="E5" s="485"/>
      <c r="F5" s="485"/>
      <c r="G5" s="485"/>
      <c r="H5" s="485"/>
      <c r="I5" s="485"/>
      <c r="J5" s="485"/>
      <c r="K5" s="485"/>
      <c r="L5" s="485"/>
      <c r="M5" s="486"/>
      <c r="N5" s="486"/>
      <c r="O5" s="486"/>
      <c r="P5" s="485"/>
      <c r="Q5" s="485"/>
      <c r="R5" s="485"/>
      <c r="S5" s="485"/>
      <c r="T5" s="485"/>
      <c r="U5" s="485"/>
      <c r="V5" s="485"/>
      <c r="W5" s="486"/>
      <c r="X5" s="485"/>
      <c r="Y5" s="485"/>
      <c r="Z5" s="485"/>
      <c r="AA5" s="485"/>
      <c r="AB5" s="485"/>
      <c r="AC5" s="485"/>
      <c r="AD5" s="485"/>
      <c r="AE5" s="485"/>
      <c r="AF5" s="485"/>
      <c r="AG5" s="485"/>
      <c r="AH5" s="487"/>
    </row>
    <row r="6" spans="1:35">
      <c r="A6" s="462" t="s">
        <v>203</v>
      </c>
      <c r="B6" s="463">
        <v>0.53500000000000003</v>
      </c>
      <c r="C6" s="463">
        <v>0.625</v>
      </c>
      <c r="D6" s="6">
        <v>0.27100000000000002</v>
      </c>
      <c r="E6" s="6">
        <v>0.79500000000000004</v>
      </c>
      <c r="F6" s="6">
        <v>0.623</v>
      </c>
      <c r="G6" s="6">
        <v>0.26200000000000001</v>
      </c>
      <c r="H6" s="6">
        <v>0.54600000000000004</v>
      </c>
      <c r="I6" s="6">
        <v>1.1739999999999999</v>
      </c>
      <c r="J6" s="6">
        <v>1.236</v>
      </c>
      <c r="K6" s="6">
        <v>0.74</v>
      </c>
      <c r="L6" s="6">
        <v>0.46700000000000003</v>
      </c>
      <c r="M6" s="6">
        <v>0.51200000000000001</v>
      </c>
      <c r="N6" s="6">
        <v>0.496</v>
      </c>
      <c r="O6" s="6">
        <v>0.57099999999999995</v>
      </c>
      <c r="P6" s="6">
        <v>0.47</v>
      </c>
      <c r="Q6" s="6">
        <v>0.42799999999999999</v>
      </c>
      <c r="R6" s="6">
        <v>1.377</v>
      </c>
      <c r="S6" s="6">
        <v>0.53500000000000003</v>
      </c>
      <c r="T6" s="6">
        <v>0.73</v>
      </c>
      <c r="U6" s="6">
        <v>0.49199999999999999</v>
      </c>
      <c r="V6" s="6">
        <v>0.59899999999999998</v>
      </c>
      <c r="W6" s="463">
        <f>2050/1000</f>
        <v>2.0499999999999998</v>
      </c>
      <c r="X6" s="6">
        <v>0.55200000000000005</v>
      </c>
      <c r="Y6" s="6">
        <v>0.77900000000000003</v>
      </c>
      <c r="Z6" s="463">
        <v>0.318</v>
      </c>
      <c r="AA6" s="6">
        <v>0.53100000000000003</v>
      </c>
      <c r="AB6" s="6">
        <v>0.254</v>
      </c>
      <c r="AC6" s="6">
        <v>0.54500000000000004</v>
      </c>
      <c r="AD6" s="6">
        <v>0.39200000000000002</v>
      </c>
      <c r="AE6" s="6">
        <v>0.20200000000000001</v>
      </c>
      <c r="AF6" s="6"/>
      <c r="AG6" s="6">
        <f t="shared" ref="AG6:AG37" si="0">+SUM(B6:AF6)</f>
        <v>19.107000000000006</v>
      </c>
      <c r="AH6" s="488">
        <f t="shared" ref="AH6:AH36" si="1">+AG6/$AG$39</f>
        <v>0.54316741052392192</v>
      </c>
    </row>
    <row r="7" spans="1:35">
      <c r="A7" s="462" t="s">
        <v>270</v>
      </c>
      <c r="B7" s="6">
        <v>0.5</v>
      </c>
      <c r="C7" s="6">
        <v>1.5820000000000001</v>
      </c>
      <c r="D7" s="6"/>
      <c r="E7" s="6">
        <v>0.1</v>
      </c>
      <c r="F7" s="6">
        <v>0.23</v>
      </c>
      <c r="G7" s="6"/>
      <c r="H7" s="6">
        <v>0.2</v>
      </c>
      <c r="I7" s="6">
        <v>0.15</v>
      </c>
      <c r="J7" s="6">
        <v>0.45</v>
      </c>
      <c r="K7" s="6"/>
      <c r="L7" s="6">
        <v>0.18</v>
      </c>
      <c r="M7" s="6">
        <f>50/1000</f>
        <v>0.05</v>
      </c>
      <c r="N7" s="6">
        <v>0.371</v>
      </c>
      <c r="O7" s="6">
        <v>0.16</v>
      </c>
      <c r="P7" s="6">
        <v>0.22500000000000001</v>
      </c>
      <c r="Q7" s="6">
        <v>0.63</v>
      </c>
      <c r="R7" s="615">
        <v>0.14199999999999999</v>
      </c>
      <c r="S7" s="6"/>
      <c r="T7" s="6"/>
      <c r="U7" s="6"/>
      <c r="V7" s="6">
        <v>0.16</v>
      </c>
      <c r="W7" s="6">
        <v>0.47499999999999998</v>
      </c>
      <c r="X7" s="6">
        <v>0.2</v>
      </c>
      <c r="Y7" s="6">
        <v>0.2</v>
      </c>
      <c r="Z7" s="6">
        <v>0.23499999999999999</v>
      </c>
      <c r="AA7" s="6"/>
      <c r="AB7" s="6">
        <v>0.13500000000000001</v>
      </c>
      <c r="AC7" s="6">
        <v>0.19</v>
      </c>
      <c r="AD7" s="6">
        <v>0.12</v>
      </c>
      <c r="AE7" s="6">
        <v>0.17</v>
      </c>
      <c r="AF7" s="6"/>
      <c r="AG7" s="6">
        <f t="shared" si="0"/>
        <v>6.8550000000000013</v>
      </c>
      <c r="AH7" s="472">
        <f t="shared" si="1"/>
        <v>0.19487164908889332</v>
      </c>
    </row>
    <row r="8" spans="1:35">
      <c r="A8" s="489" t="s">
        <v>271</v>
      </c>
      <c r="B8" s="6"/>
      <c r="C8" s="6"/>
      <c r="D8" s="6"/>
      <c r="E8" s="6"/>
      <c r="F8" s="6"/>
      <c r="G8" s="6"/>
      <c r="H8" s="6"/>
      <c r="I8" s="6"/>
      <c r="J8" s="6"/>
      <c r="K8" s="6"/>
      <c r="L8" s="6"/>
      <c r="M8" s="6"/>
      <c r="N8" s="7"/>
      <c r="O8" s="7"/>
      <c r="P8" s="6"/>
      <c r="Q8" s="6"/>
      <c r="R8" s="6"/>
      <c r="S8" s="6"/>
      <c r="T8" s="6"/>
      <c r="U8" s="6"/>
      <c r="V8" s="6"/>
      <c r="W8" s="6"/>
      <c r="X8" s="6"/>
      <c r="Y8" s="6"/>
      <c r="Z8" s="6"/>
      <c r="AA8" s="6"/>
      <c r="AB8" s="6"/>
      <c r="AC8" s="6"/>
      <c r="AD8" s="6"/>
      <c r="AE8" s="6"/>
      <c r="AF8" s="6"/>
      <c r="AG8" s="6">
        <f t="shared" si="0"/>
        <v>0</v>
      </c>
      <c r="AH8" s="472">
        <f t="shared" si="1"/>
        <v>0</v>
      </c>
    </row>
    <row r="9" spans="1:35">
      <c r="A9" s="462" t="s">
        <v>205</v>
      </c>
      <c r="B9" s="6"/>
      <c r="C9" s="6"/>
      <c r="D9" s="6"/>
      <c r="E9" s="6"/>
      <c r="F9" s="6"/>
      <c r="G9" s="6"/>
      <c r="H9" s="6"/>
      <c r="I9" s="6"/>
      <c r="J9" s="6"/>
      <c r="K9" s="6"/>
      <c r="L9" s="6"/>
      <c r="M9" s="6"/>
      <c r="N9" s="7"/>
      <c r="O9" s="7"/>
      <c r="P9" s="6"/>
      <c r="Q9" s="6"/>
      <c r="R9" s="6"/>
      <c r="S9" s="6"/>
      <c r="T9" s="6"/>
      <c r="U9" s="6"/>
      <c r="V9" s="6"/>
      <c r="W9" s="6"/>
      <c r="X9" s="6"/>
      <c r="Y9" s="6"/>
      <c r="Z9" s="6"/>
      <c r="AA9" s="6"/>
      <c r="AB9" s="6"/>
      <c r="AC9" s="6"/>
      <c r="AD9" s="6"/>
      <c r="AE9" s="6"/>
      <c r="AF9" s="6"/>
      <c r="AG9" s="6">
        <f t="shared" si="0"/>
        <v>0</v>
      </c>
      <c r="AH9" s="472">
        <f t="shared" si="1"/>
        <v>0</v>
      </c>
    </row>
    <row r="10" spans="1:35">
      <c r="A10" s="462" t="s">
        <v>206</v>
      </c>
      <c r="B10" s="6"/>
      <c r="C10" s="6"/>
      <c r="D10" s="6"/>
      <c r="E10" s="6"/>
      <c r="F10" s="6"/>
      <c r="G10" s="6"/>
      <c r="H10" s="6">
        <v>0.82499999999999996</v>
      </c>
      <c r="I10" s="6">
        <v>0.73299999999999998</v>
      </c>
      <c r="J10" s="6"/>
      <c r="K10" s="6"/>
      <c r="L10" s="6"/>
      <c r="M10" s="6"/>
      <c r="N10" s="6"/>
      <c r="O10" s="6"/>
      <c r="P10" s="6"/>
      <c r="Q10" s="6"/>
      <c r="R10" s="6"/>
      <c r="S10" s="6"/>
      <c r="T10" s="6"/>
      <c r="U10" s="6"/>
      <c r="V10" s="6"/>
      <c r="W10" s="6"/>
      <c r="X10" s="6"/>
      <c r="Y10" s="6"/>
      <c r="Z10" s="6"/>
      <c r="AA10" s="6"/>
      <c r="AB10" s="6"/>
      <c r="AC10" s="6"/>
      <c r="AD10" s="6"/>
      <c r="AE10" s="6"/>
      <c r="AF10" s="6"/>
      <c r="AG10" s="6">
        <f t="shared" si="0"/>
        <v>1.5579999999999998</v>
      </c>
      <c r="AH10" s="472">
        <f t="shared" si="1"/>
        <v>4.429030332319412E-2</v>
      </c>
    </row>
    <row r="11" spans="1:35">
      <c r="A11" s="462" t="s">
        <v>207</v>
      </c>
      <c r="B11" s="6">
        <v>0.33500000000000002</v>
      </c>
      <c r="C11" s="6"/>
      <c r="D11" s="6">
        <v>0.40300000000000002</v>
      </c>
      <c r="E11" s="6">
        <v>0.38</v>
      </c>
      <c r="F11" s="6"/>
      <c r="G11" s="6">
        <v>0.115</v>
      </c>
      <c r="H11" s="6"/>
      <c r="I11" s="6"/>
      <c r="J11" s="6">
        <f>80/1000</f>
        <v>0.08</v>
      </c>
      <c r="K11" s="6">
        <f>150/1000</f>
        <v>0.15</v>
      </c>
      <c r="L11" s="6"/>
      <c r="M11" s="6"/>
      <c r="N11" s="6">
        <v>0.7</v>
      </c>
      <c r="O11" s="6"/>
      <c r="P11" s="6"/>
      <c r="Q11" s="6"/>
      <c r="R11" s="6">
        <v>0.15</v>
      </c>
      <c r="S11" s="6">
        <v>0.47699999999999998</v>
      </c>
      <c r="T11" s="6"/>
      <c r="U11" s="6"/>
      <c r="V11" s="6"/>
      <c r="W11" s="6"/>
      <c r="X11" s="6"/>
      <c r="Y11" s="6">
        <v>0.26</v>
      </c>
      <c r="Z11" s="6"/>
      <c r="AA11" s="6">
        <v>0.41699999999999998</v>
      </c>
      <c r="AB11" s="6"/>
      <c r="AC11" s="6"/>
      <c r="AD11" s="6"/>
      <c r="AE11" s="6"/>
      <c r="AF11" s="6"/>
      <c r="AG11" s="6">
        <f t="shared" si="0"/>
        <v>3.4669999999999996</v>
      </c>
      <c r="AH11" s="472">
        <f t="shared" si="1"/>
        <v>9.8558717343718877E-2</v>
      </c>
    </row>
    <row r="12" spans="1:35">
      <c r="A12" s="462" t="s">
        <v>208</v>
      </c>
      <c r="B12" s="6"/>
      <c r="C12" s="6"/>
      <c r="D12" s="6"/>
      <c r="E12" s="6"/>
      <c r="F12" s="6"/>
      <c r="G12" s="6"/>
      <c r="H12" s="6"/>
      <c r="I12" s="6"/>
      <c r="J12" s="6"/>
      <c r="K12" s="6"/>
      <c r="L12" s="6"/>
      <c r="M12" s="6"/>
      <c r="N12" s="6"/>
      <c r="O12" s="6"/>
      <c r="P12" s="6">
        <v>0.69</v>
      </c>
      <c r="Q12" s="6"/>
      <c r="R12" s="6"/>
      <c r="S12" s="6"/>
      <c r="T12" s="6"/>
      <c r="U12" s="6"/>
      <c r="V12" s="6"/>
      <c r="W12" s="6"/>
      <c r="X12" s="6"/>
      <c r="Y12" s="6"/>
      <c r="Z12" s="6"/>
      <c r="AA12" s="6"/>
      <c r="AB12" s="6"/>
      <c r="AC12" s="6"/>
      <c r="AD12" s="6"/>
      <c r="AE12" s="6"/>
      <c r="AF12" s="6"/>
      <c r="AG12" s="6">
        <f t="shared" si="0"/>
        <v>0.69</v>
      </c>
      <c r="AH12" s="472">
        <f t="shared" si="1"/>
        <v>1.9615089405008949E-2</v>
      </c>
    </row>
    <row r="13" spans="1:35">
      <c r="A13" s="462" t="s">
        <v>209</v>
      </c>
      <c r="B13" s="6">
        <v>0.15</v>
      </c>
      <c r="C13" s="6"/>
      <c r="D13" s="6"/>
      <c r="E13" s="6"/>
      <c r="F13" s="6"/>
      <c r="G13" s="6"/>
      <c r="H13" s="6"/>
      <c r="I13" s="6">
        <v>0.2</v>
      </c>
      <c r="J13" s="6"/>
      <c r="K13" s="6">
        <v>0.25</v>
      </c>
      <c r="L13" s="6"/>
      <c r="M13" s="6"/>
      <c r="N13" s="6"/>
      <c r="O13" s="6"/>
      <c r="P13" s="6">
        <v>0.38</v>
      </c>
      <c r="Q13" s="6"/>
      <c r="R13" s="6"/>
      <c r="S13" s="6"/>
      <c r="T13" s="6"/>
      <c r="U13" s="6"/>
      <c r="V13" s="6"/>
      <c r="W13" s="6"/>
      <c r="X13" s="6"/>
      <c r="Y13" s="6"/>
      <c r="Z13" s="6">
        <v>0.499</v>
      </c>
      <c r="AA13" s="6"/>
      <c r="AB13" s="6"/>
      <c r="AC13" s="6"/>
      <c r="AD13" s="6"/>
      <c r="AE13" s="6"/>
      <c r="AF13" s="6"/>
      <c r="AG13" s="6">
        <f t="shared" si="0"/>
        <v>1.4790000000000001</v>
      </c>
      <c r="AH13" s="472">
        <f t="shared" si="1"/>
        <v>4.2044517724649622E-2</v>
      </c>
    </row>
    <row r="14" spans="1:35">
      <c r="A14" s="462" t="s">
        <v>272</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0"/>
        <v>0</v>
      </c>
      <c r="AH14" s="472">
        <f t="shared" si="1"/>
        <v>0</v>
      </c>
    </row>
    <row r="15" spans="1:35">
      <c r="A15" s="462" t="s">
        <v>204</v>
      </c>
      <c r="B15" s="6"/>
      <c r="C15" s="6"/>
      <c r="D15" s="6"/>
      <c r="E15" s="6"/>
      <c r="F15" s="6"/>
      <c r="G15" s="6"/>
      <c r="H15" s="6"/>
      <c r="I15" s="6"/>
      <c r="J15" s="6"/>
      <c r="K15" s="6"/>
      <c r="L15" s="6"/>
      <c r="M15" s="6"/>
      <c r="N15" s="6">
        <v>0.2</v>
      </c>
      <c r="O15" s="6"/>
      <c r="P15" s="6"/>
      <c r="Q15" s="6"/>
      <c r="R15" s="6"/>
      <c r="S15" s="6"/>
      <c r="T15" s="6"/>
      <c r="U15" s="6"/>
      <c r="V15" s="6"/>
      <c r="W15" s="6"/>
      <c r="X15" s="6"/>
      <c r="Y15" s="6"/>
      <c r="Z15" s="6"/>
      <c r="AA15" s="6"/>
      <c r="AB15" s="6"/>
      <c r="AC15" s="6"/>
      <c r="AD15" s="6"/>
      <c r="AE15" s="6"/>
      <c r="AF15" s="6"/>
      <c r="AG15" s="6">
        <f t="shared" si="0"/>
        <v>0.2</v>
      </c>
      <c r="AH15" s="472">
        <f t="shared" si="1"/>
        <v>5.6855331608721598E-3</v>
      </c>
    </row>
    <row r="16" spans="1:35">
      <c r="A16" s="462" t="s">
        <v>375</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0"/>
        <v>0</v>
      </c>
      <c r="AH16" s="472">
        <f t="shared" si="1"/>
        <v>0</v>
      </c>
    </row>
    <row r="17" spans="1:34">
      <c r="A17" s="462" t="s">
        <v>273</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f t="shared" si="0"/>
        <v>0</v>
      </c>
      <c r="AH17" s="472">
        <f t="shared" si="1"/>
        <v>0</v>
      </c>
    </row>
    <row r="18" spans="1:34">
      <c r="A18" s="462" t="s">
        <v>274</v>
      </c>
      <c r="B18" s="6"/>
      <c r="C18" s="6"/>
      <c r="D18" s="6"/>
      <c r="E18" s="6"/>
      <c r="F18" s="6"/>
      <c r="G18" s="6"/>
      <c r="H18" s="6"/>
      <c r="I18" s="6"/>
      <c r="J18" s="6"/>
      <c r="K18" s="6"/>
      <c r="L18" s="6"/>
      <c r="M18" s="6"/>
      <c r="N18" s="6"/>
      <c r="O18" s="463"/>
      <c r="P18" s="6"/>
      <c r="Q18" s="6"/>
      <c r="R18" s="6"/>
      <c r="S18" s="6"/>
      <c r="T18" s="6"/>
      <c r="U18" s="6"/>
      <c r="V18" s="6"/>
      <c r="W18" s="6"/>
      <c r="X18" s="6"/>
      <c r="Y18" s="6"/>
      <c r="Z18" s="6"/>
      <c r="AA18" s="6"/>
      <c r="AB18" s="6"/>
      <c r="AC18" s="6"/>
      <c r="AD18" s="6"/>
      <c r="AE18" s="6"/>
      <c r="AF18" s="6"/>
      <c r="AG18" s="6">
        <f t="shared" si="0"/>
        <v>0</v>
      </c>
      <c r="AH18" s="472">
        <f t="shared" si="1"/>
        <v>0</v>
      </c>
    </row>
    <row r="19" spans="1:34">
      <c r="A19" s="462" t="s">
        <v>210</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f t="shared" si="0"/>
        <v>0</v>
      </c>
      <c r="AH19" s="472">
        <f t="shared" si="1"/>
        <v>0</v>
      </c>
    </row>
    <row r="20" spans="1:34">
      <c r="A20" s="462" t="s">
        <v>211</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0"/>
        <v>0</v>
      </c>
      <c r="AH20" s="472">
        <f t="shared" si="1"/>
        <v>0</v>
      </c>
    </row>
    <row r="21" spans="1:34">
      <c r="A21" s="462" t="s">
        <v>212</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0"/>
        <v>0</v>
      </c>
      <c r="AH21" s="472">
        <f t="shared" si="1"/>
        <v>0</v>
      </c>
    </row>
    <row r="22" spans="1:34">
      <c r="A22" s="462" t="s">
        <v>213</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0"/>
        <v>0</v>
      </c>
      <c r="AH22" s="472">
        <f t="shared" si="1"/>
        <v>0</v>
      </c>
    </row>
    <row r="23" spans="1:34">
      <c r="A23" s="462" t="s">
        <v>214</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0"/>
        <v>0</v>
      </c>
      <c r="AH23" s="472">
        <f t="shared" si="1"/>
        <v>0</v>
      </c>
    </row>
    <row r="24" spans="1:34">
      <c r="A24" s="462" t="s">
        <v>275</v>
      </c>
      <c r="B24" s="6"/>
      <c r="C24" s="6"/>
      <c r="D24" s="6"/>
      <c r="E24" s="6"/>
      <c r="F24" s="6"/>
      <c r="G24" s="6"/>
      <c r="H24" s="6"/>
      <c r="I24" s="6">
        <v>0.872</v>
      </c>
      <c r="J24" s="6"/>
      <c r="K24" s="6"/>
      <c r="L24" s="6"/>
      <c r="M24" s="6"/>
      <c r="N24" s="6"/>
      <c r="O24" s="6"/>
      <c r="P24" s="6"/>
      <c r="Q24" s="6"/>
      <c r="R24" s="6"/>
      <c r="S24" s="6"/>
      <c r="T24" s="6">
        <f>185/1000</f>
        <v>0.185</v>
      </c>
      <c r="U24" s="6"/>
      <c r="V24" s="6"/>
      <c r="W24" s="6"/>
      <c r="X24" s="6"/>
      <c r="Y24" s="6"/>
      <c r="Z24" s="6"/>
      <c r="AA24" s="6"/>
      <c r="AB24" s="6"/>
      <c r="AC24" s="6"/>
      <c r="AD24" s="6"/>
      <c r="AE24" s="6">
        <v>0.1</v>
      </c>
      <c r="AF24" s="6"/>
      <c r="AG24" s="6">
        <f t="shared" si="0"/>
        <v>1.157</v>
      </c>
      <c r="AH24" s="472">
        <f t="shared" si="1"/>
        <v>3.2890809335645442E-2</v>
      </c>
    </row>
    <row r="25" spans="1:34">
      <c r="A25" s="462" t="s">
        <v>215</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0"/>
        <v>0</v>
      </c>
      <c r="AH25" s="472">
        <f t="shared" si="1"/>
        <v>0</v>
      </c>
    </row>
    <row r="26" spans="1:34">
      <c r="A26" s="462" t="s">
        <v>216</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0"/>
        <v>0</v>
      </c>
      <c r="AH26" s="472">
        <f t="shared" si="1"/>
        <v>0</v>
      </c>
    </row>
    <row r="27" spans="1:34">
      <c r="A27" s="462" t="s">
        <v>276</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0"/>
        <v>0</v>
      </c>
      <c r="AH27" s="472">
        <f t="shared" si="1"/>
        <v>0</v>
      </c>
    </row>
    <row r="28" spans="1:34">
      <c r="A28" s="462" t="s">
        <v>217</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0"/>
        <v>0</v>
      </c>
      <c r="AH28" s="472">
        <f t="shared" si="1"/>
        <v>0</v>
      </c>
    </row>
    <row r="29" spans="1:34">
      <c r="A29" s="462" t="s">
        <v>218</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0"/>
        <v>0</v>
      </c>
      <c r="AH29" s="472">
        <f t="shared" si="1"/>
        <v>0</v>
      </c>
    </row>
    <row r="30" spans="1:34">
      <c r="A30" s="462" t="s">
        <v>219</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0"/>
        <v>0</v>
      </c>
      <c r="AH30" s="472">
        <f t="shared" si="1"/>
        <v>0</v>
      </c>
    </row>
    <row r="31" spans="1:34">
      <c r="A31" s="462" t="s">
        <v>277</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0"/>
        <v>0</v>
      </c>
      <c r="AH31" s="472">
        <f t="shared" si="1"/>
        <v>0</v>
      </c>
    </row>
    <row r="32" spans="1:34">
      <c r="A32" s="462" t="s">
        <v>220</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0"/>
        <v>0</v>
      </c>
      <c r="AH32" s="472">
        <f t="shared" si="1"/>
        <v>0</v>
      </c>
    </row>
    <row r="33" spans="1:34">
      <c r="A33" s="462" t="s">
        <v>221</v>
      </c>
      <c r="B33" s="6"/>
      <c r="C33" s="6"/>
      <c r="D33" s="6"/>
      <c r="E33" s="6"/>
      <c r="F33" s="6"/>
      <c r="G33" s="6"/>
      <c r="H33" s="6"/>
      <c r="I33" s="6"/>
      <c r="J33" s="6">
        <v>0.66400000000000003</v>
      </c>
      <c r="K33" s="6"/>
      <c r="L33" s="6"/>
      <c r="M33" s="6"/>
      <c r="N33" s="6"/>
      <c r="O33" s="6"/>
      <c r="P33" s="6"/>
      <c r="Q33" s="6"/>
      <c r="R33" s="6"/>
      <c r="S33" s="6"/>
      <c r="T33" s="6"/>
      <c r="U33" s="6"/>
      <c r="V33" s="6"/>
      <c r="W33" s="6"/>
      <c r="X33" s="6"/>
      <c r="Y33" s="6"/>
      <c r="Z33" s="6"/>
      <c r="AA33" s="6"/>
      <c r="AB33" s="6"/>
      <c r="AC33" s="6"/>
      <c r="AD33" s="6"/>
      <c r="AE33" s="6"/>
      <c r="AF33" s="6"/>
      <c r="AG33" s="6">
        <f t="shared" si="0"/>
        <v>0.66400000000000003</v>
      </c>
      <c r="AH33" s="472">
        <f t="shared" si="1"/>
        <v>1.887597009409557E-2</v>
      </c>
    </row>
    <row r="34" spans="1:34">
      <c r="A34" s="464" t="s">
        <v>222</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0"/>
        <v>0</v>
      </c>
      <c r="AH34" s="472">
        <f t="shared" si="1"/>
        <v>0</v>
      </c>
    </row>
    <row r="35" spans="1:34">
      <c r="A35" s="464" t="s">
        <v>223</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0"/>
        <v>0</v>
      </c>
      <c r="AH35" s="472">
        <f t="shared" si="1"/>
        <v>0</v>
      </c>
    </row>
    <row r="36" spans="1:34">
      <c r="A36" s="464" t="s">
        <v>224</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0"/>
        <v>0</v>
      </c>
      <c r="AH36" s="472">
        <f t="shared" si="1"/>
        <v>0</v>
      </c>
    </row>
    <row r="37" spans="1:34">
      <c r="A37" s="464" t="s">
        <v>372</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f t="shared" si="0"/>
        <v>0</v>
      </c>
      <c r="AH37" s="472">
        <f>+AG37/$AG$39</f>
        <v>0</v>
      </c>
    </row>
    <row r="38" spans="1:34">
      <c r="A38" s="490" t="s">
        <v>278</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91">
        <f>+AG39/Efficiency1!$K$197</f>
        <v>2.1024490432763922E-2</v>
      </c>
    </row>
    <row r="39" spans="1:34">
      <c r="A39" s="464" t="s">
        <v>3</v>
      </c>
      <c r="B39" s="6">
        <f t="shared" ref="B39:AF39" si="2">SUM(B3:B37)</f>
        <v>4.2800000000000011</v>
      </c>
      <c r="C39" s="6">
        <f t="shared" si="2"/>
        <v>7.1820000000000004</v>
      </c>
      <c r="D39" s="6">
        <f t="shared" si="2"/>
        <v>5.6720000000000006</v>
      </c>
      <c r="E39" s="6">
        <f t="shared" si="2"/>
        <v>4.6629999999999994</v>
      </c>
      <c r="F39" s="6">
        <f t="shared" si="2"/>
        <v>3.9730000000000003</v>
      </c>
      <c r="G39" s="6">
        <f t="shared" si="2"/>
        <v>4.6940000000000008</v>
      </c>
      <c r="H39" s="6">
        <f t="shared" si="2"/>
        <v>8.1150000000000002</v>
      </c>
      <c r="I39" s="6">
        <f t="shared" si="2"/>
        <v>12.034000000000001</v>
      </c>
      <c r="J39" s="6">
        <f t="shared" si="2"/>
        <v>6.3159999999999998</v>
      </c>
      <c r="K39" s="6">
        <f t="shared" si="2"/>
        <v>6.3040000000000003</v>
      </c>
      <c r="L39" s="6">
        <f t="shared" si="2"/>
        <v>7.3649999999999993</v>
      </c>
      <c r="M39" s="6">
        <f t="shared" si="2"/>
        <v>5.71</v>
      </c>
      <c r="N39" s="6">
        <f t="shared" si="2"/>
        <v>6.8690000000000015</v>
      </c>
      <c r="O39" s="7">
        <f t="shared" si="2"/>
        <v>8.7490000000000006</v>
      </c>
      <c r="P39" s="6">
        <f t="shared" si="2"/>
        <v>8.4540000000000006</v>
      </c>
      <c r="Q39" s="6">
        <f t="shared" si="2"/>
        <v>6.0969999999999995</v>
      </c>
      <c r="R39" s="6">
        <f t="shared" si="2"/>
        <v>5.8559999999999999</v>
      </c>
      <c r="S39" s="6">
        <f t="shared" si="2"/>
        <v>5.577</v>
      </c>
      <c r="T39" s="6">
        <f t="shared" si="2"/>
        <v>5.6420000000000003</v>
      </c>
      <c r="U39" s="6">
        <f t="shared" si="2"/>
        <v>6.0449999999999999</v>
      </c>
      <c r="V39" s="6">
        <f t="shared" si="2"/>
        <v>6.8410000000000002</v>
      </c>
      <c r="W39" s="6">
        <f t="shared" si="2"/>
        <v>7.2519999999999998</v>
      </c>
      <c r="X39" s="6">
        <f t="shared" si="2"/>
        <v>3.8040000000000003</v>
      </c>
      <c r="Y39" s="6">
        <f t="shared" si="2"/>
        <v>5.1470000000000002</v>
      </c>
      <c r="Z39" s="6">
        <f t="shared" si="2"/>
        <v>8.1660000000000004</v>
      </c>
      <c r="AA39" s="6">
        <f t="shared" si="2"/>
        <v>5.7899999999999991</v>
      </c>
      <c r="AB39" s="6">
        <f t="shared" si="2"/>
        <v>3.0129999999999999</v>
      </c>
      <c r="AC39" s="6">
        <f t="shared" si="2"/>
        <v>4.3640000000000008</v>
      </c>
      <c r="AD39" s="6">
        <f t="shared" si="2"/>
        <v>4.2869999999999999</v>
      </c>
      <c r="AE39" s="6">
        <f t="shared" si="2"/>
        <v>3.5960000000000001</v>
      </c>
      <c r="AF39" s="6">
        <f t="shared" si="2"/>
        <v>0</v>
      </c>
      <c r="AG39" s="19">
        <f>SUM(AG6:AG38)</f>
        <v>35.177000000000007</v>
      </c>
      <c r="AH39" s="474">
        <f>SUM(AH6:AH37)</f>
        <v>1.0000000000000002</v>
      </c>
    </row>
  </sheetData>
  <mergeCells count="1">
    <mergeCell ref="AI3:A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U260"/>
  <sheetViews>
    <sheetView topLeftCell="A178" workbookViewId="0">
      <selection activeCell="F195" sqref="F195"/>
    </sheetView>
  </sheetViews>
  <sheetFormatPr defaultRowHeight="12.75"/>
  <cols>
    <col min="2" max="2" width="10.7109375" bestFit="1" customWidth="1"/>
    <col min="4" max="4" width="52.42578125" bestFit="1" customWidth="1"/>
    <col min="5" max="5" width="18.140625" bestFit="1" customWidth="1"/>
    <col min="6" max="6" width="22.42578125" bestFit="1" customWidth="1"/>
    <col min="8" max="8" width="27.7109375" bestFit="1" customWidth="1"/>
    <col min="13" max="13" width="10.7109375" bestFit="1" customWidth="1"/>
    <col min="15" max="15" width="52.42578125" bestFit="1" customWidth="1"/>
    <col min="16" max="16" width="18.140625" bestFit="1" customWidth="1"/>
    <col min="17" max="17" width="22.42578125" bestFit="1" customWidth="1"/>
    <col min="19" max="19" width="27.7109375" bestFit="1" customWidth="1"/>
  </cols>
  <sheetData>
    <row r="1" spans="1:21" ht="45">
      <c r="A1" s="465" t="s">
        <v>380</v>
      </c>
      <c r="B1" s="476" t="s">
        <v>9</v>
      </c>
      <c r="C1" s="477" t="s">
        <v>257</v>
      </c>
      <c r="D1" s="478" t="s">
        <v>141</v>
      </c>
      <c r="E1" s="478" t="s">
        <v>258</v>
      </c>
      <c r="F1" s="478" t="s">
        <v>259</v>
      </c>
      <c r="H1" s="475" t="s">
        <v>260</v>
      </c>
      <c r="I1" s="469" t="s">
        <v>261</v>
      </c>
      <c r="J1" s="469" t="s">
        <v>262</v>
      </c>
      <c r="L1" s="465" t="s">
        <v>359</v>
      </c>
      <c r="M1" s="476" t="s">
        <v>9</v>
      </c>
      <c r="N1" s="477" t="s">
        <v>257</v>
      </c>
      <c r="O1" s="478" t="s">
        <v>141</v>
      </c>
      <c r="P1" s="478" t="s">
        <v>258</v>
      </c>
      <c r="Q1" s="478" t="s">
        <v>259</v>
      </c>
      <c r="S1" s="541" t="s">
        <v>260</v>
      </c>
      <c r="T1" s="469" t="s">
        <v>261</v>
      </c>
      <c r="U1" s="469" t="s">
        <v>262</v>
      </c>
    </row>
    <row r="2" spans="1:21">
      <c r="B2" s="374">
        <v>46023</v>
      </c>
      <c r="C2" s="4">
        <v>4</v>
      </c>
      <c r="D2" s="492" t="s">
        <v>394</v>
      </c>
      <c r="E2" t="s">
        <v>248</v>
      </c>
      <c r="F2" t="s">
        <v>246</v>
      </c>
      <c r="H2" s="6" t="s">
        <v>160</v>
      </c>
      <c r="I2" s="354">
        <f>+Efficiency1!Z197</f>
        <v>5.3169999999999993</v>
      </c>
      <c r="J2" s="479">
        <f>I2/$I$8</f>
        <v>3.1778496071582494E-3</v>
      </c>
      <c r="M2" s="374">
        <v>46023</v>
      </c>
      <c r="N2" s="4">
        <v>4</v>
      </c>
      <c r="O2" s="492" t="s">
        <v>394</v>
      </c>
      <c r="P2" t="s">
        <v>248</v>
      </c>
      <c r="Q2" t="s">
        <v>246</v>
      </c>
      <c r="S2" s="6" t="s">
        <v>160</v>
      </c>
      <c r="T2" s="354">
        <f>+Efficiency2!Z190</f>
        <v>5.3169999999999993</v>
      </c>
      <c r="U2" s="479">
        <f>T2/$T$8</f>
        <v>3.437431895119413E-3</v>
      </c>
    </row>
    <row r="3" spans="1:21">
      <c r="B3" s="374"/>
      <c r="C3" s="4">
        <v>11</v>
      </c>
      <c r="D3" s="492" t="s">
        <v>419</v>
      </c>
      <c r="E3" t="s">
        <v>247</v>
      </c>
      <c r="F3" t="s">
        <v>246</v>
      </c>
      <c r="H3" s="6" t="s">
        <v>240</v>
      </c>
      <c r="I3" s="354">
        <f>+Efficiency1!Y197+Efficiency1!AA197</f>
        <v>16.335971986247319</v>
      </c>
      <c r="J3" s="479">
        <f>I3/$I$8</f>
        <v>9.7636377955697233E-3</v>
      </c>
      <c r="M3" s="374"/>
      <c r="N3" s="4">
        <v>11</v>
      </c>
      <c r="O3" s="492" t="s">
        <v>419</v>
      </c>
      <c r="P3" t="s">
        <v>247</v>
      </c>
      <c r="Q3" t="s">
        <v>246</v>
      </c>
      <c r="S3" s="6" t="s">
        <v>240</v>
      </c>
      <c r="T3" s="354">
        <f>+Efficiency2!Y190+Efficiency2!AA190</f>
        <v>16.335971986247319</v>
      </c>
      <c r="U3" s="479">
        <f t="shared" ref="U3:U5" si="0">T3/$T$8</f>
        <v>1.056117945143949E-2</v>
      </c>
    </row>
    <row r="4" spans="1:21">
      <c r="B4" s="44"/>
      <c r="C4" s="4">
        <v>22</v>
      </c>
      <c r="D4" t="s">
        <v>420</v>
      </c>
      <c r="E4" t="s">
        <v>361</v>
      </c>
      <c r="F4" t="s">
        <v>246</v>
      </c>
      <c r="H4" s="6" t="s">
        <v>263</v>
      </c>
      <c r="I4" s="354">
        <f>+Efficiency1!AB197</f>
        <v>-11.132334678425289</v>
      </c>
      <c r="J4" s="479">
        <f>I4/$I$8</f>
        <v>-6.6535424834658578E-3</v>
      </c>
      <c r="M4" s="44"/>
      <c r="N4" s="4">
        <v>22</v>
      </c>
      <c r="O4" t="s">
        <v>420</v>
      </c>
      <c r="P4" t="s">
        <v>361</v>
      </c>
      <c r="Q4" t="s">
        <v>246</v>
      </c>
      <c r="S4" s="6" t="s">
        <v>263</v>
      </c>
      <c r="T4" s="354">
        <f>+Efficiency2!AB190</f>
        <v>-3.34146880668896</v>
      </c>
      <c r="U4" s="479">
        <f t="shared" si="0"/>
        <v>-2.1602541757869543E-3</v>
      </c>
    </row>
    <row r="5" spans="1:21">
      <c r="B5" s="374"/>
      <c r="C5" s="4">
        <v>15</v>
      </c>
      <c r="D5" s="492" t="s">
        <v>225</v>
      </c>
      <c r="E5" t="s">
        <v>14</v>
      </c>
      <c r="F5" t="s">
        <v>246</v>
      </c>
      <c r="H5" s="6" t="s">
        <v>243</v>
      </c>
      <c r="I5" s="354">
        <f>+Efficiency1!AC197</f>
        <v>135.64805664546657</v>
      </c>
      <c r="J5" s="479">
        <f>I5/$I$8</f>
        <v>8.107374901684708E-2</v>
      </c>
      <c r="M5" s="374"/>
      <c r="N5" s="4">
        <v>15</v>
      </c>
      <c r="O5" s="492" t="s">
        <v>225</v>
      </c>
      <c r="P5" t="s">
        <v>14</v>
      </c>
      <c r="Q5" t="s">
        <v>246</v>
      </c>
      <c r="S5" s="6" t="s">
        <v>243</v>
      </c>
      <c r="T5" s="354">
        <f>+Efficiency2!AC190</f>
        <v>34.626539356326241</v>
      </c>
      <c r="U5" s="479">
        <f t="shared" si="0"/>
        <v>2.2386001655264897E-2</v>
      </c>
    </row>
    <row r="6" spans="1:21">
      <c r="B6" s="374"/>
      <c r="C6" s="4">
        <v>125</v>
      </c>
      <c r="D6" t="s">
        <v>421</v>
      </c>
      <c r="E6" t="s">
        <v>548</v>
      </c>
      <c r="F6" t="s">
        <v>244</v>
      </c>
      <c r="M6" s="374"/>
      <c r="N6" s="4">
        <v>125</v>
      </c>
      <c r="O6" t="s">
        <v>421</v>
      </c>
      <c r="P6" t="s">
        <v>548</v>
      </c>
      <c r="Q6" t="s">
        <v>244</v>
      </c>
    </row>
    <row r="7" spans="1:21">
      <c r="B7" s="374"/>
      <c r="C7" s="4"/>
      <c r="D7" s="492"/>
      <c r="M7" s="374"/>
      <c r="N7" s="4"/>
      <c r="O7" s="492"/>
    </row>
    <row r="8" spans="1:21">
      <c r="B8" s="374">
        <v>46024</v>
      </c>
      <c r="C8" s="4">
        <v>0</v>
      </c>
      <c r="D8" s="492" t="s">
        <v>386</v>
      </c>
      <c r="E8" t="s">
        <v>248</v>
      </c>
      <c r="F8" t="s">
        <v>246</v>
      </c>
      <c r="H8" s="480" t="s">
        <v>264</v>
      </c>
      <c r="I8" s="7">
        <f>+Efficiency1!K197</f>
        <v>1673.1439990184613</v>
      </c>
      <c r="M8" s="374">
        <v>46024</v>
      </c>
      <c r="N8" s="4">
        <v>0</v>
      </c>
      <c r="O8" t="s">
        <v>386</v>
      </c>
      <c r="P8" t="s">
        <v>248</v>
      </c>
      <c r="Q8" t="s">
        <v>246</v>
      </c>
      <c r="S8" s="480" t="s">
        <v>264</v>
      </c>
      <c r="T8" s="7">
        <f>+Efficiency2!K190</f>
        <v>1546.7942819606881</v>
      </c>
    </row>
    <row r="9" spans="1:21">
      <c r="B9" s="44"/>
      <c r="C9" s="4">
        <v>12</v>
      </c>
      <c r="D9" t="s">
        <v>438</v>
      </c>
      <c r="E9" t="s">
        <v>247</v>
      </c>
      <c r="F9" t="s">
        <v>246</v>
      </c>
      <c r="H9" s="480" t="s">
        <v>265</v>
      </c>
      <c r="I9" s="7">
        <f>+Efficiency1!AD197</f>
        <v>5221</v>
      </c>
      <c r="M9" s="44"/>
      <c r="N9" s="4">
        <v>12</v>
      </c>
      <c r="O9" s="492" t="s">
        <v>438</v>
      </c>
      <c r="P9" t="s">
        <v>247</v>
      </c>
      <c r="Q9" t="s">
        <v>246</v>
      </c>
      <c r="S9" s="480" t="s">
        <v>265</v>
      </c>
      <c r="T9" s="7">
        <f>+Efficiency2!AD190</f>
        <v>4420</v>
      </c>
    </row>
    <row r="10" spans="1:21">
      <c r="B10" s="374"/>
      <c r="C10" s="4">
        <v>35</v>
      </c>
      <c r="D10" s="492" t="s">
        <v>439</v>
      </c>
      <c r="E10" t="s">
        <v>361</v>
      </c>
      <c r="F10" t="s">
        <v>246</v>
      </c>
      <c r="H10" s="480" t="s">
        <v>266</v>
      </c>
      <c r="I10" s="7">
        <f>+Efficiency1!V197</f>
        <v>194.74530506517235</v>
      </c>
      <c r="M10" s="374"/>
      <c r="N10" s="4">
        <v>35</v>
      </c>
      <c r="O10" t="s">
        <v>439</v>
      </c>
      <c r="P10" t="s">
        <v>361</v>
      </c>
      <c r="Q10" t="s">
        <v>246</v>
      </c>
      <c r="S10" s="480" t="s">
        <v>266</v>
      </c>
      <c r="T10" s="7">
        <f>+Efficiency2!V190</f>
        <v>161.6262394248032</v>
      </c>
    </row>
    <row r="11" spans="1:21">
      <c r="B11" s="374"/>
      <c r="C11" s="4">
        <v>8</v>
      </c>
      <c r="D11" t="s">
        <v>225</v>
      </c>
      <c r="E11" t="s">
        <v>14</v>
      </c>
      <c r="F11" t="s">
        <v>246</v>
      </c>
      <c r="G11" s="518"/>
      <c r="H11" s="480" t="s">
        <v>267</v>
      </c>
      <c r="I11" s="472">
        <f>I10/I8</f>
        <v>0.116394826254894</v>
      </c>
      <c r="M11" s="374"/>
      <c r="N11" s="4">
        <v>8</v>
      </c>
      <c r="O11" s="492" t="s">
        <v>225</v>
      </c>
      <c r="P11" t="s">
        <v>14</v>
      </c>
      <c r="Q11" t="s">
        <v>246</v>
      </c>
      <c r="R11" s="518"/>
      <c r="S11" s="480" t="s">
        <v>267</v>
      </c>
      <c r="T11" s="472">
        <f>T10/T8</f>
        <v>0.10449110221685637</v>
      </c>
    </row>
    <row r="12" spans="1:21" ht="12.75" customHeight="1">
      <c r="B12" s="374"/>
      <c r="C12" s="4"/>
      <c r="D12" s="492"/>
      <c r="M12" s="374"/>
      <c r="N12" s="4"/>
      <c r="O12" s="492"/>
    </row>
    <row r="13" spans="1:21" ht="12.75" customHeight="1">
      <c r="B13" s="374">
        <v>46025</v>
      </c>
      <c r="C13" s="4">
        <v>0</v>
      </c>
      <c r="D13" s="492" t="s">
        <v>386</v>
      </c>
      <c r="E13" t="s">
        <v>248</v>
      </c>
      <c r="F13" t="s">
        <v>246</v>
      </c>
      <c r="M13" s="374">
        <v>46025</v>
      </c>
      <c r="N13" s="4">
        <v>0</v>
      </c>
      <c r="O13" t="s">
        <v>386</v>
      </c>
      <c r="P13" t="s">
        <v>248</v>
      </c>
      <c r="Q13" t="s">
        <v>246</v>
      </c>
    </row>
    <row r="14" spans="1:21" ht="12.75" customHeight="1">
      <c r="B14" s="44"/>
      <c r="C14" s="4">
        <v>16</v>
      </c>
      <c r="D14" t="s">
        <v>419</v>
      </c>
      <c r="E14" t="s">
        <v>247</v>
      </c>
      <c r="F14" t="s">
        <v>246</v>
      </c>
      <c r="M14" s="44"/>
      <c r="N14" s="4">
        <v>16</v>
      </c>
      <c r="O14" s="492" t="s">
        <v>419</v>
      </c>
      <c r="P14" t="s">
        <v>247</v>
      </c>
      <c r="Q14" t="s">
        <v>246</v>
      </c>
      <c r="R14" s="518">
        <f>+summary!Q44</f>
        <v>0.99999999999999967</v>
      </c>
    </row>
    <row r="15" spans="1:21" ht="12.75" customHeight="1">
      <c r="B15" s="374"/>
      <c r="C15" s="4">
        <v>27</v>
      </c>
      <c r="D15" s="492" t="s">
        <v>457</v>
      </c>
      <c r="E15" t="s">
        <v>361</v>
      </c>
      <c r="F15" t="s">
        <v>246</v>
      </c>
      <c r="G15" s="518">
        <f>+summary!H44</f>
        <v>0.99999999999999956</v>
      </c>
      <c r="M15" s="374"/>
      <c r="N15" s="4">
        <v>27</v>
      </c>
      <c r="O15" t="s">
        <v>457</v>
      </c>
      <c r="P15" t="s">
        <v>361</v>
      </c>
      <c r="Q15" t="s">
        <v>246</v>
      </c>
    </row>
    <row r="16" spans="1:21" ht="12.75" customHeight="1">
      <c r="B16" s="44"/>
      <c r="C16" s="4">
        <v>0</v>
      </c>
      <c r="D16" t="s">
        <v>225</v>
      </c>
      <c r="E16" t="s">
        <v>14</v>
      </c>
      <c r="F16" t="s">
        <v>246</v>
      </c>
      <c r="M16" s="44"/>
      <c r="N16" s="4">
        <v>0</v>
      </c>
      <c r="O16" s="492" t="s">
        <v>225</v>
      </c>
      <c r="P16" t="s">
        <v>14</v>
      </c>
      <c r="Q16" t="s">
        <v>246</v>
      </c>
    </row>
    <row r="17" spans="2:17" ht="12.75" customHeight="1">
      <c r="B17" s="374"/>
      <c r="C17" s="4">
        <v>210</v>
      </c>
      <c r="D17" s="492" t="s">
        <v>544</v>
      </c>
      <c r="E17" t="s">
        <v>545</v>
      </c>
      <c r="F17" t="s">
        <v>250</v>
      </c>
      <c r="M17" s="374"/>
      <c r="N17" s="4">
        <v>210</v>
      </c>
      <c r="O17" s="492" t="s">
        <v>544</v>
      </c>
      <c r="P17" t="s">
        <v>545</v>
      </c>
      <c r="Q17" t="s">
        <v>250</v>
      </c>
    </row>
    <row r="18" spans="2:17" ht="12.75" customHeight="1">
      <c r="B18" s="374"/>
      <c r="C18" s="4"/>
      <c r="D18" s="492"/>
      <c r="M18" s="374"/>
      <c r="N18" s="4"/>
    </row>
    <row r="19" spans="2:17" ht="12.75" customHeight="1">
      <c r="B19" s="44">
        <v>46026</v>
      </c>
      <c r="C19" s="4">
        <v>0</v>
      </c>
      <c r="D19" t="s">
        <v>386</v>
      </c>
      <c r="E19" t="s">
        <v>248</v>
      </c>
      <c r="F19" t="s">
        <v>246</v>
      </c>
      <c r="M19" s="44">
        <v>46026</v>
      </c>
      <c r="N19" s="4">
        <v>0</v>
      </c>
      <c r="O19" s="492" t="s">
        <v>386</v>
      </c>
      <c r="P19" t="s">
        <v>248</v>
      </c>
      <c r="Q19" t="s">
        <v>246</v>
      </c>
    </row>
    <row r="20" spans="2:17" ht="12.75" customHeight="1">
      <c r="B20" s="374"/>
      <c r="C20" s="4">
        <v>12</v>
      </c>
      <c r="D20" s="492" t="s">
        <v>438</v>
      </c>
      <c r="E20" t="s">
        <v>247</v>
      </c>
      <c r="F20" t="s">
        <v>246</v>
      </c>
      <c r="M20" s="374"/>
      <c r="N20" s="4">
        <v>12</v>
      </c>
      <c r="O20" t="s">
        <v>438</v>
      </c>
      <c r="P20" t="s">
        <v>247</v>
      </c>
      <c r="Q20" t="s">
        <v>246</v>
      </c>
    </row>
    <row r="21" spans="2:17">
      <c r="B21" s="374"/>
      <c r="C21" s="4">
        <v>36</v>
      </c>
      <c r="D21" t="s">
        <v>456</v>
      </c>
      <c r="E21" t="s">
        <v>361</v>
      </c>
      <c r="F21" t="s">
        <v>246</v>
      </c>
      <c r="M21" s="374"/>
      <c r="N21" s="4">
        <v>36</v>
      </c>
      <c r="O21" s="492" t="s">
        <v>456</v>
      </c>
      <c r="P21" t="s">
        <v>361</v>
      </c>
      <c r="Q21" t="s">
        <v>246</v>
      </c>
    </row>
    <row r="22" spans="2:17">
      <c r="B22" s="374"/>
      <c r="C22" s="4">
        <v>7</v>
      </c>
      <c r="D22" s="492" t="s">
        <v>225</v>
      </c>
      <c r="E22" t="s">
        <v>14</v>
      </c>
      <c r="F22" t="s">
        <v>246</v>
      </c>
      <c r="M22" s="374"/>
      <c r="N22" s="4">
        <v>7</v>
      </c>
      <c r="O22" s="492" t="s">
        <v>225</v>
      </c>
      <c r="P22" t="s">
        <v>14</v>
      </c>
      <c r="Q22" t="s">
        <v>246</v>
      </c>
    </row>
    <row r="23" spans="2:17">
      <c r="B23" s="374"/>
      <c r="C23" s="4">
        <v>52</v>
      </c>
      <c r="D23" s="492" t="s">
        <v>458</v>
      </c>
      <c r="E23" t="s">
        <v>545</v>
      </c>
      <c r="F23" t="s">
        <v>250</v>
      </c>
      <c r="M23" s="374"/>
      <c r="N23" s="4">
        <v>52</v>
      </c>
      <c r="O23" t="s">
        <v>458</v>
      </c>
      <c r="P23" t="s">
        <v>545</v>
      </c>
      <c r="Q23" t="s">
        <v>250</v>
      </c>
    </row>
    <row r="24" spans="2:17">
      <c r="B24" s="44"/>
      <c r="C24" s="4"/>
      <c r="M24" s="44"/>
      <c r="N24" s="4"/>
    </row>
    <row r="25" spans="2:17">
      <c r="B25" s="374">
        <v>46027</v>
      </c>
      <c r="C25" s="4">
        <v>5</v>
      </c>
      <c r="D25" s="492" t="s">
        <v>394</v>
      </c>
      <c r="E25" t="s">
        <v>248</v>
      </c>
      <c r="F25" t="s">
        <v>246</v>
      </c>
      <c r="M25" s="374">
        <v>46027</v>
      </c>
      <c r="N25" s="4">
        <v>5</v>
      </c>
      <c r="O25" s="492" t="s">
        <v>394</v>
      </c>
      <c r="P25" t="s">
        <v>248</v>
      </c>
      <c r="Q25" t="s">
        <v>246</v>
      </c>
    </row>
    <row r="26" spans="2:17">
      <c r="B26" s="44"/>
      <c r="C26" s="4">
        <v>17</v>
      </c>
      <c r="D26" t="s">
        <v>475</v>
      </c>
      <c r="E26" t="s">
        <v>247</v>
      </c>
      <c r="F26" t="s">
        <v>246</v>
      </c>
      <c r="M26" s="44"/>
      <c r="N26" s="4">
        <v>17</v>
      </c>
      <c r="O26" t="s">
        <v>475</v>
      </c>
      <c r="P26" t="s">
        <v>247</v>
      </c>
      <c r="Q26" t="s">
        <v>246</v>
      </c>
    </row>
    <row r="27" spans="2:17">
      <c r="B27" s="374"/>
      <c r="C27" s="4">
        <v>27</v>
      </c>
      <c r="D27" t="s">
        <v>396</v>
      </c>
      <c r="E27" t="s">
        <v>361</v>
      </c>
      <c r="F27" t="s">
        <v>246</v>
      </c>
      <c r="M27" s="374"/>
      <c r="N27" s="4">
        <v>27</v>
      </c>
      <c r="O27" t="s">
        <v>396</v>
      </c>
      <c r="P27" t="s">
        <v>361</v>
      </c>
      <c r="Q27" t="s">
        <v>246</v>
      </c>
    </row>
    <row r="28" spans="2:17">
      <c r="B28" s="374"/>
      <c r="C28" s="4">
        <v>7</v>
      </c>
      <c r="D28" t="s">
        <v>225</v>
      </c>
      <c r="E28" t="s">
        <v>14</v>
      </c>
      <c r="F28" t="s">
        <v>246</v>
      </c>
      <c r="M28" s="374"/>
      <c r="N28" s="4">
        <v>7</v>
      </c>
      <c r="O28" t="s">
        <v>225</v>
      </c>
      <c r="P28" t="s">
        <v>14</v>
      </c>
      <c r="Q28" t="s">
        <v>246</v>
      </c>
    </row>
    <row r="29" spans="2:17">
      <c r="B29" s="374"/>
      <c r="C29" s="4">
        <v>22</v>
      </c>
      <c r="D29" t="s">
        <v>485</v>
      </c>
      <c r="E29" t="s">
        <v>549</v>
      </c>
      <c r="F29" s="575" t="s">
        <v>253</v>
      </c>
      <c r="M29" s="374"/>
      <c r="N29" s="4">
        <v>22</v>
      </c>
      <c r="O29" t="s">
        <v>485</v>
      </c>
      <c r="P29" t="s">
        <v>549</v>
      </c>
      <c r="Q29" s="575" t="s">
        <v>253</v>
      </c>
    </row>
    <row r="30" spans="2:17">
      <c r="B30" s="44"/>
      <c r="C30" s="4"/>
      <c r="M30" s="44"/>
      <c r="N30" s="4"/>
    </row>
    <row r="31" spans="2:17">
      <c r="B31" s="374">
        <v>46028</v>
      </c>
      <c r="C31" s="4">
        <v>0</v>
      </c>
      <c r="D31" t="s">
        <v>386</v>
      </c>
      <c r="E31" t="s">
        <v>248</v>
      </c>
      <c r="F31" t="s">
        <v>246</v>
      </c>
      <c r="M31" s="374">
        <v>46028</v>
      </c>
      <c r="N31" s="4">
        <v>0</v>
      </c>
      <c r="O31" t="s">
        <v>386</v>
      </c>
      <c r="P31" t="s">
        <v>248</v>
      </c>
      <c r="Q31" t="s">
        <v>246</v>
      </c>
    </row>
    <row r="32" spans="2:17" ht="12.75" customHeight="1">
      <c r="B32" s="374"/>
      <c r="C32" s="4">
        <v>11</v>
      </c>
      <c r="D32" t="s">
        <v>437</v>
      </c>
      <c r="E32" t="s">
        <v>247</v>
      </c>
      <c r="F32" t="s">
        <v>246</v>
      </c>
      <c r="M32" s="374"/>
      <c r="N32" s="4">
        <v>11</v>
      </c>
      <c r="O32" t="s">
        <v>437</v>
      </c>
      <c r="P32" t="s">
        <v>247</v>
      </c>
      <c r="Q32" t="s">
        <v>246</v>
      </c>
    </row>
    <row r="33" spans="2:17" ht="12.75" customHeight="1">
      <c r="B33" s="374"/>
      <c r="C33" s="4">
        <v>22</v>
      </c>
      <c r="D33" t="s">
        <v>416</v>
      </c>
      <c r="E33" t="s">
        <v>361</v>
      </c>
      <c r="F33" t="s">
        <v>246</v>
      </c>
      <c r="M33" s="374"/>
      <c r="N33" s="4">
        <v>22</v>
      </c>
      <c r="O33" t="s">
        <v>416</v>
      </c>
      <c r="P33" t="s">
        <v>361</v>
      </c>
      <c r="Q33" t="s">
        <v>246</v>
      </c>
    </row>
    <row r="34" spans="2:17">
      <c r="B34" s="374"/>
      <c r="C34" s="4">
        <v>5</v>
      </c>
      <c r="D34" t="s">
        <v>225</v>
      </c>
      <c r="E34" t="s">
        <v>14</v>
      </c>
      <c r="F34" t="s">
        <v>246</v>
      </c>
      <c r="M34" s="374"/>
      <c r="N34" s="4">
        <v>5</v>
      </c>
      <c r="O34" t="s">
        <v>225</v>
      </c>
      <c r="P34" t="s">
        <v>14</v>
      </c>
      <c r="Q34" t="s">
        <v>246</v>
      </c>
    </row>
    <row r="35" spans="2:17">
      <c r="B35" s="44"/>
      <c r="C35" s="4">
        <v>480</v>
      </c>
      <c r="D35" t="s">
        <v>506</v>
      </c>
      <c r="E35" t="s">
        <v>546</v>
      </c>
      <c r="F35" t="s">
        <v>239</v>
      </c>
      <c r="M35" s="44"/>
      <c r="N35" s="4">
        <v>0</v>
      </c>
      <c r="O35" t="s">
        <v>506</v>
      </c>
      <c r="P35" t="s">
        <v>546</v>
      </c>
      <c r="Q35" t="s">
        <v>239</v>
      </c>
    </row>
    <row r="36" spans="2:17">
      <c r="B36" s="374"/>
      <c r="C36" s="4">
        <v>394</v>
      </c>
      <c r="D36" t="s">
        <v>507</v>
      </c>
      <c r="E36" t="s">
        <v>547</v>
      </c>
      <c r="F36" t="s">
        <v>254</v>
      </c>
      <c r="M36" s="374"/>
      <c r="N36" s="4">
        <v>394</v>
      </c>
      <c r="O36" t="s">
        <v>507</v>
      </c>
      <c r="P36" t="s">
        <v>547</v>
      </c>
      <c r="Q36" t="s">
        <v>254</v>
      </c>
    </row>
    <row r="37" spans="2:17">
      <c r="B37" s="44"/>
      <c r="C37" s="4"/>
      <c r="M37" s="44"/>
      <c r="N37" s="4"/>
    </row>
    <row r="38" spans="2:17">
      <c r="B38" s="374">
        <v>46029</v>
      </c>
      <c r="C38" s="4">
        <v>0</v>
      </c>
      <c r="D38" t="s">
        <v>386</v>
      </c>
      <c r="E38" t="s">
        <v>248</v>
      </c>
      <c r="F38" t="s">
        <v>246</v>
      </c>
      <c r="M38" s="374">
        <v>46029</v>
      </c>
      <c r="N38" s="4">
        <v>0</v>
      </c>
      <c r="O38" t="s">
        <v>386</v>
      </c>
      <c r="P38" t="s">
        <v>248</v>
      </c>
      <c r="Q38" t="s">
        <v>246</v>
      </c>
    </row>
    <row r="39" spans="2:17">
      <c r="B39" s="374"/>
      <c r="C39" s="4">
        <v>8</v>
      </c>
      <c r="D39" t="s">
        <v>437</v>
      </c>
      <c r="E39" t="s">
        <v>247</v>
      </c>
      <c r="F39" t="s">
        <v>246</v>
      </c>
      <c r="M39" s="374"/>
      <c r="N39" s="4">
        <v>8</v>
      </c>
      <c r="O39" t="s">
        <v>437</v>
      </c>
      <c r="P39" t="s">
        <v>247</v>
      </c>
      <c r="Q39" t="s">
        <v>246</v>
      </c>
    </row>
    <row r="40" spans="2:17">
      <c r="B40" s="44"/>
      <c r="C40" s="4">
        <v>41</v>
      </c>
      <c r="D40" t="s">
        <v>524</v>
      </c>
      <c r="E40" t="s">
        <v>361</v>
      </c>
      <c r="F40" t="s">
        <v>246</v>
      </c>
      <c r="M40" s="44"/>
      <c r="N40" s="4">
        <v>41</v>
      </c>
      <c r="O40" t="s">
        <v>524</v>
      </c>
      <c r="P40" t="s">
        <v>361</v>
      </c>
      <c r="Q40" t="s">
        <v>246</v>
      </c>
    </row>
    <row r="41" spans="2:17">
      <c r="B41" s="374"/>
      <c r="C41" s="4">
        <v>8</v>
      </c>
      <c r="D41" t="s">
        <v>225</v>
      </c>
      <c r="E41" t="s">
        <v>14</v>
      </c>
      <c r="F41" t="s">
        <v>246</v>
      </c>
      <c r="M41" s="374"/>
      <c r="N41" s="4">
        <v>8</v>
      </c>
      <c r="O41" t="s">
        <v>225</v>
      </c>
      <c r="P41" t="s">
        <v>14</v>
      </c>
      <c r="Q41" t="s">
        <v>246</v>
      </c>
    </row>
    <row r="42" spans="2:17">
      <c r="B42" s="374"/>
      <c r="C42" s="4"/>
      <c r="M42" s="374"/>
      <c r="N42" s="4"/>
    </row>
    <row r="43" spans="2:17">
      <c r="B43" s="44">
        <v>46030</v>
      </c>
      <c r="C43" s="4">
        <v>0</v>
      </c>
      <c r="D43" t="s">
        <v>386</v>
      </c>
      <c r="E43" t="s">
        <v>248</v>
      </c>
      <c r="F43" t="s">
        <v>246</v>
      </c>
      <c r="M43" s="44">
        <v>46030</v>
      </c>
      <c r="N43" s="4">
        <v>0</v>
      </c>
      <c r="O43" t="s">
        <v>386</v>
      </c>
      <c r="P43" t="s">
        <v>248</v>
      </c>
      <c r="Q43" t="s">
        <v>246</v>
      </c>
    </row>
    <row r="44" spans="2:17">
      <c r="B44" s="374"/>
      <c r="C44" s="4">
        <v>6</v>
      </c>
      <c r="D44" t="s">
        <v>438</v>
      </c>
      <c r="E44" t="s">
        <v>247</v>
      </c>
      <c r="F44" t="s">
        <v>246</v>
      </c>
      <c r="M44" s="374"/>
      <c r="N44" s="4">
        <v>6</v>
      </c>
      <c r="O44" t="s">
        <v>438</v>
      </c>
      <c r="P44" t="s">
        <v>247</v>
      </c>
      <c r="Q44" t="s">
        <v>246</v>
      </c>
    </row>
    <row r="45" spans="2:17">
      <c r="B45" s="374"/>
      <c r="C45" s="4">
        <v>16</v>
      </c>
      <c r="D45" t="s">
        <v>543</v>
      </c>
      <c r="E45" t="s">
        <v>361</v>
      </c>
      <c r="F45" t="s">
        <v>246</v>
      </c>
      <c r="M45" s="374"/>
      <c r="N45" s="4">
        <v>16</v>
      </c>
      <c r="O45" t="s">
        <v>543</v>
      </c>
      <c r="P45" t="s">
        <v>361</v>
      </c>
      <c r="Q45" t="s">
        <v>246</v>
      </c>
    </row>
    <row r="46" spans="2:17">
      <c r="B46" s="374"/>
      <c r="C46" s="4">
        <v>8</v>
      </c>
      <c r="D46" t="s">
        <v>225</v>
      </c>
      <c r="E46" t="s">
        <v>14</v>
      </c>
      <c r="F46" t="s">
        <v>246</v>
      </c>
      <c r="M46" s="374"/>
      <c r="N46" s="4">
        <v>8</v>
      </c>
      <c r="O46" t="s">
        <v>225</v>
      </c>
      <c r="P46" t="s">
        <v>14</v>
      </c>
      <c r="Q46" t="s">
        <v>246</v>
      </c>
    </row>
    <row r="47" spans="2:17">
      <c r="B47" s="44"/>
      <c r="C47" s="4"/>
      <c r="M47" s="44"/>
      <c r="N47" s="4"/>
    </row>
    <row r="48" spans="2:17">
      <c r="B48" s="374">
        <v>46031</v>
      </c>
      <c r="C48" s="4">
        <v>0</v>
      </c>
      <c r="D48" t="s">
        <v>386</v>
      </c>
      <c r="E48" t="s">
        <v>248</v>
      </c>
      <c r="F48" t="s">
        <v>246</v>
      </c>
      <c r="M48" s="374">
        <v>46031</v>
      </c>
      <c r="N48" s="4">
        <v>0</v>
      </c>
      <c r="O48" t="s">
        <v>386</v>
      </c>
      <c r="P48" t="s">
        <v>248</v>
      </c>
      <c r="Q48" t="s">
        <v>246</v>
      </c>
    </row>
    <row r="49" spans="2:17">
      <c r="B49" s="374"/>
      <c r="C49" s="4">
        <v>8</v>
      </c>
      <c r="D49" t="s">
        <v>570</v>
      </c>
      <c r="E49" t="s">
        <v>247</v>
      </c>
      <c r="F49" t="s">
        <v>246</v>
      </c>
      <c r="M49" s="374"/>
      <c r="N49" s="4">
        <v>8</v>
      </c>
      <c r="O49" t="s">
        <v>570</v>
      </c>
      <c r="P49" t="s">
        <v>247</v>
      </c>
      <c r="Q49" t="s">
        <v>246</v>
      </c>
    </row>
    <row r="50" spans="2:17">
      <c r="B50" s="44"/>
      <c r="C50" s="4">
        <v>16</v>
      </c>
      <c r="D50" t="s">
        <v>571</v>
      </c>
      <c r="E50" t="s">
        <v>361</v>
      </c>
      <c r="F50" t="s">
        <v>246</v>
      </c>
      <c r="M50" s="44"/>
      <c r="N50" s="4">
        <v>16</v>
      </c>
      <c r="O50" t="s">
        <v>571</v>
      </c>
      <c r="P50" t="s">
        <v>361</v>
      </c>
      <c r="Q50" t="s">
        <v>246</v>
      </c>
    </row>
    <row r="51" spans="2:17">
      <c r="B51" s="374"/>
      <c r="C51" s="4">
        <v>15</v>
      </c>
      <c r="D51" t="s">
        <v>225</v>
      </c>
      <c r="E51" t="s">
        <v>14</v>
      </c>
      <c r="F51" t="s">
        <v>246</v>
      </c>
      <c r="M51" s="374"/>
      <c r="N51" s="4">
        <v>15</v>
      </c>
      <c r="O51" t="s">
        <v>225</v>
      </c>
      <c r="P51" t="s">
        <v>14</v>
      </c>
      <c r="Q51" t="s">
        <v>246</v>
      </c>
    </row>
    <row r="52" spans="2:17">
      <c r="B52" s="374"/>
      <c r="C52" s="4">
        <v>0</v>
      </c>
      <c r="D52" t="s">
        <v>606</v>
      </c>
      <c r="E52" t="s">
        <v>803</v>
      </c>
      <c r="F52" t="s">
        <v>801</v>
      </c>
      <c r="M52" s="374"/>
      <c r="N52" s="4">
        <v>0</v>
      </c>
      <c r="O52" t="s">
        <v>606</v>
      </c>
      <c r="P52" t="s">
        <v>803</v>
      </c>
      <c r="Q52" t="s">
        <v>801</v>
      </c>
    </row>
    <row r="53" spans="2:17">
      <c r="B53" s="44"/>
      <c r="C53" s="4"/>
      <c r="M53" s="44"/>
      <c r="N53" s="4"/>
    </row>
    <row r="54" spans="2:17">
      <c r="B54" s="374">
        <v>46032</v>
      </c>
      <c r="C54" s="4">
        <v>0</v>
      </c>
      <c r="D54" t="s">
        <v>394</v>
      </c>
      <c r="E54" t="s">
        <v>248</v>
      </c>
      <c r="F54" t="s">
        <v>246</v>
      </c>
      <c r="M54" s="374">
        <v>46032</v>
      </c>
      <c r="N54" s="4">
        <v>0</v>
      </c>
      <c r="O54" t="s">
        <v>394</v>
      </c>
      <c r="P54" t="s">
        <v>248</v>
      </c>
      <c r="Q54" t="s">
        <v>246</v>
      </c>
    </row>
    <row r="55" spans="2:17">
      <c r="B55" s="374"/>
      <c r="C55" s="4">
        <v>10</v>
      </c>
      <c r="D55" t="s">
        <v>475</v>
      </c>
      <c r="E55" t="s">
        <v>247</v>
      </c>
      <c r="F55" t="s">
        <v>246</v>
      </c>
      <c r="M55" s="374"/>
      <c r="N55" s="4">
        <v>10</v>
      </c>
      <c r="O55" t="s">
        <v>475</v>
      </c>
      <c r="P55" t="s">
        <v>247</v>
      </c>
      <c r="Q55" t="s">
        <v>246</v>
      </c>
    </row>
    <row r="56" spans="2:17">
      <c r="B56" s="374"/>
      <c r="C56" s="4">
        <v>22</v>
      </c>
      <c r="D56" t="s">
        <v>396</v>
      </c>
      <c r="E56" t="s">
        <v>361</v>
      </c>
      <c r="F56" t="s">
        <v>246</v>
      </c>
      <c r="M56" s="374"/>
      <c r="N56" s="4">
        <v>22</v>
      </c>
      <c r="O56" t="s">
        <v>396</v>
      </c>
      <c r="P56" t="s">
        <v>361</v>
      </c>
      <c r="Q56" t="s">
        <v>246</v>
      </c>
    </row>
    <row r="57" spans="2:17">
      <c r="B57" s="44"/>
      <c r="C57" s="4">
        <v>8</v>
      </c>
      <c r="D57" t="s">
        <v>225</v>
      </c>
      <c r="E57" t="s">
        <v>14</v>
      </c>
      <c r="F57" t="s">
        <v>246</v>
      </c>
      <c r="M57" s="44"/>
      <c r="N57" s="4">
        <v>8</v>
      </c>
      <c r="O57" t="s">
        <v>225</v>
      </c>
      <c r="P57" t="s">
        <v>14</v>
      </c>
      <c r="Q57" t="s">
        <v>246</v>
      </c>
    </row>
    <row r="58" spans="2:17">
      <c r="B58" s="374"/>
      <c r="C58" s="4">
        <v>120</v>
      </c>
      <c r="D58" t="s">
        <v>607</v>
      </c>
      <c r="E58" t="s">
        <v>804</v>
      </c>
      <c r="F58" t="s">
        <v>244</v>
      </c>
      <c r="M58" s="374"/>
      <c r="N58" s="4">
        <v>120</v>
      </c>
      <c r="O58" t="s">
        <v>607</v>
      </c>
      <c r="P58" t="s">
        <v>804</v>
      </c>
      <c r="Q58" t="s">
        <v>244</v>
      </c>
    </row>
    <row r="59" spans="2:17">
      <c r="B59" s="374"/>
      <c r="C59" s="4">
        <v>87</v>
      </c>
      <c r="D59" t="s">
        <v>608</v>
      </c>
      <c r="E59" t="s">
        <v>805</v>
      </c>
      <c r="F59" t="s">
        <v>802</v>
      </c>
      <c r="M59" s="374"/>
      <c r="N59" s="4">
        <v>0</v>
      </c>
      <c r="O59" t="s">
        <v>608</v>
      </c>
      <c r="P59" t="s">
        <v>805</v>
      </c>
      <c r="Q59" t="s">
        <v>802</v>
      </c>
    </row>
    <row r="60" spans="2:17">
      <c r="B60" s="374"/>
      <c r="C60" s="4">
        <v>0</v>
      </c>
      <c r="D60" t="s">
        <v>609</v>
      </c>
      <c r="E60" t="s">
        <v>803</v>
      </c>
      <c r="F60" t="s">
        <v>801</v>
      </c>
      <c r="M60" s="374"/>
      <c r="N60" s="4">
        <v>0</v>
      </c>
      <c r="O60" t="s">
        <v>609</v>
      </c>
      <c r="P60" t="s">
        <v>803</v>
      </c>
      <c r="Q60" t="s">
        <v>801</v>
      </c>
    </row>
    <row r="61" spans="2:17">
      <c r="B61" s="44"/>
      <c r="C61" s="4"/>
      <c r="M61" s="44"/>
      <c r="N61" s="4"/>
    </row>
    <row r="62" spans="2:17">
      <c r="B62" s="374">
        <v>46033</v>
      </c>
      <c r="C62">
        <v>0</v>
      </c>
      <c r="D62" t="s">
        <v>386</v>
      </c>
      <c r="E62" t="s">
        <v>248</v>
      </c>
      <c r="F62" t="s">
        <v>246</v>
      </c>
      <c r="M62" s="374">
        <v>46033</v>
      </c>
      <c r="N62">
        <v>0</v>
      </c>
      <c r="O62" t="s">
        <v>386</v>
      </c>
      <c r="P62" t="s">
        <v>248</v>
      </c>
      <c r="Q62" t="s">
        <v>246</v>
      </c>
    </row>
    <row r="63" spans="2:17">
      <c r="B63" s="374"/>
      <c r="C63">
        <v>15</v>
      </c>
      <c r="D63" t="s">
        <v>597</v>
      </c>
      <c r="E63" t="s">
        <v>247</v>
      </c>
      <c r="F63" t="s">
        <v>246</v>
      </c>
      <c r="M63" s="374"/>
      <c r="N63">
        <v>15</v>
      </c>
      <c r="O63" t="s">
        <v>597</v>
      </c>
      <c r="P63" t="s">
        <v>247</v>
      </c>
      <c r="Q63" t="s">
        <v>246</v>
      </c>
    </row>
    <row r="64" spans="2:17">
      <c r="B64" s="44"/>
      <c r="C64">
        <v>23</v>
      </c>
      <c r="D64" t="s">
        <v>598</v>
      </c>
      <c r="E64" t="s">
        <v>361</v>
      </c>
      <c r="F64" t="s">
        <v>246</v>
      </c>
      <c r="M64" s="44"/>
      <c r="N64">
        <v>23</v>
      </c>
      <c r="O64" t="s">
        <v>598</v>
      </c>
      <c r="P64" t="s">
        <v>361</v>
      </c>
      <c r="Q64" t="s">
        <v>246</v>
      </c>
    </row>
    <row r="65" spans="2:18">
      <c r="B65" s="44"/>
      <c r="C65">
        <v>0</v>
      </c>
      <c r="D65" t="s">
        <v>225</v>
      </c>
      <c r="E65" t="s">
        <v>14</v>
      </c>
      <c r="F65" t="s">
        <v>246</v>
      </c>
      <c r="M65" s="44"/>
      <c r="N65">
        <v>0</v>
      </c>
      <c r="O65" t="s">
        <v>225</v>
      </c>
      <c r="P65" t="s">
        <v>14</v>
      </c>
      <c r="Q65" t="s">
        <v>246</v>
      </c>
    </row>
    <row r="66" spans="2:18">
      <c r="B66" s="374"/>
      <c r="M66" s="374"/>
      <c r="R66" s="518">
        <f>+summary!Q55</f>
        <v>0</v>
      </c>
    </row>
    <row r="67" spans="2:18">
      <c r="B67" s="374">
        <v>46034</v>
      </c>
      <c r="C67">
        <v>1</v>
      </c>
      <c r="D67" t="s">
        <v>619</v>
      </c>
      <c r="E67" t="s">
        <v>248</v>
      </c>
      <c r="F67" t="s">
        <v>246</v>
      </c>
      <c r="M67" s="374">
        <v>46034</v>
      </c>
      <c r="N67">
        <v>1</v>
      </c>
      <c r="O67" t="s">
        <v>619</v>
      </c>
      <c r="P67" t="s">
        <v>248</v>
      </c>
      <c r="Q67" t="s">
        <v>246</v>
      </c>
    </row>
    <row r="68" spans="2:18">
      <c r="B68" s="44"/>
      <c r="C68">
        <v>15</v>
      </c>
      <c r="D68" t="s">
        <v>597</v>
      </c>
      <c r="E68" t="s">
        <v>247</v>
      </c>
      <c r="F68" t="s">
        <v>246</v>
      </c>
      <c r="G68" s="518">
        <f>+summary!H55</f>
        <v>0</v>
      </c>
      <c r="M68" s="44"/>
      <c r="N68">
        <v>15</v>
      </c>
      <c r="O68" t="s">
        <v>597</v>
      </c>
      <c r="P68" t="s">
        <v>247</v>
      </c>
      <c r="Q68" t="s">
        <v>246</v>
      </c>
    </row>
    <row r="69" spans="2:18">
      <c r="B69" s="44"/>
      <c r="C69">
        <v>25</v>
      </c>
      <c r="D69" t="s">
        <v>621</v>
      </c>
      <c r="E69" t="s">
        <v>361</v>
      </c>
      <c r="F69" t="s">
        <v>246</v>
      </c>
      <c r="M69" s="44"/>
      <c r="N69">
        <v>25</v>
      </c>
      <c r="O69" t="s">
        <v>621</v>
      </c>
      <c r="P69" t="s">
        <v>361</v>
      </c>
      <c r="Q69" t="s">
        <v>246</v>
      </c>
    </row>
    <row r="70" spans="2:18">
      <c r="B70" s="374"/>
      <c r="C70">
        <v>8</v>
      </c>
      <c r="D70" t="s">
        <v>225</v>
      </c>
      <c r="E70" t="s">
        <v>14</v>
      </c>
      <c r="F70" t="s">
        <v>246</v>
      </c>
      <c r="M70" s="374"/>
      <c r="N70">
        <v>8</v>
      </c>
      <c r="O70" t="s">
        <v>225</v>
      </c>
      <c r="P70" t="s">
        <v>14</v>
      </c>
      <c r="Q70" t="s">
        <v>246</v>
      </c>
    </row>
    <row r="71" spans="2:18">
      <c r="B71" s="374"/>
      <c r="M71" s="374"/>
    </row>
    <row r="72" spans="2:18">
      <c r="B72" s="44">
        <v>46035</v>
      </c>
      <c r="C72">
        <v>0</v>
      </c>
      <c r="D72" t="s">
        <v>386</v>
      </c>
      <c r="E72" t="s">
        <v>248</v>
      </c>
      <c r="F72" t="s">
        <v>246</v>
      </c>
      <c r="M72" s="44">
        <v>46035</v>
      </c>
      <c r="N72">
        <v>0</v>
      </c>
      <c r="O72" t="s">
        <v>386</v>
      </c>
      <c r="P72" t="s">
        <v>248</v>
      </c>
      <c r="Q72" t="s">
        <v>246</v>
      </c>
    </row>
    <row r="73" spans="2:18">
      <c r="B73" s="44"/>
      <c r="C73">
        <v>19</v>
      </c>
      <c r="D73" t="s">
        <v>633</v>
      </c>
      <c r="E73" t="s">
        <v>247</v>
      </c>
      <c r="F73" t="s">
        <v>246</v>
      </c>
      <c r="M73" s="44"/>
      <c r="N73">
        <v>19</v>
      </c>
      <c r="O73" t="s">
        <v>633</v>
      </c>
      <c r="P73" t="s">
        <v>247</v>
      </c>
      <c r="Q73" t="s">
        <v>246</v>
      </c>
    </row>
    <row r="74" spans="2:18">
      <c r="B74" s="44"/>
      <c r="C74">
        <v>46</v>
      </c>
      <c r="D74" t="s">
        <v>439</v>
      </c>
      <c r="E74" t="s">
        <v>361</v>
      </c>
      <c r="F74" t="s">
        <v>246</v>
      </c>
      <c r="M74" s="44"/>
      <c r="N74">
        <v>46</v>
      </c>
      <c r="O74" t="s">
        <v>439</v>
      </c>
      <c r="P74" t="s">
        <v>361</v>
      </c>
      <c r="Q74" t="s">
        <v>246</v>
      </c>
    </row>
    <row r="75" spans="2:18">
      <c r="B75" s="374"/>
      <c r="C75">
        <v>0</v>
      </c>
      <c r="D75" t="s">
        <v>225</v>
      </c>
      <c r="E75" t="s">
        <v>14</v>
      </c>
      <c r="F75" t="s">
        <v>246</v>
      </c>
      <c r="M75" s="374"/>
      <c r="N75">
        <v>0</v>
      </c>
      <c r="O75" t="s">
        <v>225</v>
      </c>
      <c r="P75" t="s">
        <v>14</v>
      </c>
      <c r="Q75" t="s">
        <v>246</v>
      </c>
    </row>
    <row r="76" spans="2:18">
      <c r="B76" s="374"/>
      <c r="C76">
        <v>160</v>
      </c>
      <c r="D76" t="s">
        <v>634</v>
      </c>
      <c r="E76" t="s">
        <v>545</v>
      </c>
      <c r="F76" t="s">
        <v>250</v>
      </c>
      <c r="M76" s="374"/>
      <c r="N76">
        <v>160</v>
      </c>
      <c r="O76" t="s">
        <v>634</v>
      </c>
      <c r="P76" t="s">
        <v>545</v>
      </c>
      <c r="Q76" t="s">
        <v>250</v>
      </c>
    </row>
    <row r="77" spans="2:18">
      <c r="B77" s="44"/>
      <c r="M77" s="44"/>
    </row>
    <row r="78" spans="2:18">
      <c r="B78" s="44">
        <v>46036</v>
      </c>
      <c r="C78">
        <v>1</v>
      </c>
      <c r="D78" t="s">
        <v>619</v>
      </c>
      <c r="E78" t="s">
        <v>248</v>
      </c>
      <c r="F78" t="s">
        <v>246</v>
      </c>
      <c r="M78" s="44">
        <v>46036</v>
      </c>
      <c r="N78">
        <v>1</v>
      </c>
      <c r="O78" t="s">
        <v>619</v>
      </c>
      <c r="P78" t="s">
        <v>248</v>
      </c>
      <c r="Q78" t="s">
        <v>246</v>
      </c>
    </row>
    <row r="79" spans="2:18">
      <c r="B79" s="374"/>
      <c r="C79">
        <v>13</v>
      </c>
      <c r="D79" t="s">
        <v>640</v>
      </c>
      <c r="E79" t="s">
        <v>247</v>
      </c>
      <c r="F79" t="s">
        <v>246</v>
      </c>
      <c r="M79" s="374"/>
      <c r="N79">
        <v>13</v>
      </c>
      <c r="O79" t="s">
        <v>640</v>
      </c>
      <c r="P79" t="s">
        <v>247</v>
      </c>
      <c r="Q79" t="s">
        <v>246</v>
      </c>
    </row>
    <row r="80" spans="2:18">
      <c r="B80" s="374"/>
      <c r="C80">
        <v>19</v>
      </c>
      <c r="D80" t="s">
        <v>457</v>
      </c>
      <c r="E80" t="s">
        <v>361</v>
      </c>
      <c r="F80" t="s">
        <v>246</v>
      </c>
      <c r="M80" s="374"/>
      <c r="N80">
        <v>19</v>
      </c>
      <c r="O80" t="s">
        <v>457</v>
      </c>
      <c r="P80" t="s">
        <v>361</v>
      </c>
      <c r="Q80" t="s">
        <v>246</v>
      </c>
    </row>
    <row r="81" spans="2:17">
      <c r="B81" s="44"/>
      <c r="C81">
        <v>16</v>
      </c>
      <c r="D81" t="s">
        <v>225</v>
      </c>
      <c r="E81" t="s">
        <v>14</v>
      </c>
      <c r="F81" t="s">
        <v>246</v>
      </c>
      <c r="M81" s="44"/>
      <c r="N81">
        <v>16</v>
      </c>
      <c r="O81" t="s">
        <v>225</v>
      </c>
      <c r="P81" t="s">
        <v>14</v>
      </c>
      <c r="Q81" t="s">
        <v>246</v>
      </c>
    </row>
    <row r="82" spans="2:17">
      <c r="B82" s="44"/>
      <c r="E82" s="411"/>
      <c r="F82" s="411"/>
      <c r="M82" s="44"/>
      <c r="P82" s="411"/>
      <c r="Q82" s="411"/>
    </row>
    <row r="83" spans="2:17">
      <c r="B83" s="374">
        <v>46037</v>
      </c>
      <c r="C83">
        <v>0</v>
      </c>
      <c r="D83" t="s">
        <v>386</v>
      </c>
      <c r="E83" t="s">
        <v>248</v>
      </c>
      <c r="F83" t="s">
        <v>246</v>
      </c>
      <c r="M83" s="374">
        <v>46037</v>
      </c>
      <c r="N83">
        <v>0</v>
      </c>
      <c r="O83" t="s">
        <v>386</v>
      </c>
      <c r="P83" t="s">
        <v>248</v>
      </c>
      <c r="Q83" t="s">
        <v>246</v>
      </c>
    </row>
    <row r="84" spans="2:17">
      <c r="B84" s="374"/>
      <c r="C84">
        <v>14</v>
      </c>
      <c r="D84" t="s">
        <v>651</v>
      </c>
      <c r="E84" t="s">
        <v>247</v>
      </c>
      <c r="F84" t="s">
        <v>246</v>
      </c>
      <c r="M84" s="374"/>
      <c r="N84">
        <v>14</v>
      </c>
      <c r="O84" t="s">
        <v>651</v>
      </c>
      <c r="P84" t="s">
        <v>247</v>
      </c>
      <c r="Q84" t="s">
        <v>246</v>
      </c>
    </row>
    <row r="85" spans="2:17">
      <c r="B85" s="44"/>
      <c r="C85">
        <v>23</v>
      </c>
      <c r="D85" t="s">
        <v>420</v>
      </c>
      <c r="E85" t="s">
        <v>361</v>
      </c>
      <c r="F85" t="s">
        <v>246</v>
      </c>
      <c r="M85" s="44"/>
      <c r="N85">
        <v>23</v>
      </c>
      <c r="O85" t="s">
        <v>420</v>
      </c>
      <c r="P85" t="s">
        <v>361</v>
      </c>
      <c r="Q85" t="s">
        <v>246</v>
      </c>
    </row>
    <row r="86" spans="2:17">
      <c r="B86" s="44"/>
      <c r="C86">
        <v>14</v>
      </c>
      <c r="D86" t="s">
        <v>225</v>
      </c>
      <c r="E86" t="s">
        <v>14</v>
      </c>
      <c r="F86" t="s">
        <v>246</v>
      </c>
      <c r="M86" s="44"/>
      <c r="N86">
        <v>14</v>
      </c>
      <c r="O86" t="s">
        <v>225</v>
      </c>
      <c r="P86" t="s">
        <v>14</v>
      </c>
      <c r="Q86" t="s">
        <v>246</v>
      </c>
    </row>
    <row r="87" spans="2:17">
      <c r="B87" s="44"/>
      <c r="M87" s="44"/>
    </row>
    <row r="88" spans="2:17">
      <c r="B88" s="374">
        <v>46038</v>
      </c>
      <c r="C88">
        <v>4</v>
      </c>
      <c r="D88" t="s">
        <v>394</v>
      </c>
      <c r="E88" t="s">
        <v>248</v>
      </c>
      <c r="F88" t="s">
        <v>246</v>
      </c>
      <c r="M88" s="374">
        <v>46038</v>
      </c>
      <c r="N88">
        <v>4</v>
      </c>
      <c r="O88" t="s">
        <v>394</v>
      </c>
      <c r="P88" t="s">
        <v>248</v>
      </c>
      <c r="Q88" t="s">
        <v>246</v>
      </c>
    </row>
    <row r="89" spans="2:17">
      <c r="B89" s="374"/>
      <c r="C89">
        <v>11</v>
      </c>
      <c r="D89" t="s">
        <v>570</v>
      </c>
      <c r="E89" t="s">
        <v>247</v>
      </c>
      <c r="F89" t="s">
        <v>246</v>
      </c>
      <c r="M89" s="374"/>
      <c r="N89">
        <v>11</v>
      </c>
      <c r="O89" t="s">
        <v>570</v>
      </c>
      <c r="P89" t="s">
        <v>247</v>
      </c>
      <c r="Q89" t="s">
        <v>246</v>
      </c>
    </row>
    <row r="90" spans="2:17">
      <c r="B90" s="374"/>
      <c r="C90">
        <v>20</v>
      </c>
      <c r="D90" t="s">
        <v>457</v>
      </c>
      <c r="E90" t="s">
        <v>361</v>
      </c>
      <c r="F90" t="s">
        <v>246</v>
      </c>
      <c r="M90" s="374"/>
      <c r="N90">
        <v>20</v>
      </c>
      <c r="O90" t="s">
        <v>457</v>
      </c>
      <c r="P90" t="s">
        <v>361</v>
      </c>
      <c r="Q90" t="s">
        <v>246</v>
      </c>
    </row>
    <row r="91" spans="2:17">
      <c r="B91" s="374"/>
      <c r="C91">
        <v>14</v>
      </c>
      <c r="D91" t="s">
        <v>225</v>
      </c>
      <c r="E91" t="s">
        <v>14</v>
      </c>
      <c r="F91" t="s">
        <v>246</v>
      </c>
      <c r="M91" s="374"/>
      <c r="N91">
        <v>14</v>
      </c>
      <c r="O91" t="s">
        <v>225</v>
      </c>
      <c r="P91" t="s">
        <v>14</v>
      </c>
      <c r="Q91" t="s">
        <v>246</v>
      </c>
    </row>
    <row r="92" spans="2:17">
      <c r="B92" s="374"/>
      <c r="M92" s="374"/>
    </row>
    <row r="93" spans="2:17">
      <c r="B93" s="374">
        <v>46039</v>
      </c>
      <c r="C93">
        <v>4</v>
      </c>
      <c r="D93" t="s">
        <v>394</v>
      </c>
      <c r="E93" t="s">
        <v>248</v>
      </c>
      <c r="F93" t="s">
        <v>246</v>
      </c>
      <c r="M93" s="374">
        <v>46039</v>
      </c>
      <c r="N93">
        <v>4</v>
      </c>
      <c r="O93" t="s">
        <v>394</v>
      </c>
      <c r="P93" t="s">
        <v>248</v>
      </c>
      <c r="Q93" t="s">
        <v>246</v>
      </c>
    </row>
    <row r="94" spans="2:17">
      <c r="B94" s="374"/>
      <c r="C94">
        <v>14</v>
      </c>
      <c r="D94" t="s">
        <v>438</v>
      </c>
      <c r="E94" t="s">
        <v>247</v>
      </c>
      <c r="F94" t="s">
        <v>246</v>
      </c>
      <c r="M94" s="374"/>
      <c r="N94">
        <v>14</v>
      </c>
      <c r="O94" t="s">
        <v>438</v>
      </c>
      <c r="P94" t="s">
        <v>247</v>
      </c>
      <c r="Q94" t="s">
        <v>246</v>
      </c>
    </row>
    <row r="95" spans="2:17">
      <c r="B95" s="374"/>
      <c r="C95">
        <v>19</v>
      </c>
      <c r="D95" t="s">
        <v>457</v>
      </c>
      <c r="E95" t="s">
        <v>361</v>
      </c>
      <c r="F95" t="s">
        <v>246</v>
      </c>
      <c r="M95" s="374"/>
      <c r="N95">
        <v>19</v>
      </c>
      <c r="O95" t="s">
        <v>457</v>
      </c>
      <c r="P95" t="s">
        <v>361</v>
      </c>
      <c r="Q95" t="s">
        <v>246</v>
      </c>
    </row>
    <row r="96" spans="2:17">
      <c r="B96" s="374"/>
      <c r="C96">
        <v>8</v>
      </c>
      <c r="D96" t="s">
        <v>225</v>
      </c>
      <c r="E96" t="s">
        <v>14</v>
      </c>
      <c r="F96" t="s">
        <v>246</v>
      </c>
      <c r="M96" s="374"/>
      <c r="N96">
        <v>8</v>
      </c>
      <c r="O96" t="s">
        <v>225</v>
      </c>
      <c r="P96" t="s">
        <v>14</v>
      </c>
      <c r="Q96" t="s">
        <v>246</v>
      </c>
    </row>
    <row r="97" spans="2:17">
      <c r="B97" s="374"/>
      <c r="C97">
        <v>117</v>
      </c>
      <c r="D97" t="s">
        <v>673</v>
      </c>
      <c r="E97" t="s">
        <v>806</v>
      </c>
      <c r="F97" t="s">
        <v>250</v>
      </c>
      <c r="M97" s="374"/>
      <c r="N97">
        <v>117</v>
      </c>
      <c r="O97" t="s">
        <v>673</v>
      </c>
      <c r="P97" t="s">
        <v>806</v>
      </c>
      <c r="Q97" t="s">
        <v>250</v>
      </c>
    </row>
    <row r="98" spans="2:17">
      <c r="B98" s="374"/>
      <c r="M98" s="374"/>
    </row>
    <row r="99" spans="2:17">
      <c r="B99" s="374">
        <v>46040</v>
      </c>
      <c r="C99">
        <v>0</v>
      </c>
      <c r="D99" t="s">
        <v>386</v>
      </c>
      <c r="E99" t="s">
        <v>248</v>
      </c>
      <c r="F99" t="s">
        <v>246</v>
      </c>
      <c r="M99" s="374">
        <v>46040</v>
      </c>
      <c r="N99">
        <v>0</v>
      </c>
      <c r="O99" t="s">
        <v>386</v>
      </c>
      <c r="P99" t="s">
        <v>248</v>
      </c>
      <c r="Q99" t="s">
        <v>246</v>
      </c>
    </row>
    <row r="100" spans="2:17">
      <c r="B100" s="374"/>
      <c r="C100">
        <v>8</v>
      </c>
      <c r="D100" t="s">
        <v>438</v>
      </c>
      <c r="E100" t="s">
        <v>247</v>
      </c>
      <c r="F100" t="s">
        <v>246</v>
      </c>
      <c r="M100" s="374"/>
      <c r="N100">
        <v>8</v>
      </c>
      <c r="O100" t="s">
        <v>438</v>
      </c>
      <c r="P100" t="s">
        <v>247</v>
      </c>
      <c r="Q100" t="s">
        <v>246</v>
      </c>
    </row>
    <row r="101" spans="2:17">
      <c r="B101" s="374"/>
      <c r="C101">
        <v>31</v>
      </c>
      <c r="D101" t="s">
        <v>674</v>
      </c>
      <c r="E101" t="s">
        <v>361</v>
      </c>
      <c r="F101" t="s">
        <v>246</v>
      </c>
      <c r="M101" s="374"/>
      <c r="N101">
        <v>31</v>
      </c>
      <c r="O101" t="s">
        <v>674</v>
      </c>
      <c r="P101" t="s">
        <v>361</v>
      </c>
      <c r="Q101" t="s">
        <v>246</v>
      </c>
    </row>
    <row r="102" spans="2:17">
      <c r="B102" s="374"/>
      <c r="C102">
        <v>25</v>
      </c>
      <c r="D102" t="s">
        <v>225</v>
      </c>
      <c r="E102" t="s">
        <v>14</v>
      </c>
      <c r="F102" t="s">
        <v>246</v>
      </c>
      <c r="M102" s="374"/>
      <c r="N102">
        <v>25</v>
      </c>
      <c r="O102" t="s">
        <v>225</v>
      </c>
      <c r="P102" t="s">
        <v>14</v>
      </c>
      <c r="Q102" t="s">
        <v>246</v>
      </c>
    </row>
    <row r="103" spans="2:17">
      <c r="B103" s="374"/>
      <c r="M103" s="374"/>
    </row>
    <row r="104" spans="2:17">
      <c r="B104" s="374">
        <v>46041</v>
      </c>
      <c r="C104">
        <v>0</v>
      </c>
      <c r="D104" t="s">
        <v>386</v>
      </c>
      <c r="E104" t="s">
        <v>248</v>
      </c>
      <c r="F104" t="s">
        <v>246</v>
      </c>
      <c r="M104" s="374">
        <v>46041</v>
      </c>
      <c r="N104">
        <v>0</v>
      </c>
      <c r="O104" t="s">
        <v>386</v>
      </c>
      <c r="P104" t="s">
        <v>248</v>
      </c>
      <c r="Q104" t="s">
        <v>246</v>
      </c>
    </row>
    <row r="105" spans="2:17">
      <c r="B105" s="374"/>
      <c r="C105">
        <v>13</v>
      </c>
      <c r="D105" t="s">
        <v>640</v>
      </c>
      <c r="E105" t="s">
        <v>247</v>
      </c>
      <c r="F105" t="s">
        <v>246</v>
      </c>
      <c r="M105" s="374"/>
      <c r="N105">
        <v>13</v>
      </c>
      <c r="O105" t="s">
        <v>640</v>
      </c>
      <c r="P105" t="s">
        <v>247</v>
      </c>
      <c r="Q105" t="s">
        <v>246</v>
      </c>
    </row>
    <row r="106" spans="2:17">
      <c r="B106" s="374"/>
      <c r="C106">
        <v>26</v>
      </c>
      <c r="D106" t="s">
        <v>457</v>
      </c>
      <c r="E106" t="s">
        <v>361</v>
      </c>
      <c r="F106" t="s">
        <v>246</v>
      </c>
      <c r="M106" s="374"/>
      <c r="N106">
        <v>26</v>
      </c>
      <c r="O106" t="s">
        <v>457</v>
      </c>
      <c r="P106" t="s">
        <v>361</v>
      </c>
      <c r="Q106" t="s">
        <v>246</v>
      </c>
    </row>
    <row r="107" spans="2:17">
      <c r="B107" s="374"/>
      <c r="C107">
        <v>8</v>
      </c>
      <c r="D107" t="s">
        <v>225</v>
      </c>
      <c r="E107" t="s">
        <v>14</v>
      </c>
      <c r="F107" t="s">
        <v>246</v>
      </c>
      <c r="M107" s="374"/>
      <c r="N107">
        <v>8</v>
      </c>
      <c r="O107" t="s">
        <v>225</v>
      </c>
      <c r="P107" t="s">
        <v>14</v>
      </c>
      <c r="Q107" t="s">
        <v>246</v>
      </c>
    </row>
    <row r="108" spans="2:17">
      <c r="B108" s="374"/>
      <c r="M108" s="374"/>
    </row>
    <row r="109" spans="2:17">
      <c r="B109" s="374">
        <v>46042</v>
      </c>
      <c r="C109">
        <v>0</v>
      </c>
      <c r="D109" t="s">
        <v>386</v>
      </c>
      <c r="E109" t="s">
        <v>248</v>
      </c>
      <c r="F109" t="s">
        <v>246</v>
      </c>
      <c r="M109" s="374">
        <v>46042</v>
      </c>
      <c r="N109">
        <v>0</v>
      </c>
      <c r="O109" t="s">
        <v>386</v>
      </c>
      <c r="P109" t="s">
        <v>248</v>
      </c>
      <c r="Q109" t="s">
        <v>246</v>
      </c>
    </row>
    <row r="110" spans="2:17">
      <c r="B110" s="374"/>
      <c r="C110">
        <v>15</v>
      </c>
      <c r="D110" t="s">
        <v>475</v>
      </c>
      <c r="E110" t="s">
        <v>247</v>
      </c>
      <c r="F110" t="s">
        <v>246</v>
      </c>
      <c r="M110" s="374"/>
      <c r="N110">
        <v>15</v>
      </c>
      <c r="O110" t="s">
        <v>475</v>
      </c>
      <c r="P110" t="s">
        <v>247</v>
      </c>
      <c r="Q110" t="s">
        <v>246</v>
      </c>
    </row>
    <row r="111" spans="2:17">
      <c r="B111" s="374"/>
      <c r="C111">
        <v>21</v>
      </c>
      <c r="D111" t="s">
        <v>598</v>
      </c>
      <c r="E111" t="s">
        <v>361</v>
      </c>
      <c r="F111" t="s">
        <v>246</v>
      </c>
      <c r="M111" s="374"/>
      <c r="N111">
        <v>21</v>
      </c>
      <c r="O111" t="s">
        <v>598</v>
      </c>
      <c r="P111" t="s">
        <v>361</v>
      </c>
      <c r="Q111" t="s">
        <v>246</v>
      </c>
    </row>
    <row r="112" spans="2:17">
      <c r="B112" s="374"/>
      <c r="C112">
        <v>6</v>
      </c>
      <c r="D112" t="s">
        <v>225</v>
      </c>
      <c r="E112" t="s">
        <v>14</v>
      </c>
      <c r="F112" t="s">
        <v>246</v>
      </c>
      <c r="M112" s="374"/>
      <c r="N112">
        <v>6</v>
      </c>
      <c r="O112" t="s">
        <v>225</v>
      </c>
      <c r="P112" t="s">
        <v>14</v>
      </c>
      <c r="Q112" t="s">
        <v>246</v>
      </c>
    </row>
    <row r="113" spans="2:17">
      <c r="B113" s="374"/>
      <c r="M113" s="374"/>
    </row>
    <row r="114" spans="2:17">
      <c r="B114" s="374">
        <v>46043</v>
      </c>
      <c r="C114">
        <v>2</v>
      </c>
      <c r="D114" t="s">
        <v>386</v>
      </c>
      <c r="E114" t="s">
        <v>248</v>
      </c>
      <c r="F114" t="s">
        <v>246</v>
      </c>
      <c r="M114" s="374">
        <v>46043</v>
      </c>
      <c r="N114">
        <v>2</v>
      </c>
      <c r="O114" t="s">
        <v>386</v>
      </c>
      <c r="P114" t="s">
        <v>248</v>
      </c>
      <c r="Q114" t="s">
        <v>246</v>
      </c>
    </row>
    <row r="115" spans="2:17">
      <c r="B115" s="374"/>
      <c r="C115">
        <v>17</v>
      </c>
      <c r="D115" t="s">
        <v>570</v>
      </c>
      <c r="E115" t="s">
        <v>247</v>
      </c>
      <c r="F115" t="s">
        <v>246</v>
      </c>
      <c r="M115" s="374"/>
      <c r="N115">
        <v>17</v>
      </c>
      <c r="O115" t="s">
        <v>570</v>
      </c>
      <c r="P115" t="s">
        <v>247</v>
      </c>
      <c r="Q115" t="s">
        <v>246</v>
      </c>
    </row>
    <row r="116" spans="2:17">
      <c r="B116" s="374"/>
      <c r="C116">
        <v>23</v>
      </c>
      <c r="D116" t="s">
        <v>420</v>
      </c>
      <c r="E116" t="s">
        <v>361</v>
      </c>
      <c r="F116" t="s">
        <v>246</v>
      </c>
      <c r="M116" s="374"/>
      <c r="N116">
        <v>23</v>
      </c>
      <c r="O116" t="s">
        <v>420</v>
      </c>
      <c r="P116" t="s">
        <v>361</v>
      </c>
      <c r="Q116" t="s">
        <v>246</v>
      </c>
    </row>
    <row r="117" spans="2:17">
      <c r="B117" s="374"/>
      <c r="C117">
        <v>6</v>
      </c>
      <c r="D117" t="s">
        <v>225</v>
      </c>
      <c r="E117" t="s">
        <v>14</v>
      </c>
      <c r="F117" t="s">
        <v>246</v>
      </c>
      <c r="M117" s="374"/>
      <c r="N117">
        <v>6</v>
      </c>
      <c r="O117" t="s">
        <v>225</v>
      </c>
      <c r="P117" t="s">
        <v>14</v>
      </c>
      <c r="Q117" t="s">
        <v>246</v>
      </c>
    </row>
    <row r="118" spans="2:17">
      <c r="B118" s="374"/>
      <c r="F118" s="411"/>
      <c r="M118" s="374"/>
      <c r="Q118" s="411"/>
    </row>
    <row r="119" spans="2:17">
      <c r="B119" s="374">
        <v>46044</v>
      </c>
      <c r="C119">
        <v>10</v>
      </c>
      <c r="D119" t="s">
        <v>394</v>
      </c>
      <c r="E119" t="s">
        <v>248</v>
      </c>
      <c r="F119" t="s">
        <v>246</v>
      </c>
      <c r="M119" s="374">
        <v>46044</v>
      </c>
      <c r="N119">
        <v>10</v>
      </c>
      <c r="O119" t="s">
        <v>394</v>
      </c>
      <c r="P119" t="s">
        <v>248</v>
      </c>
      <c r="Q119" t="s">
        <v>246</v>
      </c>
    </row>
    <row r="120" spans="2:17">
      <c r="B120" s="374"/>
      <c r="C120">
        <v>17</v>
      </c>
      <c r="D120" t="s">
        <v>570</v>
      </c>
      <c r="E120" t="s">
        <v>247</v>
      </c>
      <c r="F120" t="s">
        <v>246</v>
      </c>
      <c r="M120" s="374"/>
      <c r="N120">
        <v>17</v>
      </c>
      <c r="O120" t="s">
        <v>570</v>
      </c>
      <c r="P120" t="s">
        <v>247</v>
      </c>
      <c r="Q120" t="s">
        <v>246</v>
      </c>
    </row>
    <row r="121" spans="2:17">
      <c r="B121" s="374"/>
      <c r="C121">
        <v>28</v>
      </c>
      <c r="D121" t="s">
        <v>457</v>
      </c>
      <c r="E121" t="s">
        <v>361</v>
      </c>
      <c r="F121" t="s">
        <v>246</v>
      </c>
      <c r="M121" s="374"/>
      <c r="N121">
        <v>28</v>
      </c>
      <c r="O121" t="s">
        <v>457</v>
      </c>
      <c r="P121" t="s">
        <v>361</v>
      </c>
      <c r="Q121" t="s">
        <v>246</v>
      </c>
    </row>
    <row r="122" spans="2:17">
      <c r="B122" s="374"/>
      <c r="C122">
        <v>8</v>
      </c>
      <c r="D122" t="s">
        <v>225</v>
      </c>
      <c r="E122" t="s">
        <v>14</v>
      </c>
      <c r="F122" t="s">
        <v>246</v>
      </c>
      <c r="M122" s="374"/>
      <c r="N122">
        <v>8</v>
      </c>
      <c r="O122" t="s">
        <v>225</v>
      </c>
      <c r="P122" t="s">
        <v>14</v>
      </c>
      <c r="Q122" t="s">
        <v>246</v>
      </c>
    </row>
    <row r="123" spans="2:17">
      <c r="B123" s="374"/>
      <c r="M123" s="374"/>
    </row>
    <row r="124" spans="2:17">
      <c r="B124" s="374">
        <v>46045</v>
      </c>
      <c r="C124">
        <v>0</v>
      </c>
      <c r="D124" t="s">
        <v>386</v>
      </c>
      <c r="E124" t="s">
        <v>248</v>
      </c>
      <c r="F124" t="s">
        <v>246</v>
      </c>
      <c r="M124" s="374">
        <v>46045</v>
      </c>
      <c r="N124">
        <v>0</v>
      </c>
      <c r="O124" t="s">
        <v>386</v>
      </c>
      <c r="P124" t="s">
        <v>248</v>
      </c>
      <c r="Q124" t="s">
        <v>246</v>
      </c>
    </row>
    <row r="125" spans="2:17">
      <c r="B125" s="374"/>
      <c r="C125">
        <v>15</v>
      </c>
      <c r="D125" t="s">
        <v>640</v>
      </c>
      <c r="E125" t="s">
        <v>247</v>
      </c>
      <c r="F125" t="s">
        <v>246</v>
      </c>
      <c r="M125" s="374"/>
      <c r="N125">
        <v>15</v>
      </c>
      <c r="O125" t="s">
        <v>640</v>
      </c>
      <c r="P125" t="s">
        <v>247</v>
      </c>
      <c r="Q125" t="s">
        <v>246</v>
      </c>
    </row>
    <row r="126" spans="2:17">
      <c r="B126" s="374"/>
      <c r="C126">
        <v>27</v>
      </c>
      <c r="D126" t="s">
        <v>674</v>
      </c>
      <c r="E126" t="s">
        <v>361</v>
      </c>
      <c r="F126" t="s">
        <v>246</v>
      </c>
      <c r="M126" s="374"/>
      <c r="N126">
        <v>27</v>
      </c>
      <c r="O126" t="s">
        <v>674</v>
      </c>
      <c r="P126" t="s">
        <v>361</v>
      </c>
      <c r="Q126" t="s">
        <v>246</v>
      </c>
    </row>
    <row r="127" spans="2:17">
      <c r="B127" s="374"/>
      <c r="C127">
        <v>14</v>
      </c>
      <c r="D127" t="s">
        <v>225</v>
      </c>
      <c r="E127" t="s">
        <v>14</v>
      </c>
      <c r="F127" t="s">
        <v>246</v>
      </c>
      <c r="M127" s="374"/>
      <c r="N127">
        <v>14</v>
      </c>
      <c r="O127" t="s">
        <v>225</v>
      </c>
      <c r="P127" t="s">
        <v>14</v>
      </c>
      <c r="Q127" t="s">
        <v>246</v>
      </c>
    </row>
    <row r="128" spans="2:17">
      <c r="B128" s="374"/>
      <c r="C128">
        <v>0</v>
      </c>
      <c r="D128" t="s">
        <v>609</v>
      </c>
      <c r="E128" t="s">
        <v>803</v>
      </c>
      <c r="F128" t="s">
        <v>801</v>
      </c>
      <c r="M128" s="374"/>
      <c r="N128">
        <v>0</v>
      </c>
      <c r="O128" t="s">
        <v>609</v>
      </c>
      <c r="P128" t="s">
        <v>803</v>
      </c>
      <c r="Q128" t="s">
        <v>801</v>
      </c>
    </row>
    <row r="129" spans="2:17">
      <c r="B129" s="374"/>
      <c r="M129" s="374"/>
    </row>
    <row r="130" spans="2:17">
      <c r="B130" s="374">
        <v>46046</v>
      </c>
      <c r="C130">
        <v>0</v>
      </c>
      <c r="D130" t="s">
        <v>386</v>
      </c>
      <c r="E130" t="s">
        <v>248</v>
      </c>
      <c r="F130" t="s">
        <v>246</v>
      </c>
      <c r="M130" s="374">
        <v>46046</v>
      </c>
      <c r="N130">
        <v>0</v>
      </c>
      <c r="O130" t="s">
        <v>386</v>
      </c>
      <c r="P130" t="s">
        <v>248</v>
      </c>
      <c r="Q130" t="s">
        <v>246</v>
      </c>
    </row>
    <row r="131" spans="2:17">
      <c r="B131" s="374"/>
      <c r="C131">
        <v>13</v>
      </c>
      <c r="D131" t="s">
        <v>438</v>
      </c>
      <c r="E131" t="s">
        <v>247</v>
      </c>
      <c r="F131" t="s">
        <v>246</v>
      </c>
      <c r="M131" s="374"/>
      <c r="N131">
        <v>13</v>
      </c>
      <c r="O131" t="s">
        <v>438</v>
      </c>
      <c r="P131" t="s">
        <v>247</v>
      </c>
      <c r="Q131" t="s">
        <v>246</v>
      </c>
    </row>
    <row r="132" spans="2:17">
      <c r="B132" s="374"/>
      <c r="C132">
        <v>23</v>
      </c>
      <c r="D132" t="s">
        <v>524</v>
      </c>
      <c r="E132" t="s">
        <v>361</v>
      </c>
      <c r="F132" t="s">
        <v>246</v>
      </c>
      <c r="M132" s="374"/>
      <c r="N132">
        <v>23</v>
      </c>
      <c r="O132" t="s">
        <v>524</v>
      </c>
      <c r="P132" t="s">
        <v>361</v>
      </c>
      <c r="Q132" t="s">
        <v>246</v>
      </c>
    </row>
    <row r="133" spans="2:17">
      <c r="B133" s="374"/>
      <c r="C133">
        <v>14</v>
      </c>
      <c r="D133" t="s">
        <v>225</v>
      </c>
      <c r="E133" t="s">
        <v>14</v>
      </c>
      <c r="F133" t="s">
        <v>246</v>
      </c>
      <c r="M133" s="374"/>
      <c r="N133">
        <v>14</v>
      </c>
      <c r="O133" t="s">
        <v>225</v>
      </c>
      <c r="P133" t="s">
        <v>14</v>
      </c>
      <c r="Q133" t="s">
        <v>246</v>
      </c>
    </row>
    <row r="134" spans="2:17">
      <c r="B134" s="374"/>
      <c r="C134">
        <v>125</v>
      </c>
      <c r="D134" t="s">
        <v>750</v>
      </c>
      <c r="E134" t="s">
        <v>805</v>
      </c>
      <c r="F134" t="s">
        <v>802</v>
      </c>
      <c r="M134" s="374"/>
      <c r="N134">
        <v>0</v>
      </c>
      <c r="O134" t="s">
        <v>750</v>
      </c>
      <c r="P134" t="s">
        <v>805</v>
      </c>
      <c r="Q134" t="s">
        <v>802</v>
      </c>
    </row>
    <row r="135" spans="2:17">
      <c r="B135" s="374"/>
      <c r="C135">
        <v>0</v>
      </c>
      <c r="D135" t="s">
        <v>609</v>
      </c>
      <c r="E135" t="s">
        <v>803</v>
      </c>
      <c r="F135" t="s">
        <v>801</v>
      </c>
      <c r="M135" s="374"/>
      <c r="N135">
        <v>0</v>
      </c>
      <c r="O135" t="s">
        <v>609</v>
      </c>
      <c r="P135" t="s">
        <v>803</v>
      </c>
      <c r="Q135" t="s">
        <v>801</v>
      </c>
    </row>
    <row r="136" spans="2:17">
      <c r="B136" s="374"/>
      <c r="M136" s="374"/>
    </row>
    <row r="137" spans="2:17">
      <c r="B137" s="374">
        <v>46047</v>
      </c>
      <c r="C137">
        <v>0</v>
      </c>
      <c r="D137" t="s">
        <v>386</v>
      </c>
      <c r="E137" t="s">
        <v>248</v>
      </c>
      <c r="F137" t="s">
        <v>246</v>
      </c>
      <c r="M137" s="374">
        <v>46047</v>
      </c>
      <c r="N137">
        <v>0</v>
      </c>
      <c r="O137" t="s">
        <v>386</v>
      </c>
      <c r="P137" t="s">
        <v>248</v>
      </c>
      <c r="Q137" t="s">
        <v>246</v>
      </c>
    </row>
    <row r="138" spans="2:17">
      <c r="B138" s="374"/>
      <c r="C138">
        <v>9</v>
      </c>
      <c r="D138" t="s">
        <v>438</v>
      </c>
      <c r="E138" t="s">
        <v>247</v>
      </c>
      <c r="F138" t="s">
        <v>246</v>
      </c>
      <c r="M138" s="374"/>
      <c r="N138">
        <v>9</v>
      </c>
      <c r="O138" t="s">
        <v>438</v>
      </c>
      <c r="P138" t="s">
        <v>247</v>
      </c>
      <c r="Q138" t="s">
        <v>246</v>
      </c>
    </row>
    <row r="139" spans="2:17">
      <c r="B139" s="374"/>
      <c r="C139">
        <v>18</v>
      </c>
      <c r="D139" t="s">
        <v>674</v>
      </c>
      <c r="E139" t="s">
        <v>361</v>
      </c>
      <c r="F139" t="s">
        <v>246</v>
      </c>
      <c r="M139" s="374"/>
      <c r="N139">
        <v>18</v>
      </c>
      <c r="O139" t="s">
        <v>674</v>
      </c>
      <c r="P139" t="s">
        <v>361</v>
      </c>
      <c r="Q139" t="s">
        <v>246</v>
      </c>
    </row>
    <row r="140" spans="2:17">
      <c r="B140" s="374"/>
      <c r="C140">
        <v>8</v>
      </c>
      <c r="D140" t="s">
        <v>225</v>
      </c>
      <c r="E140" t="s">
        <v>14</v>
      </c>
      <c r="F140" t="s">
        <v>246</v>
      </c>
      <c r="M140" s="374"/>
      <c r="N140">
        <v>8</v>
      </c>
      <c r="O140" t="s">
        <v>225</v>
      </c>
      <c r="P140" t="s">
        <v>14</v>
      </c>
      <c r="Q140" t="s">
        <v>246</v>
      </c>
    </row>
    <row r="141" spans="2:17">
      <c r="B141" s="374"/>
      <c r="C141">
        <v>197</v>
      </c>
      <c r="D141" t="s">
        <v>751</v>
      </c>
      <c r="E141" t="s">
        <v>807</v>
      </c>
      <c r="F141" t="s">
        <v>299</v>
      </c>
      <c r="M141" s="374"/>
      <c r="N141">
        <v>197</v>
      </c>
      <c r="O141" t="s">
        <v>751</v>
      </c>
      <c r="P141" t="s">
        <v>807</v>
      </c>
      <c r="Q141" t="s">
        <v>299</v>
      </c>
    </row>
    <row r="142" spans="2:17">
      <c r="B142" s="374"/>
      <c r="C142">
        <v>111</v>
      </c>
      <c r="D142" t="s">
        <v>752</v>
      </c>
      <c r="E142" t="s">
        <v>822</v>
      </c>
      <c r="F142" t="s">
        <v>251</v>
      </c>
      <c r="M142" s="374"/>
      <c r="N142">
        <v>111</v>
      </c>
      <c r="O142" t="s">
        <v>752</v>
      </c>
      <c r="P142" t="s">
        <v>822</v>
      </c>
      <c r="Q142" t="s">
        <v>251</v>
      </c>
    </row>
    <row r="143" spans="2:17">
      <c r="B143" s="374"/>
      <c r="C143">
        <v>0</v>
      </c>
      <c r="D143" t="s">
        <v>609</v>
      </c>
      <c r="E143" t="s">
        <v>803</v>
      </c>
      <c r="F143" t="s">
        <v>801</v>
      </c>
      <c r="M143" s="374"/>
      <c r="N143">
        <v>0</v>
      </c>
      <c r="O143" t="s">
        <v>609</v>
      </c>
      <c r="P143" t="s">
        <v>803</v>
      </c>
      <c r="Q143" t="s">
        <v>801</v>
      </c>
    </row>
    <row r="144" spans="2:17">
      <c r="B144" s="374"/>
      <c r="M144" s="374"/>
    </row>
    <row r="145" spans="2:17">
      <c r="B145" s="374">
        <v>46048</v>
      </c>
      <c r="C145">
        <v>0</v>
      </c>
      <c r="D145" t="s">
        <v>386</v>
      </c>
      <c r="E145" t="s">
        <v>248</v>
      </c>
      <c r="F145" t="s">
        <v>246</v>
      </c>
      <c r="M145" s="374">
        <v>46048</v>
      </c>
      <c r="N145">
        <v>0</v>
      </c>
      <c r="O145" t="s">
        <v>386</v>
      </c>
      <c r="P145" t="s">
        <v>248</v>
      </c>
      <c r="Q145" t="s">
        <v>246</v>
      </c>
    </row>
    <row r="146" spans="2:17">
      <c r="B146" s="374"/>
      <c r="C146">
        <v>11</v>
      </c>
      <c r="D146" t="s">
        <v>570</v>
      </c>
      <c r="E146" t="s">
        <v>247</v>
      </c>
      <c r="F146" t="s">
        <v>246</v>
      </c>
      <c r="M146" s="374"/>
      <c r="N146">
        <v>11</v>
      </c>
      <c r="O146" t="s">
        <v>570</v>
      </c>
      <c r="P146" t="s">
        <v>247</v>
      </c>
      <c r="Q146" t="s">
        <v>246</v>
      </c>
    </row>
    <row r="147" spans="2:17">
      <c r="B147" s="374"/>
      <c r="C147">
        <v>25</v>
      </c>
      <c r="D147" t="s">
        <v>571</v>
      </c>
      <c r="E147" t="s">
        <v>361</v>
      </c>
      <c r="F147" t="s">
        <v>246</v>
      </c>
      <c r="M147" s="374"/>
      <c r="N147">
        <v>25</v>
      </c>
      <c r="O147" t="s">
        <v>571</v>
      </c>
      <c r="P147" t="s">
        <v>361</v>
      </c>
      <c r="Q147" t="s">
        <v>246</v>
      </c>
    </row>
    <row r="148" spans="2:17">
      <c r="B148" s="374"/>
      <c r="C148">
        <v>8</v>
      </c>
      <c r="D148" t="s">
        <v>225</v>
      </c>
      <c r="E148" t="s">
        <v>14</v>
      </c>
      <c r="F148" t="s">
        <v>246</v>
      </c>
      <c r="M148" s="374"/>
      <c r="N148">
        <v>8</v>
      </c>
      <c r="O148" t="s">
        <v>225</v>
      </c>
      <c r="P148" t="s">
        <v>14</v>
      </c>
      <c r="Q148" t="s">
        <v>246</v>
      </c>
    </row>
    <row r="149" spans="2:17">
      <c r="B149" s="374"/>
      <c r="C149">
        <v>10</v>
      </c>
      <c r="D149" t="s">
        <v>766</v>
      </c>
      <c r="E149" t="s">
        <v>808</v>
      </c>
      <c r="F149" t="s">
        <v>252</v>
      </c>
      <c r="M149" s="374"/>
      <c r="N149">
        <v>10</v>
      </c>
      <c r="O149" t="s">
        <v>766</v>
      </c>
      <c r="P149" t="s">
        <v>808</v>
      </c>
      <c r="Q149" t="s">
        <v>252</v>
      </c>
    </row>
    <row r="150" spans="2:17">
      <c r="B150" s="374"/>
      <c r="C150">
        <v>109</v>
      </c>
      <c r="D150" t="s">
        <v>765</v>
      </c>
      <c r="E150" t="s">
        <v>805</v>
      </c>
      <c r="F150" t="s">
        <v>802</v>
      </c>
      <c r="M150" s="374"/>
      <c r="N150">
        <v>0</v>
      </c>
      <c r="O150" t="s">
        <v>765</v>
      </c>
      <c r="P150" t="s">
        <v>805</v>
      </c>
      <c r="Q150" t="s">
        <v>802</v>
      </c>
    </row>
    <row r="151" spans="2:17">
      <c r="B151" s="374"/>
      <c r="C151">
        <v>0</v>
      </c>
      <c r="D151" t="s">
        <v>609</v>
      </c>
      <c r="E151" t="s">
        <v>803</v>
      </c>
      <c r="F151" t="s">
        <v>801</v>
      </c>
      <c r="M151" s="374"/>
      <c r="N151">
        <v>0</v>
      </c>
      <c r="O151" t="s">
        <v>609</v>
      </c>
      <c r="P151" t="s">
        <v>803</v>
      </c>
      <c r="Q151" t="s">
        <v>801</v>
      </c>
    </row>
    <row r="152" spans="2:17">
      <c r="B152" s="374"/>
      <c r="E152" s="411"/>
      <c r="F152" s="411"/>
      <c r="M152" s="374"/>
      <c r="P152" s="411"/>
      <c r="Q152" s="411"/>
    </row>
    <row r="153" spans="2:17">
      <c r="B153" s="374">
        <v>46049</v>
      </c>
      <c r="C153">
        <v>0</v>
      </c>
      <c r="D153" t="s">
        <v>386</v>
      </c>
      <c r="E153" t="s">
        <v>248</v>
      </c>
      <c r="F153" t="s">
        <v>246</v>
      </c>
      <c r="M153" s="374">
        <v>46049</v>
      </c>
      <c r="N153">
        <v>0</v>
      </c>
      <c r="O153" t="s">
        <v>386</v>
      </c>
      <c r="P153" t="s">
        <v>248</v>
      </c>
      <c r="Q153" t="s">
        <v>246</v>
      </c>
    </row>
    <row r="154" spans="2:17">
      <c r="B154" s="374"/>
      <c r="C154">
        <v>12</v>
      </c>
      <c r="D154" t="s">
        <v>778</v>
      </c>
      <c r="E154" t="s">
        <v>247</v>
      </c>
      <c r="F154" t="s">
        <v>246</v>
      </c>
      <c r="M154" s="374"/>
      <c r="N154">
        <v>12</v>
      </c>
      <c r="O154" t="s">
        <v>778</v>
      </c>
      <c r="P154" t="s">
        <v>247</v>
      </c>
      <c r="Q154" t="s">
        <v>246</v>
      </c>
    </row>
    <row r="155" spans="2:17">
      <c r="B155" s="374"/>
      <c r="C155">
        <v>16</v>
      </c>
      <c r="D155" t="s">
        <v>779</v>
      </c>
      <c r="E155" t="s">
        <v>361</v>
      </c>
      <c r="F155" t="s">
        <v>246</v>
      </c>
      <c r="M155" s="374"/>
      <c r="N155">
        <v>16</v>
      </c>
      <c r="O155" t="s">
        <v>779</v>
      </c>
      <c r="P155" t="s">
        <v>361</v>
      </c>
      <c r="Q155" t="s">
        <v>246</v>
      </c>
    </row>
    <row r="156" spans="2:17">
      <c r="B156" s="374"/>
      <c r="C156">
        <v>16</v>
      </c>
      <c r="D156" t="s">
        <v>225</v>
      </c>
      <c r="E156" t="s">
        <v>14</v>
      </c>
      <c r="F156" t="s">
        <v>246</v>
      </c>
      <c r="M156" s="374"/>
      <c r="N156">
        <v>16</v>
      </c>
      <c r="O156" t="s">
        <v>225</v>
      </c>
      <c r="P156" t="s">
        <v>14</v>
      </c>
      <c r="Q156" t="s">
        <v>246</v>
      </c>
    </row>
    <row r="157" spans="2:17">
      <c r="B157" s="374"/>
      <c r="C157">
        <v>0</v>
      </c>
      <c r="D157" t="s">
        <v>609</v>
      </c>
      <c r="E157" t="s">
        <v>803</v>
      </c>
      <c r="F157" t="s">
        <v>801</v>
      </c>
      <c r="M157" s="374"/>
      <c r="N157">
        <v>0</v>
      </c>
      <c r="O157" t="s">
        <v>609</v>
      </c>
      <c r="P157" t="s">
        <v>803</v>
      </c>
      <c r="Q157" t="s">
        <v>801</v>
      </c>
    </row>
    <row r="158" spans="2:17">
      <c r="B158" s="374"/>
      <c r="M158" s="374"/>
    </row>
    <row r="159" spans="2:17">
      <c r="B159" s="374">
        <v>46050</v>
      </c>
      <c r="C159">
        <v>2</v>
      </c>
      <c r="D159" t="s">
        <v>619</v>
      </c>
      <c r="E159" t="s">
        <v>248</v>
      </c>
      <c r="F159" t="s">
        <v>246</v>
      </c>
      <c r="M159" s="374">
        <v>46050</v>
      </c>
      <c r="N159">
        <v>2</v>
      </c>
      <c r="O159" t="s">
        <v>619</v>
      </c>
      <c r="P159" t="s">
        <v>248</v>
      </c>
      <c r="Q159" t="s">
        <v>246</v>
      </c>
    </row>
    <row r="160" spans="2:17">
      <c r="B160" s="374"/>
      <c r="C160">
        <v>11</v>
      </c>
      <c r="D160" t="s">
        <v>437</v>
      </c>
      <c r="E160" t="s">
        <v>247</v>
      </c>
      <c r="F160" t="s">
        <v>246</v>
      </c>
      <c r="M160" s="374"/>
      <c r="N160">
        <v>11</v>
      </c>
      <c r="O160" t="s">
        <v>437</v>
      </c>
      <c r="P160" t="s">
        <v>247</v>
      </c>
      <c r="Q160" t="s">
        <v>246</v>
      </c>
    </row>
    <row r="161" spans="2:17">
      <c r="B161" s="374"/>
      <c r="C161">
        <v>19</v>
      </c>
      <c r="D161" t="s">
        <v>788</v>
      </c>
      <c r="E161" t="s">
        <v>361</v>
      </c>
      <c r="F161" t="s">
        <v>246</v>
      </c>
      <c r="M161" s="374"/>
      <c r="N161">
        <v>19</v>
      </c>
      <c r="O161" t="s">
        <v>788</v>
      </c>
      <c r="P161" t="s">
        <v>361</v>
      </c>
      <c r="Q161" t="s">
        <v>246</v>
      </c>
    </row>
    <row r="162" spans="2:17">
      <c r="B162" s="374"/>
      <c r="C162">
        <v>0</v>
      </c>
      <c r="D162" t="s">
        <v>225</v>
      </c>
      <c r="E162" t="s">
        <v>14</v>
      </c>
      <c r="F162" t="s">
        <v>246</v>
      </c>
      <c r="M162" s="374"/>
      <c r="N162">
        <v>0</v>
      </c>
      <c r="O162" t="s">
        <v>225</v>
      </c>
      <c r="P162" t="s">
        <v>14</v>
      </c>
      <c r="Q162" t="s">
        <v>246</v>
      </c>
    </row>
    <row r="163" spans="2:17">
      <c r="B163" s="374"/>
      <c r="C163">
        <v>0</v>
      </c>
      <c r="D163" t="s">
        <v>609</v>
      </c>
      <c r="E163" t="s">
        <v>803</v>
      </c>
      <c r="F163" t="s">
        <v>801</v>
      </c>
      <c r="M163" s="374"/>
      <c r="N163">
        <v>0</v>
      </c>
      <c r="O163" t="s">
        <v>609</v>
      </c>
      <c r="P163" t="s">
        <v>803</v>
      </c>
      <c r="Q163" t="s">
        <v>801</v>
      </c>
    </row>
    <row r="164" spans="2:17">
      <c r="B164" s="374"/>
      <c r="M164" s="374"/>
    </row>
    <row r="165" spans="2:17">
      <c r="B165" s="374">
        <v>46051</v>
      </c>
      <c r="C165">
        <v>0</v>
      </c>
      <c r="D165" t="s">
        <v>386</v>
      </c>
      <c r="E165" t="s">
        <v>248</v>
      </c>
      <c r="F165" t="s">
        <v>246</v>
      </c>
      <c r="M165" s="374">
        <v>46051</v>
      </c>
      <c r="N165">
        <v>0</v>
      </c>
      <c r="O165" t="s">
        <v>386</v>
      </c>
      <c r="P165" t="s">
        <v>248</v>
      </c>
      <c r="Q165" t="s">
        <v>246</v>
      </c>
    </row>
    <row r="166" spans="2:17">
      <c r="B166" s="374"/>
      <c r="C166">
        <v>13</v>
      </c>
      <c r="D166" t="s">
        <v>650</v>
      </c>
      <c r="E166" t="s">
        <v>247</v>
      </c>
      <c r="F166" t="s">
        <v>246</v>
      </c>
      <c r="M166" s="374"/>
      <c r="N166">
        <v>13</v>
      </c>
      <c r="O166" t="s">
        <v>650</v>
      </c>
      <c r="P166" t="s">
        <v>247</v>
      </c>
      <c r="Q166" t="s">
        <v>246</v>
      </c>
    </row>
    <row r="167" spans="2:17">
      <c r="B167" s="374"/>
      <c r="C167">
        <v>20</v>
      </c>
      <c r="D167" t="s">
        <v>543</v>
      </c>
      <c r="E167" t="s">
        <v>361</v>
      </c>
      <c r="F167" t="s">
        <v>246</v>
      </c>
      <c r="M167" s="374"/>
      <c r="N167">
        <v>20</v>
      </c>
      <c r="O167" t="s">
        <v>543</v>
      </c>
      <c r="P167" t="s">
        <v>361</v>
      </c>
      <c r="Q167" t="s">
        <v>246</v>
      </c>
    </row>
    <row r="168" spans="2:17">
      <c r="B168" s="374"/>
      <c r="C168">
        <v>6</v>
      </c>
      <c r="D168" t="s">
        <v>225</v>
      </c>
      <c r="E168" t="s">
        <v>14</v>
      </c>
      <c r="F168" t="s">
        <v>246</v>
      </c>
      <c r="M168" s="374"/>
      <c r="N168">
        <v>6</v>
      </c>
      <c r="O168" t="s">
        <v>225</v>
      </c>
      <c r="P168" t="s">
        <v>14</v>
      </c>
      <c r="Q168" t="s">
        <v>246</v>
      </c>
    </row>
    <row r="169" spans="2:17">
      <c r="B169" s="374"/>
      <c r="C169">
        <v>0</v>
      </c>
      <c r="D169" t="s">
        <v>609</v>
      </c>
      <c r="E169" t="s">
        <v>803</v>
      </c>
      <c r="F169" t="s">
        <v>801</v>
      </c>
      <c r="M169" s="374"/>
      <c r="N169">
        <v>0</v>
      </c>
      <c r="O169" t="s">
        <v>609</v>
      </c>
      <c r="P169" t="s">
        <v>803</v>
      </c>
      <c r="Q169" t="s">
        <v>801</v>
      </c>
    </row>
    <row r="170" spans="2:17">
      <c r="B170" s="374"/>
      <c r="M170" s="374"/>
    </row>
    <row r="171" spans="2:17">
      <c r="B171" s="374">
        <v>46052</v>
      </c>
      <c r="C171">
        <v>6</v>
      </c>
      <c r="D171" t="s">
        <v>819</v>
      </c>
      <c r="E171" t="s">
        <v>248</v>
      </c>
      <c r="F171" t="s">
        <v>246</v>
      </c>
      <c r="M171" s="374">
        <v>46052</v>
      </c>
      <c r="N171">
        <v>6</v>
      </c>
      <c r="O171" t="s">
        <v>819</v>
      </c>
      <c r="P171" t="s">
        <v>248</v>
      </c>
      <c r="Q171" t="s">
        <v>246</v>
      </c>
    </row>
    <row r="172" spans="2:17">
      <c r="B172" s="374"/>
      <c r="C172">
        <v>12</v>
      </c>
      <c r="D172" t="s">
        <v>438</v>
      </c>
      <c r="E172" t="s">
        <v>247</v>
      </c>
      <c r="F172" t="s">
        <v>246</v>
      </c>
      <c r="M172" s="374"/>
      <c r="N172">
        <v>12</v>
      </c>
      <c r="O172" t="s">
        <v>438</v>
      </c>
      <c r="P172" t="s">
        <v>247</v>
      </c>
      <c r="Q172" t="s">
        <v>246</v>
      </c>
    </row>
    <row r="173" spans="2:17">
      <c r="B173" s="374"/>
      <c r="C173">
        <v>25</v>
      </c>
      <c r="D173" t="s">
        <v>524</v>
      </c>
      <c r="E173" t="s">
        <v>361</v>
      </c>
      <c r="F173" t="s">
        <v>246</v>
      </c>
      <c r="M173" s="374"/>
      <c r="N173">
        <v>25</v>
      </c>
      <c r="O173" t="s">
        <v>524</v>
      </c>
      <c r="P173" t="s">
        <v>361</v>
      </c>
      <c r="Q173" t="s">
        <v>246</v>
      </c>
    </row>
    <row r="174" spans="2:17">
      <c r="B174" s="374"/>
      <c r="C174">
        <v>14</v>
      </c>
      <c r="D174" t="s">
        <v>225</v>
      </c>
      <c r="E174" t="s">
        <v>14</v>
      </c>
      <c r="F174" t="s">
        <v>246</v>
      </c>
      <c r="M174" s="374"/>
      <c r="N174">
        <v>14</v>
      </c>
      <c r="O174" t="s">
        <v>225</v>
      </c>
      <c r="P174" t="s">
        <v>14</v>
      </c>
      <c r="Q174" t="s">
        <v>246</v>
      </c>
    </row>
    <row r="175" spans="2:17">
      <c r="B175" s="374"/>
      <c r="C175">
        <v>30</v>
      </c>
      <c r="D175" t="s">
        <v>820</v>
      </c>
      <c r="E175" t="s">
        <v>830</v>
      </c>
      <c r="F175" t="s">
        <v>250</v>
      </c>
      <c r="M175" s="374"/>
      <c r="N175">
        <v>30</v>
      </c>
      <c r="O175" t="s">
        <v>820</v>
      </c>
      <c r="P175" t="s">
        <v>830</v>
      </c>
      <c r="Q175" t="s">
        <v>250</v>
      </c>
    </row>
    <row r="176" spans="2:17">
      <c r="B176" s="374"/>
      <c r="C176">
        <v>0</v>
      </c>
      <c r="D176" t="s">
        <v>609</v>
      </c>
      <c r="E176" t="s">
        <v>803</v>
      </c>
      <c r="F176" t="s">
        <v>801</v>
      </c>
      <c r="M176" s="374"/>
      <c r="N176">
        <v>0</v>
      </c>
      <c r="O176" t="s">
        <v>609</v>
      </c>
      <c r="P176" t="s">
        <v>803</v>
      </c>
      <c r="Q176" t="s">
        <v>801</v>
      </c>
    </row>
    <row r="177" spans="2:17">
      <c r="B177" s="374"/>
      <c r="M177" s="374"/>
    </row>
    <row r="178" spans="2:17">
      <c r="B178" s="374">
        <v>46053</v>
      </c>
      <c r="C178">
        <v>0</v>
      </c>
      <c r="D178" t="s">
        <v>386</v>
      </c>
      <c r="E178" t="s">
        <v>248</v>
      </c>
      <c r="F178" t="s">
        <v>246</v>
      </c>
      <c r="M178" s="374">
        <v>46053</v>
      </c>
      <c r="N178">
        <v>0</v>
      </c>
      <c r="O178" t="s">
        <v>386</v>
      </c>
      <c r="P178" t="s">
        <v>248</v>
      </c>
      <c r="Q178" t="s">
        <v>246</v>
      </c>
    </row>
    <row r="179" spans="2:17">
      <c r="B179" s="374"/>
      <c r="C179">
        <v>0</v>
      </c>
      <c r="D179" t="s">
        <v>387</v>
      </c>
      <c r="E179" t="s">
        <v>247</v>
      </c>
      <c r="F179" t="s">
        <v>246</v>
      </c>
      <c r="M179" s="374"/>
      <c r="N179">
        <v>0</v>
      </c>
      <c r="O179" t="s">
        <v>387</v>
      </c>
      <c r="P179" t="s">
        <v>247</v>
      </c>
      <c r="Q179" t="s">
        <v>246</v>
      </c>
    </row>
    <row r="180" spans="2:17">
      <c r="B180" s="374"/>
      <c r="C180">
        <v>0</v>
      </c>
      <c r="D180" t="s">
        <v>827</v>
      </c>
      <c r="E180" t="s">
        <v>361</v>
      </c>
      <c r="F180" t="s">
        <v>246</v>
      </c>
      <c r="M180" s="374"/>
      <c r="N180">
        <v>0</v>
      </c>
      <c r="O180" t="s">
        <v>827</v>
      </c>
      <c r="P180" t="s">
        <v>361</v>
      </c>
      <c r="Q180" t="s">
        <v>246</v>
      </c>
    </row>
    <row r="181" spans="2:17">
      <c r="B181" s="374"/>
      <c r="C181">
        <v>750</v>
      </c>
      <c r="D181" t="s">
        <v>829</v>
      </c>
      <c r="E181" t="s">
        <v>831</v>
      </c>
      <c r="F181" t="s">
        <v>250</v>
      </c>
      <c r="M181" s="374"/>
      <c r="N181">
        <v>750</v>
      </c>
      <c r="O181" t="s">
        <v>829</v>
      </c>
      <c r="P181" t="s">
        <v>831</v>
      </c>
      <c r="Q181" t="s">
        <v>250</v>
      </c>
    </row>
    <row r="182" spans="2:17">
      <c r="B182" s="374"/>
      <c r="C182">
        <v>690</v>
      </c>
      <c r="D182" t="s">
        <v>829</v>
      </c>
      <c r="E182" t="s">
        <v>831</v>
      </c>
      <c r="F182" t="s">
        <v>251</v>
      </c>
      <c r="M182" s="374"/>
      <c r="N182">
        <v>690</v>
      </c>
      <c r="O182" t="s">
        <v>829</v>
      </c>
      <c r="P182" t="s">
        <v>831</v>
      </c>
      <c r="Q182" t="s">
        <v>251</v>
      </c>
    </row>
    <row r="183" spans="2:17">
      <c r="B183" s="374"/>
      <c r="M183" s="374"/>
    </row>
    <row r="184" spans="2:17">
      <c r="B184" s="374"/>
      <c r="M184" s="374"/>
    </row>
    <row r="185" spans="2:17">
      <c r="B185" s="374"/>
    </row>
    <row r="186" spans="2:17">
      <c r="B186" s="374"/>
    </row>
    <row r="187" spans="2:17">
      <c r="B187" s="374"/>
    </row>
    <row r="188" spans="2:17">
      <c r="B188" s="374"/>
    </row>
    <row r="189" spans="2:17">
      <c r="B189" s="374"/>
    </row>
    <row r="190" spans="2:17">
      <c r="B190" s="374"/>
    </row>
    <row r="191" spans="2:17">
      <c r="B191" s="374"/>
    </row>
    <row r="192" spans="2:17">
      <c r="B192" s="374"/>
    </row>
    <row r="193" spans="2:2">
      <c r="B193" s="374"/>
    </row>
    <row r="194" spans="2:2">
      <c r="B194" s="374"/>
    </row>
    <row r="195" spans="2:2">
      <c r="B195" s="374"/>
    </row>
    <row r="196" spans="2:2">
      <c r="B196" s="374"/>
    </row>
    <row r="197" spans="2:2">
      <c r="B197" s="374"/>
    </row>
    <row r="198" spans="2:2">
      <c r="B198" s="374"/>
    </row>
    <row r="199" spans="2:2">
      <c r="B199" s="374"/>
    </row>
    <row r="200" spans="2:2">
      <c r="B200" s="374"/>
    </row>
    <row r="201" spans="2:2">
      <c r="B201" s="374"/>
    </row>
    <row r="202" spans="2:2">
      <c r="B202" s="374"/>
    </row>
    <row r="203" spans="2:2">
      <c r="B203" s="374"/>
    </row>
    <row r="204" spans="2:2">
      <c r="B204" s="374"/>
    </row>
    <row r="205" spans="2:2">
      <c r="B205" s="374"/>
    </row>
    <row r="206" spans="2:2">
      <c r="B206" s="374"/>
    </row>
    <row r="207" spans="2:2">
      <c r="B207" s="374"/>
    </row>
    <row r="208" spans="2:2">
      <c r="B208" s="374"/>
    </row>
    <row r="209" spans="2:2">
      <c r="B209" s="374"/>
    </row>
    <row r="210" spans="2:2">
      <c r="B210" s="374"/>
    </row>
    <row r="211" spans="2:2">
      <c r="B211" s="374"/>
    </row>
    <row r="212" spans="2:2">
      <c r="B212" s="374"/>
    </row>
    <row r="213" spans="2:2">
      <c r="B213" s="374"/>
    </row>
    <row r="214" spans="2:2">
      <c r="B214" s="374"/>
    </row>
    <row r="215" spans="2:2">
      <c r="B215" s="374"/>
    </row>
    <row r="216" spans="2:2">
      <c r="B216" s="374"/>
    </row>
    <row r="217" spans="2:2">
      <c r="B217" s="374"/>
    </row>
    <row r="218" spans="2:2">
      <c r="B218" s="374"/>
    </row>
    <row r="219" spans="2:2">
      <c r="B219" s="374"/>
    </row>
    <row r="220" spans="2:2">
      <c r="B220" s="374"/>
    </row>
    <row r="221" spans="2:2">
      <c r="B221" s="374"/>
    </row>
    <row r="222" spans="2:2">
      <c r="B222" s="374"/>
    </row>
    <row r="223" spans="2:2">
      <c r="B223" s="374"/>
    </row>
    <row r="224" spans="2:2">
      <c r="B224" s="374"/>
    </row>
    <row r="225" spans="2:2">
      <c r="B225" s="374"/>
    </row>
    <row r="226" spans="2:2">
      <c r="B226" s="374"/>
    </row>
    <row r="227" spans="2:2">
      <c r="B227" s="374"/>
    </row>
    <row r="228" spans="2:2">
      <c r="B228" s="374"/>
    </row>
    <row r="229" spans="2:2">
      <c r="B229" s="374"/>
    </row>
    <row r="230" spans="2:2">
      <c r="B230" s="374"/>
    </row>
    <row r="231" spans="2:2">
      <c r="B231" s="374"/>
    </row>
    <row r="232" spans="2:2">
      <c r="B232" s="374"/>
    </row>
    <row r="233" spans="2:2">
      <c r="B233" s="374"/>
    </row>
    <row r="234" spans="2:2">
      <c r="B234" s="374"/>
    </row>
    <row r="235" spans="2:2">
      <c r="B235" s="374"/>
    </row>
    <row r="236" spans="2:2">
      <c r="B236" s="374"/>
    </row>
    <row r="237" spans="2:2">
      <c r="B237" s="374"/>
    </row>
    <row r="238" spans="2:2">
      <c r="B238" s="374"/>
    </row>
    <row r="239" spans="2:2">
      <c r="B239" s="374"/>
    </row>
    <row r="240" spans="2:2">
      <c r="B240" s="374"/>
    </row>
    <row r="241" spans="2:2">
      <c r="B241" s="374"/>
    </row>
    <row r="242" spans="2:2">
      <c r="B242" s="374"/>
    </row>
    <row r="243" spans="2:2">
      <c r="B243" s="374"/>
    </row>
    <row r="244" spans="2:2">
      <c r="B244" s="374"/>
    </row>
    <row r="245" spans="2:2">
      <c r="B245" s="374"/>
    </row>
    <row r="246" spans="2:2">
      <c r="B246" s="374"/>
    </row>
    <row r="247" spans="2:2">
      <c r="B247" s="374"/>
    </row>
    <row r="248" spans="2:2">
      <c r="B248" s="374"/>
    </row>
    <row r="249" spans="2:2">
      <c r="B249" s="374"/>
    </row>
    <row r="250" spans="2:2">
      <c r="B250" s="374"/>
    </row>
    <row r="251" spans="2:2">
      <c r="B251" s="374"/>
    </row>
    <row r="252" spans="2:2">
      <c r="B252" s="374"/>
    </row>
    <row r="253" spans="2:2">
      <c r="B253" s="374"/>
    </row>
    <row r="254" spans="2:2">
      <c r="B254" s="374"/>
    </row>
    <row r="255" spans="2:2">
      <c r="B255" s="374"/>
    </row>
    <row r="256" spans="2:2">
      <c r="B256" s="374"/>
    </row>
    <row r="257" spans="2:2">
      <c r="B257" s="374"/>
    </row>
    <row r="258" spans="2:2">
      <c r="B258" s="374"/>
    </row>
    <row r="259" spans="2:2">
      <c r="B259" s="374"/>
    </row>
    <row r="260" spans="2:2">
      <c r="B260" s="374"/>
    </row>
  </sheetData>
  <autoFilter ref="B1:F106"/>
  <conditionalFormatting sqref="G2:G14">
    <cfRule type="cellIs" dxfId="7" priority="2" operator="greaterThan">
      <formula>0</formula>
    </cfRule>
  </conditionalFormatting>
  <conditionalFormatting sqref="R2:R14">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Q44"/>
  <sheetViews>
    <sheetView tabSelected="1" topLeftCell="H1" workbookViewId="0">
      <selection activeCell="K6" sqref="K6:K7"/>
    </sheetView>
  </sheetViews>
  <sheetFormatPr defaultRowHeight="12.75"/>
  <cols>
    <col min="1" max="1" width="15.28515625" bestFit="1" customWidth="1"/>
    <col min="2" max="2" width="23.28515625" bestFit="1" customWidth="1"/>
    <col min="3" max="3" width="34.28515625" style="575" customWidth="1"/>
    <col min="4" max="8" width="13.5703125" customWidth="1"/>
    <col min="10" max="10" width="15.28515625" bestFit="1" customWidth="1"/>
    <col min="11" max="11" width="23.28515625" bestFit="1" customWidth="1"/>
    <col min="12" max="12" width="34.28515625" style="575" customWidth="1"/>
    <col min="13" max="17" width="13.5703125" customWidth="1"/>
  </cols>
  <sheetData>
    <row r="1" spans="1:17" ht="15">
      <c r="A1" s="465" t="s">
        <v>384</v>
      </c>
      <c r="E1" s="467"/>
      <c r="F1" s="1"/>
      <c r="J1" s="465" t="s">
        <v>385</v>
      </c>
      <c r="N1" s="467"/>
      <c r="O1" s="1"/>
    </row>
    <row r="2" spans="1:17" ht="30">
      <c r="A2" s="786" t="s">
        <v>230</v>
      </c>
      <c r="B2" s="786" t="s">
        <v>231</v>
      </c>
      <c r="C2" s="787" t="s">
        <v>232</v>
      </c>
      <c r="D2" s="468" t="s">
        <v>233</v>
      </c>
      <c r="E2" s="572" t="s">
        <v>234</v>
      </c>
      <c r="F2" s="470" t="s">
        <v>235</v>
      </c>
      <c r="G2" s="572" t="s">
        <v>236</v>
      </c>
      <c r="H2" s="572" t="s">
        <v>237</v>
      </c>
      <c r="J2" s="786" t="s">
        <v>230</v>
      </c>
      <c r="K2" s="786" t="s">
        <v>231</v>
      </c>
      <c r="L2" s="785" t="s">
        <v>232</v>
      </c>
      <c r="M2" s="468" t="s">
        <v>233</v>
      </c>
      <c r="N2" s="572" t="s">
        <v>234</v>
      </c>
      <c r="O2" s="470" t="s">
        <v>235</v>
      </c>
      <c r="P2" s="572" t="s">
        <v>236</v>
      </c>
      <c r="Q2" s="572" t="s">
        <v>237</v>
      </c>
    </row>
    <row r="3" spans="1:17" ht="15">
      <c r="A3" s="786"/>
      <c r="B3" s="786"/>
      <c r="C3" s="788"/>
      <c r="D3" s="468" t="s">
        <v>400</v>
      </c>
      <c r="E3" s="468" t="str">
        <f>+D3</f>
        <v>JANUARI</v>
      </c>
      <c r="F3" s="468" t="str">
        <f>+E3</f>
        <v>JANUARI</v>
      </c>
      <c r="G3" s="468" t="str">
        <f>+F3</f>
        <v>JANUARI</v>
      </c>
      <c r="H3" s="468" t="str">
        <f>+G3</f>
        <v>JANUARI</v>
      </c>
      <c r="J3" s="786"/>
      <c r="K3" s="786"/>
      <c r="L3" s="785"/>
      <c r="M3" s="468" t="str">
        <f>+H3</f>
        <v>JANUARI</v>
      </c>
      <c r="N3" s="468" t="str">
        <f>+M3</f>
        <v>JANUARI</v>
      </c>
      <c r="O3" s="468" t="str">
        <f>+N3</f>
        <v>JANUARI</v>
      </c>
      <c r="P3" s="468" t="str">
        <f>+O3</f>
        <v>JANUARI</v>
      </c>
      <c r="Q3" s="468" t="str">
        <f>+P3</f>
        <v>JANUARI</v>
      </c>
    </row>
    <row r="4" spans="1:17" ht="15">
      <c r="A4" s="770" t="s">
        <v>238</v>
      </c>
      <c r="B4" s="574" t="s">
        <v>296</v>
      </c>
      <c r="C4" s="576"/>
      <c r="D4" s="7">
        <f>SUMIFS(Sheet1!$C$2:$C$180,Sheet1!$F$2:$F$180,B4,Sheet1!$E$2:$E$180,C4)</f>
        <v>0</v>
      </c>
      <c r="E4" s="7">
        <f>D4/Sheet1!$I$9*Sheet1!$I$10</f>
        <v>0</v>
      </c>
      <c r="F4" s="481">
        <f>D4/Sheet1!$I$9*Sheet1!$I$11</f>
        <v>0</v>
      </c>
      <c r="G4" s="573">
        <f>F4</f>
        <v>0</v>
      </c>
      <c r="H4" s="784">
        <f>SUM(G4:G13)</f>
        <v>2.2249001456116493E-2</v>
      </c>
      <c r="J4" s="770" t="s">
        <v>238</v>
      </c>
      <c r="K4" s="618" t="s">
        <v>296</v>
      </c>
      <c r="L4" s="576"/>
      <c r="M4" s="7">
        <f>SUMIFS(Sheet1!$N$2:$N$180,Sheet1!$Q$2:$Q$180,K4,Sheet1!$P$2:$P$180,L4)</f>
        <v>0</v>
      </c>
      <c r="N4" s="7">
        <f>M4/Sheet1!$T$9*Sheet1!$T$10</f>
        <v>0</v>
      </c>
      <c r="O4" s="481">
        <f>M4/Sheet1!$T$9*Sheet1!$T$11</f>
        <v>0</v>
      </c>
      <c r="P4" s="573">
        <f>O4</f>
        <v>0</v>
      </c>
      <c r="Q4" s="784">
        <f>SUM(P4:P13)</f>
        <v>4.6571826101178063E-3</v>
      </c>
    </row>
    <row r="5" spans="1:17" ht="15">
      <c r="A5" s="770"/>
      <c r="B5" s="574" t="s">
        <v>239</v>
      </c>
      <c r="C5" s="576" t="s">
        <v>546</v>
      </c>
      <c r="D5" s="7">
        <f>SUMIFS(Sheet1!$C$2:$C$180,Sheet1!$F$2:$F$180,B5,Sheet1!$E$2:$E$180,C5)</f>
        <v>480</v>
      </c>
      <c r="E5" s="7">
        <f>D5/Sheet1!$I$9*Sheet1!$I$10</f>
        <v>17.904184338495064</v>
      </c>
      <c r="F5" s="481">
        <f>D5/Sheet1!$I$9*Sheet1!$I$11</f>
        <v>1.0700922544023965E-2</v>
      </c>
      <c r="G5" s="577">
        <f t="shared" ref="G5:G16" si="0">F5</f>
        <v>1.0700922544023965E-2</v>
      </c>
      <c r="H5" s="770"/>
      <c r="J5" s="770"/>
      <c r="K5" s="618" t="s">
        <v>239</v>
      </c>
      <c r="L5" s="576" t="s">
        <v>546</v>
      </c>
      <c r="M5" s="7">
        <f>SUMIFS(Sheet1!$N$2:$N$180,Sheet1!$Q$2:$Q$180,K5,Sheet1!$P$2:$P$180,L5)</f>
        <v>0</v>
      </c>
      <c r="N5" s="7">
        <f>M5/Sheet1!$T$9*Sheet1!$T$10</f>
        <v>0</v>
      </c>
      <c r="O5" s="481">
        <f>M5/Sheet1!$T$9*Sheet1!$T$11</f>
        <v>0</v>
      </c>
      <c r="P5" s="577">
        <f t="shared" ref="P5:P16" si="1">O5</f>
        <v>0</v>
      </c>
      <c r="Q5" s="770"/>
    </row>
    <row r="6" spans="1:17" ht="15">
      <c r="A6" s="770"/>
      <c r="B6" s="773" t="s">
        <v>300</v>
      </c>
      <c r="C6" s="576"/>
      <c r="D6" s="7">
        <f>SUMIFS(Sheet1!$C$2:$C$180,Sheet1!$F$2:$F$180,B6,Sheet1!$E$2:$E$180,C6)</f>
        <v>0</v>
      </c>
      <c r="E6" s="7">
        <f>D6/Sheet1!$I$9*Sheet1!$I$10</f>
        <v>0</v>
      </c>
      <c r="F6" s="481">
        <f>D6/Sheet1!$I$9*Sheet1!$I$11</f>
        <v>0</v>
      </c>
      <c r="G6" s="577">
        <f t="shared" si="0"/>
        <v>0</v>
      </c>
      <c r="H6" s="770"/>
      <c r="J6" s="770"/>
      <c r="K6" s="773" t="s">
        <v>300</v>
      </c>
      <c r="L6" s="576"/>
      <c r="M6" s="7">
        <f>SUMIFS(Sheet1!$N$2:$N$180,Sheet1!$Q$2:$Q$180,K6,Sheet1!$P$2:$P$180,L6)</f>
        <v>0</v>
      </c>
      <c r="N6" s="7">
        <f>M6/Sheet1!$T$9*Sheet1!$T$10</f>
        <v>0</v>
      </c>
      <c r="O6" s="481">
        <f>M6/Sheet1!$T$9*Sheet1!$T$11</f>
        <v>0</v>
      </c>
      <c r="P6" s="577">
        <f t="shared" si="1"/>
        <v>0</v>
      </c>
      <c r="Q6" s="770"/>
    </row>
    <row r="7" spans="1:17" ht="15">
      <c r="A7" s="770"/>
      <c r="B7" s="774"/>
      <c r="C7" s="576"/>
      <c r="D7" s="7">
        <f>SUMIFS(Sheet1!$C$2:$C$180,Sheet1!$F$2:$F$180,B6,Sheet1!$E$2:$E$180,C7)</f>
        <v>0</v>
      </c>
      <c r="E7" s="7">
        <f>D7/Sheet1!$I$9*Sheet1!$I$10</f>
        <v>0</v>
      </c>
      <c r="F7" s="481">
        <f>D7/Sheet1!$I$9*Sheet1!$I$11</f>
        <v>0</v>
      </c>
      <c r="G7" s="577">
        <f t="shared" si="0"/>
        <v>0</v>
      </c>
      <c r="H7" s="770"/>
      <c r="J7" s="770"/>
      <c r="K7" s="774"/>
      <c r="L7" s="576"/>
      <c r="M7" s="7">
        <f>SUMIFS(Sheet1!$N$2:$N$180,Sheet1!$Q$2:$Q$180,K6,Sheet1!$P$2:$P$180,L7)</f>
        <v>0</v>
      </c>
      <c r="N7" s="7">
        <f>M7/Sheet1!$T$9*Sheet1!$T$10</f>
        <v>0</v>
      </c>
      <c r="O7" s="481">
        <f>M7/Sheet1!$T$9*Sheet1!$T$11</f>
        <v>0</v>
      </c>
      <c r="P7" s="577">
        <f t="shared" si="1"/>
        <v>0</v>
      </c>
      <c r="Q7" s="770"/>
    </row>
    <row r="8" spans="1:17" ht="12.75" customHeight="1">
      <c r="A8" s="770"/>
      <c r="B8" s="773" t="s">
        <v>299</v>
      </c>
      <c r="C8" s="576" t="s">
        <v>807</v>
      </c>
      <c r="D8" s="7">
        <f>SUMIFS(Sheet1!$C$2:$C$180,Sheet1!$F$2:$F$180,B8,Sheet1!$E$2:$E$180,C8)</f>
        <v>197</v>
      </c>
      <c r="E8" s="7">
        <f>D8/Sheet1!$I$9*Sheet1!$I$10</f>
        <v>7.3481756555906816</v>
      </c>
      <c r="F8" s="481">
        <f>D8/Sheet1!$I$9*Sheet1!$I$11</f>
        <v>4.3918369607765023E-3</v>
      </c>
      <c r="G8" s="578">
        <f t="shared" si="0"/>
        <v>4.3918369607765023E-3</v>
      </c>
      <c r="H8" s="770"/>
      <c r="J8" s="770"/>
      <c r="K8" s="773" t="s">
        <v>299</v>
      </c>
      <c r="L8" s="576" t="s">
        <v>807</v>
      </c>
      <c r="M8" s="7">
        <f>SUMIFS(Sheet1!$N$2:$N$180,Sheet1!$Q$2:$Q$180,K8,Sheet1!$P$2:$P$180,L8)</f>
        <v>197</v>
      </c>
      <c r="N8" s="7">
        <f>M8/Sheet1!$T$9*Sheet1!$T$10</f>
        <v>7.2037034313769759</v>
      </c>
      <c r="O8" s="481">
        <f>M8/Sheet1!$T$9*Sheet1!$T$11</f>
        <v>4.6571826101178063E-3</v>
      </c>
      <c r="P8" s="578">
        <f t="shared" si="1"/>
        <v>4.6571826101178063E-3</v>
      </c>
      <c r="Q8" s="770"/>
    </row>
    <row r="9" spans="1:17" ht="12.75" customHeight="1">
      <c r="A9" s="770"/>
      <c r="B9" s="774"/>
      <c r="C9" s="576"/>
      <c r="D9" s="7">
        <f>SUMIFS(Sheet1!$C$2:$C$180,Sheet1!$F$2:$F$180,B8,Sheet1!$E$2:$E$180,C9)</f>
        <v>0</v>
      </c>
      <c r="E9" s="7">
        <f>D9/Sheet1!$I$9*Sheet1!$I$10</f>
        <v>0</v>
      </c>
      <c r="F9" s="481">
        <f>D9/Sheet1!$I$9*Sheet1!$I$11</f>
        <v>0</v>
      </c>
      <c r="G9" s="578">
        <f t="shared" si="0"/>
        <v>0</v>
      </c>
      <c r="H9" s="770"/>
      <c r="J9" s="770"/>
      <c r="K9" s="774"/>
      <c r="L9" s="576"/>
      <c r="M9" s="7">
        <f>SUMIFS(Sheet1!$N$2:$N$180,Sheet1!$Q$2:$Q$180,K8,Sheet1!$P$2:$P$180,L9)</f>
        <v>0</v>
      </c>
      <c r="N9" s="7">
        <f>M9/Sheet1!$T$9*Sheet1!$T$10</f>
        <v>0</v>
      </c>
      <c r="O9" s="481">
        <f>M9/Sheet1!$T$9*Sheet1!$T$11</f>
        <v>0</v>
      </c>
      <c r="P9" s="578">
        <f t="shared" si="1"/>
        <v>0</v>
      </c>
      <c r="Q9" s="770"/>
    </row>
    <row r="10" spans="1:17" ht="15" customHeight="1">
      <c r="A10" s="770"/>
      <c r="B10" s="773" t="s">
        <v>360</v>
      </c>
      <c r="C10" s="576"/>
      <c r="D10" s="7">
        <f>SUMIFS(Sheet1!$C$2:$C$180,Sheet1!$F$2:$F$180,B10,Sheet1!$E$2:$E$180,C10)</f>
        <v>0</v>
      </c>
      <c r="E10" s="7">
        <f>D10/Sheet1!$I$9*Sheet1!$I$10</f>
        <v>0</v>
      </c>
      <c r="F10" s="481">
        <f>D10/Sheet1!$I$9*Sheet1!$I$11</f>
        <v>0</v>
      </c>
      <c r="G10" s="578">
        <f t="shared" si="0"/>
        <v>0</v>
      </c>
      <c r="H10" s="770"/>
      <c r="J10" s="770"/>
      <c r="K10" s="773" t="s">
        <v>360</v>
      </c>
      <c r="L10" s="576"/>
      <c r="M10" s="7">
        <f>SUMIFS(Sheet1!$N$2:$N$180,Sheet1!$Q$2:$Q$180,K10,Sheet1!$P$2:$P$180,L10)</f>
        <v>0</v>
      </c>
      <c r="N10" s="7">
        <f>M10/Sheet1!$T$9*Sheet1!$T$10</f>
        <v>0</v>
      </c>
      <c r="O10" s="481">
        <f>M10/Sheet1!$T$9*Sheet1!$T$11</f>
        <v>0</v>
      </c>
      <c r="P10" s="578">
        <f t="shared" si="1"/>
        <v>0</v>
      </c>
      <c r="Q10" s="770"/>
    </row>
    <row r="11" spans="1:17" ht="15" customHeight="1">
      <c r="A11" s="770"/>
      <c r="B11" s="782"/>
      <c r="C11" s="576"/>
      <c r="D11" s="7">
        <f>SUMIFS(Sheet1!$C$2:$C$180,Sheet1!$F$2:$F$180,B11,Sheet1!$E$2:$E$180,C11)</f>
        <v>0</v>
      </c>
      <c r="E11" s="7">
        <f>D11/Sheet1!$I$9*Sheet1!$I$10</f>
        <v>0</v>
      </c>
      <c r="F11" s="481">
        <f>D11/Sheet1!$I$9*Sheet1!$I$11</f>
        <v>0</v>
      </c>
      <c r="G11" s="578">
        <f t="shared" ref="G11:G12" si="2">F11</f>
        <v>0</v>
      </c>
      <c r="H11" s="770"/>
      <c r="J11" s="770"/>
      <c r="K11" s="782"/>
      <c r="L11" s="576"/>
      <c r="M11" s="7">
        <f>SUMIFS(Sheet1!$N$2:$N$180,Sheet1!$Q$2:$Q$180,K11,Sheet1!$P$2:$P$180,L11)</f>
        <v>0</v>
      </c>
      <c r="N11" s="7">
        <f>M11/Sheet1!$T$9*Sheet1!$T$10</f>
        <v>0</v>
      </c>
      <c r="O11" s="481">
        <f>M11/Sheet1!$T$9*Sheet1!$T$11</f>
        <v>0</v>
      </c>
      <c r="P11" s="578">
        <f t="shared" ref="P11:P12" si="3">O11</f>
        <v>0</v>
      </c>
      <c r="Q11" s="770"/>
    </row>
    <row r="12" spans="1:17" ht="15" customHeight="1">
      <c r="A12" s="770"/>
      <c r="B12" s="616" t="s">
        <v>802</v>
      </c>
      <c r="C12" s="576" t="s">
        <v>805</v>
      </c>
      <c r="D12" s="7">
        <f>SUMIFS(Sheet1!$C$2:$C$180,Sheet1!$F$2:$F$180,B12,Sheet1!$E$2:$E$180,C12)</f>
        <v>321</v>
      </c>
      <c r="E12" s="7">
        <f>D12/Sheet1!$I$9*Sheet1!$I$10</f>
        <v>11.973423276368573</v>
      </c>
      <c r="F12" s="481">
        <f>D12/Sheet1!$I$9*Sheet1!$I$11</f>
        <v>7.1562419513160266E-3</v>
      </c>
      <c r="G12" s="578">
        <f t="shared" si="2"/>
        <v>7.1562419513160266E-3</v>
      </c>
      <c r="H12" s="770"/>
      <c r="J12" s="770"/>
      <c r="K12" s="618" t="s">
        <v>802</v>
      </c>
      <c r="L12" s="576" t="s">
        <v>805</v>
      </c>
      <c r="M12" s="7">
        <f>SUMIFS(Sheet1!$N$2:$N$180,Sheet1!$Q$2:$Q$180,K12,Sheet1!$P$2:$P$180,L12)</f>
        <v>0</v>
      </c>
      <c r="N12" s="7">
        <f>M12/Sheet1!$T$9*Sheet1!$T$10</f>
        <v>0</v>
      </c>
      <c r="O12" s="481">
        <f>M12/Sheet1!$T$9*Sheet1!$T$11</f>
        <v>0</v>
      </c>
      <c r="P12" s="578">
        <f t="shared" si="3"/>
        <v>0</v>
      </c>
      <c r="Q12" s="770"/>
    </row>
    <row r="13" spans="1:17" ht="15" customHeight="1">
      <c r="A13" s="770"/>
      <c r="B13" s="616" t="s">
        <v>801</v>
      </c>
      <c r="C13" s="576" t="s">
        <v>803</v>
      </c>
      <c r="D13" s="7">
        <f>SUMIFS(Sheet1!$C$2:$C$180,Sheet1!$F$2:$F$180,B13,Sheet1!$E$2:$E$180,C13)</f>
        <v>0</v>
      </c>
      <c r="E13" s="7">
        <f>D13/Sheet1!$I$9*Sheet1!$I$10</f>
        <v>0</v>
      </c>
      <c r="F13" s="481">
        <f>D13/Sheet1!$I$9*Sheet1!$I$11</f>
        <v>0</v>
      </c>
      <c r="G13" s="578">
        <f t="shared" si="0"/>
        <v>0</v>
      </c>
      <c r="H13" s="770"/>
      <c r="J13" s="770"/>
      <c r="K13" s="618" t="s">
        <v>801</v>
      </c>
      <c r="L13" s="576" t="s">
        <v>803</v>
      </c>
      <c r="M13" s="7">
        <f>SUMIFS(Sheet1!$N$2:$N$180,Sheet1!$Q$2:$Q$180,K13,Sheet1!$P$2:$P$180,L13)</f>
        <v>0</v>
      </c>
      <c r="N13" s="7">
        <f>M13/Sheet1!$T$9*Sheet1!$T$10</f>
        <v>0</v>
      </c>
      <c r="O13" s="481">
        <f>M13/Sheet1!$T$9*Sheet1!$T$11</f>
        <v>0</v>
      </c>
      <c r="P13" s="578">
        <f t="shared" si="1"/>
        <v>0</v>
      </c>
      <c r="Q13" s="770"/>
    </row>
    <row r="14" spans="1:17" ht="15">
      <c r="A14" s="770" t="s">
        <v>11</v>
      </c>
      <c r="B14" s="574" t="s">
        <v>160</v>
      </c>
      <c r="C14" s="576" t="s">
        <v>160</v>
      </c>
      <c r="D14" s="7"/>
      <c r="E14" s="7">
        <f>+Sheet1!I2</f>
        <v>5.3169999999999993</v>
      </c>
      <c r="F14" s="481">
        <f>E14/Sheet1!$I$8</f>
        <v>3.1778496071582494E-3</v>
      </c>
      <c r="G14" s="577">
        <f t="shared" si="0"/>
        <v>3.1778496071582494E-3</v>
      </c>
      <c r="H14" s="778">
        <f>SUM(G14:G15)</f>
        <v>1.2941487402727972E-2</v>
      </c>
      <c r="J14" s="770" t="s">
        <v>11</v>
      </c>
      <c r="K14" s="618" t="s">
        <v>160</v>
      </c>
      <c r="L14" s="576" t="s">
        <v>160</v>
      </c>
      <c r="M14" s="7"/>
      <c r="N14" s="7">
        <f>+Sheet1!T2</f>
        <v>5.3169999999999993</v>
      </c>
      <c r="O14" s="481">
        <f>+Sheet1!U2</f>
        <v>3.437431895119413E-3</v>
      </c>
      <c r="P14" s="577">
        <f t="shared" si="1"/>
        <v>3.437431895119413E-3</v>
      </c>
      <c r="Q14" s="778">
        <f>SUM(P14:P15)</f>
        <v>1.3998611346558904E-2</v>
      </c>
    </row>
    <row r="15" spans="1:17" ht="15">
      <c r="A15" s="770"/>
      <c r="B15" s="574" t="s">
        <v>240</v>
      </c>
      <c r="C15" s="576" t="s">
        <v>241</v>
      </c>
      <c r="D15" s="7"/>
      <c r="E15" s="7">
        <f>+Sheet1!I3</f>
        <v>16.335971986247319</v>
      </c>
      <c r="F15" s="481">
        <f>E15/Sheet1!$I$8</f>
        <v>9.7636377955697233E-3</v>
      </c>
      <c r="G15" s="577">
        <f t="shared" si="0"/>
        <v>9.7636377955697233E-3</v>
      </c>
      <c r="H15" s="779"/>
      <c r="J15" s="770"/>
      <c r="K15" s="618" t="s">
        <v>240</v>
      </c>
      <c r="L15" s="576" t="s">
        <v>241</v>
      </c>
      <c r="M15" s="7"/>
      <c r="N15" s="7">
        <f>+Sheet1!T3</f>
        <v>16.335971986247319</v>
      </c>
      <c r="O15" s="481">
        <f>+Sheet1!U3</f>
        <v>1.056117945143949E-2</v>
      </c>
      <c r="P15" s="577">
        <f t="shared" si="1"/>
        <v>1.056117945143949E-2</v>
      </c>
      <c r="Q15" s="779"/>
    </row>
    <row r="16" spans="1:17" ht="15">
      <c r="A16" s="780" t="s">
        <v>13</v>
      </c>
      <c r="B16" s="574" t="s">
        <v>242</v>
      </c>
      <c r="C16" s="576" t="s">
        <v>242</v>
      </c>
      <c r="D16" s="7"/>
      <c r="E16" s="7">
        <f>+Sheet1!I4</f>
        <v>-11.132334678425289</v>
      </c>
      <c r="F16" s="481">
        <f>E16/Sheet1!$I$8</f>
        <v>-6.6535424834658578E-3</v>
      </c>
      <c r="G16" s="577">
        <f t="shared" si="0"/>
        <v>-6.6535424834658578E-3</v>
      </c>
      <c r="H16" s="776">
        <f>SUM(G16:G25)</f>
        <v>0.11180655467156494</v>
      </c>
      <c r="J16" s="780" t="s">
        <v>13</v>
      </c>
      <c r="K16" s="618" t="s">
        <v>242</v>
      </c>
      <c r="L16" s="576" t="s">
        <v>242</v>
      </c>
      <c r="M16" s="7"/>
      <c r="N16" s="7">
        <f>+Sheet1!T4</f>
        <v>-3.34146880668896</v>
      </c>
      <c r="O16" s="481">
        <f>+Sheet1!U4</f>
        <v>-2.1602541757869543E-3</v>
      </c>
      <c r="P16" s="577">
        <f t="shared" si="1"/>
        <v>-2.1602541757869543E-3</v>
      </c>
      <c r="Q16" s="776">
        <f>SUM(P16:P25)</f>
        <v>5.9870900967638155E-2</v>
      </c>
    </row>
    <row r="17" spans="1:17" ht="15">
      <c r="A17" s="781"/>
      <c r="B17" s="574" t="s">
        <v>243</v>
      </c>
      <c r="C17" s="576" t="s">
        <v>243</v>
      </c>
      <c r="D17" s="7"/>
      <c r="E17" s="7">
        <f>+Sheet1!I5</f>
        <v>135.64805664546657</v>
      </c>
      <c r="F17" s="481">
        <f>E17/Sheet1!$I$8</f>
        <v>8.107374901684708E-2</v>
      </c>
      <c r="G17" s="577">
        <f>F17</f>
        <v>8.107374901684708E-2</v>
      </c>
      <c r="H17" s="776"/>
      <c r="J17" s="781"/>
      <c r="K17" s="618" t="s">
        <v>243</v>
      </c>
      <c r="L17" s="576" t="s">
        <v>243</v>
      </c>
      <c r="M17" s="7"/>
      <c r="N17" s="7">
        <f>+Sheet1!T5</f>
        <v>34.626539356326241</v>
      </c>
      <c r="O17" s="481">
        <f>+Sheet1!U5</f>
        <v>2.2386001655264897E-2</v>
      </c>
      <c r="P17" s="577">
        <f>O17</f>
        <v>2.2386001655264897E-2</v>
      </c>
      <c r="Q17" s="776"/>
    </row>
    <row r="18" spans="1:17" ht="12.75" customHeight="1">
      <c r="A18" s="781"/>
      <c r="B18" s="777" t="s">
        <v>244</v>
      </c>
      <c r="C18" t="s">
        <v>548</v>
      </c>
      <c r="D18" s="7">
        <f>SUMIFS(Sheet1!$C$2:$C$180,Sheet1!$F$2:$F$180,B18,Sheet1!$E$2:$E$180,C18)</f>
        <v>125</v>
      </c>
      <c r="E18" s="7">
        <f>D18/Sheet1!$I$9*Sheet1!$I$10</f>
        <v>4.662548004816423</v>
      </c>
      <c r="F18" s="481">
        <f>D18/Sheet1!$I$9*Sheet1!$I$11</f>
        <v>2.7866985791729073E-3</v>
      </c>
      <c r="G18" s="775">
        <f>SUM(F18:F19)</f>
        <v>5.4619292151788981E-3</v>
      </c>
      <c r="H18" s="776"/>
      <c r="J18" s="781"/>
      <c r="K18" s="777" t="s">
        <v>244</v>
      </c>
      <c r="L18" t="s">
        <v>548</v>
      </c>
      <c r="M18" s="7">
        <f>SUMIFS(Sheet1!$N$2:$N$180,Sheet1!$Q$2:$Q$180,K18,Sheet1!$P$2:$P$180,L18)</f>
        <v>125</v>
      </c>
      <c r="N18" s="7">
        <f>M18/Sheet1!$T$9*Sheet1!$T$10</f>
        <v>4.5708778117874207</v>
      </c>
      <c r="O18" s="481">
        <f>M18/Sheet1!$T$9*Sheet1!$T$11</f>
        <v>2.9550651079427708E-3</v>
      </c>
      <c r="P18" s="775">
        <f>SUM(O18:O19)</f>
        <v>5.7919276115678308E-3</v>
      </c>
      <c r="Q18" s="776"/>
    </row>
    <row r="19" spans="1:17" ht="12.75" customHeight="1">
      <c r="A19" s="781"/>
      <c r="B19" s="777"/>
      <c r="C19" s="576" t="s">
        <v>804</v>
      </c>
      <c r="D19" s="7">
        <f>SUMIFS(Sheet1!$C$2:$C$180,Sheet1!$F$2:$F$180,B18,Sheet1!$E$2:$E$180,C19)</f>
        <v>120</v>
      </c>
      <c r="E19" s="7">
        <f>D19/Sheet1!$I$9*Sheet1!$I$10</f>
        <v>4.476046084623766</v>
      </c>
      <c r="F19" s="481">
        <f>D19/Sheet1!$I$9*Sheet1!$I$11</f>
        <v>2.6752306360059912E-3</v>
      </c>
      <c r="G19" s="775"/>
      <c r="H19" s="776"/>
      <c r="J19" s="781"/>
      <c r="K19" s="777"/>
      <c r="L19" s="576" t="s">
        <v>804</v>
      </c>
      <c r="M19" s="7">
        <f>SUMIFS(Sheet1!$N$2:$N$180,Sheet1!$Q$2:$Q$180,K18,Sheet1!$P$2:$P$180,L19)</f>
        <v>120</v>
      </c>
      <c r="N19" s="7">
        <f>M19/Sheet1!$T$9*Sheet1!$T$10</f>
        <v>4.3880426993159238</v>
      </c>
      <c r="O19" s="481">
        <f>M19/Sheet1!$T$9*Sheet1!$T$11</f>
        <v>2.8368625036250599E-3</v>
      </c>
      <c r="P19" s="775"/>
      <c r="Q19" s="776"/>
    </row>
    <row r="20" spans="1:17" ht="15">
      <c r="A20" s="781"/>
      <c r="B20" s="574" t="s">
        <v>245</v>
      </c>
      <c r="C20" s="576" t="s">
        <v>199</v>
      </c>
      <c r="D20" s="7">
        <f>SUMIFS(Sheet1!$C$2:$C$180,Sheet1!$F$2:$F$180,B20,Sheet1!$E$2:$E$180,C20)</f>
        <v>0</v>
      </c>
      <c r="E20" s="7">
        <f>D20/Sheet1!$I$9*Sheet1!$I$10</f>
        <v>0</v>
      </c>
      <c r="F20" s="481">
        <f>D20/Sheet1!$I$9*Sheet1!$I$11</f>
        <v>0</v>
      </c>
      <c r="G20" s="577">
        <f>F20</f>
        <v>0</v>
      </c>
      <c r="H20" s="776"/>
      <c r="J20" s="781"/>
      <c r="K20" s="618" t="s">
        <v>245</v>
      </c>
      <c r="L20" s="576" t="s">
        <v>199</v>
      </c>
      <c r="M20" s="7">
        <f>SUMIFS(Sheet1!$N$2:$N$180,Sheet1!$Q$2:$Q$180,K20,Sheet1!$P$2:$P$180,L20)</f>
        <v>0</v>
      </c>
      <c r="N20" s="7">
        <f>M20/Sheet1!$T$9*Sheet1!$T$10</f>
        <v>0</v>
      </c>
      <c r="O20" s="481">
        <f>M20/Sheet1!$T$9*Sheet1!$T$11</f>
        <v>0</v>
      </c>
      <c r="P20" s="577">
        <f>O20</f>
        <v>0</v>
      </c>
      <c r="Q20" s="776"/>
    </row>
    <row r="21" spans="1:17" ht="12.75" customHeight="1">
      <c r="A21" s="781"/>
      <c r="B21" s="773" t="s">
        <v>246</v>
      </c>
      <c r="C21" s="576" t="s">
        <v>247</v>
      </c>
      <c r="D21" s="7">
        <f>SUMIFS(Sheet1!$C$2:$C$180,Sheet1!$F$2:$F$180,B21,Sheet1!$E$2:$E$180,C21)</f>
        <v>378</v>
      </c>
      <c r="E21" s="7">
        <f>D21/Sheet1!$I$9*Sheet1!$I$10</f>
        <v>14.099545166564864</v>
      </c>
      <c r="F21" s="481">
        <f>D21/Sheet1!$I$9*Sheet1!$I$11</f>
        <v>8.4269765034188735E-3</v>
      </c>
      <c r="G21" s="771">
        <f>SUM(F21:F25)</f>
        <v>3.1924418923004835E-2</v>
      </c>
      <c r="H21" s="776"/>
      <c r="J21" s="781"/>
      <c r="K21" s="773" t="s">
        <v>246</v>
      </c>
      <c r="L21" s="576" t="s">
        <v>247</v>
      </c>
      <c r="M21" s="7">
        <f>SUMIFS(Sheet1!$N$2:$N$180,Sheet1!$Q$2:$Q$180,$K$21,Sheet1!$P$2:$P$180,L21)</f>
        <v>378</v>
      </c>
      <c r="N21" s="7">
        <f>M21/Sheet1!$T$9*Sheet1!$T$10</f>
        <v>13.822334502845161</v>
      </c>
      <c r="O21" s="481">
        <f>M21/Sheet1!$T$9*Sheet1!$T$11</f>
        <v>8.9361168864189391E-3</v>
      </c>
      <c r="P21" s="771">
        <f>SUM(O21:O25)</f>
        <v>3.3853225876592383E-2</v>
      </c>
      <c r="Q21" s="776"/>
    </row>
    <row r="22" spans="1:17" ht="12.75" customHeight="1">
      <c r="A22" s="781"/>
      <c r="B22" s="782"/>
      <c r="C22" s="576" t="s">
        <v>361</v>
      </c>
      <c r="D22" s="7">
        <f>SUMIFS(Sheet1!$C$2:$C$180,Sheet1!$F$2:$F$180,B21,Sheet1!$E$2:$E$180,C22)</f>
        <v>741</v>
      </c>
      <c r="E22" s="7">
        <f>D22/Sheet1!$I$9*Sheet1!$I$10</f>
        <v>27.639584572551758</v>
      </c>
      <c r="F22" s="481">
        <f>D22/Sheet1!$I$9*Sheet1!$I$11</f>
        <v>1.6519549177336997E-2</v>
      </c>
      <c r="G22" s="783"/>
      <c r="H22" s="776"/>
      <c r="J22" s="781"/>
      <c r="K22" s="782"/>
      <c r="L22" s="576" t="s">
        <v>361</v>
      </c>
      <c r="M22" s="7">
        <f>SUMIFS(Sheet1!$N$2:$N$180,Sheet1!$Q$2:$Q$180,$K$21,Sheet1!$P$2:$P$180,L22)</f>
        <v>741</v>
      </c>
      <c r="N22" s="7">
        <f>M22/Sheet1!$T$9*Sheet1!$T$10</f>
        <v>27.096163668275828</v>
      </c>
      <c r="O22" s="481">
        <f>M22/Sheet1!$T$9*Sheet1!$T$11</f>
        <v>1.7517625959884743E-2</v>
      </c>
      <c r="P22" s="783"/>
      <c r="Q22" s="776"/>
    </row>
    <row r="23" spans="1:17" ht="12.75" customHeight="1">
      <c r="A23" s="781"/>
      <c r="B23" s="782"/>
      <c r="C23" s="576" t="s">
        <v>248</v>
      </c>
      <c r="D23" s="7">
        <f>SUMIFS(Sheet1!$C$2:$C$180,Sheet1!$F$2:$F$180,B21,Sheet1!$E$2:$E$180,C23)</f>
        <v>39</v>
      </c>
      <c r="E23" s="7">
        <f>D23/Sheet1!$I$9*Sheet1!$I$10</f>
        <v>1.4547149775027239</v>
      </c>
      <c r="F23" s="481">
        <f>D23/Sheet1!$I$9*Sheet1!$I$11</f>
        <v>8.6944995670194716E-4</v>
      </c>
      <c r="G23" s="783"/>
      <c r="H23" s="776"/>
      <c r="J23" s="781"/>
      <c r="K23" s="782"/>
      <c r="L23" s="576" t="s">
        <v>248</v>
      </c>
      <c r="M23" s="7">
        <f>SUMIFS(Sheet1!$N$2:$N$180,Sheet1!$Q$2:$Q$180,$K$21,Sheet1!$P$2:$P$180,L23)</f>
        <v>39</v>
      </c>
      <c r="N23" s="7">
        <f>M23/Sheet1!$T$9*Sheet1!$T$10</f>
        <v>1.4261138772776754</v>
      </c>
      <c r="O23" s="481">
        <f>M23/Sheet1!$T$9*Sheet1!$T$11</f>
        <v>9.2198031367814442E-4</v>
      </c>
      <c r="P23" s="783"/>
      <c r="Q23" s="776"/>
    </row>
    <row r="24" spans="1:17" ht="12.75" customHeight="1">
      <c r="A24" s="781"/>
      <c r="B24" s="782"/>
      <c r="C24" s="576" t="s">
        <v>14</v>
      </c>
      <c r="D24" s="7">
        <f>SUMIFS(Sheet1!$C$2:$C$180,Sheet1!$F$2:$F$180,B21,Sheet1!$E$2:$E$180,C24)</f>
        <v>274</v>
      </c>
      <c r="E24" s="7">
        <f>D24/Sheet1!$I$9*Sheet1!$I$10</f>
        <v>10.220305226557599</v>
      </c>
      <c r="F24" s="481">
        <f>D24/Sheet1!$I$9*Sheet1!$I$11</f>
        <v>6.108443285547013E-3</v>
      </c>
      <c r="G24" s="783"/>
      <c r="H24" s="776"/>
      <c r="J24" s="781"/>
      <c r="K24" s="782"/>
      <c r="L24" s="576" t="s">
        <v>14</v>
      </c>
      <c r="M24" s="7">
        <f>SUMIFS(Sheet1!$N$2:$N$180,Sheet1!$Q$2:$Q$180,$K$21,Sheet1!$P$2:$P$180,L24)</f>
        <v>274</v>
      </c>
      <c r="N24" s="7">
        <f>M24/Sheet1!$T$9*Sheet1!$T$10</f>
        <v>10.019364163438027</v>
      </c>
      <c r="O24" s="481">
        <f>M24/Sheet1!$T$9*Sheet1!$T$11</f>
        <v>6.4775027166105534E-3</v>
      </c>
      <c r="P24" s="783"/>
      <c r="Q24" s="776"/>
    </row>
    <row r="25" spans="1:17" ht="12.75" customHeight="1">
      <c r="A25" s="781"/>
      <c r="B25" s="774"/>
      <c r="C25" s="576"/>
      <c r="D25" s="7">
        <f>SUMIFS(Sheet1!$C$2:$C$180,Sheet1!$F$2:$F$180,B21,Sheet1!$E$2:$E$180,C25)</f>
        <v>0</v>
      </c>
      <c r="E25" s="7">
        <f>D25/Sheet1!$I$9*Sheet1!$I$10</f>
        <v>0</v>
      </c>
      <c r="F25" s="481">
        <f>D25/Sheet1!$I$9*Sheet1!$I$11</f>
        <v>0</v>
      </c>
      <c r="G25" s="772"/>
      <c r="H25" s="776"/>
      <c r="J25" s="781"/>
      <c r="K25" s="774"/>
      <c r="L25" s="576"/>
      <c r="M25" s="7">
        <f>SUMIFS(Sheet1!$N$2:$N$180,Sheet1!$Q$2:$Q$180,$K$21,Sheet1!$P$2:$P$180,L25)</f>
        <v>0</v>
      </c>
      <c r="N25" s="7">
        <f>M25/Sheet1!$T$9*Sheet1!$T$10</f>
        <v>0</v>
      </c>
      <c r="O25" s="481">
        <f>M25/Sheet1!$T$9*Sheet1!$T$11</f>
        <v>0</v>
      </c>
      <c r="P25" s="772"/>
      <c r="Q25" s="776"/>
    </row>
    <row r="26" spans="1:17" ht="12.75" customHeight="1">
      <c r="A26" s="770" t="s">
        <v>249</v>
      </c>
      <c r="B26" s="777" t="s">
        <v>250</v>
      </c>
      <c r="C26" t="s">
        <v>545</v>
      </c>
      <c r="D26" s="7">
        <f>SUMIFS(Sheet1!$C$2:$C$180,Sheet1!$F$2:$F$180,B26,Sheet1!$E$2:$E$180,C26)</f>
        <v>422</v>
      </c>
      <c r="E26" s="7">
        <f>D26/Sheet1!$I$9*Sheet1!$I$10</f>
        <v>15.740762064260243</v>
      </c>
      <c r="F26" s="481">
        <f>D26/Sheet1!$I$9*Sheet1!$I$11</f>
        <v>9.4078944032877365E-3</v>
      </c>
      <c r="G26" s="775">
        <f>SUM(F26:F32)</f>
        <v>2.9405243407432516E-2</v>
      </c>
      <c r="H26" s="776">
        <f>SUM(G26:G39)</f>
        <v>4.7975802739040771E-2</v>
      </c>
      <c r="J26" s="770" t="s">
        <v>249</v>
      </c>
      <c r="K26" s="777" t="s">
        <v>250</v>
      </c>
      <c r="L26" t="s">
        <v>545</v>
      </c>
      <c r="M26" s="7">
        <f>SUMIFS(Sheet1!$N$2:$N$180,Sheet1!$Q$2:$Q$180,$K$26,Sheet1!$P$2:$P$180,L26)</f>
        <v>422</v>
      </c>
      <c r="N26" s="7">
        <f>M26/Sheet1!$T$9*Sheet1!$T$10</f>
        <v>15.431283492594332</v>
      </c>
      <c r="O26" s="481">
        <f>M26/Sheet1!$T$9*Sheet1!$T$11</f>
        <v>9.9762998044147927E-3</v>
      </c>
      <c r="P26" s="775">
        <f>SUM(O26:O32)</f>
        <v>3.1181847019012117E-2</v>
      </c>
      <c r="Q26" s="776">
        <f>SUM(P26:P39)</f>
        <v>5.0874400898342741E-2</v>
      </c>
    </row>
    <row r="27" spans="1:17" ht="12.75" customHeight="1">
      <c r="A27" s="770"/>
      <c r="B27" s="777"/>
      <c r="C27" s="579" t="s">
        <v>806</v>
      </c>
      <c r="D27" s="7">
        <f>SUMIFS(Sheet1!$C$2:$C$180,Sheet1!$F$2:$F$180,B26,Sheet1!$E$2:$E$180,C27)</f>
        <v>117</v>
      </c>
      <c r="E27" s="7">
        <f>D27/Sheet1!$I$9*Sheet1!$I$10</f>
        <v>4.3641449325081716</v>
      </c>
      <c r="F27" s="481">
        <f>D27/Sheet1!$I$9*Sheet1!$I$11</f>
        <v>2.6083498701058414E-3</v>
      </c>
      <c r="G27" s="775"/>
      <c r="H27" s="776"/>
      <c r="J27" s="770"/>
      <c r="K27" s="777"/>
      <c r="L27" s="579" t="s">
        <v>806</v>
      </c>
      <c r="M27" s="7">
        <f>SUMIFS(Sheet1!$N$2:$N$180,Sheet1!$Q$2:$Q$180,$K$26,Sheet1!$P$2:$P$180,L27)</f>
        <v>117</v>
      </c>
      <c r="N27" s="7">
        <f>M27/Sheet1!$T$9*Sheet1!$T$10</f>
        <v>4.2783416318330261</v>
      </c>
      <c r="O27" s="481">
        <f>M27/Sheet1!$T$9*Sheet1!$T$11</f>
        <v>2.7659409410344333E-3</v>
      </c>
      <c r="P27" s="775"/>
      <c r="Q27" s="776"/>
    </row>
    <row r="28" spans="1:17" ht="12.75" customHeight="1">
      <c r="A28" s="770"/>
      <c r="B28" s="777"/>
      <c r="C28" s="542" t="s">
        <v>830</v>
      </c>
      <c r="D28" s="7">
        <f>SUMIFS(Sheet1!$C$2:$C$180,Sheet1!$F$2:$F$180,B26,Sheet1!$E$2:$E$180,C28)</f>
        <v>30</v>
      </c>
      <c r="E28" s="7">
        <f>D28/Sheet1!$I$9*Sheet1!$I$10</f>
        <v>1.1190115211559415</v>
      </c>
      <c r="F28" s="481">
        <f>D28/Sheet1!$I$9*Sheet1!$I$11</f>
        <v>6.6880765900149779E-4</v>
      </c>
      <c r="G28" s="775"/>
      <c r="H28" s="776"/>
      <c r="J28" s="770"/>
      <c r="K28" s="777"/>
      <c r="L28" s="542" t="s">
        <v>830</v>
      </c>
      <c r="M28" s="7">
        <f>SUMIFS(Sheet1!$N$2:$N$180,Sheet1!$Q$2:$Q$180,$K$26,Sheet1!$P$2:$P$180,L28)</f>
        <v>30</v>
      </c>
      <c r="N28" s="7">
        <f>M28/Sheet1!$T$9*Sheet1!$T$10</f>
        <v>1.097010674828981</v>
      </c>
      <c r="O28" s="481">
        <f>M28/Sheet1!$T$9*Sheet1!$T$11</f>
        <v>7.0921562590626499E-4</v>
      </c>
      <c r="P28" s="775"/>
      <c r="Q28" s="776"/>
    </row>
    <row r="29" spans="1:17" ht="12.75" customHeight="1">
      <c r="A29" s="770"/>
      <c r="B29" s="777"/>
      <c r="C29" t="s">
        <v>831</v>
      </c>
      <c r="D29" s="7">
        <f>SUMIFS(Sheet1!$C$2:$C$185,Sheet1!$F$2:$F$185,B26,Sheet1!$E$2:$E$185,C29)</f>
        <v>750</v>
      </c>
      <c r="E29" s="7">
        <f>D29/Sheet1!$I$9*Sheet1!$I$10</f>
        <v>27.975288028898536</v>
      </c>
      <c r="F29" s="481">
        <f>D29/Sheet1!$I$9*Sheet1!$I$11</f>
        <v>1.6720191475037442E-2</v>
      </c>
      <c r="G29" s="775"/>
      <c r="H29" s="776"/>
      <c r="J29" s="770"/>
      <c r="K29" s="777"/>
      <c r="L29" t="s">
        <v>831</v>
      </c>
      <c r="M29" s="7">
        <f>SUMIFS(Sheet1!$N$2:$N$185,Sheet1!$Q$2:$Q$185,$K$26,Sheet1!$P$2:$P$185,L29)</f>
        <v>750</v>
      </c>
      <c r="N29" s="7">
        <f>M29/Sheet1!$T$9*Sheet1!$T$10</f>
        <v>27.425266870724528</v>
      </c>
      <c r="O29" s="481">
        <f>M29/Sheet1!$T$9*Sheet1!$T$11</f>
        <v>1.7730390647656625E-2</v>
      </c>
      <c r="P29" s="775"/>
      <c r="Q29" s="776"/>
    </row>
    <row r="30" spans="1:17" ht="12.75" customHeight="1">
      <c r="A30" s="770"/>
      <c r="B30" s="777"/>
      <c r="C30" s="576"/>
      <c r="D30" s="7">
        <f>SUMIFS(Sheet1!$C$2:$C$180,Sheet1!$F$2:$F$180,B26,Sheet1!$E$2:$E$180,C30)</f>
        <v>0</v>
      </c>
      <c r="E30" s="7">
        <f>D30/Sheet1!$I$9*Sheet1!$I$10</f>
        <v>0</v>
      </c>
      <c r="F30" s="481">
        <f>D30/Sheet1!$I$9*Sheet1!$I$11</f>
        <v>0</v>
      </c>
      <c r="G30" s="775"/>
      <c r="H30" s="776"/>
      <c r="J30" s="770"/>
      <c r="K30" s="777"/>
      <c r="L30" s="576"/>
      <c r="M30" s="7">
        <f>SUMIFS(Sheet1!$N$2:$N$180,Sheet1!$Q$2:$Q$180,$K$26,Sheet1!$P$2:$P$180,L30)</f>
        <v>0</v>
      </c>
      <c r="N30" s="7">
        <f>M30/Sheet1!$T$9*Sheet1!$T$10</f>
        <v>0</v>
      </c>
      <c r="O30" s="481">
        <f>M30/Sheet1!$T$9*Sheet1!$T$11</f>
        <v>0</v>
      </c>
      <c r="P30" s="775"/>
      <c r="Q30" s="776"/>
    </row>
    <row r="31" spans="1:17" ht="12.75" customHeight="1">
      <c r="A31" s="770"/>
      <c r="B31" s="777"/>
      <c r="C31" s="576"/>
      <c r="D31" s="7">
        <f>SUMIFS(Sheet1!$C$2:$C$180,Sheet1!$F$2:$F$180,B26,Sheet1!$E$2:$E$180,C31)</f>
        <v>0</v>
      </c>
      <c r="E31" s="7">
        <f>D31/Sheet1!$I$9*Sheet1!$I$10</f>
        <v>0</v>
      </c>
      <c r="F31" s="481">
        <f>D31/Sheet1!$I$9*Sheet1!$I$11</f>
        <v>0</v>
      </c>
      <c r="G31" s="775"/>
      <c r="H31" s="776"/>
      <c r="J31" s="770"/>
      <c r="K31" s="777"/>
      <c r="L31" s="576"/>
      <c r="M31" s="7">
        <f>SUMIFS(Sheet1!$N$2:$N$180,Sheet1!$Q$2:$Q$180,$K$26,Sheet1!$P$2:$P$180,L31)</f>
        <v>0</v>
      </c>
      <c r="N31" s="7">
        <f>M31/Sheet1!$T$9*Sheet1!$T$10</f>
        <v>0</v>
      </c>
      <c r="O31" s="481">
        <f>M31/Sheet1!$T$9*Sheet1!$T$11</f>
        <v>0</v>
      </c>
      <c r="P31" s="775"/>
      <c r="Q31" s="776"/>
    </row>
    <row r="32" spans="1:17" ht="12.75" customHeight="1">
      <c r="A32" s="770"/>
      <c r="B32" s="777"/>
      <c r="C32" s="576"/>
      <c r="D32" s="7">
        <f>SUMIFS(Sheet1!$C$2:$C$180,Sheet1!$F$2:$F$180,B26,Sheet1!$E$2:$E$180,C32)</f>
        <v>0</v>
      </c>
      <c r="E32" s="7">
        <f>D32/Sheet1!$I$9*Sheet1!$I$10</f>
        <v>0</v>
      </c>
      <c r="F32" s="481">
        <f>D32/Sheet1!$I$9*Sheet1!$I$11</f>
        <v>0</v>
      </c>
      <c r="G32" s="775"/>
      <c r="H32" s="776"/>
      <c r="J32" s="770"/>
      <c r="K32" s="777"/>
      <c r="L32" s="576"/>
      <c r="M32" s="7">
        <f>SUMIFS(Sheet1!$N$2:$N$180,Sheet1!$Q$2:$Q$180,$K$26,Sheet1!$P$2:$P$180,L32)</f>
        <v>0</v>
      </c>
      <c r="N32" s="7">
        <f>M32/Sheet1!$T$9*Sheet1!$T$10</f>
        <v>0</v>
      </c>
      <c r="O32" s="481">
        <f>M32/Sheet1!$T$9*Sheet1!$T$11</f>
        <v>0</v>
      </c>
      <c r="P32" s="775"/>
      <c r="Q32" s="776"/>
    </row>
    <row r="33" spans="1:17" ht="12.75" customHeight="1">
      <c r="A33" s="770"/>
      <c r="B33" s="773" t="s">
        <v>251</v>
      </c>
      <c r="C33" s="575" t="s">
        <v>822</v>
      </c>
      <c r="D33" s="7">
        <f>SUMIFS(Sheet1!$C$2:$C$180,Sheet1!$F$2:$F$180,B33,Sheet1!$E$2:$E$180,C33)</f>
        <v>111</v>
      </c>
      <c r="E33" s="7">
        <f>D33/Sheet1!$I$9*Sheet1!$I$10</f>
        <v>4.1403426282769837</v>
      </c>
      <c r="F33" s="481">
        <f>D33/Sheet1!$I$9*Sheet1!$I$11</f>
        <v>2.4745883383055418E-3</v>
      </c>
      <c r="G33" s="771">
        <f>SUM(F33:F34)</f>
        <v>1.7857164495339993E-2</v>
      </c>
      <c r="H33" s="776"/>
      <c r="J33" s="770"/>
      <c r="K33" s="773" t="s">
        <v>251</v>
      </c>
      <c r="L33" s="575" t="s">
        <v>822</v>
      </c>
      <c r="M33" s="7">
        <f>SUMIFS(Sheet1!$N$2:$N$180,Sheet1!$Q$2:$Q$180,$K$33,Sheet1!$P$2:$P$180,L33)</f>
        <v>111</v>
      </c>
      <c r="N33" s="7">
        <f>M33/Sheet1!$T$9*Sheet1!$T$10</f>
        <v>4.0589394968672297</v>
      </c>
      <c r="O33" s="481">
        <f>M33/Sheet1!$T$9*Sheet1!$T$11</f>
        <v>2.6240978158531803E-3</v>
      </c>
      <c r="P33" s="771">
        <f>SUM(O33:O34)</f>
        <v>1.8936057211697273E-2</v>
      </c>
      <c r="Q33" s="776"/>
    </row>
    <row r="34" spans="1:17" ht="12.75" customHeight="1">
      <c r="A34" s="770"/>
      <c r="B34" s="774"/>
      <c r="C34" s="576" t="s">
        <v>831</v>
      </c>
      <c r="D34" s="7">
        <f>SUMIFS(Sheet1!$C$2:$C$185,Sheet1!$F$2:$F$185,B33,Sheet1!$E$2:$E$185,C34)</f>
        <v>690</v>
      </c>
      <c r="E34" s="7">
        <f>D34/Sheet1!$I$9*Sheet1!$I$10</f>
        <v>25.737264986586652</v>
      </c>
      <c r="F34" s="481">
        <f>D34/Sheet1!$I$9*Sheet1!$I$11</f>
        <v>1.538257615703445E-2</v>
      </c>
      <c r="G34" s="772"/>
      <c r="H34" s="776"/>
      <c r="J34" s="770"/>
      <c r="K34" s="774"/>
      <c r="L34" s="576" t="s">
        <v>831</v>
      </c>
      <c r="M34" s="7">
        <f>SUMIFS(Sheet1!$N$2:$N$185,Sheet1!$Q$2:$Q$185,$K$33,Sheet1!$P$2:$P$185,L34)</f>
        <v>690</v>
      </c>
      <c r="N34" s="7">
        <f>M34/Sheet1!$T$9*Sheet1!$T$10</f>
        <v>25.231245521066562</v>
      </c>
      <c r="O34" s="481">
        <f>M34/Sheet1!$T$9*Sheet1!$T$11</f>
        <v>1.6311959395844094E-2</v>
      </c>
      <c r="P34" s="772"/>
      <c r="Q34" s="776"/>
    </row>
    <row r="35" spans="1:17" ht="12.75" customHeight="1">
      <c r="A35" s="770"/>
      <c r="B35" s="777" t="s">
        <v>252</v>
      </c>
      <c r="C35" s="576" t="s">
        <v>808</v>
      </c>
      <c r="D35" s="7">
        <f>SUMIFS(Sheet1!$C$2:$C$180,Sheet1!$F$2:$F$180,B35,Sheet1!$E$2:$E$180,C35)</f>
        <v>10</v>
      </c>
      <c r="E35" s="7">
        <f>D35/Sheet1!$I$9*Sheet1!$I$10</f>
        <v>0.37300384038531381</v>
      </c>
      <c r="F35" s="481">
        <f>D35/Sheet1!$I$9*Sheet1!$I$11</f>
        <v>2.2293588633383259E-4</v>
      </c>
      <c r="G35" s="775">
        <f>SUM(F35:F37)</f>
        <v>2.2293588633383259E-4</v>
      </c>
      <c r="H35" s="776"/>
      <c r="J35" s="770"/>
      <c r="K35" s="777" t="s">
        <v>252</v>
      </c>
      <c r="L35" s="576" t="s">
        <v>808</v>
      </c>
      <c r="M35" s="7">
        <f>SUMIFS(Sheet1!$N$2:$N$180,Sheet1!$Q$2:$Q$180,$K$35,Sheet1!$P$2:$P$180,L35)</f>
        <v>10</v>
      </c>
      <c r="N35" s="7">
        <f>M35/Sheet1!$T$9*Sheet1!$T$10</f>
        <v>0.36567022494299373</v>
      </c>
      <c r="O35" s="481">
        <f>M35/Sheet1!$T$9*Sheet1!$T$11</f>
        <v>2.3640520863542168E-4</v>
      </c>
      <c r="P35" s="775">
        <f>SUM(O35:O37)</f>
        <v>2.3640520863542168E-4</v>
      </c>
      <c r="Q35" s="776"/>
    </row>
    <row r="36" spans="1:17" ht="12.75" customHeight="1">
      <c r="A36" s="770"/>
      <c r="B36" s="777"/>
      <c r="C36" s="576"/>
      <c r="D36" s="7">
        <f>SUMIFS(Sheet1!$C$2:$C$180,Sheet1!$F$2:$F$180,B35,Sheet1!$E$2:$E$180,C36)</f>
        <v>0</v>
      </c>
      <c r="E36" s="7">
        <f>D36/Sheet1!$I$9*Sheet1!$I$10</f>
        <v>0</v>
      </c>
      <c r="F36" s="481">
        <f>D36/Sheet1!$I$9*Sheet1!$I$11</f>
        <v>0</v>
      </c>
      <c r="G36" s="775"/>
      <c r="H36" s="776"/>
      <c r="J36" s="770"/>
      <c r="K36" s="777"/>
      <c r="L36" s="576"/>
      <c r="M36" s="7">
        <f>SUMIFS(Sheet1!$N$2:$N$180,Sheet1!$Q$2:$Q$180,$K$35,Sheet1!$P$2:$P$180,L36)</f>
        <v>0</v>
      </c>
      <c r="N36" s="7">
        <f>M36/Sheet1!$T$9*Sheet1!$T$10</f>
        <v>0</v>
      </c>
      <c r="O36" s="481">
        <f>M36/Sheet1!$T$9*Sheet1!$T$11</f>
        <v>0</v>
      </c>
      <c r="P36" s="775"/>
      <c r="Q36" s="776"/>
    </row>
    <row r="37" spans="1:17" ht="12.75" customHeight="1">
      <c r="A37" s="770"/>
      <c r="B37" s="777"/>
      <c r="C37" s="576"/>
      <c r="D37" s="7">
        <f>SUMIFS(Sheet1!$C$2:$C$180,Sheet1!$F$2:$F$180,B35,Sheet1!$E$2:$E$180,C37)</f>
        <v>0</v>
      </c>
      <c r="E37" s="7">
        <f>D37/Sheet1!$I$9*Sheet1!$I$10</f>
        <v>0</v>
      </c>
      <c r="F37" s="481">
        <f>D37/Sheet1!$I$9*Sheet1!$I$11</f>
        <v>0</v>
      </c>
      <c r="G37" s="775"/>
      <c r="H37" s="776"/>
      <c r="J37" s="770"/>
      <c r="K37" s="777"/>
      <c r="L37" s="576"/>
      <c r="M37" s="7">
        <f>SUMIFS(Sheet1!$N$2:$N$180,Sheet1!$Q$2:$Q$180,$K$35,Sheet1!$P$2:$P$180,L37)</f>
        <v>0</v>
      </c>
      <c r="N37" s="7">
        <f>M37/Sheet1!$T$9*Sheet1!$T$10</f>
        <v>0</v>
      </c>
      <c r="O37" s="481">
        <f>M37/Sheet1!$T$9*Sheet1!$T$11</f>
        <v>0</v>
      </c>
      <c r="P37" s="775"/>
      <c r="Q37" s="776"/>
    </row>
    <row r="38" spans="1:17" ht="12.75" customHeight="1">
      <c r="A38" s="770"/>
      <c r="B38" s="773" t="s">
        <v>253</v>
      </c>
      <c r="C38" s="576" t="s">
        <v>549</v>
      </c>
      <c r="D38" s="7">
        <f>SUMIFS(Sheet1!$C$2:$C$180,Sheet1!$F$2:$F$180,B38,Sheet1!$E$2:$E$180,C38)</f>
        <v>22</v>
      </c>
      <c r="E38" s="7">
        <f>D38/Sheet1!$I$9*Sheet1!$I$10</f>
        <v>0.82060844884769046</v>
      </c>
      <c r="F38" s="481">
        <f>D38/Sheet1!$I$9*Sheet1!$I$11</f>
        <v>4.9045894993443172E-4</v>
      </c>
      <c r="G38" s="771">
        <f>SUM(F38:F39)</f>
        <v>4.9045894993443172E-4</v>
      </c>
      <c r="H38" s="776"/>
      <c r="J38" s="770"/>
      <c r="K38" s="773" t="s">
        <v>253</v>
      </c>
      <c r="L38" s="576" t="s">
        <v>549</v>
      </c>
      <c r="M38" s="7">
        <f>SUMIFS(Sheet1!$N$2:$N$180,Sheet1!$Q$2:$Q$180,$K$38,Sheet1!$P$2:$P$180,L38)</f>
        <v>22</v>
      </c>
      <c r="N38" s="7">
        <f>M38/Sheet1!$T$9*Sheet1!$T$10</f>
        <v>0.804474494874586</v>
      </c>
      <c r="O38" s="481">
        <f>M38/Sheet1!$T$9*Sheet1!$T$11</f>
        <v>5.2009145899792764E-4</v>
      </c>
      <c r="P38" s="771">
        <f>SUM(O38:O39)</f>
        <v>5.2009145899792764E-4</v>
      </c>
      <c r="Q38" s="776"/>
    </row>
    <row r="39" spans="1:17" ht="12.75" customHeight="1">
      <c r="A39" s="770"/>
      <c r="B39" s="774"/>
      <c r="C39" s="576"/>
      <c r="D39" s="7">
        <f>SUMIFS(Sheet1!$C$2:$C$180,Sheet1!$F$2:$F$180,B38,Sheet1!$E$2:$E$180,C39)</f>
        <v>0</v>
      </c>
      <c r="E39" s="7">
        <f>D39/Sheet1!$I$9*Sheet1!$I$10</f>
        <v>0</v>
      </c>
      <c r="F39" s="481">
        <f>D39/Sheet1!$I$9*Sheet1!$I$11</f>
        <v>0</v>
      </c>
      <c r="G39" s="772"/>
      <c r="H39" s="776"/>
      <c r="J39" s="770"/>
      <c r="K39" s="774"/>
      <c r="L39" s="576"/>
      <c r="M39" s="7">
        <f>SUMIFS(Sheet1!$N$2:$N$180,Sheet1!$Q$2:$Q$180,$K$38,Sheet1!$P$2:$P$180,L39)</f>
        <v>0</v>
      </c>
      <c r="N39" s="7">
        <f>M39/Sheet1!$T$9*Sheet1!$T$10</f>
        <v>0</v>
      </c>
      <c r="O39" s="481">
        <f>M39/Sheet1!$T$9*Sheet1!$T$11</f>
        <v>0</v>
      </c>
      <c r="P39" s="772"/>
      <c r="Q39" s="776"/>
    </row>
    <row r="40" spans="1:17" ht="12.75" customHeight="1">
      <c r="A40" s="770" t="s">
        <v>399</v>
      </c>
      <c r="B40" s="773" t="s">
        <v>254</v>
      </c>
      <c r="C40" s="576" t="s">
        <v>547</v>
      </c>
      <c r="D40" s="7">
        <f>SUMIFS(Sheet1!$C$2:$C$180,Sheet1!$F$2:$F$180,B40,Sheet1!$E$2:$E$180,C40)</f>
        <v>394</v>
      </c>
      <c r="E40" s="7">
        <f>D40/Sheet1!$I$9*Sheet1!$I$10</f>
        <v>14.696351311181363</v>
      </c>
      <c r="F40" s="481">
        <f>D40/Sheet1!$I$9*Sheet1!$I$11</f>
        <v>8.7836739215530046E-3</v>
      </c>
      <c r="G40" s="771">
        <f>SUM(F40:F41)</f>
        <v>8.7836739215530046E-3</v>
      </c>
      <c r="H40" s="767">
        <f>SUM(G40:G41)</f>
        <v>8.7836739215530046E-3</v>
      </c>
      <c r="J40" s="770" t="s">
        <v>399</v>
      </c>
      <c r="K40" s="773" t="s">
        <v>254</v>
      </c>
      <c r="L40" s="576" t="s">
        <v>547</v>
      </c>
      <c r="M40" s="7">
        <f>SUMIFS(Sheet1!$N$2:$N$180,Sheet1!$Q$2:$Q$180,K40,Sheet1!$P$2:$P$180,L40)</f>
        <v>394</v>
      </c>
      <c r="N40" s="7">
        <f>M40/Sheet1!$T$9*Sheet1!$T$10</f>
        <v>14.407406862753952</v>
      </c>
      <c r="O40" s="481">
        <f>M40/Sheet1!$T$9*Sheet1!$T$11</f>
        <v>9.3143652202356125E-3</v>
      </c>
      <c r="P40" s="771">
        <f>SUM(O40:O41)</f>
        <v>9.3143652202356125E-3</v>
      </c>
      <c r="Q40" s="767">
        <f>SUM(P40:P41)</f>
        <v>9.3143652202356125E-3</v>
      </c>
    </row>
    <row r="41" spans="1:17" ht="12.75" customHeight="1">
      <c r="A41" s="770"/>
      <c r="B41" s="774"/>
      <c r="C41" s="579"/>
      <c r="D41" s="7">
        <f>SUMIFS(Sheet1!$C$2:$C$180,Sheet1!$F$2:$F$180,B40,Sheet1!$E$2:$E$180,C41)</f>
        <v>0</v>
      </c>
      <c r="E41" s="7">
        <f>D41/Sheet1!$I$9*Sheet1!$I$10</f>
        <v>0</v>
      </c>
      <c r="F41" s="481">
        <f>D41/Sheet1!$I$9*Sheet1!$I$11</f>
        <v>0</v>
      </c>
      <c r="G41" s="772"/>
      <c r="H41" s="768"/>
      <c r="J41" s="770"/>
      <c r="K41" s="774"/>
      <c r="L41" s="579"/>
      <c r="M41" s="7">
        <f>SUMIFS(Sheet1!$N$2:$N$180,Sheet1!$Q$2:$Q$180,K40,Sheet1!$P$2:$P$180,L41)</f>
        <v>0</v>
      </c>
      <c r="N41" s="7">
        <f>M41/Sheet1!$T$9*Sheet1!$T$10</f>
        <v>0</v>
      </c>
      <c r="O41" s="481">
        <f>M41/Sheet1!$T$9*Sheet1!$T$11</f>
        <v>0</v>
      </c>
      <c r="P41" s="772"/>
      <c r="Q41" s="768"/>
    </row>
    <row r="42" spans="1:17" ht="15">
      <c r="A42" s="580"/>
      <c r="B42" s="769" t="s">
        <v>3</v>
      </c>
      <c r="C42" s="769"/>
      <c r="D42" s="354">
        <f>SUM(D4:D41)</f>
        <v>5221</v>
      </c>
      <c r="E42" s="354">
        <f>SUM(E4:E41)</f>
        <v>340.91399901846091</v>
      </c>
      <c r="F42" s="479">
        <f>SUM(F4:F41)</f>
        <v>0.20375652019100315</v>
      </c>
      <c r="G42" s="479">
        <f>SUM(G4:G41)</f>
        <v>0.20375652019100318</v>
      </c>
      <c r="H42" s="479">
        <f>SUM(H4:H41)</f>
        <v>0.20375652019100315</v>
      </c>
      <c r="J42" s="580"/>
      <c r="K42" s="769" t="s">
        <v>3</v>
      </c>
      <c r="L42" s="769"/>
      <c r="M42" s="354">
        <f>SUM(M4:M41)</f>
        <v>4420</v>
      </c>
      <c r="N42" s="354">
        <f>SUM(N4:N41)</f>
        <v>214.56428196068782</v>
      </c>
      <c r="O42" s="479">
        <f>SUM(O4:O41)</f>
        <v>0.13871546104289323</v>
      </c>
      <c r="P42" s="479">
        <f>SUM(P4:P41)</f>
        <v>0.13871546104289323</v>
      </c>
      <c r="Q42" s="479">
        <f>SUM(Q4:Q41)</f>
        <v>0.13871546104289323</v>
      </c>
    </row>
    <row r="43" spans="1:17" ht="15">
      <c r="A43" s="580"/>
      <c r="B43" s="769" t="s">
        <v>2</v>
      </c>
      <c r="C43" s="769"/>
      <c r="D43" s="769"/>
      <c r="E43" s="769"/>
      <c r="F43" s="581">
        <f>+Efficiency1!X197</f>
        <v>0.79624347980899646</v>
      </c>
      <c r="G43" s="581">
        <f>+F43</f>
        <v>0.79624347980899646</v>
      </c>
      <c r="H43" s="581">
        <f>+G43</f>
        <v>0.79624347980899646</v>
      </c>
      <c r="J43" s="580"/>
      <c r="K43" s="769" t="s">
        <v>2</v>
      </c>
      <c r="L43" s="769"/>
      <c r="M43" s="769"/>
      <c r="N43" s="769"/>
      <c r="O43" s="581">
        <f>+Efficiency2!X190</f>
        <v>0.86128453895710644</v>
      </c>
      <c r="P43" s="581">
        <f>+O43</f>
        <v>0.86128453895710644</v>
      </c>
      <c r="Q43" s="581">
        <f>+P43</f>
        <v>0.86128453895710644</v>
      </c>
    </row>
    <row r="44" spans="1:17" ht="15">
      <c r="A44" s="580"/>
      <c r="B44" s="769" t="s">
        <v>70</v>
      </c>
      <c r="C44" s="769"/>
      <c r="D44" s="769"/>
      <c r="E44" s="769"/>
      <c r="F44" s="482">
        <f>SUM(F42:F43)</f>
        <v>0.99999999999999956</v>
      </c>
      <c r="G44" s="482">
        <f>SUM(G42:G43)</f>
        <v>0.99999999999999967</v>
      </c>
      <c r="H44" s="573">
        <f>SUM(H42:H43)</f>
        <v>0.99999999999999956</v>
      </c>
      <c r="J44" s="580"/>
      <c r="K44" s="769" t="s">
        <v>70</v>
      </c>
      <c r="L44" s="769"/>
      <c r="M44" s="769"/>
      <c r="N44" s="769"/>
      <c r="O44" s="482">
        <f>SUM(O42:O43)</f>
        <v>0.99999999999999967</v>
      </c>
      <c r="P44" s="482">
        <f>SUM(P42:P43)</f>
        <v>0.99999999999999967</v>
      </c>
      <c r="Q44" s="573">
        <f>SUM(Q42:Q43)</f>
        <v>0.99999999999999967</v>
      </c>
    </row>
  </sheetData>
  <mergeCells count="66">
    <mergeCell ref="L2:L3"/>
    <mergeCell ref="A2:A3"/>
    <mergeCell ref="B2:B3"/>
    <mergeCell ref="C2:C3"/>
    <mergeCell ref="J2:J3"/>
    <mergeCell ref="K2:K3"/>
    <mergeCell ref="A4:A13"/>
    <mergeCell ref="H4:H13"/>
    <mergeCell ref="J4:J13"/>
    <mergeCell ref="Q4:Q13"/>
    <mergeCell ref="B6:B7"/>
    <mergeCell ref="K6:K7"/>
    <mergeCell ref="B8:B9"/>
    <mergeCell ref="K8:K9"/>
    <mergeCell ref="B10:B11"/>
    <mergeCell ref="K10:K11"/>
    <mergeCell ref="Q14:Q15"/>
    <mergeCell ref="A16:A25"/>
    <mergeCell ref="H16:H25"/>
    <mergeCell ref="J16:J25"/>
    <mergeCell ref="Q16:Q25"/>
    <mergeCell ref="B18:B19"/>
    <mergeCell ref="G18:G19"/>
    <mergeCell ref="K18:K19"/>
    <mergeCell ref="P18:P19"/>
    <mergeCell ref="B21:B25"/>
    <mergeCell ref="G21:G25"/>
    <mergeCell ref="K21:K25"/>
    <mergeCell ref="P21:P25"/>
    <mergeCell ref="A26:A39"/>
    <mergeCell ref="A40:A41"/>
    <mergeCell ref="A14:A15"/>
    <mergeCell ref="H14:H15"/>
    <mergeCell ref="J14:J15"/>
    <mergeCell ref="Q26:Q39"/>
    <mergeCell ref="B33:B34"/>
    <mergeCell ref="G33:G34"/>
    <mergeCell ref="K33:K34"/>
    <mergeCell ref="P33:P34"/>
    <mergeCell ref="B35:B37"/>
    <mergeCell ref="G35:G37"/>
    <mergeCell ref="K35:K37"/>
    <mergeCell ref="P35:P37"/>
    <mergeCell ref="K26:K32"/>
    <mergeCell ref="K38:K39"/>
    <mergeCell ref="B26:B32"/>
    <mergeCell ref="G26:G32"/>
    <mergeCell ref="H26:H39"/>
    <mergeCell ref="B38:B39"/>
    <mergeCell ref="G38:G39"/>
    <mergeCell ref="B44:E44"/>
    <mergeCell ref="K44:N44"/>
    <mergeCell ref="P38:P39"/>
    <mergeCell ref="B40:B41"/>
    <mergeCell ref="G40:G41"/>
    <mergeCell ref="H40:H41"/>
    <mergeCell ref="K40:K41"/>
    <mergeCell ref="P40:P41"/>
    <mergeCell ref="J26:J39"/>
    <mergeCell ref="P26:P32"/>
    <mergeCell ref="Q40:Q41"/>
    <mergeCell ref="B42:C42"/>
    <mergeCell ref="K42:L42"/>
    <mergeCell ref="B43:E43"/>
    <mergeCell ref="K43:N43"/>
    <mergeCell ref="J40:J41"/>
  </mergeCells>
  <conditionalFormatting sqref="D4:D41">
    <cfRule type="cellIs" dxfId="5" priority="5" operator="between">
      <formula>180</formula>
      <formula>360</formula>
    </cfRule>
    <cfRule type="cellIs" dxfId="4" priority="6" operator="greaterThan">
      <formula>360</formula>
    </cfRule>
  </conditionalFormatting>
  <conditionalFormatting sqref="M5:M41">
    <cfRule type="cellIs" dxfId="3" priority="3" operator="between">
      <formula>180</formula>
      <formula>360</formula>
    </cfRule>
    <cfRule type="cellIs" dxfId="2" priority="4" operator="greaterThan">
      <formula>360</formula>
    </cfRule>
  </conditionalFormatting>
  <conditionalFormatting sqref="M4:M41">
    <cfRule type="cellIs" dxfId="1" priority="1" operator="between">
      <formula>180</formula>
      <formula>360</formula>
    </cfRule>
    <cfRule type="cellIs" dxfId="0" priority="2" operator="greaterThan">
      <formula>360</formula>
    </cfRule>
  </conditionalFormatting>
  <pageMargins left="0.39370078740157483" right="0" top="0.15748031496062992" bottom="0" header="0.31496062992125984" footer="0"/>
  <pageSetup paperSize="9" scale="34" fitToHeight="0"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N61"/>
  <sheetViews>
    <sheetView topLeftCell="A13" zoomScale="80" zoomScaleNormal="80" workbookViewId="0">
      <selection activeCell="H27" sqref="H27"/>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18.28515625" style="156" customWidth="1"/>
    <col min="11" max="11" width="12.5703125" style="156" bestFit="1" customWidth="1"/>
    <col min="12" max="12" width="8.28515625" style="156" customWidth="1"/>
    <col min="13" max="13" width="15.140625" style="156" customWidth="1"/>
    <col min="14" max="16384" width="9.140625" style="156"/>
  </cols>
  <sheetData>
    <row r="1" spans="1:13" ht="15.75">
      <c r="A1" s="155"/>
    </row>
    <row r="2" spans="1:13" ht="15.75">
      <c r="A2" s="155" t="s">
        <v>183</v>
      </c>
    </row>
    <row r="3" spans="1:13" ht="15">
      <c r="A3" s="157"/>
    </row>
    <row r="4" spans="1:13" ht="20.25">
      <c r="A4" s="158" t="s">
        <v>5</v>
      </c>
      <c r="B4" s="159"/>
      <c r="F4" s="160" t="s">
        <v>30</v>
      </c>
      <c r="G4" s="161">
        <v>31</v>
      </c>
      <c r="H4" s="161" t="str">
        <f>+'1'!H4</f>
        <v>.01.26</v>
      </c>
    </row>
    <row r="5" spans="1:13" ht="13.5" thickBot="1">
      <c r="C5" s="162"/>
      <c r="D5" s="162"/>
    </row>
    <row r="6" spans="1:13" ht="26.25" thickBot="1">
      <c r="A6" s="163" t="s">
        <v>60</v>
      </c>
      <c r="B6" s="164" t="s">
        <v>10</v>
      </c>
      <c r="C6" s="164" t="s">
        <v>61</v>
      </c>
      <c r="D6" s="164" t="s">
        <v>62</v>
      </c>
      <c r="E6" s="165" t="s">
        <v>63</v>
      </c>
      <c r="F6" s="109"/>
      <c r="G6" s="164"/>
      <c r="H6" s="166"/>
      <c r="I6" s="167" t="s">
        <v>67</v>
      </c>
      <c r="J6" s="168" t="s">
        <v>10</v>
      </c>
      <c r="K6" s="169" t="s">
        <v>68</v>
      </c>
      <c r="L6" s="217" t="s">
        <v>155</v>
      </c>
      <c r="M6" s="170" t="s">
        <v>69</v>
      </c>
    </row>
    <row r="7" spans="1:13" ht="13.5" customHeight="1" thickBot="1">
      <c r="A7" s="800" t="s">
        <v>424</v>
      </c>
      <c r="B7" s="222" t="s">
        <v>604</v>
      </c>
      <c r="C7" s="223">
        <v>2919</v>
      </c>
      <c r="D7" s="224"/>
      <c r="E7" s="225"/>
      <c r="F7" s="235"/>
      <c r="G7" s="236" t="s">
        <v>13</v>
      </c>
      <c r="H7" s="237" t="s">
        <v>386</v>
      </c>
      <c r="I7" s="803" t="s">
        <v>826</v>
      </c>
      <c r="J7" s="221" t="str">
        <f>+'30'!J7</f>
        <v>T 13,5 RC HW</v>
      </c>
      <c r="K7" s="245"/>
      <c r="L7" s="249"/>
      <c r="M7" s="124">
        <f>+L7+'30'!M7+K7</f>
        <v>331081</v>
      </c>
    </row>
    <row r="8" spans="1:13" ht="13.5" thickBot="1">
      <c r="A8" s="801"/>
      <c r="B8" s="222"/>
      <c r="C8" s="223"/>
      <c r="D8" s="224"/>
      <c r="E8" s="226"/>
      <c r="F8" s="238"/>
      <c r="G8" s="582" t="s">
        <v>13</v>
      </c>
      <c r="H8" s="237" t="s">
        <v>414</v>
      </c>
      <c r="I8" s="804"/>
      <c r="J8" s="221" t="str">
        <f>+'30'!J8</f>
        <v>T 14,5 RC HW</v>
      </c>
      <c r="K8" s="246"/>
      <c r="L8" s="246"/>
      <c r="M8" s="124">
        <f>+L8+'30'!M8+K8</f>
        <v>57466</v>
      </c>
    </row>
    <row r="9" spans="1:13" ht="13.5" thickBot="1">
      <c r="A9" s="801"/>
      <c r="B9" s="222"/>
      <c r="C9" s="223"/>
      <c r="D9" s="224"/>
      <c r="E9" s="227"/>
      <c r="F9" s="235"/>
      <c r="G9" s="582" t="s">
        <v>13</v>
      </c>
      <c r="H9" s="240" t="s">
        <v>413</v>
      </c>
      <c r="I9" s="804"/>
      <c r="J9" s="221" t="str">
        <f>+'30'!J9</f>
        <v>TW 17 RC HW</v>
      </c>
      <c r="K9" s="246"/>
      <c r="L9" s="246"/>
      <c r="M9" s="124">
        <f>+L9+'30'!M9+K9</f>
        <v>24830</v>
      </c>
    </row>
    <row r="10" spans="1:13" ht="115.5" thickBot="1">
      <c r="A10" s="801"/>
      <c r="B10" s="222"/>
      <c r="C10" s="223"/>
      <c r="D10" s="224"/>
      <c r="E10" s="226"/>
      <c r="F10" s="235">
        <v>270</v>
      </c>
      <c r="G10" s="244" t="s">
        <v>81</v>
      </c>
      <c r="H10" s="240" t="s">
        <v>825</v>
      </c>
      <c r="I10" s="804"/>
      <c r="J10" s="221" t="str">
        <f>+'30'!J10</f>
        <v>TW 22 RC HW</v>
      </c>
      <c r="K10" s="246"/>
      <c r="L10" s="246"/>
      <c r="M10" s="124">
        <f>+L10+'30'!M10+K10</f>
        <v>24459</v>
      </c>
    </row>
    <row r="11" spans="1:13" ht="13.5" thickBot="1">
      <c r="A11" s="801"/>
      <c r="B11" s="222"/>
      <c r="C11" s="223"/>
      <c r="D11" s="224"/>
      <c r="E11" s="226"/>
      <c r="F11" s="235">
        <v>210</v>
      </c>
      <c r="G11" s="239" t="s">
        <v>79</v>
      </c>
      <c r="H11" s="240" t="s">
        <v>828</v>
      </c>
      <c r="I11" s="804"/>
      <c r="J11" s="221" t="str">
        <f>+'30'!J11</f>
        <v>TW 14 RC HW</v>
      </c>
      <c r="K11" s="246"/>
      <c r="L11" s="246"/>
      <c r="M11" s="124">
        <f>+L11+'30'!M11+K11</f>
        <v>8043</v>
      </c>
    </row>
    <row r="12" spans="1:13" ht="13.5" thickBot="1">
      <c r="A12" s="801"/>
      <c r="B12" s="222"/>
      <c r="C12" s="223"/>
      <c r="D12" s="224"/>
      <c r="E12" s="226"/>
      <c r="F12" s="235"/>
      <c r="G12" s="239"/>
      <c r="H12" s="240"/>
      <c r="I12" s="804"/>
      <c r="J12" s="221" t="str">
        <f>+'30'!J12</f>
        <v>TW 29 RC HW</v>
      </c>
      <c r="K12" s="246"/>
      <c r="L12" s="246"/>
      <c r="M12" s="124">
        <f>+L12+'30'!M12+K12</f>
        <v>21439</v>
      </c>
    </row>
    <row r="13" spans="1:13" ht="13.5" thickBot="1">
      <c r="A13" s="801"/>
      <c r="B13" s="222"/>
      <c r="C13" s="223"/>
      <c r="D13" s="223"/>
      <c r="E13" s="226"/>
      <c r="F13" s="235"/>
      <c r="G13" s="239"/>
      <c r="H13" s="240"/>
      <c r="I13" s="805"/>
      <c r="J13" s="221" t="str">
        <f>+'30'!J13</f>
        <v>TW 35,5 RC HW</v>
      </c>
      <c r="K13" s="246"/>
      <c r="L13" s="246"/>
      <c r="M13" s="124">
        <f>+L13+'30'!M13+K13</f>
        <v>2193</v>
      </c>
    </row>
    <row r="14" spans="1:13" ht="13.5" thickBot="1">
      <c r="A14" s="802"/>
      <c r="B14" s="172" t="s">
        <v>3</v>
      </c>
      <c r="C14" s="106">
        <f>SUM(C7:C13)</f>
        <v>2919</v>
      </c>
      <c r="D14" s="118">
        <f>SUM(D7:D13)</f>
        <v>0</v>
      </c>
      <c r="E14" s="119">
        <f>SUM(E5:E13)</f>
        <v>0</v>
      </c>
      <c r="F14" s="123">
        <f>SUM(F7:F13)</f>
        <v>480</v>
      </c>
      <c r="G14" s="166"/>
      <c r="H14" s="173"/>
      <c r="I14" s="174"/>
      <c r="J14" s="221" t="str">
        <f>+'30'!J14</f>
        <v>N 15,5 RC HW</v>
      </c>
      <c r="K14" s="246"/>
      <c r="L14" s="246"/>
      <c r="M14" s="124">
        <f>+L14+'30'!M14+K14</f>
        <v>46927</v>
      </c>
    </row>
    <row r="15" spans="1:13" ht="13.5" customHeight="1" thickBot="1">
      <c r="A15" s="800" t="s">
        <v>425</v>
      </c>
      <c r="B15" s="172"/>
      <c r="C15" s="120" t="e">
        <f>C14/($C$23+$D$23+$E$23)</f>
        <v>#DIV/0!</v>
      </c>
      <c r="D15" s="121" t="e">
        <f>D14/($C$23+$D$23+$E$23)</f>
        <v>#DIV/0!</v>
      </c>
      <c r="E15" s="122" t="e">
        <f>E14/($C$23+$D$23+$E$23)</f>
        <v>#DIV/0!</v>
      </c>
      <c r="F15" s="235"/>
      <c r="G15" s="236" t="s">
        <v>13</v>
      </c>
      <c r="H15" s="237" t="s">
        <v>386</v>
      </c>
      <c r="I15" s="803" t="s">
        <v>826</v>
      </c>
      <c r="J15" s="221" t="str">
        <f>+'30'!J15</f>
        <v>F 14 RC HW</v>
      </c>
      <c r="K15" s="246"/>
      <c r="L15" s="246"/>
      <c r="M15" s="124">
        <f>+L15+'30'!M15+K15</f>
        <v>4620</v>
      </c>
    </row>
    <row r="16" spans="1:13" ht="13.5" thickBot="1">
      <c r="A16" s="806"/>
      <c r="B16" s="228"/>
      <c r="C16" s="229"/>
      <c r="D16" s="230"/>
      <c r="E16" s="231"/>
      <c r="F16" s="235"/>
      <c r="G16" s="582" t="s">
        <v>13</v>
      </c>
      <c r="H16" s="237" t="s">
        <v>414</v>
      </c>
      <c r="I16" s="804"/>
      <c r="J16" s="221" t="str">
        <f>+'30'!J16</f>
        <v>T 15 RC HW</v>
      </c>
      <c r="K16" s="236">
        <f>+C7</f>
        <v>2919</v>
      </c>
      <c r="L16" s="236"/>
      <c r="M16" s="124">
        <f>+L16+'30'!M16+K16</f>
        <v>410672</v>
      </c>
    </row>
    <row r="17" spans="1:14" ht="13.5" thickBot="1">
      <c r="A17" s="806"/>
      <c r="B17" s="222"/>
      <c r="C17" s="223"/>
      <c r="D17" s="224"/>
      <c r="E17" s="232"/>
      <c r="F17" s="235"/>
      <c r="G17" s="582" t="s">
        <v>13</v>
      </c>
      <c r="H17" s="240" t="s">
        <v>413</v>
      </c>
      <c r="I17" s="804"/>
      <c r="J17" s="221" t="str">
        <f>+'30'!J17</f>
        <v>T 14 RC HW</v>
      </c>
      <c r="K17" s="236"/>
      <c r="L17" s="236"/>
      <c r="M17" s="124">
        <f>+L17+'30'!M17+K17</f>
        <v>280949</v>
      </c>
    </row>
    <row r="18" spans="1:14" ht="26.25" thickBot="1">
      <c r="A18" s="806"/>
      <c r="B18" s="222"/>
      <c r="C18" s="223"/>
      <c r="D18" s="224"/>
      <c r="E18" s="232"/>
      <c r="F18" s="235"/>
      <c r="G18" s="244" t="s">
        <v>14</v>
      </c>
      <c r="H18" s="240" t="s">
        <v>790</v>
      </c>
      <c r="I18" s="804"/>
      <c r="J18" s="221" t="str">
        <f>+'30'!J18</f>
        <v>T 16 RC HW</v>
      </c>
      <c r="K18" s="246"/>
      <c r="L18" s="246"/>
      <c r="M18" s="124">
        <f>+L18+'30'!M18+K18</f>
        <v>17950</v>
      </c>
    </row>
    <row r="19" spans="1:14" ht="115.5" thickBot="1">
      <c r="A19" s="806"/>
      <c r="B19" s="222"/>
      <c r="C19" s="223"/>
      <c r="D19" s="224"/>
      <c r="E19" s="232"/>
      <c r="F19" s="617">
        <v>240</v>
      </c>
      <c r="G19" s="244" t="s">
        <v>81</v>
      </c>
      <c r="H19" s="240" t="s">
        <v>824</v>
      </c>
      <c r="I19" s="804"/>
      <c r="J19" s="221" t="str">
        <f>+'30'!J19</f>
        <v>T 18 RC HW</v>
      </c>
      <c r="K19" s="246"/>
      <c r="L19" s="246"/>
      <c r="M19" s="124">
        <f>+L19+'30'!M19+K19</f>
        <v>32713</v>
      </c>
    </row>
    <row r="20" spans="1:14" ht="13.5" thickBot="1">
      <c r="A20" s="806"/>
      <c r="B20" s="222"/>
      <c r="C20" s="223"/>
      <c r="D20" s="224"/>
      <c r="E20" s="232"/>
      <c r="F20" s="242">
        <v>240</v>
      </c>
      <c r="G20" s="239" t="s">
        <v>79</v>
      </c>
      <c r="H20" s="240" t="s">
        <v>828</v>
      </c>
      <c r="I20" s="804"/>
      <c r="J20" s="221" t="str">
        <f>+'30'!J20</f>
        <v>T 20 RC HW</v>
      </c>
      <c r="K20" s="247"/>
      <c r="L20" s="247"/>
      <c r="M20" s="124">
        <f>+L20+'30'!M20+K20</f>
        <v>12647</v>
      </c>
    </row>
    <row r="21" spans="1:14" ht="13.5" thickBot="1">
      <c r="A21" s="806"/>
      <c r="B21" s="222"/>
      <c r="C21" s="223"/>
      <c r="D21" s="224"/>
      <c r="E21" s="232"/>
      <c r="F21" s="238"/>
      <c r="G21" s="239"/>
      <c r="H21" s="240"/>
      <c r="I21" s="804"/>
      <c r="J21" s="221" t="str">
        <f>+'30'!J21</f>
        <v>T 13 RC HW</v>
      </c>
      <c r="K21" s="246"/>
      <c r="L21" s="246"/>
      <c r="M21" s="124">
        <f>+L21+'30'!M21+K21</f>
        <v>56241</v>
      </c>
    </row>
    <row r="22" spans="1:14" ht="13.5" thickBot="1">
      <c r="A22" s="806"/>
      <c r="B22" s="222"/>
      <c r="C22" s="223"/>
      <c r="D22" s="224"/>
      <c r="E22" s="232"/>
      <c r="F22" s="243"/>
      <c r="G22" s="239"/>
      <c r="H22" s="240"/>
      <c r="I22" s="805"/>
      <c r="J22" s="221">
        <f>+'30'!J22</f>
        <v>0</v>
      </c>
      <c r="K22" s="246"/>
      <c r="L22" s="246"/>
      <c r="M22" s="124">
        <f>+L22+'30'!M22+K22</f>
        <v>0</v>
      </c>
    </row>
    <row r="23" spans="1:14" ht="13.5" thickBot="1">
      <c r="A23" s="807"/>
      <c r="B23" s="175" t="s">
        <v>3</v>
      </c>
      <c r="C23" s="107">
        <f>SUM(C16:C22)</f>
        <v>0</v>
      </c>
      <c r="D23" s="118">
        <f>SUM(D16:D22)</f>
        <v>0</v>
      </c>
      <c r="E23" s="119">
        <f>SUM(E18:E22)</f>
        <v>0</v>
      </c>
      <c r="F23" s="123">
        <f>SUM(F15:F22)</f>
        <v>480</v>
      </c>
      <c r="G23" s="166"/>
      <c r="H23" s="173"/>
      <c r="I23" s="176"/>
      <c r="J23" s="221">
        <f>+'30'!J23</f>
        <v>0</v>
      </c>
      <c r="K23" s="246"/>
      <c r="L23" s="246"/>
      <c r="M23" s="124">
        <f>+L23+'30'!M23+K23</f>
        <v>0</v>
      </c>
    </row>
    <row r="24" spans="1:14" ht="13.5" customHeight="1" thickBot="1">
      <c r="A24" s="800" t="s">
        <v>440</v>
      </c>
      <c r="B24" s="177"/>
      <c r="C24" s="120" t="e">
        <f>C23/($C$23+$D$23+$E$23)</f>
        <v>#DIV/0!</v>
      </c>
      <c r="D24" s="121" t="e">
        <f>D23/($C$23+$D$23+$E$23)</f>
        <v>#DIV/0!</v>
      </c>
      <c r="E24" s="122" t="e">
        <f>E23/($C$23+$D$23+$E$23)</f>
        <v>#DIV/0!</v>
      </c>
      <c r="F24" s="243"/>
      <c r="G24" s="236" t="s">
        <v>13</v>
      </c>
      <c r="H24" s="237" t="s">
        <v>386</v>
      </c>
      <c r="I24" s="803" t="s">
        <v>826</v>
      </c>
      <c r="J24" s="221">
        <f>+'30'!J24</f>
        <v>0</v>
      </c>
      <c r="K24" s="246"/>
      <c r="L24" s="246"/>
      <c r="M24" s="124">
        <f>+L24+'30'!M24+K24</f>
        <v>0</v>
      </c>
    </row>
    <row r="25" spans="1:14" ht="13.5" thickBot="1">
      <c r="A25" s="806"/>
      <c r="B25" s="228"/>
      <c r="C25" s="233"/>
      <c r="D25" s="224"/>
      <c r="E25" s="232"/>
      <c r="F25" s="238"/>
      <c r="G25" s="582" t="s">
        <v>13</v>
      </c>
      <c r="H25" s="237" t="s">
        <v>414</v>
      </c>
      <c r="I25" s="804"/>
      <c r="J25" s="221">
        <f>+'30'!J25</f>
        <v>0</v>
      </c>
      <c r="K25" s="246"/>
      <c r="L25" s="246"/>
      <c r="M25" s="124">
        <f>+L25+'30'!M25+K25</f>
        <v>0</v>
      </c>
    </row>
    <row r="26" spans="1:14" ht="13.5" thickBot="1">
      <c r="A26" s="806"/>
      <c r="B26" s="222"/>
      <c r="C26" s="233"/>
      <c r="D26" s="224"/>
      <c r="E26" s="234"/>
      <c r="F26" s="238"/>
      <c r="G26" s="582" t="s">
        <v>13</v>
      </c>
      <c r="H26" s="240" t="s">
        <v>413</v>
      </c>
      <c r="I26" s="804"/>
      <c r="J26" s="221">
        <f>+'30'!J26</f>
        <v>0</v>
      </c>
      <c r="K26" s="246"/>
      <c r="L26" s="246"/>
      <c r="M26" s="124">
        <f>+L26+'30'!M26+K26</f>
        <v>0</v>
      </c>
    </row>
    <row r="27" spans="1:14" ht="102.75" thickBot="1">
      <c r="A27" s="806"/>
      <c r="B27" s="222"/>
      <c r="C27" s="223"/>
      <c r="D27" s="224"/>
      <c r="E27" s="232"/>
      <c r="F27" s="617">
        <v>240</v>
      </c>
      <c r="G27" s="244" t="s">
        <v>81</v>
      </c>
      <c r="H27" s="240" t="s">
        <v>823</v>
      </c>
      <c r="I27" s="804"/>
      <c r="J27" s="221">
        <f>+'30'!J27</f>
        <v>0</v>
      </c>
      <c r="K27" s="246"/>
      <c r="L27" s="246"/>
      <c r="M27" s="124">
        <f>+L27+'30'!M27+K27</f>
        <v>0</v>
      </c>
    </row>
    <row r="28" spans="1:14" ht="13.5" thickBot="1">
      <c r="A28" s="806"/>
      <c r="B28" s="222"/>
      <c r="C28" s="223"/>
      <c r="D28" s="224"/>
      <c r="E28" s="232"/>
      <c r="F28" s="242">
        <v>240</v>
      </c>
      <c r="G28" s="239" t="s">
        <v>79</v>
      </c>
      <c r="H28" s="240" t="s">
        <v>828</v>
      </c>
      <c r="I28" s="804"/>
      <c r="J28" s="221">
        <f>+'30'!J28</f>
        <v>0</v>
      </c>
      <c r="K28" s="246"/>
      <c r="L28" s="246"/>
      <c r="M28" s="124">
        <f>+L28+'30'!M28+K28</f>
        <v>0</v>
      </c>
    </row>
    <row r="29" spans="1:14" ht="13.5" thickBot="1">
      <c r="A29" s="806"/>
      <c r="B29" s="222"/>
      <c r="C29" s="223"/>
      <c r="D29" s="224"/>
      <c r="E29" s="232"/>
      <c r="F29" s="243"/>
      <c r="G29" s="239"/>
      <c r="H29" s="240"/>
      <c r="I29" s="804"/>
      <c r="J29" s="221">
        <f>+'30'!J29</f>
        <v>0</v>
      </c>
      <c r="K29" s="246"/>
      <c r="L29" s="246"/>
      <c r="M29" s="124">
        <f>+L29+'30'!M29+K29</f>
        <v>0</v>
      </c>
    </row>
    <row r="30" spans="1:14" ht="13.5" thickBot="1">
      <c r="A30" s="806"/>
      <c r="B30" s="222"/>
      <c r="C30" s="233"/>
      <c r="D30" s="224"/>
      <c r="E30" s="232"/>
      <c r="F30" s="243"/>
      <c r="G30" s="239"/>
      <c r="H30" s="240"/>
      <c r="I30" s="804"/>
      <c r="J30" s="221">
        <f>+'30'!J30</f>
        <v>0</v>
      </c>
      <c r="K30" s="246"/>
      <c r="L30" s="246"/>
      <c r="M30" s="124">
        <f>+L30+'30'!M30+K30</f>
        <v>0</v>
      </c>
      <c r="N30" s="162"/>
    </row>
    <row r="31" spans="1:14" ht="13.5" thickBot="1">
      <c r="A31" s="806"/>
      <c r="B31" s="222"/>
      <c r="C31" s="233"/>
      <c r="D31" s="224"/>
      <c r="E31" s="232"/>
      <c r="F31" s="243"/>
      <c r="G31" s="244"/>
      <c r="H31" s="241"/>
      <c r="I31" s="805"/>
      <c r="J31" s="221">
        <f>+'30'!J31</f>
        <v>0</v>
      </c>
      <c r="K31" s="246"/>
      <c r="L31" s="246"/>
      <c r="M31" s="124">
        <f>+L31+'30'!M31+K31</f>
        <v>0</v>
      </c>
    </row>
    <row r="32" spans="1:14" ht="13.5" thickBot="1">
      <c r="A32" s="807"/>
      <c r="B32" s="172" t="s">
        <v>3</v>
      </c>
      <c r="C32" s="106">
        <f>SUM(C25:C31)</f>
        <v>0</v>
      </c>
      <c r="D32" s="107">
        <f>SUM(D25:D31)</f>
        <v>0</v>
      </c>
      <c r="E32" s="108">
        <f>SUM(E25:E31)</f>
        <v>0</v>
      </c>
      <c r="F32" s="109">
        <f>SUM(F24:F31)</f>
        <v>480</v>
      </c>
      <c r="G32" s="178"/>
      <c r="H32" s="179"/>
      <c r="I32" s="176"/>
      <c r="J32" s="221">
        <f>+'30'!J32</f>
        <v>0</v>
      </c>
      <c r="K32" s="246"/>
      <c r="L32" s="250"/>
      <c r="M32" s="124">
        <f>+L32+'30'!M32+K32</f>
        <v>0</v>
      </c>
    </row>
    <row r="33" spans="1:14" ht="13.5" thickBot="1">
      <c r="A33" s="180"/>
      <c r="B33" s="181"/>
      <c r="C33" s="110" t="e">
        <f>C32/($C$32+$D$32+$E$32)</f>
        <v>#DIV/0!</v>
      </c>
      <c r="D33" s="111" t="e">
        <f>D32/($C$32+$D$32+$E$32)</f>
        <v>#DIV/0!</v>
      </c>
      <c r="E33" s="112" t="e">
        <f>E32/($C$32+$D$32+$E$32)</f>
        <v>#DIV/0!</v>
      </c>
      <c r="F33" s="113"/>
      <c r="G33" s="182"/>
      <c r="H33" s="183"/>
      <c r="I33" s="184"/>
      <c r="J33" s="128"/>
      <c r="K33" s="455"/>
      <c r="L33" s="220"/>
      <c r="M33" s="126"/>
    </row>
    <row r="34" spans="1:14" ht="13.5" thickBot="1">
      <c r="A34" s="808" t="s">
        <v>70</v>
      </c>
      <c r="B34" s="809"/>
      <c r="C34" s="114">
        <f>C14+C23+C32</f>
        <v>2919</v>
      </c>
      <c r="D34" s="114">
        <f>D14+D23+D32</f>
        <v>0</v>
      </c>
      <c r="E34" s="114">
        <f>E14+E23+E32</f>
        <v>0</v>
      </c>
      <c r="F34" s="115">
        <f>F14+F23+F32</f>
        <v>1440</v>
      </c>
      <c r="H34" s="185"/>
      <c r="I34" s="185"/>
      <c r="J34" s="130" t="s">
        <v>29</v>
      </c>
      <c r="K34" s="131">
        <f>SUM(K7:K33)</f>
        <v>2919</v>
      </c>
      <c r="L34" s="219">
        <f>SUM(L7:L32)</f>
        <v>0</v>
      </c>
      <c r="M34" s="131">
        <f>SUM(M7:M33)</f>
        <v>1332230</v>
      </c>
      <c r="N34" s="162"/>
    </row>
    <row r="35" spans="1:14" ht="13.5" thickBot="1">
      <c r="A35" s="186"/>
      <c r="B35" s="187"/>
      <c r="C35" s="111">
        <f>C34/($C$34+$D$34+$E$34)</f>
        <v>1</v>
      </c>
      <c r="D35" s="111">
        <f>D34/($C$34+$D$34+$E$34)</f>
        <v>0</v>
      </c>
      <c r="E35" s="116">
        <f>E34/($C$34+$D$34+$E$34)</f>
        <v>0</v>
      </c>
      <c r="K35" s="162"/>
      <c r="L35" s="799" t="s">
        <v>184</v>
      </c>
      <c r="M35" s="799"/>
    </row>
    <row r="36" spans="1:14" ht="13.5" thickBot="1">
      <c r="A36" s="185"/>
      <c r="B36" s="185"/>
      <c r="C36" s="162"/>
      <c r="D36" s="162"/>
      <c r="E36" s="162"/>
      <c r="G36" s="162"/>
      <c r="H36" s="188"/>
      <c r="I36" s="169" t="s">
        <v>41</v>
      </c>
      <c r="J36" s="169" t="s">
        <v>42</v>
      </c>
      <c r="K36" s="189"/>
      <c r="L36" s="169" t="s">
        <v>41</v>
      </c>
      <c r="M36" s="169" t="s">
        <v>42</v>
      </c>
    </row>
    <row r="37" spans="1:14" ht="17.45" customHeight="1" thickBot="1">
      <c r="A37" s="797" t="s">
        <v>71</v>
      </c>
      <c r="B37" s="798"/>
      <c r="C37" s="169" t="s">
        <v>72</v>
      </c>
      <c r="D37" s="190" t="s">
        <v>73</v>
      </c>
      <c r="E37" s="191" t="s">
        <v>74</v>
      </c>
      <c r="F37" s="368"/>
      <c r="G37" s="370"/>
      <c r="H37" s="193" t="s">
        <v>75</v>
      </c>
      <c r="I37" s="251">
        <f>(30*200+36*811+45*339)/1350*G42*2.77*1350/1000000</f>
        <v>0</v>
      </c>
      <c r="J37" s="132">
        <f>+I37+'30'!J37</f>
        <v>1449.7577959048845</v>
      </c>
      <c r="K37" s="133" t="s">
        <v>76</v>
      </c>
      <c r="L37" s="429"/>
      <c r="M37" s="430"/>
    </row>
    <row r="38" spans="1:14" ht="17.45" customHeight="1">
      <c r="A38" s="793" t="s">
        <v>13</v>
      </c>
      <c r="B38" s="794"/>
      <c r="C38" s="171">
        <f>SUMIF($G$7:$G$31,"Process",$F$7:$F$31)</f>
        <v>0</v>
      </c>
      <c r="D38" s="125">
        <f>+C38+'30'!D38</f>
        <v>1403</v>
      </c>
      <c r="E38" s="150">
        <f t="shared" ref="E38:E51" si="0">D38/60</f>
        <v>23.383333333333333</v>
      </c>
      <c r="F38" s="368"/>
      <c r="G38" s="368"/>
      <c r="H38" s="194" t="s">
        <v>77</v>
      </c>
      <c r="I38" s="252">
        <v>0</v>
      </c>
      <c r="J38" s="134">
        <f>+I38+'30'!J38</f>
        <v>1365.2589999999998</v>
      </c>
      <c r="K38" s="135" t="s">
        <v>76</v>
      </c>
      <c r="L38" s="431"/>
      <c r="M38" s="432"/>
    </row>
    <row r="39" spans="1:14" ht="17.45" customHeight="1">
      <c r="A39" s="789" t="s">
        <v>14</v>
      </c>
      <c r="B39" s="790"/>
      <c r="C39" s="171">
        <f>SUMIF($G$7:$G$31,"Cleaning",$F$7:$F$31)</f>
        <v>0</v>
      </c>
      <c r="D39" s="125">
        <f>+C39+'30'!D39</f>
        <v>274</v>
      </c>
      <c r="E39" s="150">
        <f t="shared" si="0"/>
        <v>4.5666666666666664</v>
      </c>
      <c r="F39" s="368"/>
      <c r="G39" s="368"/>
      <c r="H39" s="194" t="s">
        <v>78</v>
      </c>
      <c r="I39" s="149"/>
      <c r="J39" s="136">
        <f>J37/G4</f>
        <v>46.766380513060788</v>
      </c>
      <c r="K39" s="137" t="s">
        <v>76</v>
      </c>
      <c r="L39" s="431"/>
      <c r="M39" s="432"/>
    </row>
    <row r="40" spans="1:14" ht="17.45" customHeight="1">
      <c r="A40" s="789" t="s">
        <v>79</v>
      </c>
      <c r="B40" s="790"/>
      <c r="C40" s="171">
        <f>SUMIF($G$7:$G$31,"Mechanical",$F$7:$F$31)</f>
        <v>690</v>
      </c>
      <c r="D40" s="125">
        <f>+C40+'30'!D40</f>
        <v>823</v>
      </c>
      <c r="E40" s="150">
        <f t="shared" si="0"/>
        <v>13.716666666666667</v>
      </c>
      <c r="F40" s="368"/>
      <c r="G40" s="368"/>
      <c r="H40" s="194" t="s">
        <v>80</v>
      </c>
      <c r="I40" s="125">
        <f>(K34+L34)/1000</f>
        <v>2.919</v>
      </c>
      <c r="J40" s="138">
        <f>+I40+'30'!J40</f>
        <v>1332.23</v>
      </c>
      <c r="K40" s="137" t="s">
        <v>76</v>
      </c>
      <c r="L40" s="431"/>
      <c r="M40" s="432"/>
    </row>
    <row r="41" spans="1:14" ht="17.45" customHeight="1">
      <c r="A41" s="789" t="s">
        <v>81</v>
      </c>
      <c r="B41" s="790"/>
      <c r="C41" s="171">
        <f>SUMIF($G$7:$G$31,"Electrical",$F$7:$F$31)</f>
        <v>750</v>
      </c>
      <c r="D41" s="125">
        <f>+C41+'30'!D41</f>
        <v>1329</v>
      </c>
      <c r="E41" s="150">
        <f t="shared" si="0"/>
        <v>22.15</v>
      </c>
      <c r="F41" s="368"/>
      <c r="G41" s="368"/>
      <c r="H41" s="194" t="s">
        <v>82</v>
      </c>
      <c r="I41" s="149"/>
      <c r="J41" s="136">
        <f>J40/G4</f>
        <v>42.975161290322582</v>
      </c>
      <c r="K41" s="137" t="s">
        <v>76</v>
      </c>
      <c r="L41" s="431"/>
      <c r="M41" s="432"/>
    </row>
    <row r="42" spans="1:14" ht="17.45" customHeight="1">
      <c r="A42" s="789" t="s">
        <v>17</v>
      </c>
      <c r="B42" s="790"/>
      <c r="C42" s="171">
        <f>SUMIF($G$7:$G$31,"Instrument",$F$7:$F$31)</f>
        <v>0</v>
      </c>
      <c r="D42" s="125">
        <f>+C42+'30'!D42</f>
        <v>0</v>
      </c>
      <c r="E42" s="150">
        <f t="shared" si="0"/>
        <v>0</v>
      </c>
      <c r="F42" s="368">
        <f>+(F38*390+F39*480+F40*480)/1350</f>
        <v>0</v>
      </c>
      <c r="G42" s="368">
        <f>+(G38*390+G39*480+G40*480)/1350</f>
        <v>0</v>
      </c>
      <c r="H42" s="194" t="s">
        <v>83</v>
      </c>
      <c r="I42" s="253"/>
      <c r="J42" s="139"/>
      <c r="K42" s="137" t="s">
        <v>84</v>
      </c>
      <c r="L42" s="431"/>
      <c r="M42" s="432"/>
    </row>
    <row r="43" spans="1:14" ht="17.45" customHeight="1">
      <c r="A43" s="789" t="s">
        <v>85</v>
      </c>
      <c r="B43" s="790"/>
      <c r="C43" s="171">
        <f>SUMIF($G$7:$G$31,"Water",$F$7:$F$31)</f>
        <v>0</v>
      </c>
      <c r="D43" s="125">
        <f>+C43+'30'!D43</f>
        <v>0</v>
      </c>
      <c r="E43" s="150">
        <f t="shared" si="0"/>
        <v>0</v>
      </c>
      <c r="F43" s="368"/>
      <c r="G43" s="369"/>
      <c r="H43" s="195" t="s">
        <v>86</v>
      </c>
      <c r="I43" s="125">
        <f>+Report1!AH39</f>
        <v>18.399999999999999</v>
      </c>
      <c r="J43" s="140">
        <f>+I43+'30'!J43</f>
        <v>1977.7</v>
      </c>
      <c r="K43" s="137" t="s">
        <v>76</v>
      </c>
      <c r="L43" s="433">
        <f>+Report1!AN39</f>
        <v>0</v>
      </c>
      <c r="M43" s="434">
        <f>+L43+'30'!M43</f>
        <v>9</v>
      </c>
    </row>
    <row r="44" spans="1:14" ht="17.45" customHeight="1">
      <c r="A44" s="789" t="s">
        <v>18</v>
      </c>
      <c r="B44" s="790"/>
      <c r="C44" s="171">
        <f>SUMIF($G$7:$G$31,"PLN",$F$7:$F$31)</f>
        <v>0</v>
      </c>
      <c r="D44" s="125">
        <f>+C44+'30'!D44</f>
        <v>0</v>
      </c>
      <c r="E44" s="150">
        <f t="shared" si="0"/>
        <v>0</v>
      </c>
      <c r="F44" s="368"/>
      <c r="G44" s="369"/>
      <c r="H44" s="195" t="s">
        <v>87</v>
      </c>
      <c r="I44" s="125" t="e">
        <f>I43/I38</f>
        <v>#DIV/0!</v>
      </c>
      <c r="J44" s="141">
        <f>J43/J38</f>
        <v>1.4485896082721303</v>
      </c>
      <c r="K44" s="137" t="s">
        <v>76</v>
      </c>
      <c r="L44" s="435" t="e">
        <f>+L43/I38</f>
        <v>#DIV/0!</v>
      </c>
      <c r="M44" s="436">
        <f>+M43/J38</f>
        <v>6.5921557741058668E-3</v>
      </c>
    </row>
    <row r="45" spans="1:14" ht="17.45" customHeight="1">
      <c r="A45" s="789" t="s">
        <v>19</v>
      </c>
      <c r="B45" s="790"/>
      <c r="C45" s="171">
        <f>SUMIF($G$7:$G$31,"Boiler",$F$7:$F$31)</f>
        <v>0</v>
      </c>
      <c r="D45" s="125">
        <f>+C45+'30'!D45</f>
        <v>0</v>
      </c>
      <c r="E45" s="150">
        <f t="shared" si="0"/>
        <v>0</v>
      </c>
      <c r="F45" s="368"/>
      <c r="G45" s="371"/>
      <c r="H45" s="195" t="s">
        <v>88</v>
      </c>
      <c r="I45" s="125">
        <f>I43/I40</f>
        <v>6.3035286056868784</v>
      </c>
      <c r="J45" s="141">
        <f>J43/J40</f>
        <v>1.4845034265854995</v>
      </c>
      <c r="K45" s="137" t="s">
        <v>76</v>
      </c>
      <c r="L45" s="435">
        <f>+L43/I40</f>
        <v>0</v>
      </c>
      <c r="M45" s="436">
        <f>+M43/J40</f>
        <v>6.7555902509326467E-3</v>
      </c>
    </row>
    <row r="46" spans="1:14" ht="17.45" customHeight="1">
      <c r="A46" s="789" t="s">
        <v>89</v>
      </c>
      <c r="B46" s="790"/>
      <c r="C46" s="171">
        <f>SUMIF($G$7:$G$31,"Gas",$F$7:$F$31)</f>
        <v>0</v>
      </c>
      <c r="D46" s="125">
        <f>+C46+'30'!D46</f>
        <v>2708</v>
      </c>
      <c r="E46" s="150">
        <f t="shared" si="0"/>
        <v>45.133333333333333</v>
      </c>
      <c r="F46" s="368"/>
      <c r="G46" s="369"/>
      <c r="H46" s="195" t="s">
        <v>90</v>
      </c>
      <c r="I46" s="147">
        <f>+SUMIF(Listrik!P38,"&gt;0")</f>
        <v>10445.019999999919</v>
      </c>
      <c r="J46" s="142">
        <f>+I46+'30'!J46</f>
        <v>1210683.3799999999</v>
      </c>
      <c r="K46" s="137" t="s">
        <v>91</v>
      </c>
      <c r="L46" s="435">
        <f>+Listrik!AF38</f>
        <v>0</v>
      </c>
      <c r="M46" s="437">
        <f>+L46+'30'!M46</f>
        <v>0</v>
      </c>
    </row>
    <row r="47" spans="1:14" ht="17.45" customHeight="1">
      <c r="A47" s="789" t="s">
        <v>92</v>
      </c>
      <c r="B47" s="790"/>
      <c r="C47" s="171">
        <f>SUMIF($G$7:$G$31,"Power Plant",$F$7:$F$31)</f>
        <v>0</v>
      </c>
      <c r="D47" s="125">
        <f>+C47+'30'!D47</f>
        <v>0</v>
      </c>
      <c r="E47" s="150">
        <f t="shared" si="0"/>
        <v>0</v>
      </c>
      <c r="F47" s="368"/>
      <c r="G47" s="369"/>
      <c r="H47" s="195" t="s">
        <v>93</v>
      </c>
      <c r="I47" s="125" t="e">
        <f>I46/I38</f>
        <v>#DIV/0!</v>
      </c>
      <c r="J47" s="142">
        <f>J46/J38</f>
        <v>886.77927045344518</v>
      </c>
      <c r="K47" s="137" t="s">
        <v>25</v>
      </c>
      <c r="L47" s="435" t="e">
        <f>+L46/I38</f>
        <v>#DIV/0!</v>
      </c>
      <c r="M47" s="436">
        <f>+M46/J38</f>
        <v>0</v>
      </c>
    </row>
    <row r="48" spans="1:14" ht="17.45" customHeight="1">
      <c r="A48" s="789" t="s">
        <v>15</v>
      </c>
      <c r="B48" s="790"/>
      <c r="C48" s="171">
        <f>SUMIF($G$7:$G$31,"Start Up",$F$7:$F$31)</f>
        <v>0</v>
      </c>
      <c r="D48" s="125">
        <f>+C48+'30'!D48</f>
        <v>0</v>
      </c>
      <c r="E48" s="150">
        <f t="shared" si="0"/>
        <v>0</v>
      </c>
      <c r="F48" s="368"/>
      <c r="G48" s="369"/>
      <c r="H48" s="195" t="s">
        <v>94</v>
      </c>
      <c r="I48" s="125">
        <f>I46/I40</f>
        <v>3578.2870846179922</v>
      </c>
      <c r="J48" s="142">
        <f>J46/J40</f>
        <v>908.7645376549093</v>
      </c>
      <c r="K48" s="137" t="s">
        <v>25</v>
      </c>
      <c r="L48" s="435" t="e">
        <f>+L46/I38</f>
        <v>#DIV/0!</v>
      </c>
      <c r="M48" s="436">
        <f>+M46/J40</f>
        <v>0</v>
      </c>
    </row>
    <row r="49" spans="1:13" ht="17.45" customHeight="1">
      <c r="A49" s="789" t="s">
        <v>21</v>
      </c>
      <c r="B49" s="790"/>
      <c r="C49" s="171">
        <f>SUMIF($G$7:$G$31,"Others",$F$7:$F$31)</f>
        <v>0</v>
      </c>
      <c r="D49" s="125">
        <f>+C49+'30'!D49</f>
        <v>677</v>
      </c>
      <c r="E49" s="150">
        <f t="shared" si="0"/>
        <v>11.283333333333333</v>
      </c>
      <c r="F49" s="192"/>
      <c r="H49" s="195" t="s">
        <v>95</v>
      </c>
      <c r="I49" s="125">
        <f>+Report1!AB39</f>
        <v>50.039888432354616</v>
      </c>
      <c r="J49" s="142">
        <f>+I49+'30'!J49</f>
        <v>121565.1981659821</v>
      </c>
      <c r="K49" s="137" t="s">
        <v>96</v>
      </c>
      <c r="L49" s="431"/>
      <c r="M49" s="432"/>
    </row>
    <row r="50" spans="1:13" ht="17.45" customHeight="1">
      <c r="A50" s="789" t="s">
        <v>20</v>
      </c>
      <c r="B50" s="790"/>
      <c r="C50" s="171">
        <f>SUMIF($G$7:$G$31,"Steam",$F$7:$F$31)</f>
        <v>0</v>
      </c>
      <c r="D50" s="125">
        <f>+C50+'30'!D50</f>
        <v>0</v>
      </c>
      <c r="E50" s="150">
        <f t="shared" si="0"/>
        <v>0</v>
      </c>
      <c r="F50" s="192"/>
      <c r="H50" s="195" t="s">
        <v>97</v>
      </c>
      <c r="I50" s="147" t="e">
        <f>I49/I38</f>
        <v>#DIV/0!</v>
      </c>
      <c r="J50" s="140">
        <f>J49/J38</f>
        <v>89.041858113355872</v>
      </c>
      <c r="K50" s="137" t="s">
        <v>96</v>
      </c>
      <c r="L50" s="431"/>
      <c r="M50" s="432"/>
    </row>
    <row r="51" spans="1:13" ht="17.45" customHeight="1" thickBot="1">
      <c r="A51" s="791" t="s">
        <v>98</v>
      </c>
      <c r="B51" s="792"/>
      <c r="C51" s="171">
        <f>SUMIF($G$7:$G$31,"Planned shut",$F$7:$F$31)</f>
        <v>0</v>
      </c>
      <c r="D51" s="125">
        <f>+C51+'30'!D51</f>
        <v>394</v>
      </c>
      <c r="E51" s="150">
        <f t="shared" si="0"/>
        <v>6.5666666666666664</v>
      </c>
      <c r="F51" s="192"/>
      <c r="H51" s="197" t="s">
        <v>99</v>
      </c>
      <c r="I51" s="148">
        <f>I49/I40</f>
        <v>17.14281892166996</v>
      </c>
      <c r="J51" s="143">
        <f>J49/J40</f>
        <v>91.249407509200438</v>
      </c>
      <c r="K51" s="144" t="s">
        <v>96</v>
      </c>
      <c r="L51" s="431"/>
      <c r="M51" s="432"/>
    </row>
    <row r="52" spans="1:13" ht="13.5" thickBot="1">
      <c r="A52" s="793" t="s">
        <v>29</v>
      </c>
      <c r="B52" s="794"/>
      <c r="C52" s="151">
        <f>SUM(C38:C51)</f>
        <v>1440</v>
      </c>
      <c r="D52" s="151">
        <f>SUM(D38:D51)</f>
        <v>7608</v>
      </c>
      <c r="E52" s="152">
        <f>SUM(E38:E51)</f>
        <v>126.79999999999998</v>
      </c>
      <c r="F52" s="192"/>
      <c r="H52" s="198"/>
      <c r="I52" s="199"/>
      <c r="J52" s="145"/>
      <c r="K52" s="146"/>
      <c r="L52" s="438"/>
      <c r="M52" s="439"/>
    </row>
    <row r="53" spans="1:13" ht="13.5" thickBot="1">
      <c r="A53" s="795"/>
      <c r="B53" s="796"/>
      <c r="C53" s="153">
        <f>C52/(24*60)</f>
        <v>1</v>
      </c>
      <c r="D53" s="153">
        <f>D52/(24*60*G4)</f>
        <v>0.17043010752688173</v>
      </c>
      <c r="E53" s="154">
        <f>E52/(G4*24)</f>
        <v>0.1704301075268817</v>
      </c>
      <c r="F53" s="192"/>
    </row>
    <row r="54" spans="1:13">
      <c r="E54" s="200"/>
      <c r="F54" s="192"/>
    </row>
    <row r="55" spans="1:13">
      <c r="E55" s="200"/>
    </row>
    <row r="56" spans="1:13">
      <c r="A56" s="201" t="s">
        <v>100</v>
      </c>
      <c r="B56" s="202"/>
      <c r="C56" s="203"/>
      <c r="D56" s="203"/>
      <c r="E56" s="203"/>
      <c r="F56" s="204"/>
      <c r="G56" s="203"/>
      <c r="H56" s="205"/>
      <c r="I56" s="206" t="s">
        <v>101</v>
      </c>
      <c r="J56" s="207">
        <f>+D34+'30'!J56</f>
        <v>5317</v>
      </c>
      <c r="K56" s="208">
        <f>J56/(J40+J56/1000)/1000</f>
        <v>3.9751874139749852E-3</v>
      </c>
    </row>
    <row r="57" spans="1:13">
      <c r="A57" s="183"/>
      <c r="I57" s="206" t="s">
        <v>102</v>
      </c>
      <c r="J57" s="207">
        <f>+E34+'30'!J57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L35:M35"/>
    <mergeCell ref="A7:A14"/>
    <mergeCell ref="I7:I13"/>
    <mergeCell ref="A15:A23"/>
    <mergeCell ref="I15:I22"/>
    <mergeCell ref="A24:A32"/>
    <mergeCell ref="I24:I31"/>
    <mergeCell ref="A34:B34"/>
    <mergeCell ref="A48:B48"/>
    <mergeCell ref="A37:B37"/>
    <mergeCell ref="A38:B38"/>
    <mergeCell ref="A39:B39"/>
    <mergeCell ref="A40:B40"/>
    <mergeCell ref="A41:B41"/>
    <mergeCell ref="A42:B42"/>
    <mergeCell ref="A43:B43"/>
    <mergeCell ref="A44:B44"/>
    <mergeCell ref="A45:B45"/>
    <mergeCell ref="A46:B46"/>
    <mergeCell ref="A47:B47"/>
    <mergeCell ref="A49:B49"/>
    <mergeCell ref="A50:B50"/>
    <mergeCell ref="A51:B51"/>
    <mergeCell ref="A52:B52"/>
    <mergeCell ref="A53:B53"/>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Z61"/>
  <sheetViews>
    <sheetView topLeftCell="A4" zoomScale="80" zoomScaleNormal="80" workbookViewId="0">
      <selection activeCell="A7" sqref="A7:A32"/>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19.7109375" style="156" customWidth="1"/>
    <col min="11" max="11" width="12.5703125" style="156" bestFit="1" customWidth="1"/>
    <col min="12" max="12" width="8.28515625" style="156" customWidth="1"/>
    <col min="13" max="13" width="14.7109375" style="156" customWidth="1"/>
    <col min="14" max="16384" width="9.140625" style="156"/>
  </cols>
  <sheetData>
    <row r="1" spans="1:26" ht="15.75">
      <c r="A1" s="155"/>
    </row>
    <row r="2" spans="1:26" ht="15.75">
      <c r="A2" s="155" t="s">
        <v>183</v>
      </c>
    </row>
    <row r="3" spans="1:26" ht="15">
      <c r="A3" s="157"/>
    </row>
    <row r="4" spans="1:26" ht="20.25">
      <c r="A4" s="158" t="s">
        <v>5</v>
      </c>
      <c r="B4" s="159"/>
      <c r="F4" s="160" t="s">
        <v>30</v>
      </c>
      <c r="G4" s="161">
        <v>30</v>
      </c>
      <c r="H4" s="161" t="str">
        <f>+'1'!H4</f>
        <v>.01.26</v>
      </c>
      <c r="J4" s="156">
        <f>576.4+663.6+589.1</f>
        <v>1829.1</v>
      </c>
    </row>
    <row r="5" spans="1:26" ht="13.5" thickBot="1">
      <c r="C5" s="162"/>
      <c r="D5" s="162"/>
    </row>
    <row r="6" spans="1:26"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615</v>
      </c>
      <c r="O6" s="156">
        <v>960</v>
      </c>
      <c r="P6" s="156">
        <f>+O6-(O6*0.22)</f>
        <v>748.8</v>
      </c>
      <c r="Q6" s="156">
        <f>60*2+27</f>
        <v>147</v>
      </c>
      <c r="R6" s="156">
        <f t="shared" ref="R6:R8" si="0">+O6*Q6</f>
        <v>141120</v>
      </c>
      <c r="S6" s="156">
        <f t="shared" ref="S6:S8" si="1">+P6*Q6</f>
        <v>110073.59999999999</v>
      </c>
      <c r="U6" s="156" t="s">
        <v>615</v>
      </c>
      <c r="V6" s="156">
        <v>960</v>
      </c>
      <c r="W6" s="156">
        <f>+V6-(V6*0.22)</f>
        <v>748.8</v>
      </c>
      <c r="X6" s="156">
        <f>60*2+27</f>
        <v>147</v>
      </c>
      <c r="Y6" s="156">
        <f t="shared" ref="Y6:Y8" si="2">+V6*X6</f>
        <v>141120</v>
      </c>
      <c r="Z6" s="156">
        <f t="shared" ref="Z6:Z8" si="3">+W6*X6</f>
        <v>110073.59999999999</v>
      </c>
    </row>
    <row r="7" spans="1:26" ht="13.5" customHeight="1" thickBot="1">
      <c r="A7" s="800" t="s">
        <v>424</v>
      </c>
      <c r="B7" s="222" t="s">
        <v>623</v>
      </c>
      <c r="C7" s="223">
        <v>7804</v>
      </c>
      <c r="D7" s="224"/>
      <c r="E7" s="225"/>
      <c r="F7" s="235"/>
      <c r="G7" s="236" t="s">
        <v>13</v>
      </c>
      <c r="H7" s="237" t="s">
        <v>386</v>
      </c>
      <c r="I7" s="803" t="s">
        <v>815</v>
      </c>
      <c r="J7" s="221" t="str">
        <f>+'29'!J7</f>
        <v>T 13,5 RC HW</v>
      </c>
      <c r="K7" s="245"/>
      <c r="L7" s="249"/>
      <c r="M7" s="124">
        <f>+K7+'29'!M7+L7</f>
        <v>331081</v>
      </c>
      <c r="N7" s="156" t="s">
        <v>584</v>
      </c>
      <c r="O7" s="156">
        <v>900</v>
      </c>
      <c r="P7" s="156">
        <f>+O7-(O7*0.22)</f>
        <v>702</v>
      </c>
      <c r="Q7" s="156">
        <f>480-Q6</f>
        <v>333</v>
      </c>
      <c r="R7" s="156">
        <f t="shared" si="0"/>
        <v>299700</v>
      </c>
      <c r="S7" s="156">
        <f t="shared" si="1"/>
        <v>233766</v>
      </c>
      <c r="U7" s="156" t="s">
        <v>615</v>
      </c>
      <c r="V7" s="156">
        <v>1200</v>
      </c>
      <c r="W7" s="156">
        <v>936</v>
      </c>
      <c r="X7" s="156">
        <v>5</v>
      </c>
      <c r="Y7" s="156">
        <f t="shared" si="2"/>
        <v>6000</v>
      </c>
      <c r="Z7" s="156">
        <f t="shared" si="3"/>
        <v>4680</v>
      </c>
    </row>
    <row r="8" spans="1:26" ht="13.5" thickBot="1">
      <c r="A8" s="801"/>
      <c r="B8" s="222" t="s">
        <v>604</v>
      </c>
      <c r="C8" s="223">
        <v>5071</v>
      </c>
      <c r="D8" s="224"/>
      <c r="E8" s="226"/>
      <c r="F8" s="238">
        <v>3</v>
      </c>
      <c r="G8" s="582" t="s">
        <v>13</v>
      </c>
      <c r="H8" s="237" t="s">
        <v>414</v>
      </c>
      <c r="I8" s="804"/>
      <c r="J8" s="221" t="str">
        <f>+'29'!J8</f>
        <v>T 14,5 RC HW</v>
      </c>
      <c r="K8" s="246"/>
      <c r="L8" s="246"/>
      <c r="M8" s="124">
        <f>+K8+'29'!M8+L8</f>
        <v>57466</v>
      </c>
      <c r="P8" s="156">
        <f>+O8-(O8*0.22)</f>
        <v>0</v>
      </c>
      <c r="R8" s="156">
        <f t="shared" si="0"/>
        <v>0</v>
      </c>
      <c r="S8" s="156">
        <f t="shared" si="1"/>
        <v>0</v>
      </c>
      <c r="W8" s="156">
        <f>+V8-(V8*0.22)</f>
        <v>0</v>
      </c>
      <c r="Y8" s="156">
        <f t="shared" si="2"/>
        <v>0</v>
      </c>
      <c r="Z8" s="156">
        <f t="shared" si="3"/>
        <v>0</v>
      </c>
    </row>
    <row r="9" spans="1:26" ht="13.5" thickBot="1">
      <c r="A9" s="801"/>
      <c r="B9" s="222"/>
      <c r="C9" s="223"/>
      <c r="D9" s="224"/>
      <c r="E9" s="227"/>
      <c r="F9" s="235">
        <v>7</v>
      </c>
      <c r="G9" s="582" t="s">
        <v>13</v>
      </c>
      <c r="H9" s="240" t="s">
        <v>450</v>
      </c>
      <c r="I9" s="804"/>
      <c r="J9" s="221" t="str">
        <f>+'29'!J9</f>
        <v>TW 17 RC HW</v>
      </c>
      <c r="K9" s="246"/>
      <c r="L9" s="246"/>
      <c r="M9" s="124">
        <f>+K9+'29'!M9+L9</f>
        <v>24830</v>
      </c>
    </row>
    <row r="10" spans="1:26" ht="26.25" thickBot="1">
      <c r="A10" s="801"/>
      <c r="B10" s="222"/>
      <c r="C10" s="223"/>
      <c r="D10" s="224"/>
      <c r="E10" s="226"/>
      <c r="F10" s="235">
        <v>8</v>
      </c>
      <c r="G10" s="244" t="s">
        <v>14</v>
      </c>
      <c r="H10" s="240" t="s">
        <v>813</v>
      </c>
      <c r="I10" s="804"/>
      <c r="J10" s="221" t="str">
        <f>+'29'!J10</f>
        <v>TW 22 RC HW</v>
      </c>
      <c r="K10" s="246"/>
      <c r="L10" s="246"/>
      <c r="M10" s="124">
        <f>+K10+'29'!M10+L10</f>
        <v>24459</v>
      </c>
    </row>
    <row r="11" spans="1:26" ht="26.25" thickBot="1">
      <c r="A11" s="801"/>
      <c r="B11" s="222"/>
      <c r="C11" s="223"/>
      <c r="D11" s="224"/>
      <c r="E11" s="226"/>
      <c r="F11" s="235">
        <v>37</v>
      </c>
      <c r="G11" s="239" t="s">
        <v>89</v>
      </c>
      <c r="H11" s="240" t="s">
        <v>814</v>
      </c>
      <c r="I11" s="804"/>
      <c r="J11" s="221" t="str">
        <f>+'29'!J11</f>
        <v>TW 14 RC HW</v>
      </c>
      <c r="K11" s="246"/>
      <c r="L11" s="246"/>
      <c r="M11" s="124">
        <f>+K11+'29'!M11+L11</f>
        <v>8043</v>
      </c>
    </row>
    <row r="12" spans="1:26" ht="13.5" thickBot="1">
      <c r="A12" s="801"/>
      <c r="B12" s="222"/>
      <c r="C12" s="223"/>
      <c r="D12" s="224"/>
      <c r="E12" s="226"/>
      <c r="F12" s="235"/>
      <c r="G12" s="239"/>
      <c r="H12" s="240"/>
      <c r="I12" s="804"/>
      <c r="J12" s="221" t="str">
        <f>+'29'!J12</f>
        <v>TW 29 RC HW</v>
      </c>
      <c r="K12" s="246"/>
      <c r="L12" s="246"/>
      <c r="M12" s="124">
        <f>+K12+'29'!M12+L12</f>
        <v>21439</v>
      </c>
    </row>
    <row r="13" spans="1:26" ht="13.5" thickBot="1">
      <c r="A13" s="801"/>
      <c r="B13" s="222"/>
      <c r="C13" s="223"/>
      <c r="D13" s="223"/>
      <c r="E13" s="226"/>
      <c r="F13" s="235"/>
      <c r="G13" s="239"/>
      <c r="H13" s="240"/>
      <c r="I13" s="805"/>
      <c r="J13" s="221" t="str">
        <f>+'29'!J13</f>
        <v>TW 35,5 RC HW</v>
      </c>
      <c r="K13" s="246"/>
      <c r="L13" s="246"/>
      <c r="M13" s="124">
        <f>+K13+'29'!M13+L13</f>
        <v>2193</v>
      </c>
    </row>
    <row r="14" spans="1:26" ht="13.5" thickBot="1">
      <c r="A14" s="802"/>
      <c r="B14" s="172" t="s">
        <v>3</v>
      </c>
      <c r="C14" s="106">
        <f>SUM(C7:C13)</f>
        <v>12875</v>
      </c>
      <c r="D14" s="118">
        <f>SUM(D7:D13)</f>
        <v>0</v>
      </c>
      <c r="E14" s="119">
        <f>SUM(E5:E13)</f>
        <v>0</v>
      </c>
      <c r="F14" s="123">
        <f>SUM(F7:F13)</f>
        <v>55</v>
      </c>
      <c r="G14" s="166"/>
      <c r="H14" s="173"/>
      <c r="I14" s="174"/>
      <c r="J14" s="221" t="str">
        <f>+'29'!J14</f>
        <v>N 15,5 RC HW</v>
      </c>
      <c r="K14" s="246"/>
      <c r="L14" s="246"/>
      <c r="M14" s="124">
        <f>+K14+'29'!M14+L14</f>
        <v>46927</v>
      </c>
    </row>
    <row r="15" spans="1:26" ht="13.5" customHeight="1" thickBot="1">
      <c r="A15" s="800" t="s">
        <v>425</v>
      </c>
      <c r="B15" s="172"/>
      <c r="C15" s="120">
        <f>C14/($C$23+$D$23+$E$23)</f>
        <v>0.80680536408071191</v>
      </c>
      <c r="D15" s="121">
        <f>D14/($C$23+$D$23+$E$23)</f>
        <v>0</v>
      </c>
      <c r="E15" s="122">
        <f>E14/($C$23+$D$23+$E$23)</f>
        <v>0</v>
      </c>
      <c r="F15" s="235"/>
      <c r="G15" s="236" t="s">
        <v>13</v>
      </c>
      <c r="H15" s="237" t="s">
        <v>386</v>
      </c>
      <c r="I15" s="803" t="s">
        <v>816</v>
      </c>
      <c r="J15" s="221" t="str">
        <f>+'29'!J15</f>
        <v>F 14 RC HW</v>
      </c>
      <c r="K15" s="246"/>
      <c r="L15" s="246"/>
      <c r="M15" s="124">
        <f>+K15+'29'!M15+L15</f>
        <v>4620</v>
      </c>
    </row>
    <row r="16" spans="1:26" ht="13.5" thickBot="1">
      <c r="A16" s="806"/>
      <c r="B16" s="222" t="s">
        <v>604</v>
      </c>
      <c r="C16" s="229">
        <v>15958</v>
      </c>
      <c r="D16" s="230"/>
      <c r="E16" s="231"/>
      <c r="F16" s="235">
        <v>3</v>
      </c>
      <c r="G16" s="582" t="s">
        <v>13</v>
      </c>
      <c r="H16" s="237" t="s">
        <v>501</v>
      </c>
      <c r="I16" s="804"/>
      <c r="J16" s="221" t="str">
        <f>+'29'!J16</f>
        <v>T 15 RC HW</v>
      </c>
      <c r="K16" s="236">
        <f>+C8+C16+C25</f>
        <v>37637</v>
      </c>
      <c r="L16" s="236"/>
      <c r="M16" s="124">
        <f>+K16+'29'!M16+L16</f>
        <v>407753</v>
      </c>
      <c r="Q16" s="183">
        <f>SUM(Q6:Q14)</f>
        <v>480</v>
      </c>
      <c r="R16" s="183">
        <f>SUM(R6:R14)</f>
        <v>440820</v>
      </c>
      <c r="S16" s="183">
        <f>SUM(S6:S14)</f>
        <v>343839.6</v>
      </c>
      <c r="X16" s="183">
        <f>SUM(X6:X14)</f>
        <v>152</v>
      </c>
      <c r="Y16" s="183">
        <f>SUM(Y6:Y14)</f>
        <v>147120</v>
      </c>
      <c r="Z16" s="183">
        <f>SUM(Z6:Z14)</f>
        <v>114753.59999999999</v>
      </c>
    </row>
    <row r="17" spans="1:26" ht="13.5" thickBot="1">
      <c r="A17" s="806"/>
      <c r="B17" s="222"/>
      <c r="C17" s="223"/>
      <c r="D17" s="224"/>
      <c r="E17" s="232"/>
      <c r="F17" s="235">
        <v>4</v>
      </c>
      <c r="G17" s="582" t="s">
        <v>13</v>
      </c>
      <c r="H17" s="240" t="s">
        <v>523</v>
      </c>
      <c r="I17" s="804"/>
      <c r="J17" s="221" t="str">
        <f>+'29'!J17</f>
        <v>T 14 RC HW</v>
      </c>
      <c r="K17" s="236">
        <f>+C7</f>
        <v>7804</v>
      </c>
      <c r="L17" s="236"/>
      <c r="M17" s="124">
        <f>+K17+'29'!M17+L17</f>
        <v>280949</v>
      </c>
      <c r="Q17" s="156">
        <f>480-Q16</f>
        <v>0</v>
      </c>
      <c r="R17" s="183">
        <f>+R16/Q16</f>
        <v>918.375</v>
      </c>
      <c r="S17" s="183">
        <f>+S16/Q16</f>
        <v>716.33249999999998</v>
      </c>
      <c r="X17" s="156">
        <f>480-X16</f>
        <v>328</v>
      </c>
      <c r="Y17" s="183">
        <f>+Y16/X16</f>
        <v>967.89473684210532</v>
      </c>
      <c r="Z17" s="183">
        <f>+Z16/X16</f>
        <v>754.95789473684204</v>
      </c>
    </row>
    <row r="18" spans="1:26" ht="26.25" thickBot="1">
      <c r="A18" s="806"/>
      <c r="B18" s="222"/>
      <c r="C18" s="223"/>
      <c r="D18" s="224"/>
      <c r="E18" s="232"/>
      <c r="F18" s="235">
        <v>6</v>
      </c>
      <c r="G18" s="244" t="s">
        <v>14</v>
      </c>
      <c r="H18" s="240" t="s">
        <v>812</v>
      </c>
      <c r="I18" s="804"/>
      <c r="J18" s="221" t="str">
        <f>+'29'!J18</f>
        <v>T 16 RC HW</v>
      </c>
      <c r="K18" s="246"/>
      <c r="L18" s="246"/>
      <c r="M18" s="124">
        <f>+K18+'29'!M18+L18</f>
        <v>17950</v>
      </c>
      <c r="N18" s="156" t="s">
        <v>584</v>
      </c>
      <c r="O18" s="156">
        <v>910</v>
      </c>
      <c r="P18" s="156">
        <f>+O18-(O18*0.22)</f>
        <v>709.8</v>
      </c>
      <c r="Q18" s="156">
        <v>240</v>
      </c>
      <c r="R18" s="156">
        <f t="shared" ref="R18:R20" si="4">+O18*Q18</f>
        <v>218400</v>
      </c>
      <c r="S18" s="156">
        <f t="shared" ref="S18:S20" si="5">+P18*Q18</f>
        <v>170352</v>
      </c>
      <c r="U18" s="156" t="s">
        <v>584</v>
      </c>
      <c r="V18" s="156">
        <v>900</v>
      </c>
      <c r="W18" s="156">
        <v>702</v>
      </c>
      <c r="X18" s="156">
        <v>333</v>
      </c>
      <c r="Y18" s="156">
        <f t="shared" ref="Y18:Y20" si="6">+V18*X18</f>
        <v>299700</v>
      </c>
      <c r="Z18" s="156">
        <f t="shared" ref="Z18:Z20" si="7">+W18*X18</f>
        <v>233766</v>
      </c>
    </row>
    <row r="19" spans="1:26" ht="64.5" thickBot="1">
      <c r="A19" s="806"/>
      <c r="B19" s="222"/>
      <c r="C19" s="223"/>
      <c r="D19" s="224"/>
      <c r="E19" s="232"/>
      <c r="F19" s="242"/>
      <c r="G19" s="239"/>
      <c r="H19" s="240" t="s">
        <v>811</v>
      </c>
      <c r="I19" s="804"/>
      <c r="J19" s="221" t="str">
        <f>+'29'!J19</f>
        <v>T 18 RC HW</v>
      </c>
      <c r="K19" s="246"/>
      <c r="L19" s="246"/>
      <c r="M19" s="124">
        <f>+K19+'29'!M19+L19</f>
        <v>32713</v>
      </c>
      <c r="O19" s="156">
        <v>1120</v>
      </c>
      <c r="P19" s="156">
        <f>+O19-(O19*0.22)</f>
        <v>873.6</v>
      </c>
      <c r="Q19" s="156">
        <f>480-Q18</f>
        <v>240</v>
      </c>
      <c r="R19" s="156">
        <f t="shared" si="4"/>
        <v>268800</v>
      </c>
      <c r="S19" s="156">
        <f t="shared" si="5"/>
        <v>209664</v>
      </c>
      <c r="U19" s="156" t="s">
        <v>584</v>
      </c>
      <c r="V19" s="156">
        <v>910</v>
      </c>
      <c r="W19" s="156">
        <v>709.8</v>
      </c>
      <c r="X19" s="156">
        <v>240</v>
      </c>
      <c r="Y19" s="156">
        <f t="shared" si="6"/>
        <v>218400</v>
      </c>
      <c r="Z19" s="156">
        <f t="shared" si="7"/>
        <v>170352</v>
      </c>
    </row>
    <row r="20" spans="1:26" ht="13.5" thickBot="1">
      <c r="A20" s="806"/>
      <c r="B20" s="222"/>
      <c r="C20" s="223"/>
      <c r="D20" s="224"/>
      <c r="E20" s="232"/>
      <c r="F20" s="235"/>
      <c r="G20" s="239"/>
      <c r="H20" s="240"/>
      <c r="I20" s="804"/>
      <c r="J20" s="221" t="str">
        <f>+'29'!J20</f>
        <v>T 20 RC HW</v>
      </c>
      <c r="K20" s="247"/>
      <c r="L20" s="247"/>
      <c r="M20" s="124">
        <f>+K20+'29'!M20+L20</f>
        <v>12647</v>
      </c>
      <c r="P20" s="156">
        <f>+O20-(O20*0.22)</f>
        <v>0</v>
      </c>
      <c r="R20" s="156">
        <f t="shared" si="4"/>
        <v>0</v>
      </c>
      <c r="S20" s="156">
        <f t="shared" si="5"/>
        <v>0</v>
      </c>
      <c r="V20" s="156">
        <v>1120</v>
      </c>
      <c r="W20" s="156">
        <v>873.6</v>
      </c>
      <c r="X20" s="156">
        <v>240</v>
      </c>
      <c r="Y20" s="156">
        <f t="shared" si="6"/>
        <v>268800</v>
      </c>
      <c r="Z20" s="156">
        <f t="shared" si="7"/>
        <v>209664</v>
      </c>
    </row>
    <row r="21" spans="1:26" ht="13.5" thickBot="1">
      <c r="A21" s="806"/>
      <c r="B21" s="222"/>
      <c r="C21" s="223"/>
      <c r="D21" s="224"/>
      <c r="E21" s="232"/>
      <c r="F21" s="238"/>
      <c r="G21" s="239"/>
      <c r="H21" s="240"/>
      <c r="I21" s="804"/>
      <c r="J21" s="221" t="str">
        <f>+'29'!J21</f>
        <v>T 13 RC HW</v>
      </c>
      <c r="K21" s="246"/>
      <c r="L21" s="246"/>
      <c r="M21" s="124">
        <f>+K21+'29'!M21+L21</f>
        <v>56241</v>
      </c>
      <c r="U21" s="156" t="s">
        <v>584</v>
      </c>
      <c r="V21" s="156">
        <v>1120</v>
      </c>
      <c r="W21" s="156">
        <v>873.6</v>
      </c>
      <c r="X21" s="156">
        <v>445</v>
      </c>
      <c r="Y21" s="156">
        <f t="shared" ref="Y21" si="8">+V21*X21</f>
        <v>498400</v>
      </c>
      <c r="Z21" s="156">
        <f t="shared" ref="Z21" si="9">+W21*X21</f>
        <v>388752</v>
      </c>
    </row>
    <row r="22" spans="1:26" ht="13.5" thickBot="1">
      <c r="A22" s="806"/>
      <c r="B22" s="222"/>
      <c r="C22" s="223"/>
      <c r="D22" s="224"/>
      <c r="E22" s="232"/>
      <c r="F22" s="243"/>
      <c r="G22" s="239"/>
      <c r="H22" s="240"/>
      <c r="I22" s="805"/>
      <c r="J22" s="221">
        <f>+'29'!J22</f>
        <v>0</v>
      </c>
      <c r="K22" s="246"/>
      <c r="L22" s="246"/>
      <c r="M22" s="124">
        <f>+K22+'29'!M22+L22</f>
        <v>0</v>
      </c>
    </row>
    <row r="23" spans="1:26" ht="13.5" thickBot="1">
      <c r="A23" s="807"/>
      <c r="B23" s="172" t="s">
        <v>3</v>
      </c>
      <c r="C23" s="107">
        <f>SUM(C16:C22)</f>
        <v>15958</v>
      </c>
      <c r="D23" s="118">
        <f>SUM(D16:D22)</f>
        <v>0</v>
      </c>
      <c r="E23" s="119">
        <f>SUM(E18:E22)</f>
        <v>0</v>
      </c>
      <c r="F23" s="123">
        <f>SUM(F15:F22)</f>
        <v>13</v>
      </c>
      <c r="G23" s="166"/>
      <c r="H23" s="173"/>
      <c r="I23" s="176"/>
      <c r="J23" s="221">
        <f>+'29'!J23</f>
        <v>0</v>
      </c>
      <c r="K23" s="246"/>
      <c r="L23" s="246"/>
      <c r="M23" s="124">
        <f>+K23+'29'!M23+L23</f>
        <v>0</v>
      </c>
    </row>
    <row r="24" spans="1:26" ht="13.5" customHeight="1" thickBot="1">
      <c r="A24" s="800" t="s">
        <v>440</v>
      </c>
      <c r="B24" s="177"/>
      <c r="C24" s="120">
        <f>C23/($C$23+$D$23+$E$23)</f>
        <v>1</v>
      </c>
      <c r="D24" s="121">
        <f>D23/($C$23+$D$23+$E$23)</f>
        <v>0</v>
      </c>
      <c r="E24" s="122">
        <f>E23/($C$23+$D$23+$E$23)</f>
        <v>0</v>
      </c>
      <c r="F24" s="243">
        <v>6</v>
      </c>
      <c r="G24" s="236" t="s">
        <v>13</v>
      </c>
      <c r="H24" s="237" t="s">
        <v>819</v>
      </c>
      <c r="I24" s="803" t="s">
        <v>817</v>
      </c>
      <c r="J24" s="221">
        <f>+'29'!J24</f>
        <v>0</v>
      </c>
      <c r="K24" s="246"/>
      <c r="L24" s="246"/>
      <c r="M24" s="124">
        <f>+K24+'29'!M24+L24</f>
        <v>0</v>
      </c>
    </row>
    <row r="25" spans="1:26" ht="13.5" thickBot="1">
      <c r="A25" s="806"/>
      <c r="B25" s="222" t="s">
        <v>604</v>
      </c>
      <c r="C25" s="233">
        <v>16608</v>
      </c>
      <c r="D25" s="224"/>
      <c r="E25" s="232"/>
      <c r="F25" s="238">
        <v>6</v>
      </c>
      <c r="G25" s="582" t="s">
        <v>13</v>
      </c>
      <c r="H25" s="237" t="s">
        <v>414</v>
      </c>
      <c r="I25" s="804"/>
      <c r="J25" s="221">
        <f>+'29'!J25</f>
        <v>0</v>
      </c>
      <c r="K25" s="246"/>
      <c r="L25" s="246"/>
      <c r="M25" s="124">
        <f>+K25+'29'!M25+L25</f>
        <v>0</v>
      </c>
    </row>
    <row r="26" spans="1:26" ht="13.5" thickBot="1">
      <c r="A26" s="806"/>
      <c r="B26" s="222"/>
      <c r="C26" s="233"/>
      <c r="D26" s="224"/>
      <c r="E26" s="234"/>
      <c r="F26" s="238">
        <v>14</v>
      </c>
      <c r="G26" s="582" t="s">
        <v>13</v>
      </c>
      <c r="H26" s="240" t="s">
        <v>523</v>
      </c>
      <c r="I26" s="804"/>
      <c r="J26" s="221">
        <f>+'29'!J26</f>
        <v>0</v>
      </c>
      <c r="K26" s="246"/>
      <c r="L26" s="246"/>
      <c r="M26" s="124">
        <f>+K26+'29'!M26+L26</f>
        <v>0</v>
      </c>
    </row>
    <row r="27" spans="1:26" ht="26.25" thickBot="1">
      <c r="A27" s="806"/>
      <c r="B27" s="222"/>
      <c r="C27" s="223"/>
      <c r="D27" s="224"/>
      <c r="E27" s="232"/>
      <c r="F27" s="238"/>
      <c r="G27" s="244" t="s">
        <v>14</v>
      </c>
      <c r="H27" s="240" t="s">
        <v>809</v>
      </c>
      <c r="I27" s="804"/>
      <c r="J27" s="221">
        <f>+'29'!J27</f>
        <v>0</v>
      </c>
      <c r="K27" s="246"/>
      <c r="L27" s="246"/>
      <c r="M27" s="124">
        <f>+K27+'29'!M27+L27</f>
        <v>0</v>
      </c>
    </row>
    <row r="28" spans="1:26" ht="70.5" customHeight="1" thickBot="1">
      <c r="A28" s="806"/>
      <c r="B28" s="222"/>
      <c r="C28" s="223"/>
      <c r="D28" s="224"/>
      <c r="E28" s="232"/>
      <c r="F28" s="238">
        <v>30</v>
      </c>
      <c r="G28" s="239" t="s">
        <v>81</v>
      </c>
      <c r="H28" s="240" t="s">
        <v>810</v>
      </c>
      <c r="I28" s="804"/>
      <c r="J28" s="221">
        <f>+'29'!J28</f>
        <v>0</v>
      </c>
      <c r="K28" s="246"/>
      <c r="L28" s="246"/>
      <c r="M28" s="124">
        <f>+K28+'29'!M28+L28</f>
        <v>0</v>
      </c>
      <c r="Q28" s="183">
        <f>SUM(Q18:Q26)</f>
        <v>480</v>
      </c>
      <c r="R28" s="183">
        <f>SUM(R18:R26)</f>
        <v>487200</v>
      </c>
      <c r="S28" s="183">
        <f>SUM(S18:S26)</f>
        <v>380016</v>
      </c>
      <c r="X28" s="183">
        <f>SUM(X18:X26)</f>
        <v>1258</v>
      </c>
      <c r="Y28" s="183">
        <f>SUM(Y18:Y26)</f>
        <v>1285300</v>
      </c>
      <c r="Z28" s="183">
        <f>SUM(Z18:Z26)</f>
        <v>1002534</v>
      </c>
    </row>
    <row r="29" spans="1:26" ht="13.5" thickBot="1">
      <c r="A29" s="806"/>
      <c r="B29" s="222"/>
      <c r="C29" s="223"/>
      <c r="D29" s="224"/>
      <c r="E29" s="232"/>
      <c r="F29" s="243"/>
      <c r="G29" s="239"/>
      <c r="H29" s="240"/>
      <c r="I29" s="804"/>
      <c r="J29" s="221">
        <f>+'29'!J29</f>
        <v>0</v>
      </c>
      <c r="K29" s="246"/>
      <c r="L29" s="246"/>
      <c r="M29" s="124">
        <f>+K29+'29'!M29+L29</f>
        <v>0</v>
      </c>
      <c r="Q29" s="156">
        <f>480-Q28</f>
        <v>0</v>
      </c>
      <c r="R29" s="183">
        <f>+R28/Q28</f>
        <v>1015</v>
      </c>
      <c r="S29" s="183">
        <f>+S28/Q28</f>
        <v>791.7</v>
      </c>
      <c r="X29" s="156">
        <f>480-X28</f>
        <v>-778</v>
      </c>
      <c r="Y29" s="183">
        <f>+Y28/X28</f>
        <v>1021.7011128775835</v>
      </c>
      <c r="Z29" s="183">
        <f>+Z28/X28</f>
        <v>796.92686804451512</v>
      </c>
    </row>
    <row r="30" spans="1:26" ht="13.5" thickBot="1">
      <c r="A30" s="806"/>
      <c r="B30" s="222"/>
      <c r="C30" s="233"/>
      <c r="D30" s="224"/>
      <c r="E30" s="232"/>
      <c r="F30" s="243"/>
      <c r="G30" s="239"/>
      <c r="H30" s="240"/>
      <c r="I30" s="804"/>
      <c r="J30" s="221">
        <f>+'29'!J30</f>
        <v>0</v>
      </c>
      <c r="K30" s="246"/>
      <c r="L30" s="246"/>
      <c r="M30" s="124">
        <f>+K30+'29'!M30+L30</f>
        <v>0</v>
      </c>
      <c r="N30" s="162"/>
    </row>
    <row r="31" spans="1:26" ht="13.5" thickBot="1">
      <c r="A31" s="806"/>
      <c r="B31" s="222"/>
      <c r="C31" s="233"/>
      <c r="D31" s="224"/>
      <c r="E31" s="232"/>
      <c r="F31" s="243"/>
      <c r="G31" s="244"/>
      <c r="H31" s="241"/>
      <c r="I31" s="805"/>
      <c r="J31" s="221">
        <f>+'29'!J31</f>
        <v>0</v>
      </c>
      <c r="K31" s="246"/>
      <c r="L31" s="246"/>
      <c r="M31" s="124">
        <f>+K31+'29'!M31+L31</f>
        <v>0</v>
      </c>
      <c r="N31" s="156" t="s">
        <v>584</v>
      </c>
      <c r="O31" s="156">
        <v>1120</v>
      </c>
      <c r="P31" s="156">
        <f>+O31-(O31*0.22)</f>
        <v>873.6</v>
      </c>
      <c r="Q31" s="156">
        <f>480-Q32-30</f>
        <v>445</v>
      </c>
      <c r="R31" s="156">
        <f t="shared" ref="R31:R33" si="10">+O31*Q31</f>
        <v>498400</v>
      </c>
      <c r="S31" s="156">
        <f t="shared" ref="S31:S33" si="11">+P31*Q31</f>
        <v>388752</v>
      </c>
    </row>
    <row r="32" spans="1:26" ht="13.5" thickBot="1">
      <c r="A32" s="807"/>
      <c r="B32" s="172" t="s">
        <v>3</v>
      </c>
      <c r="C32" s="106">
        <f>SUM(C25:C31)</f>
        <v>16608</v>
      </c>
      <c r="D32" s="107">
        <f>SUM(D25:D31)</f>
        <v>0</v>
      </c>
      <c r="E32" s="108">
        <f>SUM(E25:E31)</f>
        <v>0</v>
      </c>
      <c r="F32" s="109">
        <f>SUM(F24:F31)</f>
        <v>56</v>
      </c>
      <c r="G32" s="178"/>
      <c r="H32" s="179"/>
      <c r="I32" s="176"/>
      <c r="J32" s="221">
        <f>+'29'!J32</f>
        <v>0</v>
      </c>
      <c r="K32" s="246"/>
      <c r="L32" s="250"/>
      <c r="M32" s="124">
        <f>+K32+'29'!M32+L32</f>
        <v>0</v>
      </c>
      <c r="N32" s="156" t="s">
        <v>615</v>
      </c>
      <c r="O32" s="156">
        <v>1200</v>
      </c>
      <c r="P32" s="156">
        <f>+O32-(O32*0.22)</f>
        <v>936</v>
      </c>
      <c r="Q32" s="156">
        <v>5</v>
      </c>
      <c r="R32" s="156">
        <f t="shared" si="10"/>
        <v>6000</v>
      </c>
      <c r="S32" s="156">
        <f t="shared" si="11"/>
        <v>4680</v>
      </c>
      <c r="U32" s="156">
        <f>+(1275-V32)/1275</f>
        <v>0.24086687306501545</v>
      </c>
      <c r="V32" s="156">
        <v>967.89473684210532</v>
      </c>
    </row>
    <row r="33" spans="1:21" ht="13.5" thickBot="1">
      <c r="A33" s="180"/>
      <c r="B33" s="181"/>
      <c r="C33" s="110">
        <f>C32/($C$32+$D$32+$E$32)</f>
        <v>1</v>
      </c>
      <c r="D33" s="111">
        <f>D32/($C$32+$D$32+$E$32)</f>
        <v>0</v>
      </c>
      <c r="E33" s="112">
        <f>E32/($C$32+$D$32+$E$32)</f>
        <v>0</v>
      </c>
      <c r="F33" s="113"/>
      <c r="G33" s="182"/>
      <c r="H33" s="183"/>
      <c r="I33" s="184"/>
      <c r="J33" s="128"/>
      <c r="K33" s="129"/>
      <c r="L33" s="220"/>
      <c r="M33" s="126"/>
      <c r="P33" s="156">
        <f>+O33-(O33*0.22)</f>
        <v>0</v>
      </c>
      <c r="R33" s="156">
        <f t="shared" si="10"/>
        <v>0</v>
      </c>
      <c r="S33" s="156">
        <f t="shared" si="11"/>
        <v>0</v>
      </c>
      <c r="U33" s="156">
        <f>+U32*(152)</f>
        <v>36.611764705882351</v>
      </c>
    </row>
    <row r="34" spans="1:21" ht="13.5" thickBot="1">
      <c r="A34" s="808" t="s">
        <v>70</v>
      </c>
      <c r="B34" s="809"/>
      <c r="C34" s="114">
        <f>C14+C23+C32</f>
        <v>45441</v>
      </c>
      <c r="D34" s="114">
        <f>D14+D23+D32</f>
        <v>0</v>
      </c>
      <c r="E34" s="114">
        <f>E14+E23+E32</f>
        <v>0</v>
      </c>
      <c r="F34" s="115">
        <f>F14+F23+F32</f>
        <v>124</v>
      </c>
      <c r="H34" s="185"/>
      <c r="I34" s="185"/>
      <c r="J34" s="130" t="s">
        <v>29</v>
      </c>
      <c r="K34" s="131">
        <f>SUM(K7:K32)</f>
        <v>45441</v>
      </c>
      <c r="L34" s="219">
        <f>SUM(L7:L32)</f>
        <v>0</v>
      </c>
      <c r="M34" s="127">
        <f>SUM(M7:M32)</f>
        <v>1329311</v>
      </c>
      <c r="U34" s="156">
        <f>+U33</f>
        <v>36.611764705882351</v>
      </c>
    </row>
    <row r="35" spans="1:21" ht="13.5" thickBot="1">
      <c r="A35" s="186"/>
      <c r="B35" s="187"/>
      <c r="C35" s="111">
        <f>C34/($C$34+$D$34+$E$34)</f>
        <v>1</v>
      </c>
      <c r="D35" s="111">
        <f>D34/($C$34+$D$34+$E$34)</f>
        <v>0</v>
      </c>
      <c r="E35" s="116">
        <f>E34/($C$34+$D$34+$E$34)</f>
        <v>0</v>
      </c>
      <c r="K35" s="162"/>
      <c r="L35" s="799" t="s">
        <v>184</v>
      </c>
      <c r="M35" s="799"/>
    </row>
    <row r="36" spans="1:21" ht="13.5" thickBot="1">
      <c r="A36" s="185"/>
      <c r="B36" s="185"/>
      <c r="C36" s="162"/>
      <c r="D36" s="162"/>
      <c r="E36" s="162"/>
      <c r="G36" s="162"/>
      <c r="H36" s="188"/>
      <c r="I36" s="169" t="s">
        <v>41</v>
      </c>
      <c r="J36" s="169" t="s">
        <v>42</v>
      </c>
      <c r="K36" s="189"/>
      <c r="L36" s="169" t="s">
        <v>41</v>
      </c>
      <c r="M36" s="169" t="s">
        <v>42</v>
      </c>
    </row>
    <row r="37" spans="1:21" ht="17.45" customHeight="1" thickBot="1">
      <c r="A37" s="797" t="s">
        <v>71</v>
      </c>
      <c r="B37" s="798"/>
      <c r="C37" s="169" t="s">
        <v>72</v>
      </c>
      <c r="D37" s="190" t="s">
        <v>73</v>
      </c>
      <c r="E37" s="191" t="s">
        <v>74</v>
      </c>
      <c r="F37" s="368"/>
      <c r="G37" s="370"/>
      <c r="H37" s="193" t="s">
        <v>75</v>
      </c>
      <c r="I37" s="251">
        <f>(14*152+1258*15)/1410*G42*2.75*1410/1000000</f>
        <v>45.756889232765957</v>
      </c>
      <c r="J37" s="132">
        <f>+I37+'29'!J37</f>
        <v>1449.7577959048845</v>
      </c>
      <c r="K37" s="133" t="s">
        <v>76</v>
      </c>
      <c r="L37" s="429"/>
      <c r="M37" s="430"/>
    </row>
    <row r="38" spans="1:21" ht="17.45" customHeight="1">
      <c r="A38" s="793" t="s">
        <v>13</v>
      </c>
      <c r="B38" s="794"/>
      <c r="C38" s="171">
        <f>SUMIF($G$7:$G$31,"Process",$F$7:$F$31)</f>
        <v>43</v>
      </c>
      <c r="D38" s="125">
        <f>+C38+'29'!D38</f>
        <v>1403</v>
      </c>
      <c r="E38" s="150">
        <f t="shared" ref="E38:E51" si="12">D38/60</f>
        <v>23.383333333333333</v>
      </c>
      <c r="F38" s="368">
        <v>918.375</v>
      </c>
      <c r="G38" s="368">
        <v>716.33249999999998</v>
      </c>
      <c r="H38" s="194" t="s">
        <v>77</v>
      </c>
      <c r="I38" s="252">
        <f>14.455+16.329+16.399</f>
        <v>47.183</v>
      </c>
      <c r="J38" s="134">
        <f>+I38+'29'!J38</f>
        <v>1365.2589999999998</v>
      </c>
      <c r="K38" s="135" t="s">
        <v>76</v>
      </c>
      <c r="L38" s="431"/>
      <c r="M38" s="432"/>
    </row>
    <row r="39" spans="1:21" ht="17.45" customHeight="1">
      <c r="A39" s="789" t="s">
        <v>14</v>
      </c>
      <c r="B39" s="790"/>
      <c r="C39" s="171">
        <f>SUMIF($G$7:$G$31,"Cleaning",$F$7:$F$31)</f>
        <v>14</v>
      </c>
      <c r="D39" s="125">
        <f>+C39+'29'!D39</f>
        <v>274</v>
      </c>
      <c r="E39" s="150">
        <f t="shared" si="12"/>
        <v>4.5666666666666664</v>
      </c>
      <c r="F39" s="368">
        <v>1015</v>
      </c>
      <c r="G39" s="368">
        <v>791.7</v>
      </c>
      <c r="H39" s="194" t="s">
        <v>78</v>
      </c>
      <c r="I39" s="149"/>
      <c r="J39" s="136">
        <f>J37/G4</f>
        <v>48.32525986349615</v>
      </c>
      <c r="K39" s="137" t="s">
        <v>76</v>
      </c>
      <c r="L39" s="431"/>
      <c r="M39" s="432"/>
    </row>
    <row r="40" spans="1:21" ht="17.45" customHeight="1">
      <c r="A40" s="789" t="s">
        <v>79</v>
      </c>
      <c r="B40" s="790"/>
      <c r="C40" s="171">
        <f>SUMIF($G$7:$G$31,"Mechanical",$F$7:$F$31)</f>
        <v>0</v>
      </c>
      <c r="D40" s="125">
        <f>+C40+'29'!D40</f>
        <v>133</v>
      </c>
      <c r="E40" s="150">
        <f t="shared" si="12"/>
        <v>2.2166666666666668</v>
      </c>
      <c r="F40" s="368">
        <v>1120.8888888888889</v>
      </c>
      <c r="G40" s="368">
        <v>874.29333333333329</v>
      </c>
      <c r="H40" s="194" t="s">
        <v>80</v>
      </c>
      <c r="I40" s="125">
        <f>(K34+L34)/1000</f>
        <v>45.441000000000003</v>
      </c>
      <c r="J40" s="138">
        <f>+I40+'29'!J40</f>
        <v>1329.3109999999999</v>
      </c>
      <c r="K40" s="137" t="s">
        <v>76</v>
      </c>
      <c r="L40" s="431"/>
      <c r="M40" s="432"/>
    </row>
    <row r="41" spans="1:21" ht="17.45" customHeight="1">
      <c r="A41" s="789" t="s">
        <v>81</v>
      </c>
      <c r="B41" s="790"/>
      <c r="C41" s="171">
        <f>SUMIF($G$7:$G$31,"Electrical",$F$7:$F$31)</f>
        <v>30</v>
      </c>
      <c r="D41" s="125">
        <f>+C41+'29'!D41</f>
        <v>579</v>
      </c>
      <c r="E41" s="150">
        <f t="shared" si="12"/>
        <v>9.65</v>
      </c>
      <c r="F41" s="368"/>
      <c r="G41" s="368"/>
      <c r="H41" s="194" t="s">
        <v>82</v>
      </c>
      <c r="I41" s="149"/>
      <c r="J41" s="136">
        <f>J40/G4</f>
        <v>44.310366666666667</v>
      </c>
      <c r="K41" s="137" t="s">
        <v>76</v>
      </c>
      <c r="L41" s="431"/>
      <c r="M41" s="432"/>
      <c r="Q41" s="183">
        <f>SUM(Q31:Q39)</f>
        <v>450</v>
      </c>
      <c r="R41" s="183">
        <f>SUM(R31:R39)</f>
        <v>504400</v>
      </c>
      <c r="S41" s="183">
        <f>SUM(S31:S39)</f>
        <v>393432</v>
      </c>
    </row>
    <row r="42" spans="1:21" ht="17.45" customHeight="1">
      <c r="A42" s="789" t="s">
        <v>17</v>
      </c>
      <c r="B42" s="790"/>
      <c r="C42" s="171">
        <f>SUMIF($G$7:$G$31,"Instrument",$F$7:$F$31)</f>
        <v>0</v>
      </c>
      <c r="D42" s="125">
        <f>+C42+'29'!D42</f>
        <v>0</v>
      </c>
      <c r="E42" s="150">
        <f t="shared" si="12"/>
        <v>0</v>
      </c>
      <c r="F42" s="368">
        <f>+(480*F38+480*F39+450*F40)/1410</f>
        <v>1015.9007092198582</v>
      </c>
      <c r="G42" s="368">
        <f>+(480*G38+480*G39+450*G40)/1410</f>
        <v>792.40255319148946</v>
      </c>
      <c r="H42" s="194" t="s">
        <v>83</v>
      </c>
      <c r="I42" s="253" t="s">
        <v>818</v>
      </c>
      <c r="J42" s="139"/>
      <c r="K42" s="137" t="s">
        <v>84</v>
      </c>
      <c r="L42" s="431"/>
      <c r="M42" s="432"/>
      <c r="Q42" s="156">
        <f>480-Q41</f>
        <v>30</v>
      </c>
      <c r="R42" s="183">
        <f>+R41/Q41</f>
        <v>1120.8888888888889</v>
      </c>
      <c r="S42" s="183">
        <f>+S41/Q41</f>
        <v>874.29333333333329</v>
      </c>
    </row>
    <row r="43" spans="1:21" ht="17.45" customHeight="1">
      <c r="A43" s="789" t="s">
        <v>85</v>
      </c>
      <c r="B43" s="790"/>
      <c r="C43" s="171">
        <f>SUMIF($G$7:$G$31,"Water",$F$7:$F$31)</f>
        <v>0</v>
      </c>
      <c r="D43" s="125">
        <f>+C43+'29'!D43</f>
        <v>0</v>
      </c>
      <c r="E43" s="150">
        <f t="shared" si="12"/>
        <v>0</v>
      </c>
      <c r="F43" s="368"/>
      <c r="G43" s="369"/>
      <c r="H43" s="195" t="s">
        <v>86</v>
      </c>
      <c r="I43" s="125">
        <f>+Report1!AH38</f>
        <v>69.3</v>
      </c>
      <c r="J43" s="140">
        <f>+I43+'29'!J43</f>
        <v>1959.3</v>
      </c>
      <c r="K43" s="137" t="s">
        <v>76</v>
      </c>
      <c r="L43" s="433">
        <f>+Report1!AN38</f>
        <v>0</v>
      </c>
      <c r="M43" s="434">
        <f>+L43+'29'!M43</f>
        <v>9</v>
      </c>
    </row>
    <row r="44" spans="1:21" ht="17.45" customHeight="1">
      <c r="A44" s="789" t="s">
        <v>18</v>
      </c>
      <c r="B44" s="790"/>
      <c r="C44" s="171">
        <f>SUMIF($G$7:$G$31,"PLN",$F$7:$F$31)</f>
        <v>0</v>
      </c>
      <c r="D44" s="125">
        <f>+C44+'29'!D44</f>
        <v>0</v>
      </c>
      <c r="E44" s="150">
        <f t="shared" si="12"/>
        <v>0</v>
      </c>
      <c r="F44" s="368"/>
      <c r="G44" s="369"/>
      <c r="H44" s="195" t="s">
        <v>87</v>
      </c>
      <c r="I44" s="125">
        <f>I43/I38</f>
        <v>1.4687493376851832</v>
      </c>
      <c r="J44" s="141">
        <f>J43/J38</f>
        <v>1.4351123120228471</v>
      </c>
      <c r="K44" s="137" t="s">
        <v>76</v>
      </c>
      <c r="L44" s="435">
        <f>+L43/I38</f>
        <v>0</v>
      </c>
      <c r="M44" s="436">
        <f>+M43/J38</f>
        <v>6.5921557741058668E-3</v>
      </c>
      <c r="N44" s="156" t="s">
        <v>615</v>
      </c>
      <c r="O44" s="156">
        <v>967.89473684210532</v>
      </c>
      <c r="P44" s="156">
        <v>754.95789473684204</v>
      </c>
      <c r="Q44" s="156">
        <v>152</v>
      </c>
      <c r="S44" s="156">
        <v>480</v>
      </c>
    </row>
    <row r="45" spans="1:21" ht="17.45" customHeight="1">
      <c r="A45" s="789" t="s">
        <v>19</v>
      </c>
      <c r="B45" s="790"/>
      <c r="C45" s="171">
        <f>SUMIF($G$7:$G$31,"Boiler",$F$7:$F$31)</f>
        <v>0</v>
      </c>
      <c r="D45" s="125">
        <f>+C45+'29'!D45</f>
        <v>0</v>
      </c>
      <c r="E45" s="150">
        <f t="shared" si="12"/>
        <v>0</v>
      </c>
      <c r="F45" s="368"/>
      <c r="G45" s="371"/>
      <c r="H45" s="195" t="s">
        <v>88</v>
      </c>
      <c r="I45" s="125">
        <f>I43/I40</f>
        <v>1.5250544662309367</v>
      </c>
      <c r="J45" s="141">
        <f>J43/J40</f>
        <v>1.4739214525419559</v>
      </c>
      <c r="K45" s="137" t="s">
        <v>76</v>
      </c>
      <c r="L45" s="435">
        <f>+L43/I40</f>
        <v>0</v>
      </c>
      <c r="M45" s="436">
        <f>+M43/J40</f>
        <v>6.7704246786493161E-3</v>
      </c>
      <c r="N45" s="156" t="s">
        <v>584</v>
      </c>
      <c r="O45" s="156">
        <v>1021.7011128775835</v>
      </c>
      <c r="P45" s="156">
        <v>796.92686804451512</v>
      </c>
      <c r="Q45" s="156">
        <v>1258</v>
      </c>
      <c r="S45" s="156">
        <v>480</v>
      </c>
    </row>
    <row r="46" spans="1:21" ht="17.45" customHeight="1">
      <c r="A46" s="789" t="s">
        <v>89</v>
      </c>
      <c r="B46" s="790"/>
      <c r="C46" s="171">
        <f>SUMIF($G$7:$G$31,"Gas",$F$7:$F$31)</f>
        <v>37</v>
      </c>
      <c r="D46" s="125">
        <f>+C46+'29'!D46</f>
        <v>2708</v>
      </c>
      <c r="E46" s="150">
        <f t="shared" si="12"/>
        <v>45.133333333333333</v>
      </c>
      <c r="F46" s="368"/>
      <c r="G46" s="369"/>
      <c r="H46" s="195" t="s">
        <v>90</v>
      </c>
      <c r="I46" s="147">
        <f>+SUMIF(Listrik!P37,"&gt;0")</f>
        <v>39119.740000000042</v>
      </c>
      <c r="J46" s="142">
        <f>+I46+'29'!J46</f>
        <v>1200238.3599999999</v>
      </c>
      <c r="K46" s="137" t="s">
        <v>91</v>
      </c>
      <c r="L46" s="435">
        <f>+Listrik!AF37</f>
        <v>0</v>
      </c>
      <c r="M46" s="437">
        <f>+L46+'29'!M46</f>
        <v>0</v>
      </c>
      <c r="Q46" s="156">
        <f>+Q44+Q45</f>
        <v>1410</v>
      </c>
      <c r="S46" s="156">
        <v>450</v>
      </c>
    </row>
    <row r="47" spans="1:21" ht="17.45" customHeight="1">
      <c r="A47" s="789" t="s">
        <v>92</v>
      </c>
      <c r="B47" s="790"/>
      <c r="C47" s="171">
        <f>SUMIF($G$7:$G$31,"Power Plant",$F$7:$F$31)</f>
        <v>0</v>
      </c>
      <c r="D47" s="125">
        <f>+C47+'29'!D47</f>
        <v>0</v>
      </c>
      <c r="E47" s="150">
        <f t="shared" si="12"/>
        <v>0</v>
      </c>
      <c r="F47" s="368"/>
      <c r="G47" s="369"/>
      <c r="H47" s="195" t="s">
        <v>93</v>
      </c>
      <c r="I47" s="125">
        <f>I46/I38</f>
        <v>829.10666977513176</v>
      </c>
      <c r="J47" s="142">
        <f>J46/J38</f>
        <v>879.12869279748384</v>
      </c>
      <c r="K47" s="137" t="s">
        <v>25</v>
      </c>
      <c r="L47" s="435">
        <f>+L46/I38</f>
        <v>0</v>
      </c>
      <c r="M47" s="436">
        <f>+M46/J38</f>
        <v>0</v>
      </c>
      <c r="S47" s="156">
        <f>SUM(S44:S46)</f>
        <v>1410</v>
      </c>
    </row>
    <row r="48" spans="1:21" ht="17.45" customHeight="1">
      <c r="A48" s="789" t="s">
        <v>15</v>
      </c>
      <c r="B48" s="790"/>
      <c r="C48" s="171">
        <f>SUMIF($G$7:$G$31,"Start Up",$F$7:$F$31)</f>
        <v>0</v>
      </c>
      <c r="D48" s="125">
        <f>+C48+'29'!D48</f>
        <v>0</v>
      </c>
      <c r="E48" s="150">
        <f t="shared" si="12"/>
        <v>0</v>
      </c>
      <c r="F48" s="368"/>
      <c r="G48" s="369"/>
      <c r="H48" s="195" t="s">
        <v>94</v>
      </c>
      <c r="I48" s="125">
        <f>I46/I40</f>
        <v>860.89082546598968</v>
      </c>
      <c r="J48" s="142">
        <f>J46/J40</f>
        <v>902.90260142284228</v>
      </c>
      <c r="K48" s="137" t="s">
        <v>25</v>
      </c>
      <c r="L48" s="435">
        <f>+L46/I38</f>
        <v>0</v>
      </c>
      <c r="M48" s="436">
        <f>+M46/J40</f>
        <v>0</v>
      </c>
    </row>
    <row r="49" spans="1:13" ht="17.45" customHeight="1">
      <c r="A49" s="789" t="s">
        <v>21</v>
      </c>
      <c r="B49" s="790"/>
      <c r="C49" s="171">
        <f>SUMIF($G$7:$G$31,"Others",$F$7:$F$31)</f>
        <v>0</v>
      </c>
      <c r="D49" s="125">
        <f>+C49+'29'!D49</f>
        <v>677</v>
      </c>
      <c r="E49" s="150">
        <f t="shared" si="12"/>
        <v>11.283333333333333</v>
      </c>
      <c r="F49" s="192"/>
      <c r="H49" s="195" t="s">
        <v>95</v>
      </c>
      <c r="I49" s="125">
        <f>+Report1!AB38</f>
        <v>3507.0011595211181</v>
      </c>
      <c r="J49" s="142">
        <f>+I49+'29'!J49</f>
        <v>121515.15827754975</v>
      </c>
      <c r="K49" s="137" t="s">
        <v>96</v>
      </c>
      <c r="L49" s="431"/>
      <c r="M49" s="432"/>
    </row>
    <row r="50" spans="1:13" ht="17.45" customHeight="1">
      <c r="A50" s="789" t="s">
        <v>20</v>
      </c>
      <c r="B50" s="790"/>
      <c r="C50" s="171">
        <f>SUMIF($G$7:$G$31,"Steam",$F$7:$F$31)</f>
        <v>0</v>
      </c>
      <c r="D50" s="125">
        <f>+C50+'29'!D50</f>
        <v>0</v>
      </c>
      <c r="E50" s="150">
        <f t="shared" si="12"/>
        <v>0</v>
      </c>
      <c r="F50" s="192"/>
      <c r="H50" s="195" t="s">
        <v>97</v>
      </c>
      <c r="I50" s="147">
        <f>I49/I38</f>
        <v>74.327642572984303</v>
      </c>
      <c r="J50" s="140">
        <f>J49/J38</f>
        <v>89.005205808970871</v>
      </c>
      <c r="K50" s="137" t="s">
        <v>96</v>
      </c>
      <c r="L50" s="431"/>
      <c r="M50" s="432"/>
    </row>
    <row r="51" spans="1:13" ht="17.45" customHeight="1" thickBot="1">
      <c r="A51" s="791" t="s">
        <v>98</v>
      </c>
      <c r="B51" s="792"/>
      <c r="C51" s="171">
        <f>SUMIF($G$7:$G$31,"Planned shut",$F$7:$F$31)</f>
        <v>0</v>
      </c>
      <c r="D51" s="125">
        <f>+C51+'29'!D51</f>
        <v>394</v>
      </c>
      <c r="E51" s="150">
        <f t="shared" si="12"/>
        <v>6.5666666666666664</v>
      </c>
      <c r="F51" s="192"/>
      <c r="H51" s="197" t="s">
        <v>99</v>
      </c>
      <c r="I51" s="148">
        <f>I49/I40</f>
        <v>77.177024262694871</v>
      </c>
      <c r="J51" s="143">
        <f>J49/J40</f>
        <v>91.412136270255615</v>
      </c>
      <c r="K51" s="144" t="s">
        <v>96</v>
      </c>
      <c r="L51" s="431"/>
      <c r="M51" s="432"/>
    </row>
    <row r="52" spans="1:13" ht="13.5" thickBot="1">
      <c r="A52" s="793" t="s">
        <v>29</v>
      </c>
      <c r="B52" s="794"/>
      <c r="C52" s="151">
        <f>SUM(C38:C51)</f>
        <v>124</v>
      </c>
      <c r="D52" s="151">
        <f>SUM(D38:D51)</f>
        <v>6168</v>
      </c>
      <c r="E52" s="152">
        <f>SUM(E38:E51)</f>
        <v>102.79999999999998</v>
      </c>
      <c r="F52" s="192"/>
      <c r="H52" s="198"/>
      <c r="I52" s="199"/>
      <c r="J52" s="145"/>
      <c r="K52" s="146"/>
      <c r="L52" s="438"/>
      <c r="M52" s="439"/>
    </row>
    <row r="53" spans="1:13" ht="13.5" thickBot="1">
      <c r="A53" s="795"/>
      <c r="B53" s="796"/>
      <c r="C53" s="153">
        <f>C52/(24*60)</f>
        <v>8.611111111111111E-2</v>
      </c>
      <c r="D53" s="153">
        <f>D52/(24*60*G4)</f>
        <v>0.14277777777777778</v>
      </c>
      <c r="E53" s="154">
        <f>E52/(G4*24)</f>
        <v>0.14277777777777775</v>
      </c>
      <c r="F53" s="192"/>
    </row>
    <row r="54" spans="1:13">
      <c r="E54" s="200"/>
      <c r="F54" s="192"/>
    </row>
    <row r="55" spans="1:13">
      <c r="E55" s="200"/>
    </row>
    <row r="56" spans="1:13">
      <c r="A56" s="201" t="s">
        <v>100</v>
      </c>
      <c r="B56" s="202"/>
      <c r="C56" s="203"/>
      <c r="D56" s="203"/>
      <c r="E56" s="203"/>
      <c r="F56" s="204"/>
      <c r="G56" s="203"/>
      <c r="H56" s="205"/>
      <c r="I56" s="206" t="s">
        <v>101</v>
      </c>
      <c r="J56" s="207">
        <f>+D34+'29'!J56</f>
        <v>5317</v>
      </c>
      <c r="K56" s="208">
        <f>J56/(J40+J56/1000)/1000</f>
        <v>3.98388165091696E-3</v>
      </c>
    </row>
    <row r="57" spans="1:13">
      <c r="A57" s="183"/>
      <c r="I57" s="206" t="s">
        <v>102</v>
      </c>
      <c r="J57" s="207">
        <f>+E34+'29'!J57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V61"/>
  <sheetViews>
    <sheetView zoomScale="80" zoomScaleNormal="80" workbookViewId="0">
      <selection activeCell="A7" sqref="A7:B32"/>
    </sheetView>
  </sheetViews>
  <sheetFormatPr defaultColWidth="9.140625" defaultRowHeight="12.75"/>
  <cols>
    <col min="1" max="1" width="8" style="156" customWidth="1"/>
    <col min="2" max="2" width="10.42578125" style="156"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16.85546875" style="156" customWidth="1"/>
    <col min="11" max="11" width="12.5703125" style="156" bestFit="1" customWidth="1"/>
    <col min="12" max="12" width="8.28515625" style="156" customWidth="1"/>
    <col min="13" max="13" width="15.42578125" style="156" customWidth="1"/>
    <col min="14" max="16384" width="9.140625" style="156"/>
  </cols>
  <sheetData>
    <row r="1" spans="1:22" ht="15.75">
      <c r="A1" s="155"/>
    </row>
    <row r="2" spans="1:22" ht="15.75">
      <c r="A2" s="155" t="s">
        <v>183</v>
      </c>
    </row>
    <row r="3" spans="1:22" ht="15">
      <c r="A3" s="157"/>
    </row>
    <row r="4" spans="1:22" ht="20.25">
      <c r="A4" s="158" t="s">
        <v>5</v>
      </c>
      <c r="B4" s="159"/>
      <c r="F4" s="160" t="s">
        <v>30</v>
      </c>
      <c r="G4" s="161">
        <v>29</v>
      </c>
      <c r="H4" s="161" t="str">
        <f>+'1'!H4</f>
        <v>.01.26</v>
      </c>
      <c r="J4" s="156">
        <f>598.1+496.2+544.2</f>
        <v>1638.5</v>
      </c>
    </row>
    <row r="5" spans="1:22" ht="13.5" thickBot="1">
      <c r="C5" s="162"/>
      <c r="D5" s="162"/>
    </row>
    <row r="6" spans="1:22"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615</v>
      </c>
      <c r="O6" s="156">
        <v>880</v>
      </c>
      <c r="P6" s="156">
        <f>+O6-(O6*0.22)</f>
        <v>686.4</v>
      </c>
      <c r="Q6" s="156">
        <f>60+37</f>
        <v>97</v>
      </c>
      <c r="R6" s="156">
        <f t="shared" ref="R6:R8" si="0">+O6*Q6</f>
        <v>85360</v>
      </c>
      <c r="S6" s="156">
        <f t="shared" ref="S6:S8" si="1">+P6*Q6</f>
        <v>66580.800000000003</v>
      </c>
      <c r="U6" s="156">
        <f>+(1275-V6)/1275</f>
        <v>0.35986928104575167</v>
      </c>
      <c r="V6" s="156">
        <v>816.16666666666663</v>
      </c>
    </row>
    <row r="7" spans="1:22" ht="13.5" customHeight="1" thickBot="1">
      <c r="A7" s="800" t="s">
        <v>423</v>
      </c>
      <c r="B7" s="222" t="s">
        <v>623</v>
      </c>
      <c r="C7" s="223">
        <v>12024</v>
      </c>
      <c r="D7" s="224"/>
      <c r="E7" s="225"/>
      <c r="F7" s="235"/>
      <c r="G7" s="236" t="s">
        <v>13</v>
      </c>
      <c r="H7" s="237" t="s">
        <v>386</v>
      </c>
      <c r="I7" s="803" t="s">
        <v>798</v>
      </c>
      <c r="J7" s="221" t="str">
        <f>+'28'!J7</f>
        <v>T 13,5 RC HW</v>
      </c>
      <c r="K7" s="245"/>
      <c r="L7" s="249"/>
      <c r="M7" s="124">
        <f>+K7+'28'!M7+L7</f>
        <v>331081</v>
      </c>
      <c r="O7" s="156">
        <v>800</v>
      </c>
      <c r="P7" s="156">
        <f>+O7-(O7*0.22)</f>
        <v>624</v>
      </c>
      <c r="Q7" s="156">
        <f>480-Q6</f>
        <v>383</v>
      </c>
      <c r="R7" s="156">
        <f t="shared" si="0"/>
        <v>306400</v>
      </c>
      <c r="S7" s="156">
        <f t="shared" si="1"/>
        <v>238992</v>
      </c>
      <c r="U7" s="156">
        <f>+U6*(480)</f>
        <v>172.7372549019608</v>
      </c>
    </row>
    <row r="8" spans="1:22" ht="13.5" thickBot="1">
      <c r="A8" s="801"/>
      <c r="B8" s="222"/>
      <c r="C8" s="223"/>
      <c r="D8" s="224"/>
      <c r="E8" s="226"/>
      <c r="F8" s="238">
        <v>2</v>
      </c>
      <c r="G8" s="582" t="s">
        <v>13</v>
      </c>
      <c r="H8" s="237" t="s">
        <v>501</v>
      </c>
      <c r="I8" s="804"/>
      <c r="J8" s="221" t="str">
        <f>+'28'!J8</f>
        <v>T 14,5 RC HW</v>
      </c>
      <c r="K8" s="246"/>
      <c r="L8" s="246"/>
      <c r="M8" s="124">
        <f>+K8+'28'!M8+L8</f>
        <v>57466</v>
      </c>
      <c r="P8" s="156">
        <f>+O8-(O8*0.22)</f>
        <v>0</v>
      </c>
      <c r="R8" s="156">
        <f t="shared" si="0"/>
        <v>0</v>
      </c>
      <c r="S8" s="156">
        <f t="shared" si="1"/>
        <v>0</v>
      </c>
      <c r="U8" s="156">
        <f>+U7</f>
        <v>172.7372549019608</v>
      </c>
    </row>
    <row r="9" spans="1:22" ht="13.5" thickBot="1">
      <c r="A9" s="801"/>
      <c r="B9" s="222"/>
      <c r="C9" s="223"/>
      <c r="D9" s="224"/>
      <c r="E9" s="227"/>
      <c r="F9" s="235">
        <v>6</v>
      </c>
      <c r="G9" s="582" t="s">
        <v>13</v>
      </c>
      <c r="H9" s="240" t="s">
        <v>413</v>
      </c>
      <c r="I9" s="804"/>
      <c r="J9" s="221" t="str">
        <f>+'28'!J9</f>
        <v>TW 17 RC HW</v>
      </c>
      <c r="K9" s="246"/>
      <c r="L9" s="246"/>
      <c r="M9" s="124">
        <f>+K9+'28'!M9+L9</f>
        <v>24830</v>
      </c>
    </row>
    <row r="10" spans="1:22" ht="39" thickBot="1">
      <c r="A10" s="801"/>
      <c r="B10" s="222"/>
      <c r="C10" s="223"/>
      <c r="D10" s="224"/>
      <c r="E10" s="226"/>
      <c r="F10" s="235"/>
      <c r="G10" s="244" t="s">
        <v>14</v>
      </c>
      <c r="H10" s="240" t="s">
        <v>794</v>
      </c>
      <c r="I10" s="804"/>
      <c r="J10" s="221" t="str">
        <f>+'28'!J10</f>
        <v>TW 22 RC HW</v>
      </c>
      <c r="K10" s="246"/>
      <c r="L10" s="246"/>
      <c r="M10" s="124">
        <f>+K10+'28'!M10+L10</f>
        <v>24459</v>
      </c>
    </row>
    <row r="11" spans="1:22" ht="39" thickBot="1">
      <c r="A11" s="801"/>
      <c r="B11" s="222"/>
      <c r="C11" s="223"/>
      <c r="D11" s="224"/>
      <c r="E11" s="226"/>
      <c r="F11" s="235">
        <v>173</v>
      </c>
      <c r="G11" s="239" t="s">
        <v>89</v>
      </c>
      <c r="H11" s="240" t="s">
        <v>795</v>
      </c>
      <c r="I11" s="804"/>
      <c r="J11" s="221" t="str">
        <f>+'28'!J11</f>
        <v>TW 14 RC HW</v>
      </c>
      <c r="K11" s="246"/>
      <c r="L11" s="246"/>
      <c r="M11" s="124">
        <f>+K11+'28'!M11+L11</f>
        <v>8043</v>
      </c>
    </row>
    <row r="12" spans="1:22" ht="13.5" thickBot="1">
      <c r="A12" s="801"/>
      <c r="B12" s="222"/>
      <c r="C12" s="223"/>
      <c r="D12" s="224"/>
      <c r="E12" s="226"/>
      <c r="F12" s="235"/>
      <c r="G12" s="239"/>
      <c r="H12" s="240"/>
      <c r="I12" s="804"/>
      <c r="J12" s="221" t="str">
        <f>+'28'!J12</f>
        <v>TW 29 RC HW</v>
      </c>
      <c r="K12" s="246"/>
      <c r="L12" s="246"/>
      <c r="M12" s="124">
        <f>+K12+'28'!M12+L12</f>
        <v>21439</v>
      </c>
    </row>
    <row r="13" spans="1:22" ht="13.5" thickBot="1">
      <c r="A13" s="801"/>
      <c r="B13" s="222"/>
      <c r="C13" s="223"/>
      <c r="D13" s="223"/>
      <c r="E13" s="226"/>
      <c r="F13" s="235"/>
      <c r="G13" s="239"/>
      <c r="H13" s="240"/>
      <c r="I13" s="805"/>
      <c r="J13" s="221" t="str">
        <f>+'28'!J13</f>
        <v>TW 35,5 RC HW</v>
      </c>
      <c r="K13" s="246"/>
      <c r="L13" s="246"/>
      <c r="M13" s="124">
        <f>+K13+'28'!M13+L13</f>
        <v>2193</v>
      </c>
    </row>
    <row r="14" spans="1:22" ht="13.5" thickBot="1">
      <c r="A14" s="802"/>
      <c r="B14" s="172" t="s">
        <v>3</v>
      </c>
      <c r="C14" s="106">
        <f>SUM(C7:C13)</f>
        <v>12024</v>
      </c>
      <c r="D14" s="118">
        <f>SUM(D7:D13)</f>
        <v>0</v>
      </c>
      <c r="E14" s="119">
        <f>SUM(E5:E13)</f>
        <v>0</v>
      </c>
      <c r="F14" s="109">
        <f>SUM(F6:F13)</f>
        <v>181</v>
      </c>
      <c r="G14" s="166"/>
      <c r="H14" s="173"/>
      <c r="I14" s="174"/>
      <c r="J14" s="221" t="str">
        <f>+'28'!J14</f>
        <v>N 15,5 RC HW</v>
      </c>
      <c r="K14" s="246"/>
      <c r="L14" s="246"/>
      <c r="M14" s="124">
        <f>+K14+'28'!M14+L14</f>
        <v>46927</v>
      </c>
    </row>
    <row r="15" spans="1:22" ht="13.5" customHeight="1" thickBot="1">
      <c r="A15" s="800" t="s">
        <v>425</v>
      </c>
      <c r="B15" s="172"/>
      <c r="C15" s="120">
        <f>C14/($C$23+$D$23+$E$23)</f>
        <v>1.0743388134381702</v>
      </c>
      <c r="D15" s="121">
        <f>D14/($C$23+$D$23+$E$23)</f>
        <v>0</v>
      </c>
      <c r="E15" s="122">
        <f>E14/($C$23+$D$23+$E$23)</f>
        <v>0</v>
      </c>
      <c r="F15" s="235"/>
      <c r="G15" s="236" t="s">
        <v>13</v>
      </c>
      <c r="H15" s="237" t="s">
        <v>386</v>
      </c>
      <c r="I15" s="803" t="s">
        <v>797</v>
      </c>
      <c r="J15" s="221" t="str">
        <f>+'28'!J15</f>
        <v>F 14 RC HW</v>
      </c>
      <c r="K15" s="246"/>
      <c r="L15" s="246"/>
      <c r="M15" s="124">
        <f>+K15+'28'!M15+L15</f>
        <v>4620</v>
      </c>
    </row>
    <row r="16" spans="1:22" ht="13.5" thickBot="1">
      <c r="A16" s="806"/>
      <c r="B16" s="222" t="s">
        <v>623</v>
      </c>
      <c r="C16" s="229">
        <v>11192</v>
      </c>
      <c r="D16" s="230"/>
      <c r="E16" s="231"/>
      <c r="F16" s="238">
        <v>2</v>
      </c>
      <c r="G16" s="582" t="s">
        <v>13</v>
      </c>
      <c r="H16" s="237" t="s">
        <v>542</v>
      </c>
      <c r="I16" s="804"/>
      <c r="J16" s="221" t="str">
        <f>+'28'!J16</f>
        <v>T 15 RC HW</v>
      </c>
      <c r="K16" s="246"/>
      <c r="L16" s="246"/>
      <c r="M16" s="124">
        <f>+K16+'28'!M16+L16</f>
        <v>370116</v>
      </c>
      <c r="Q16" s="183">
        <f>SUM(Q6:Q14)</f>
        <v>480</v>
      </c>
      <c r="R16" s="183">
        <f>SUM(R6:R14)</f>
        <v>391760</v>
      </c>
      <c r="S16" s="183">
        <f>SUM(S6:S14)</f>
        <v>305572.8</v>
      </c>
    </row>
    <row r="17" spans="1:22" ht="13.5" thickBot="1">
      <c r="A17" s="806"/>
      <c r="B17" s="222"/>
      <c r="C17" s="223"/>
      <c r="D17" s="224"/>
      <c r="E17" s="232"/>
      <c r="F17" s="235">
        <v>4</v>
      </c>
      <c r="G17" s="582" t="s">
        <v>13</v>
      </c>
      <c r="H17" s="240" t="s">
        <v>450</v>
      </c>
      <c r="I17" s="804"/>
      <c r="J17" s="221" t="str">
        <f>+'28'!J17</f>
        <v>T 14 RC HW</v>
      </c>
      <c r="K17" s="246">
        <f>+C34</f>
        <v>35092</v>
      </c>
      <c r="L17" s="246"/>
      <c r="M17" s="124">
        <f>+K17+'28'!M17+L17</f>
        <v>273145</v>
      </c>
      <c r="Q17" s="156">
        <f>480-Q16</f>
        <v>0</v>
      </c>
      <c r="R17" s="183">
        <f>+R16/Q16</f>
        <v>816.16666666666663</v>
      </c>
      <c r="S17" s="183">
        <f>+S16/Q16</f>
        <v>636.61</v>
      </c>
    </row>
    <row r="18" spans="1:22" ht="39" thickBot="1">
      <c r="A18" s="806"/>
      <c r="B18" s="222"/>
      <c r="C18" s="223"/>
      <c r="D18" s="224"/>
      <c r="E18" s="232"/>
      <c r="F18" s="235">
        <v>6</v>
      </c>
      <c r="G18" s="244" t="s">
        <v>14</v>
      </c>
      <c r="H18" s="240" t="s">
        <v>792</v>
      </c>
      <c r="I18" s="804"/>
      <c r="J18" s="221" t="str">
        <f>+'28'!J18</f>
        <v>T 16 RC HW</v>
      </c>
      <c r="K18" s="246"/>
      <c r="L18" s="246"/>
      <c r="M18" s="124">
        <f>+K18+'28'!M18+L18</f>
        <v>17950</v>
      </c>
      <c r="U18" s="156">
        <f>+(1275-V18)/1275</f>
        <v>0.36470588235294116</v>
      </c>
      <c r="V18" s="156">
        <v>810</v>
      </c>
    </row>
    <row r="19" spans="1:22" ht="13.5" thickBot="1">
      <c r="A19" s="806"/>
      <c r="B19" s="222"/>
      <c r="C19" s="223"/>
      <c r="D19" s="224"/>
      <c r="E19" s="232"/>
      <c r="F19" s="242"/>
      <c r="G19" s="239"/>
      <c r="H19" s="240" t="s">
        <v>793</v>
      </c>
      <c r="I19" s="804"/>
      <c r="J19" s="221" t="str">
        <f>+'28'!J19</f>
        <v>T 18 RC HW</v>
      </c>
      <c r="K19" s="246"/>
      <c r="L19" s="246"/>
      <c r="M19" s="124">
        <f>+K19+'28'!M19+L19</f>
        <v>32713</v>
      </c>
      <c r="N19" s="156" t="s">
        <v>615</v>
      </c>
      <c r="O19" s="156">
        <v>810</v>
      </c>
      <c r="P19" s="156">
        <f>+O19-(O19*0.22)</f>
        <v>631.79999999999995</v>
      </c>
      <c r="Q19" s="156">
        <v>480</v>
      </c>
      <c r="R19" s="156">
        <f t="shared" ref="R19:R21" si="2">+O19*Q19</f>
        <v>388800</v>
      </c>
      <c r="S19" s="156">
        <f t="shared" ref="S19:S21" si="3">+P19*Q19</f>
        <v>303264</v>
      </c>
      <c r="U19" s="156">
        <f>+U18*(480)</f>
        <v>175.05882352941177</v>
      </c>
    </row>
    <row r="20" spans="1:22" ht="13.5" thickBot="1">
      <c r="A20" s="806"/>
      <c r="B20" s="222"/>
      <c r="C20" s="223"/>
      <c r="D20" s="224"/>
      <c r="E20" s="232"/>
      <c r="F20" s="235">
        <v>175</v>
      </c>
      <c r="G20" s="239" t="s">
        <v>89</v>
      </c>
      <c r="H20" s="240"/>
      <c r="I20" s="804"/>
      <c r="J20" s="221" t="str">
        <f>+'28'!J20</f>
        <v>T 20 RC HW</v>
      </c>
      <c r="K20" s="246"/>
      <c r="L20" s="246"/>
      <c r="M20" s="124">
        <f>+K20+'28'!M20+L20</f>
        <v>12647</v>
      </c>
      <c r="Q20" s="156">
        <f>480-Q19</f>
        <v>0</v>
      </c>
      <c r="R20" s="156">
        <f t="shared" si="2"/>
        <v>0</v>
      </c>
      <c r="S20" s="156">
        <f t="shared" si="3"/>
        <v>0</v>
      </c>
      <c r="U20" s="156">
        <f>+U19</f>
        <v>175.05882352941177</v>
      </c>
    </row>
    <row r="21" spans="1:22" ht="13.5" thickBot="1">
      <c r="A21" s="806"/>
      <c r="B21" s="222"/>
      <c r="C21" s="223"/>
      <c r="D21" s="224"/>
      <c r="E21" s="232"/>
      <c r="F21" s="238"/>
      <c r="G21" s="239"/>
      <c r="H21" s="240"/>
      <c r="I21" s="804"/>
      <c r="J21" s="221" t="str">
        <f>+'28'!J21</f>
        <v>T 13 RC HW</v>
      </c>
      <c r="K21" s="246"/>
      <c r="L21" s="246"/>
      <c r="M21" s="124">
        <f>+K21+'28'!M21+L21</f>
        <v>56241</v>
      </c>
      <c r="P21" s="156">
        <f>+O21-(O21*0.22)</f>
        <v>0</v>
      </c>
      <c r="R21" s="156">
        <f t="shared" si="2"/>
        <v>0</v>
      </c>
      <c r="S21" s="156">
        <f t="shared" si="3"/>
        <v>0</v>
      </c>
    </row>
    <row r="22" spans="1:22" ht="13.5" thickBot="1">
      <c r="A22" s="806"/>
      <c r="B22" s="222"/>
      <c r="C22" s="223"/>
      <c r="D22" s="224"/>
      <c r="E22" s="232"/>
      <c r="F22" s="243"/>
      <c r="G22" s="239"/>
      <c r="H22" s="240"/>
      <c r="I22" s="805"/>
      <c r="J22" s="221">
        <f>+'28'!J22</f>
        <v>0</v>
      </c>
      <c r="K22" s="246"/>
      <c r="L22" s="246"/>
      <c r="M22" s="124">
        <f>+K22+'28'!M22+L22</f>
        <v>0</v>
      </c>
    </row>
    <row r="23" spans="1:22" ht="13.5" thickBot="1">
      <c r="A23" s="807"/>
      <c r="B23" s="172" t="s">
        <v>3</v>
      </c>
      <c r="C23" s="107">
        <f>SUM(C16:C22)</f>
        <v>11192</v>
      </c>
      <c r="D23" s="118">
        <f>SUM(D16:D22)</f>
        <v>0</v>
      </c>
      <c r="E23" s="119">
        <f>SUM(E18:E22)</f>
        <v>0</v>
      </c>
      <c r="F23" s="109">
        <f>SUM(F15:F22)</f>
        <v>187</v>
      </c>
      <c r="G23" s="166"/>
      <c r="H23" s="173"/>
      <c r="I23" s="176"/>
      <c r="J23" s="221">
        <f>+'28'!J23</f>
        <v>0</v>
      </c>
      <c r="K23" s="246"/>
      <c r="L23" s="246"/>
      <c r="M23" s="124">
        <f>+K23+'28'!M23+L23</f>
        <v>0</v>
      </c>
    </row>
    <row r="24" spans="1:22" ht="13.5" customHeight="1" thickBot="1">
      <c r="A24" s="800" t="s">
        <v>440</v>
      </c>
      <c r="B24" s="177"/>
      <c r="C24" s="120">
        <f>C23/($C$23+$D$23+$E$23)</f>
        <v>1</v>
      </c>
      <c r="D24" s="121">
        <f>D23/($C$23+$D$23+$E$23)</f>
        <v>0</v>
      </c>
      <c r="E24" s="122">
        <f>E23/($C$23+$D$23+$E$23)</f>
        <v>0</v>
      </c>
      <c r="F24" s="235"/>
      <c r="G24" s="236" t="s">
        <v>13</v>
      </c>
      <c r="H24" s="237" t="s">
        <v>386</v>
      </c>
      <c r="I24" s="803" t="s">
        <v>796</v>
      </c>
      <c r="J24" s="221">
        <f>+'28'!J24</f>
        <v>0</v>
      </c>
      <c r="K24" s="246"/>
      <c r="L24" s="246"/>
      <c r="M24" s="124">
        <f>+K24+'28'!M24+L24</f>
        <v>0</v>
      </c>
    </row>
    <row r="25" spans="1:22" ht="13.5" thickBot="1">
      <c r="A25" s="806"/>
      <c r="B25" s="222" t="s">
        <v>623</v>
      </c>
      <c r="C25" s="233">
        <v>11876</v>
      </c>
      <c r="D25" s="224"/>
      <c r="E25" s="232"/>
      <c r="F25" s="238">
        <v>9</v>
      </c>
      <c r="G25" s="582" t="s">
        <v>13</v>
      </c>
      <c r="H25" s="237" t="s">
        <v>414</v>
      </c>
      <c r="I25" s="804"/>
      <c r="J25" s="221">
        <f>+'28'!J25</f>
        <v>0</v>
      </c>
      <c r="K25" s="246"/>
      <c r="L25" s="246"/>
      <c r="M25" s="124">
        <f>+K25+'28'!M25+L25</f>
        <v>0</v>
      </c>
    </row>
    <row r="26" spans="1:22" ht="13.5" thickBot="1">
      <c r="A26" s="806"/>
      <c r="B26" s="222"/>
      <c r="C26" s="233"/>
      <c r="D26" s="224"/>
      <c r="E26" s="234"/>
      <c r="F26" s="235">
        <v>10</v>
      </c>
      <c r="G26" s="582" t="s">
        <v>13</v>
      </c>
      <c r="H26" s="240" t="s">
        <v>413</v>
      </c>
      <c r="I26" s="804"/>
      <c r="J26" s="221">
        <f>+'28'!J26</f>
        <v>0</v>
      </c>
      <c r="K26" s="246"/>
      <c r="L26" s="246"/>
      <c r="M26" s="124">
        <f>+K26+'28'!M26+L26</f>
        <v>0</v>
      </c>
    </row>
    <row r="27" spans="1:22" ht="26.25" thickBot="1">
      <c r="A27" s="806"/>
      <c r="B27" s="222"/>
      <c r="C27" s="223"/>
      <c r="D27" s="224"/>
      <c r="E27" s="232"/>
      <c r="F27" s="235"/>
      <c r="G27" s="244" t="s">
        <v>14</v>
      </c>
      <c r="H27" s="240" t="s">
        <v>790</v>
      </c>
      <c r="I27" s="804"/>
      <c r="J27" s="221">
        <f>+'28'!J27</f>
        <v>0</v>
      </c>
      <c r="K27" s="246"/>
      <c r="L27" s="246"/>
      <c r="M27" s="124">
        <f>+K27+'28'!M27+L27</f>
        <v>0</v>
      </c>
    </row>
    <row r="28" spans="1:22" ht="51.75" thickBot="1">
      <c r="A28" s="806"/>
      <c r="B28" s="222"/>
      <c r="C28" s="223"/>
      <c r="D28" s="224"/>
      <c r="E28" s="232"/>
      <c r="F28" s="238">
        <v>124</v>
      </c>
      <c r="G28" s="239" t="s">
        <v>89</v>
      </c>
      <c r="H28" s="240" t="s">
        <v>791</v>
      </c>
      <c r="I28" s="804"/>
      <c r="J28" s="221">
        <f>+'28'!J28</f>
        <v>0</v>
      </c>
      <c r="K28" s="246"/>
      <c r="L28" s="246"/>
      <c r="M28" s="124">
        <f>+K28+'28'!M28+L28</f>
        <v>0</v>
      </c>
    </row>
    <row r="29" spans="1:22" ht="13.5" thickBot="1">
      <c r="A29" s="806"/>
      <c r="B29" s="222"/>
      <c r="C29" s="223"/>
      <c r="D29" s="224"/>
      <c r="E29" s="232"/>
      <c r="F29" s="243"/>
      <c r="G29" s="239"/>
      <c r="H29" s="240"/>
      <c r="I29" s="804"/>
      <c r="J29" s="221">
        <f>+'28'!J29</f>
        <v>0</v>
      </c>
      <c r="K29" s="246"/>
      <c r="L29" s="246"/>
      <c r="M29" s="124">
        <f>+K29+'28'!M29+L29</f>
        <v>0</v>
      </c>
      <c r="Q29" s="183">
        <f>SUM(Q19:Q27)</f>
        <v>480</v>
      </c>
      <c r="R29" s="183">
        <f>SUM(R19:R27)</f>
        <v>388800</v>
      </c>
      <c r="S29" s="183">
        <f>SUM(S19:S27)</f>
        <v>303264</v>
      </c>
    </row>
    <row r="30" spans="1:22" ht="13.5" thickBot="1">
      <c r="A30" s="806"/>
      <c r="B30" s="222"/>
      <c r="C30" s="233"/>
      <c r="D30" s="224"/>
      <c r="E30" s="232"/>
      <c r="F30" s="243"/>
      <c r="G30" s="239"/>
      <c r="H30" s="240"/>
      <c r="I30" s="804"/>
      <c r="J30" s="221">
        <f>+'28'!J30</f>
        <v>0</v>
      </c>
      <c r="K30" s="246"/>
      <c r="L30" s="246"/>
      <c r="M30" s="124">
        <f>+K30+'28'!M30+L30</f>
        <v>0</v>
      </c>
      <c r="Q30" s="156">
        <f>480-Q29</f>
        <v>0</v>
      </c>
      <c r="R30" s="183">
        <f>+R29/Q29</f>
        <v>810</v>
      </c>
      <c r="S30" s="183">
        <f>+S29/Q29</f>
        <v>631.79999999999995</v>
      </c>
    </row>
    <row r="31" spans="1:22" ht="13.5" thickBot="1">
      <c r="A31" s="806"/>
      <c r="B31" s="222"/>
      <c r="C31" s="233"/>
      <c r="D31" s="224"/>
      <c r="E31" s="232"/>
      <c r="F31" s="243"/>
      <c r="G31" s="244"/>
      <c r="H31" s="241"/>
      <c r="I31" s="805"/>
      <c r="J31" s="221">
        <f>+'28'!J31</f>
        <v>0</v>
      </c>
      <c r="K31" s="246"/>
      <c r="L31" s="246"/>
      <c r="M31" s="124">
        <f>+K31+'28'!M31+L31</f>
        <v>0</v>
      </c>
      <c r="U31" s="156">
        <f>+(1275-V31)/1275</f>
        <v>0.25898692810457519</v>
      </c>
      <c r="V31" s="156">
        <v>944.79166666666663</v>
      </c>
    </row>
    <row r="32" spans="1:22" ht="13.5" thickBot="1">
      <c r="A32" s="807"/>
      <c r="B32" s="172" t="s">
        <v>3</v>
      </c>
      <c r="C32" s="106">
        <f>SUM(C25:C31)</f>
        <v>11876</v>
      </c>
      <c r="D32" s="107">
        <f>SUM(D25:D31)</f>
        <v>0</v>
      </c>
      <c r="E32" s="108">
        <f>SUM(E25:E31)</f>
        <v>0</v>
      </c>
      <c r="F32" s="109">
        <f>SUM(F24:F31)</f>
        <v>143</v>
      </c>
      <c r="G32" s="178"/>
      <c r="H32" s="179"/>
      <c r="I32" s="176"/>
      <c r="J32" s="221"/>
      <c r="K32" s="247"/>
      <c r="L32" s="250"/>
      <c r="M32" s="124">
        <f>+K32+'28'!M32+L32</f>
        <v>0</v>
      </c>
      <c r="N32" s="156" t="s">
        <v>615</v>
      </c>
      <c r="O32" s="156">
        <v>850</v>
      </c>
      <c r="P32" s="156">
        <f>+O32-(O32*0.22)</f>
        <v>663</v>
      </c>
      <c r="Q32" s="156">
        <v>25</v>
      </c>
      <c r="R32" s="156">
        <f t="shared" ref="R32:R34" si="4">+O32*Q32</f>
        <v>21250</v>
      </c>
      <c r="S32" s="156">
        <f t="shared" ref="S32:S34" si="5">+P32*Q32</f>
        <v>16575</v>
      </c>
      <c r="U32" s="156">
        <f>+U31*(480)</f>
        <v>124.31372549019609</v>
      </c>
    </row>
    <row r="33" spans="1:21" ht="13.5" thickBot="1">
      <c r="A33" s="180"/>
      <c r="B33" s="181"/>
      <c r="C33" s="110">
        <f>C32/($C$32+$D$32+$E$32)</f>
        <v>1</v>
      </c>
      <c r="D33" s="111">
        <f>D32/($C$32+$D$32+$E$32)</f>
        <v>0</v>
      </c>
      <c r="E33" s="112">
        <f>E32/($C$32+$D$32+$E$32)</f>
        <v>0</v>
      </c>
      <c r="F33" s="113"/>
      <c r="G33" s="182"/>
      <c r="H33" s="183"/>
      <c r="I33" s="184"/>
      <c r="J33" s="128"/>
      <c r="K33" s="129"/>
      <c r="L33" s="220"/>
      <c r="M33" s="126"/>
      <c r="O33" s="156">
        <v>950</v>
      </c>
      <c r="P33" s="156">
        <f>+O33-(O33*0.22)</f>
        <v>741</v>
      </c>
      <c r="Q33" s="156">
        <f>480-Q32</f>
        <v>455</v>
      </c>
      <c r="R33" s="156">
        <f t="shared" si="4"/>
        <v>432250</v>
      </c>
      <c r="S33" s="156">
        <f t="shared" si="5"/>
        <v>337155</v>
      </c>
      <c r="U33" s="156">
        <f>+U32</f>
        <v>124.31372549019609</v>
      </c>
    </row>
    <row r="34" spans="1:21" ht="13.5" thickBot="1">
      <c r="A34" s="808" t="s">
        <v>70</v>
      </c>
      <c r="B34" s="809"/>
      <c r="C34" s="114">
        <f>C14+C23+C32</f>
        <v>35092</v>
      </c>
      <c r="D34" s="114">
        <f>D14+D23+D32</f>
        <v>0</v>
      </c>
      <c r="E34" s="114">
        <f>E14+E23+E32</f>
        <v>0</v>
      </c>
      <c r="F34" s="115">
        <f>F14+F23+F32</f>
        <v>511</v>
      </c>
      <c r="H34" s="185"/>
      <c r="I34" s="185"/>
      <c r="J34" s="130" t="s">
        <v>29</v>
      </c>
      <c r="K34" s="131">
        <f>SUM(K7:K32)</f>
        <v>35092</v>
      </c>
      <c r="L34" s="219">
        <f>SUM(L7:L32)</f>
        <v>0</v>
      </c>
      <c r="M34" s="127">
        <f>SUM(M7:M32)</f>
        <v>1283870</v>
      </c>
      <c r="P34" s="156">
        <f>+O34-(O34*0.22)</f>
        <v>0</v>
      </c>
      <c r="R34" s="156">
        <f t="shared" si="4"/>
        <v>0</v>
      </c>
      <c r="S34" s="156">
        <f t="shared" si="5"/>
        <v>0</v>
      </c>
    </row>
    <row r="35" spans="1:21" ht="13.5" thickBot="1">
      <c r="A35" s="186"/>
      <c r="B35" s="187"/>
      <c r="C35" s="111">
        <f>C34/($C$34+$D$34+$E$34)</f>
        <v>1</v>
      </c>
      <c r="D35" s="111">
        <f>D34/($C$34+$D$34+$E$34)</f>
        <v>0</v>
      </c>
      <c r="E35" s="116">
        <f>E34/($C$34+$D$34+$E$34)</f>
        <v>0</v>
      </c>
      <c r="K35" s="162"/>
      <c r="L35" s="799" t="s">
        <v>184</v>
      </c>
      <c r="M35" s="799"/>
    </row>
    <row r="36" spans="1:21" ht="13.5" thickBot="1">
      <c r="A36" s="185"/>
      <c r="B36" s="185"/>
      <c r="C36" s="162"/>
      <c r="D36" s="162"/>
      <c r="E36" s="162"/>
      <c r="G36" s="162"/>
      <c r="H36" s="188"/>
      <c r="I36" s="169" t="s">
        <v>41</v>
      </c>
      <c r="J36" s="169" t="s">
        <v>42</v>
      </c>
      <c r="K36" s="189"/>
      <c r="L36" s="169" t="s">
        <v>41</v>
      </c>
      <c r="M36" s="169" t="s">
        <v>42</v>
      </c>
    </row>
    <row r="37" spans="1:21" ht="17.45" customHeight="1" thickBot="1">
      <c r="A37" s="797" t="s">
        <v>71</v>
      </c>
      <c r="B37" s="798"/>
      <c r="C37" s="169" t="s">
        <v>72</v>
      </c>
      <c r="D37" s="190" t="s">
        <v>73</v>
      </c>
      <c r="E37" s="191" t="s">
        <v>74</v>
      </c>
      <c r="F37" s="368"/>
      <c r="G37" s="370"/>
      <c r="H37" s="193" t="s">
        <v>75</v>
      </c>
      <c r="I37" s="251">
        <f>(14*1440)/1440*G42*2.75*1440/1000000</f>
        <v>37.058821800000004</v>
      </c>
      <c r="J37" s="132">
        <f>+I37+'28'!J37</f>
        <v>1404.0009066721186</v>
      </c>
      <c r="K37" s="133" t="s">
        <v>76</v>
      </c>
      <c r="L37" s="429"/>
      <c r="M37" s="430"/>
    </row>
    <row r="38" spans="1:21" ht="17.45" customHeight="1">
      <c r="A38" s="793" t="s">
        <v>13</v>
      </c>
      <c r="B38" s="794"/>
      <c r="C38" s="171">
        <f>SUMIF($G$7:$G$31,"Process",$F$7:$F$31)</f>
        <v>33</v>
      </c>
      <c r="D38" s="125">
        <f>+C38+'28'!D38</f>
        <v>1360</v>
      </c>
      <c r="E38" s="150">
        <f t="shared" ref="E38:E51" si="6">D38/60</f>
        <v>22.666666666666668</v>
      </c>
      <c r="F38" s="368">
        <v>816.16666666666663</v>
      </c>
      <c r="G38" s="368">
        <v>636.61</v>
      </c>
      <c r="H38" s="194" t="s">
        <v>77</v>
      </c>
      <c r="I38" s="551">
        <f>12.87+10.718+11.738</f>
        <v>35.326000000000001</v>
      </c>
      <c r="J38" s="134">
        <f>+I38+'28'!J38</f>
        <v>1318.0759999999998</v>
      </c>
      <c r="K38" s="135" t="s">
        <v>76</v>
      </c>
      <c r="L38" s="431"/>
      <c r="M38" s="432"/>
    </row>
    <row r="39" spans="1:21" ht="17.45" customHeight="1">
      <c r="A39" s="789" t="s">
        <v>14</v>
      </c>
      <c r="B39" s="790"/>
      <c r="C39" s="171">
        <f>SUMIF($G$7:$G$31,"Cleaning",$F$7:$F$31)</f>
        <v>6</v>
      </c>
      <c r="D39" s="125">
        <f>+C39+'28'!D39</f>
        <v>260</v>
      </c>
      <c r="E39" s="150">
        <f t="shared" si="6"/>
        <v>4.333333333333333</v>
      </c>
      <c r="F39" s="368">
        <v>810</v>
      </c>
      <c r="G39" s="368">
        <v>631.79999999999995</v>
      </c>
      <c r="H39" s="194" t="s">
        <v>78</v>
      </c>
      <c r="I39" s="149"/>
      <c r="J39" s="136">
        <f>J37/G4</f>
        <v>48.413824368004093</v>
      </c>
      <c r="K39" s="137" t="s">
        <v>76</v>
      </c>
      <c r="L39" s="431"/>
      <c r="M39" s="432"/>
    </row>
    <row r="40" spans="1:21" ht="17.45" customHeight="1">
      <c r="A40" s="789" t="s">
        <v>79</v>
      </c>
      <c r="B40" s="790"/>
      <c r="C40" s="171">
        <f>SUMIF($G$7:$G$31,"Mechanical",$F$7:$F$31)</f>
        <v>0</v>
      </c>
      <c r="D40" s="125">
        <f>+C40+'28'!D40</f>
        <v>133</v>
      </c>
      <c r="E40" s="150">
        <f t="shared" si="6"/>
        <v>2.2166666666666668</v>
      </c>
      <c r="F40" s="368">
        <v>944.79166666666663</v>
      </c>
      <c r="G40" s="368">
        <v>736.9375</v>
      </c>
      <c r="H40" s="194" t="s">
        <v>80</v>
      </c>
      <c r="I40" s="125">
        <f>(K34+L34)/1000</f>
        <v>35.091999999999999</v>
      </c>
      <c r="J40" s="138">
        <f>+I40+'28'!J40</f>
        <v>1283.8699999999999</v>
      </c>
      <c r="K40" s="137" t="s">
        <v>76</v>
      </c>
      <c r="L40" s="431"/>
      <c r="M40" s="432"/>
    </row>
    <row r="41" spans="1:21" ht="17.45" customHeight="1">
      <c r="A41" s="789" t="s">
        <v>81</v>
      </c>
      <c r="B41" s="790"/>
      <c r="C41" s="171">
        <f>SUMIF($G$7:$G$31,"Electrical",$F$7:$F$31)</f>
        <v>0</v>
      </c>
      <c r="D41" s="125">
        <f>+C41+'28'!D41</f>
        <v>549</v>
      </c>
      <c r="E41" s="150">
        <f t="shared" si="6"/>
        <v>9.15</v>
      </c>
      <c r="F41" s="368"/>
      <c r="G41" s="368"/>
      <c r="H41" s="194" t="s">
        <v>82</v>
      </c>
      <c r="I41" s="149"/>
      <c r="J41" s="136">
        <f>J40/G4</f>
        <v>44.271379310344827</v>
      </c>
      <c r="K41" s="137" t="s">
        <v>76</v>
      </c>
      <c r="L41" s="431"/>
      <c r="M41" s="432"/>
    </row>
    <row r="42" spans="1:21" ht="17.45" customHeight="1">
      <c r="A42" s="789" t="s">
        <v>17</v>
      </c>
      <c r="B42" s="790"/>
      <c r="C42" s="171">
        <f>SUMIF($G$7:$G$31,"Instrument",$F$7:$F$31)</f>
        <v>0</v>
      </c>
      <c r="D42" s="125">
        <f>+C42+'28'!D42</f>
        <v>0</v>
      </c>
      <c r="E42" s="150">
        <f t="shared" si="6"/>
        <v>0</v>
      </c>
      <c r="F42" s="368">
        <f>+(480*F38+480*F39+480*F40)/1440</f>
        <v>856.98611111111109</v>
      </c>
      <c r="G42" s="368">
        <f>+(480*G38+480*G39+480*G40)/1440</f>
        <v>668.44916666666666</v>
      </c>
      <c r="H42" s="194" t="s">
        <v>83</v>
      </c>
      <c r="I42" s="253" t="s">
        <v>799</v>
      </c>
      <c r="J42" s="139"/>
      <c r="K42" s="137" t="s">
        <v>84</v>
      </c>
      <c r="L42" s="431"/>
      <c r="M42" s="432"/>
      <c r="Q42" s="183">
        <f>SUM(Q32:Q40)</f>
        <v>480</v>
      </c>
      <c r="R42" s="183">
        <f>SUM(R32:R40)</f>
        <v>453500</v>
      </c>
      <c r="S42" s="183">
        <f>SUM(S32:S40)</f>
        <v>353730</v>
      </c>
    </row>
    <row r="43" spans="1:21" ht="17.45" customHeight="1">
      <c r="A43" s="789" t="s">
        <v>85</v>
      </c>
      <c r="B43" s="790"/>
      <c r="C43" s="171">
        <f>SUMIF($G$7:$G$31,"Water",$F$7:$F$31)</f>
        <v>0</v>
      </c>
      <c r="D43" s="125">
        <f>+C43+'28'!D43</f>
        <v>0</v>
      </c>
      <c r="E43" s="150">
        <f t="shared" si="6"/>
        <v>0</v>
      </c>
      <c r="F43" s="368"/>
      <c r="G43" s="369"/>
      <c r="H43" s="195" t="s">
        <v>86</v>
      </c>
      <c r="I43" s="125">
        <f>+Report1!AH37</f>
        <v>74.7</v>
      </c>
      <c r="J43" s="140">
        <f>+I43+'28'!J43</f>
        <v>1890</v>
      </c>
      <c r="K43" s="137" t="s">
        <v>76</v>
      </c>
      <c r="L43" s="433">
        <f>+Report1!AN37</f>
        <v>0</v>
      </c>
      <c r="M43" s="434">
        <f>+L43+'28'!M43</f>
        <v>9</v>
      </c>
      <c r="Q43" s="156">
        <f>480-Q42</f>
        <v>0</v>
      </c>
      <c r="R43" s="183">
        <f>+R42/Q42</f>
        <v>944.79166666666663</v>
      </c>
      <c r="S43" s="183">
        <f>+S42/Q42</f>
        <v>736.9375</v>
      </c>
    </row>
    <row r="44" spans="1:21" ht="17.45" customHeight="1">
      <c r="A44" s="789" t="s">
        <v>18</v>
      </c>
      <c r="B44" s="790"/>
      <c r="C44" s="171">
        <f>SUMIF($G$7:$G$31,"PLN",$F$7:$F$31)</f>
        <v>0</v>
      </c>
      <c r="D44" s="125">
        <f>+C44+'28'!D44</f>
        <v>0</v>
      </c>
      <c r="E44" s="150">
        <f t="shared" si="6"/>
        <v>0</v>
      </c>
      <c r="F44" s="368"/>
      <c r="G44" s="369"/>
      <c r="H44" s="195" t="s">
        <v>87</v>
      </c>
      <c r="I44" s="125">
        <f>I43/I38</f>
        <v>2.114589820528789</v>
      </c>
      <c r="J44" s="141">
        <f>J43/J38</f>
        <v>1.4339082116660953</v>
      </c>
      <c r="K44" s="137" t="s">
        <v>76</v>
      </c>
      <c r="L44" s="435">
        <f>+L43/I38</f>
        <v>0</v>
      </c>
      <c r="M44" s="436">
        <f>+M43/J38</f>
        <v>6.8281343412671209E-3</v>
      </c>
    </row>
    <row r="45" spans="1:21" ht="17.45" customHeight="1">
      <c r="A45" s="789" t="s">
        <v>19</v>
      </c>
      <c r="B45" s="790"/>
      <c r="C45" s="171">
        <f>SUMIF($G$7:$G$31,"Boiler",$F$7:$F$31)</f>
        <v>0</v>
      </c>
      <c r="D45" s="125">
        <f>+C45+'28'!D45</f>
        <v>0</v>
      </c>
      <c r="E45" s="150">
        <f t="shared" si="6"/>
        <v>0</v>
      </c>
      <c r="F45" s="368"/>
      <c r="G45" s="371"/>
      <c r="H45" s="195" t="s">
        <v>88</v>
      </c>
      <c r="I45" s="125">
        <f>I43/I40</f>
        <v>2.1286902997834267</v>
      </c>
      <c r="J45" s="141">
        <f>J43/J40</f>
        <v>1.4721116623957256</v>
      </c>
      <c r="K45" s="137" t="s">
        <v>76</v>
      </c>
      <c r="L45" s="435">
        <f>+L43/I40</f>
        <v>0</v>
      </c>
      <c r="M45" s="436">
        <f>+M43/J40</f>
        <v>7.0100555352177411E-3</v>
      </c>
    </row>
    <row r="46" spans="1:21" ht="17.45" customHeight="1">
      <c r="A46" s="789" t="s">
        <v>89</v>
      </c>
      <c r="B46" s="790"/>
      <c r="C46" s="171">
        <f>SUMIF($G$7:$G$31,"Gas",$F$7:$F$31)</f>
        <v>472</v>
      </c>
      <c r="D46" s="125">
        <f>+C46+'28'!D46</f>
        <v>2671</v>
      </c>
      <c r="E46" s="150">
        <f t="shared" si="6"/>
        <v>44.516666666666666</v>
      </c>
      <c r="F46" s="368"/>
      <c r="G46" s="369"/>
      <c r="H46" s="195" t="s">
        <v>90</v>
      </c>
      <c r="I46" s="147">
        <f>+SUMIF(Listrik!P36,"&gt;0")</f>
        <v>35060.739999999991</v>
      </c>
      <c r="J46" s="142">
        <f>+I46+'28'!J46</f>
        <v>1161118.6199999999</v>
      </c>
      <c r="K46" s="137" t="s">
        <v>91</v>
      </c>
      <c r="L46" s="435">
        <f>+Listrik!AF36</f>
        <v>0</v>
      </c>
      <c r="M46" s="437">
        <f>+L46+'28'!M46</f>
        <v>0</v>
      </c>
    </row>
    <row r="47" spans="1:21" ht="17.45" customHeight="1">
      <c r="A47" s="789" t="s">
        <v>92</v>
      </c>
      <c r="B47" s="790"/>
      <c r="C47" s="171">
        <f>SUMIF($G$7:$G$31,"Power Plant",$F$7:$F$31)</f>
        <v>0</v>
      </c>
      <c r="D47" s="125">
        <f>+C47+'28'!D47</f>
        <v>0</v>
      </c>
      <c r="E47" s="150">
        <f t="shared" si="6"/>
        <v>0</v>
      </c>
      <c r="F47" s="368"/>
      <c r="G47" s="369"/>
      <c r="H47" s="195" t="s">
        <v>93</v>
      </c>
      <c r="I47" s="125">
        <f>I46/I38</f>
        <v>992.49108305497339</v>
      </c>
      <c r="J47" s="142">
        <f>J46/J38</f>
        <v>880.91932483407641</v>
      </c>
      <c r="K47" s="137" t="s">
        <v>25</v>
      </c>
      <c r="L47" s="435">
        <f>+L46/I38</f>
        <v>0</v>
      </c>
      <c r="M47" s="436">
        <f>+M46/J38</f>
        <v>0</v>
      </c>
    </row>
    <row r="48" spans="1:21" ht="17.45" customHeight="1">
      <c r="A48" s="789" t="s">
        <v>15</v>
      </c>
      <c r="B48" s="790"/>
      <c r="C48" s="171">
        <f>SUMIF($G$7:$G$31,"Start Up",$F$7:$F$31)</f>
        <v>0</v>
      </c>
      <c r="D48" s="125">
        <f>+C48+'28'!D48</f>
        <v>0</v>
      </c>
      <c r="E48" s="150">
        <f t="shared" si="6"/>
        <v>0</v>
      </c>
      <c r="F48" s="368"/>
      <c r="G48" s="369"/>
      <c r="H48" s="195" t="s">
        <v>94</v>
      </c>
      <c r="I48" s="125">
        <f>I46/I40</f>
        <v>999.10919867776113</v>
      </c>
      <c r="J48" s="142">
        <f>J46/J40</f>
        <v>904.38955657504266</v>
      </c>
      <c r="K48" s="137" t="s">
        <v>25</v>
      </c>
      <c r="L48" s="435">
        <f>+L46/I38</f>
        <v>0</v>
      </c>
      <c r="M48" s="436">
        <f>+M46/J40</f>
        <v>0</v>
      </c>
    </row>
    <row r="49" spans="1:13" ht="17.45" customHeight="1">
      <c r="A49" s="810" t="s">
        <v>21</v>
      </c>
      <c r="B49" s="790"/>
      <c r="C49" s="171">
        <f>SUMIF($G$7:$G$31,"Others",$F$7:$F$31)</f>
        <v>0</v>
      </c>
      <c r="D49" s="125">
        <f>+C49+'28'!D49</f>
        <v>677</v>
      </c>
      <c r="E49" s="150">
        <f t="shared" si="6"/>
        <v>11.283333333333333</v>
      </c>
      <c r="F49" s="192"/>
      <c r="H49" s="195" t="s">
        <v>95</v>
      </c>
      <c r="I49" s="125">
        <f>+Report1!AB37</f>
        <v>741.47128343354757</v>
      </c>
      <c r="J49" s="142">
        <f>+I49+'28'!J49</f>
        <v>118008.15711802864</v>
      </c>
      <c r="K49" s="137" t="s">
        <v>96</v>
      </c>
      <c r="L49" s="431"/>
      <c r="M49" s="432"/>
    </row>
    <row r="50" spans="1:13" ht="17.45" customHeight="1">
      <c r="A50" s="789" t="s">
        <v>20</v>
      </c>
      <c r="B50" s="790"/>
      <c r="C50" s="171">
        <f>SUMIF($G$7:$G$31,"Steam",$F$7:$F$31)</f>
        <v>0</v>
      </c>
      <c r="D50" s="125">
        <f>+C50+'28'!D50</f>
        <v>0</v>
      </c>
      <c r="E50" s="150">
        <f t="shared" si="6"/>
        <v>0</v>
      </c>
      <c r="F50" s="192"/>
      <c r="H50" s="195" t="s">
        <v>97</v>
      </c>
      <c r="I50" s="147">
        <f>I49/I38</f>
        <v>20.989392612623778</v>
      </c>
      <c r="J50" s="140">
        <f>J49/J38</f>
        <v>89.53061668525082</v>
      </c>
      <c r="K50" s="137" t="s">
        <v>96</v>
      </c>
      <c r="L50" s="431"/>
      <c r="M50" s="432"/>
    </row>
    <row r="51" spans="1:13" ht="17.45" customHeight="1" thickBot="1">
      <c r="A51" s="791" t="s">
        <v>98</v>
      </c>
      <c r="B51" s="792"/>
      <c r="C51" s="171">
        <f>SUMIF($G$7:$G$31,"Planned shut",$F$7:$F$31)</f>
        <v>0</v>
      </c>
      <c r="D51" s="125">
        <f>+C51+'28'!D51</f>
        <v>394</v>
      </c>
      <c r="E51" s="150">
        <f t="shared" si="6"/>
        <v>6.5666666666666664</v>
      </c>
      <c r="F51" s="192"/>
      <c r="H51" s="197" t="s">
        <v>99</v>
      </c>
      <c r="I51" s="148">
        <f>I49/I40</f>
        <v>21.129353796692911</v>
      </c>
      <c r="J51" s="143">
        <f>J49/J40</f>
        <v>91.915970556231272</v>
      </c>
      <c r="K51" s="144" t="s">
        <v>96</v>
      </c>
      <c r="L51" s="431"/>
      <c r="M51" s="432"/>
    </row>
    <row r="52" spans="1:13" ht="13.5" thickBot="1">
      <c r="A52" s="793" t="s">
        <v>29</v>
      </c>
      <c r="B52" s="794"/>
      <c r="C52" s="151">
        <f>SUM(C38:C51)</f>
        <v>511</v>
      </c>
      <c r="D52" s="151">
        <f>SUM(D38:D51)</f>
        <v>6044</v>
      </c>
      <c r="E52" s="152">
        <f>SUM(E38:E51)</f>
        <v>100.73333333333332</v>
      </c>
      <c r="F52" s="192"/>
      <c r="H52" s="198"/>
      <c r="I52" s="199"/>
      <c r="J52" s="145"/>
      <c r="K52" s="146"/>
      <c r="L52" s="438"/>
      <c r="M52" s="439"/>
    </row>
    <row r="53" spans="1:13" ht="13.5" thickBot="1">
      <c r="A53" s="795"/>
      <c r="B53" s="796"/>
      <c r="C53" s="153">
        <f>C52/(24*60)</f>
        <v>0.35486111111111113</v>
      </c>
      <c r="D53" s="153">
        <f>D52/(24*60*G4)</f>
        <v>0.14473180076628353</v>
      </c>
      <c r="E53" s="154">
        <f>E52/(G4*24)</f>
        <v>0.1447318007662835</v>
      </c>
      <c r="F53" s="192"/>
    </row>
    <row r="54" spans="1:13">
      <c r="E54" s="200"/>
      <c r="F54" s="192"/>
    </row>
    <row r="55" spans="1:13">
      <c r="E55" s="200"/>
    </row>
    <row r="56" spans="1:13">
      <c r="A56" s="201" t="s">
        <v>100</v>
      </c>
      <c r="B56" s="202"/>
      <c r="C56" s="203"/>
      <c r="D56" s="203"/>
      <c r="E56" s="203"/>
      <c r="F56" s="204"/>
      <c r="G56" s="203"/>
      <c r="H56" s="205"/>
      <c r="I56" s="206" t="s">
        <v>101</v>
      </c>
      <c r="J56" s="207">
        <f>+D34+'28'!J56</f>
        <v>5317</v>
      </c>
      <c r="K56" s="208">
        <f>J56/(J40+J56/1000)/1000</f>
        <v>4.1243046974566147E-3</v>
      </c>
    </row>
    <row r="57" spans="1:13">
      <c r="A57" s="183"/>
      <c r="I57" s="206" t="s">
        <v>102</v>
      </c>
      <c r="J57" s="207">
        <f>+E34+'28'!J57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V61"/>
  <sheetViews>
    <sheetView topLeftCell="I1" zoomScale="80" zoomScaleNormal="80" workbookViewId="0">
      <selection activeCell="U31" sqref="U31:V33"/>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18.28515625" style="156" customWidth="1"/>
    <col min="11" max="11" width="12.5703125" style="156" bestFit="1" customWidth="1"/>
    <col min="12" max="12" width="8.28515625" style="156" customWidth="1"/>
    <col min="13" max="13" width="15.85546875" style="156" customWidth="1"/>
    <col min="14" max="16384" width="9.140625" style="156"/>
  </cols>
  <sheetData>
    <row r="1" spans="1:22" ht="15.75">
      <c r="A1" s="155"/>
    </row>
    <row r="2" spans="1:22" ht="15.75">
      <c r="A2" s="155" t="s">
        <v>183</v>
      </c>
    </row>
    <row r="3" spans="1:22" ht="15">
      <c r="A3" s="157"/>
    </row>
    <row r="4" spans="1:22" ht="20.25">
      <c r="A4" s="158" t="s">
        <v>5</v>
      </c>
      <c r="B4" s="159"/>
      <c r="F4" s="160" t="s">
        <v>30</v>
      </c>
      <c r="G4" s="161">
        <v>28</v>
      </c>
      <c r="H4" s="161" t="str">
        <f>+'1'!H4</f>
        <v>.01.26</v>
      </c>
      <c r="J4" s="156">
        <f>673.6+825+549.2</f>
        <v>2047.8</v>
      </c>
    </row>
    <row r="5" spans="1:22" ht="13.5" thickBot="1">
      <c r="C5" s="162"/>
      <c r="D5" s="162"/>
    </row>
    <row r="6" spans="1:22"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615</v>
      </c>
      <c r="O6" s="156">
        <v>800</v>
      </c>
      <c r="P6" s="156">
        <f>+O6-(O6*0.22)</f>
        <v>624</v>
      </c>
      <c r="Q6" s="156">
        <v>480</v>
      </c>
      <c r="R6" s="156">
        <f t="shared" ref="R6:R8" si="0">+O6*Q6</f>
        <v>384000</v>
      </c>
      <c r="S6" s="156">
        <f t="shared" ref="S6:S8" si="1">+P6*Q6</f>
        <v>299520</v>
      </c>
      <c r="U6" s="156">
        <f>+(1275-V6)/1275</f>
        <v>0.37254901960784315</v>
      </c>
      <c r="V6" s="156">
        <v>800</v>
      </c>
    </row>
    <row r="7" spans="1:22" ht="13.5" customHeight="1" thickBot="1">
      <c r="A7" s="800" t="s">
        <v>423</v>
      </c>
      <c r="B7" s="222" t="s">
        <v>623</v>
      </c>
      <c r="C7" s="223">
        <v>10395</v>
      </c>
      <c r="D7" s="224"/>
      <c r="E7" s="225"/>
      <c r="F7" s="235"/>
      <c r="G7" s="236" t="s">
        <v>13</v>
      </c>
      <c r="H7" s="237" t="s">
        <v>386</v>
      </c>
      <c r="I7" s="803" t="s">
        <v>761</v>
      </c>
      <c r="J7" s="221" t="str">
        <f>+'27'!J7</f>
        <v>T 13,5 RC HW</v>
      </c>
      <c r="K7" s="245"/>
      <c r="L7" s="249"/>
      <c r="M7" s="124">
        <f>+K7+'27'!M7+L7</f>
        <v>331081</v>
      </c>
      <c r="P7" s="156">
        <f>+O7-(O7*0.22)</f>
        <v>0</v>
      </c>
      <c r="R7" s="156">
        <f t="shared" si="0"/>
        <v>0</v>
      </c>
      <c r="S7" s="156">
        <f t="shared" si="1"/>
        <v>0</v>
      </c>
      <c r="U7" s="156">
        <f>+U6*(480)</f>
        <v>178.8235294117647</v>
      </c>
    </row>
    <row r="8" spans="1:22" ht="13.5" thickBot="1">
      <c r="A8" s="801"/>
      <c r="B8" s="222"/>
      <c r="C8" s="223"/>
      <c r="D8" s="224"/>
      <c r="E8" s="226"/>
      <c r="F8" s="238">
        <v>2</v>
      </c>
      <c r="G8" s="582" t="s">
        <v>13</v>
      </c>
      <c r="H8" s="237" t="s">
        <v>501</v>
      </c>
      <c r="I8" s="804"/>
      <c r="J8" s="221" t="str">
        <f>+'27'!J8</f>
        <v>T 14,5 RC HW</v>
      </c>
      <c r="K8" s="246"/>
      <c r="L8" s="246"/>
      <c r="M8" s="124">
        <f>+K8+'27'!M8+L8</f>
        <v>57466</v>
      </c>
      <c r="P8" s="156">
        <f>+O8-(O8*0.22)</f>
        <v>0</v>
      </c>
      <c r="R8" s="156">
        <f t="shared" si="0"/>
        <v>0</v>
      </c>
      <c r="S8" s="156">
        <f t="shared" si="1"/>
        <v>0</v>
      </c>
      <c r="U8" s="156">
        <f>+U7</f>
        <v>178.8235294117647</v>
      </c>
    </row>
    <row r="9" spans="1:22" ht="13.5" thickBot="1">
      <c r="A9" s="801"/>
      <c r="B9" s="222"/>
      <c r="C9" s="223"/>
      <c r="D9" s="224"/>
      <c r="E9" s="227"/>
      <c r="F9" s="235">
        <v>5</v>
      </c>
      <c r="G9" s="582" t="s">
        <v>13</v>
      </c>
      <c r="H9" s="240" t="s">
        <v>586</v>
      </c>
      <c r="I9" s="804"/>
      <c r="J9" s="221" t="str">
        <f>+'27'!J9</f>
        <v>TW 17 RC HW</v>
      </c>
      <c r="K9" s="246"/>
      <c r="L9" s="246"/>
      <c r="M9" s="124">
        <f>+K9+'27'!M9+L9</f>
        <v>24830</v>
      </c>
    </row>
    <row r="10" spans="1:22" ht="39" thickBot="1">
      <c r="A10" s="801"/>
      <c r="B10" s="222"/>
      <c r="C10" s="223"/>
      <c r="D10" s="224"/>
      <c r="E10" s="226"/>
      <c r="F10" s="235"/>
      <c r="G10" s="244" t="s">
        <v>14</v>
      </c>
      <c r="H10" s="240" t="s">
        <v>782</v>
      </c>
      <c r="I10" s="804"/>
      <c r="J10" s="221" t="str">
        <f>+'27'!J10</f>
        <v>TW 22 RC HW</v>
      </c>
      <c r="K10" s="246"/>
      <c r="L10" s="246"/>
      <c r="M10" s="124">
        <f>+K10+'27'!M10+L10</f>
        <v>24459</v>
      </c>
    </row>
    <row r="11" spans="1:22" ht="26.25" thickBot="1">
      <c r="A11" s="801"/>
      <c r="B11" s="222"/>
      <c r="C11" s="223"/>
      <c r="D11" s="224"/>
      <c r="E11" s="226"/>
      <c r="F11" s="235"/>
      <c r="G11" s="239"/>
      <c r="H11" s="240" t="s">
        <v>783</v>
      </c>
      <c r="I11" s="804"/>
      <c r="J11" s="221" t="str">
        <f>+'27'!J11</f>
        <v>TW 14 RC HW</v>
      </c>
      <c r="K11" s="246"/>
      <c r="L11" s="246"/>
      <c r="M11" s="124">
        <f>+K11+'27'!M11+L11</f>
        <v>8043</v>
      </c>
    </row>
    <row r="12" spans="1:22" ht="13.5" thickBot="1">
      <c r="A12" s="801"/>
      <c r="B12" s="222"/>
      <c r="C12" s="223"/>
      <c r="D12" s="224"/>
      <c r="E12" s="226"/>
      <c r="F12" s="235">
        <v>179</v>
      </c>
      <c r="G12" s="239" t="s">
        <v>89</v>
      </c>
      <c r="H12" s="240"/>
      <c r="I12" s="804"/>
      <c r="J12" s="221" t="str">
        <f>+'27'!J12</f>
        <v>TW 29 RC HW</v>
      </c>
      <c r="K12" s="246"/>
      <c r="L12" s="246"/>
      <c r="M12" s="124">
        <f>+K12+'27'!M12+L12</f>
        <v>21439</v>
      </c>
    </row>
    <row r="13" spans="1:22" ht="13.5" thickBot="1">
      <c r="A13" s="801"/>
      <c r="B13" s="222"/>
      <c r="C13" s="223"/>
      <c r="D13" s="223"/>
      <c r="E13" s="226"/>
      <c r="F13" s="235"/>
      <c r="G13" s="239"/>
      <c r="H13" s="240"/>
      <c r="I13" s="805"/>
      <c r="J13" s="221" t="str">
        <f>+'27'!J13</f>
        <v>TW 35,5 RC HW</v>
      </c>
      <c r="K13" s="246"/>
      <c r="L13" s="246"/>
      <c r="M13" s="124">
        <f>+K13+'27'!M13+L13</f>
        <v>2193</v>
      </c>
    </row>
    <row r="14" spans="1:22" ht="13.5" thickBot="1">
      <c r="A14" s="802"/>
      <c r="B14" s="172" t="s">
        <v>3</v>
      </c>
      <c r="C14" s="106">
        <f>SUM(C7:C13)</f>
        <v>10395</v>
      </c>
      <c r="D14" s="118">
        <f>SUM(D7:D13)</f>
        <v>0</v>
      </c>
      <c r="E14" s="119">
        <f>SUM(E5:E13)</f>
        <v>0</v>
      </c>
      <c r="F14" s="109">
        <f>SUM(F6:F13)</f>
        <v>186</v>
      </c>
      <c r="G14" s="166"/>
      <c r="H14" s="173"/>
      <c r="I14" s="174"/>
      <c r="J14" s="221" t="str">
        <f>+'27'!J14</f>
        <v>N 15,5 RC HW</v>
      </c>
      <c r="K14" s="246"/>
      <c r="L14" s="246"/>
      <c r="M14" s="124">
        <f>+K14+'27'!M14+L14</f>
        <v>46927</v>
      </c>
    </row>
    <row r="15" spans="1:22" ht="13.5" customHeight="1" thickBot="1">
      <c r="A15" s="800" t="s">
        <v>425</v>
      </c>
      <c r="B15" s="172"/>
      <c r="C15" s="120">
        <f>C14/($C$23+$D$23+$E$23)</f>
        <v>0.88265262800373612</v>
      </c>
      <c r="D15" s="121">
        <f>D14/($C$23+$D$23+$E$23)</f>
        <v>0</v>
      </c>
      <c r="E15" s="122">
        <f>E14/($C$23+$D$23+$E$23)</f>
        <v>0</v>
      </c>
      <c r="F15" s="235">
        <v>2</v>
      </c>
      <c r="G15" s="236" t="s">
        <v>13</v>
      </c>
      <c r="H15" s="237" t="s">
        <v>619</v>
      </c>
      <c r="I15" s="803" t="s">
        <v>786</v>
      </c>
      <c r="J15" s="221" t="str">
        <f>+'27'!J15</f>
        <v>F 14 RC HW</v>
      </c>
      <c r="K15" s="246"/>
      <c r="L15" s="246"/>
      <c r="M15" s="124">
        <f>+K15+'27'!M15+L15</f>
        <v>4620</v>
      </c>
    </row>
    <row r="16" spans="1:22" ht="13.5" thickBot="1">
      <c r="A16" s="806"/>
      <c r="B16" s="222" t="s">
        <v>623</v>
      </c>
      <c r="C16" s="229">
        <v>11777</v>
      </c>
      <c r="D16" s="230"/>
      <c r="E16" s="231"/>
      <c r="F16" s="238">
        <v>3</v>
      </c>
      <c r="G16" s="582" t="s">
        <v>13</v>
      </c>
      <c r="H16" s="237" t="s">
        <v>542</v>
      </c>
      <c r="I16" s="804"/>
      <c r="J16" s="221" t="str">
        <f>+'27'!J16</f>
        <v>T 15 RC HW</v>
      </c>
      <c r="K16" s="246"/>
      <c r="L16" s="236"/>
      <c r="M16" s="124">
        <f>+K16+'27'!M16+L16</f>
        <v>370116</v>
      </c>
      <c r="Q16" s="183">
        <f>SUM(Q6:Q14)</f>
        <v>480</v>
      </c>
      <c r="R16" s="183">
        <f>SUM(R6:R14)</f>
        <v>384000</v>
      </c>
      <c r="S16" s="183">
        <f>SUM(S6:S14)</f>
        <v>299520</v>
      </c>
    </row>
    <row r="17" spans="1:22" ht="13.5" thickBot="1">
      <c r="A17" s="806"/>
      <c r="B17" s="222"/>
      <c r="C17" s="223"/>
      <c r="D17" s="224"/>
      <c r="E17" s="232"/>
      <c r="F17" s="235">
        <f>12-5</f>
        <v>7</v>
      </c>
      <c r="G17" s="582" t="s">
        <v>13</v>
      </c>
      <c r="H17" s="240" t="s">
        <v>450</v>
      </c>
      <c r="I17" s="804"/>
      <c r="J17" s="221" t="str">
        <f>+'27'!J17</f>
        <v>T 14 RC HW</v>
      </c>
      <c r="K17" s="246">
        <f>+C34</f>
        <v>33441</v>
      </c>
      <c r="L17" s="236"/>
      <c r="M17" s="124">
        <f>+K17+'27'!M17+L17</f>
        <v>238053</v>
      </c>
      <c r="Q17" s="156">
        <f>480-Q16</f>
        <v>0</v>
      </c>
      <c r="R17" s="183">
        <f>+R16/Q16</f>
        <v>800</v>
      </c>
      <c r="S17" s="183">
        <f>+S16/Q16</f>
        <v>624</v>
      </c>
    </row>
    <row r="18" spans="1:22" ht="39" thickBot="1">
      <c r="A18" s="806"/>
      <c r="B18" s="222"/>
      <c r="C18" s="223"/>
      <c r="D18" s="224"/>
      <c r="E18" s="232"/>
      <c r="F18" s="235"/>
      <c r="G18" s="244" t="s">
        <v>14</v>
      </c>
      <c r="H18" s="240" t="s">
        <v>780</v>
      </c>
      <c r="I18" s="804"/>
      <c r="J18" s="221" t="str">
        <f>+'27'!J18</f>
        <v>T 16 RC HW</v>
      </c>
      <c r="K18" s="246"/>
      <c r="L18" s="246"/>
      <c r="M18" s="124">
        <f>+K18+'27'!M18+L18</f>
        <v>17950</v>
      </c>
      <c r="N18" s="156" t="s">
        <v>615</v>
      </c>
      <c r="O18" s="156">
        <v>820</v>
      </c>
      <c r="P18" s="156">
        <f>+O18-(O18*0.22)</f>
        <v>639.6</v>
      </c>
      <c r="Q18" s="156">
        <f>480-Q19</f>
        <v>450</v>
      </c>
      <c r="R18" s="156">
        <f t="shared" ref="R18:R20" si="2">+O18*Q18</f>
        <v>369000</v>
      </c>
      <c r="S18" s="156">
        <f t="shared" ref="S18:S20" si="3">+P18*Q18</f>
        <v>287820</v>
      </c>
      <c r="U18" s="156">
        <f>+(1275-V18)/1275</f>
        <v>0.35637254901960785</v>
      </c>
      <c r="V18" s="156">
        <v>820.625</v>
      </c>
    </row>
    <row r="19" spans="1:22" ht="26.25" thickBot="1">
      <c r="A19" s="806"/>
      <c r="B19" s="222"/>
      <c r="C19" s="223"/>
      <c r="D19" s="224"/>
      <c r="E19" s="232"/>
      <c r="F19" s="242"/>
      <c r="G19" s="239"/>
      <c r="H19" s="240" t="s">
        <v>781</v>
      </c>
      <c r="I19" s="804"/>
      <c r="J19" s="221" t="str">
        <f>+'27'!J19</f>
        <v>T 18 RC HW</v>
      </c>
      <c r="K19" s="246"/>
      <c r="L19" s="246"/>
      <c r="M19" s="124">
        <f>+K19+'27'!M19+L19</f>
        <v>32713</v>
      </c>
      <c r="O19" s="156">
        <v>830</v>
      </c>
      <c r="P19" s="156">
        <f>+O19-(O19*0.22)</f>
        <v>647.4</v>
      </c>
      <c r="Q19" s="156">
        <f>60-30</f>
        <v>30</v>
      </c>
      <c r="R19" s="156">
        <f t="shared" si="2"/>
        <v>24900</v>
      </c>
      <c r="S19" s="156">
        <f t="shared" si="3"/>
        <v>19422</v>
      </c>
      <c r="U19" s="156">
        <f>+U18*(480)</f>
        <v>171.05882352941177</v>
      </c>
    </row>
    <row r="20" spans="1:22" ht="13.5" thickBot="1">
      <c r="A20" s="806"/>
      <c r="B20" s="222"/>
      <c r="C20" s="223"/>
      <c r="D20" s="224"/>
      <c r="E20" s="232"/>
      <c r="F20" s="235">
        <v>171</v>
      </c>
      <c r="G20" s="239" t="s">
        <v>89</v>
      </c>
      <c r="H20" s="240"/>
      <c r="I20" s="804"/>
      <c r="J20" s="221" t="str">
        <f>+'27'!J20</f>
        <v>T 20 RC HW</v>
      </c>
      <c r="K20" s="246"/>
      <c r="L20" s="247"/>
      <c r="M20" s="124">
        <f>+K20+'27'!M20+L20</f>
        <v>12647</v>
      </c>
      <c r="P20" s="156">
        <f>+O20-(O20*0.22)</f>
        <v>0</v>
      </c>
      <c r="R20" s="156">
        <f t="shared" si="2"/>
        <v>0</v>
      </c>
      <c r="S20" s="156">
        <f t="shared" si="3"/>
        <v>0</v>
      </c>
      <c r="U20" s="156">
        <f>+U19</f>
        <v>171.05882352941177</v>
      </c>
    </row>
    <row r="21" spans="1:22" ht="13.5" thickBot="1">
      <c r="A21" s="806"/>
      <c r="B21" s="222"/>
      <c r="C21" s="223"/>
      <c r="D21" s="224"/>
      <c r="E21" s="232"/>
      <c r="F21" s="238"/>
      <c r="G21" s="239"/>
      <c r="H21" s="240"/>
      <c r="I21" s="804"/>
      <c r="J21" s="221" t="str">
        <f>+'27'!J21</f>
        <v>T 13 RC HW</v>
      </c>
      <c r="K21" s="246"/>
      <c r="L21" s="246"/>
      <c r="M21" s="124">
        <f>+K21+'27'!M21+L21</f>
        <v>56241</v>
      </c>
    </row>
    <row r="22" spans="1:22" ht="13.5" thickBot="1">
      <c r="A22" s="806"/>
      <c r="B22" s="222"/>
      <c r="C22" s="223"/>
      <c r="D22" s="224"/>
      <c r="E22" s="232"/>
      <c r="F22" s="243"/>
      <c r="G22" s="239"/>
      <c r="H22" s="240"/>
      <c r="I22" s="805"/>
      <c r="J22" s="221">
        <f>+'27'!J22</f>
        <v>0</v>
      </c>
      <c r="K22" s="246"/>
      <c r="L22" s="246"/>
      <c r="M22" s="124">
        <f>+K22+'27'!M22+L22</f>
        <v>0</v>
      </c>
    </row>
    <row r="23" spans="1:22" ht="13.5" thickBot="1">
      <c r="A23" s="807"/>
      <c r="B23" s="172" t="s">
        <v>3</v>
      </c>
      <c r="C23" s="107">
        <f>SUM(C16:C22)</f>
        <v>11777</v>
      </c>
      <c r="D23" s="118">
        <f>SUM(D16:D22)</f>
        <v>0</v>
      </c>
      <c r="E23" s="119">
        <f>SUM(E18:E22)</f>
        <v>0</v>
      </c>
      <c r="F23" s="109">
        <f>SUM(F15:F22)</f>
        <v>183</v>
      </c>
      <c r="G23" s="166"/>
      <c r="H23" s="173"/>
      <c r="I23" s="176"/>
      <c r="J23" s="221">
        <f>+'27'!J23</f>
        <v>0</v>
      </c>
      <c r="K23" s="246"/>
      <c r="L23" s="246"/>
      <c r="M23" s="124">
        <f>+K23+'27'!M23+L23</f>
        <v>0</v>
      </c>
    </row>
    <row r="24" spans="1:22" ht="13.5" customHeight="1" thickBot="1">
      <c r="A24" s="800" t="s">
        <v>440</v>
      </c>
      <c r="B24" s="177"/>
      <c r="C24" s="120">
        <f>C23/($C$23+$D$23+$E$23)</f>
        <v>1</v>
      </c>
      <c r="D24" s="121">
        <f>D23/($C$23+$D$23+$E$23)</f>
        <v>0</v>
      </c>
      <c r="E24" s="122">
        <f>E23/($C$23+$D$23+$E$23)</f>
        <v>0</v>
      </c>
      <c r="F24" s="235"/>
      <c r="G24" s="236" t="s">
        <v>13</v>
      </c>
      <c r="H24" s="237" t="s">
        <v>386</v>
      </c>
      <c r="I24" s="803" t="s">
        <v>785</v>
      </c>
      <c r="J24" s="221">
        <f>+'27'!J24</f>
        <v>0</v>
      </c>
      <c r="K24" s="246"/>
      <c r="L24" s="246"/>
      <c r="M24" s="124">
        <f>+K24+'27'!M24+L24</f>
        <v>0</v>
      </c>
    </row>
    <row r="25" spans="1:22" ht="13.5" customHeight="1" thickBot="1">
      <c r="A25" s="806"/>
      <c r="B25" s="222" t="s">
        <v>623</v>
      </c>
      <c r="C25" s="233">
        <v>11269</v>
      </c>
      <c r="D25" s="224"/>
      <c r="E25" s="232"/>
      <c r="F25" s="238">
        <v>6</v>
      </c>
      <c r="G25" s="582" t="s">
        <v>13</v>
      </c>
      <c r="H25" s="237" t="s">
        <v>501</v>
      </c>
      <c r="I25" s="804"/>
      <c r="J25" s="221">
        <f>+'27'!J25</f>
        <v>0</v>
      </c>
      <c r="K25" s="246"/>
      <c r="L25" s="246"/>
      <c r="M25" s="124">
        <f>+K25+'27'!M25+L25</f>
        <v>0</v>
      </c>
    </row>
    <row r="26" spans="1:22" ht="13.5" customHeight="1" thickBot="1">
      <c r="A26" s="806"/>
      <c r="B26" s="222"/>
      <c r="C26" s="233"/>
      <c r="D26" s="224"/>
      <c r="E26" s="234"/>
      <c r="F26" s="235">
        <f>13-6</f>
        <v>7</v>
      </c>
      <c r="G26" s="582" t="s">
        <v>13</v>
      </c>
      <c r="H26" s="240" t="s">
        <v>450</v>
      </c>
      <c r="I26" s="804"/>
      <c r="J26" s="221">
        <f>+'27'!J26</f>
        <v>0</v>
      </c>
      <c r="K26" s="246"/>
      <c r="L26" s="246"/>
      <c r="M26" s="124">
        <f>+K26+'27'!M26+L26</f>
        <v>0</v>
      </c>
    </row>
    <row r="27" spans="1:22" ht="26.25" thickBot="1">
      <c r="A27" s="806"/>
      <c r="B27" s="222"/>
      <c r="C27" s="223"/>
      <c r="D27" s="224"/>
      <c r="E27" s="232"/>
      <c r="F27" s="235"/>
      <c r="G27" s="244" t="s">
        <v>14</v>
      </c>
      <c r="H27" s="240" t="s">
        <v>768</v>
      </c>
      <c r="I27" s="804"/>
      <c r="J27" s="221">
        <f>+'27'!J27</f>
        <v>0</v>
      </c>
      <c r="K27" s="246"/>
      <c r="L27" s="246"/>
      <c r="M27" s="124">
        <f>+K27+'27'!M27+L27</f>
        <v>0</v>
      </c>
    </row>
    <row r="28" spans="1:22" ht="94.5" customHeight="1" thickBot="1">
      <c r="A28" s="806"/>
      <c r="B28" s="222"/>
      <c r="C28" s="223"/>
      <c r="D28" s="224"/>
      <c r="E28" s="232"/>
      <c r="F28" s="235">
        <v>149</v>
      </c>
      <c r="G28" s="239" t="s">
        <v>89</v>
      </c>
      <c r="H28" s="240" t="s">
        <v>784</v>
      </c>
      <c r="I28" s="804"/>
      <c r="J28" s="221">
        <f>+'27'!J28</f>
        <v>0</v>
      </c>
      <c r="K28" s="246"/>
      <c r="L28" s="246"/>
      <c r="M28" s="124">
        <f>+K28+'27'!M28+L28</f>
        <v>0</v>
      </c>
      <c r="Q28" s="183">
        <f>SUM(Q18:Q26)</f>
        <v>480</v>
      </c>
      <c r="R28" s="183">
        <f>SUM(R18:R26)</f>
        <v>393900</v>
      </c>
      <c r="S28" s="183">
        <f>SUM(S18:S26)</f>
        <v>307242</v>
      </c>
    </row>
    <row r="29" spans="1:22" ht="13.5" customHeight="1" thickBot="1">
      <c r="A29" s="806"/>
      <c r="B29" s="222"/>
      <c r="C29" s="223"/>
      <c r="D29" s="224"/>
      <c r="E29" s="232"/>
      <c r="F29" s="243"/>
      <c r="G29" s="239"/>
      <c r="H29" s="240"/>
      <c r="I29" s="804"/>
      <c r="J29" s="221">
        <f>+'27'!J29</f>
        <v>0</v>
      </c>
      <c r="K29" s="246"/>
      <c r="L29" s="246"/>
      <c r="M29" s="124">
        <f>+K29+'27'!M29+L29</f>
        <v>0</v>
      </c>
      <c r="Q29" s="156">
        <f>480-Q28</f>
        <v>0</v>
      </c>
      <c r="R29" s="183">
        <f>+R28/Q28</f>
        <v>820.625</v>
      </c>
      <c r="S29" s="183">
        <f>+S28/Q28</f>
        <v>640.08749999999998</v>
      </c>
    </row>
    <row r="30" spans="1:22" ht="13.5" customHeight="1" thickBot="1">
      <c r="A30" s="806"/>
      <c r="B30" s="222"/>
      <c r="C30" s="233"/>
      <c r="D30" s="224"/>
      <c r="E30" s="232"/>
      <c r="F30" s="243"/>
      <c r="G30" s="239"/>
      <c r="H30" s="240"/>
      <c r="I30" s="804"/>
      <c r="J30" s="221">
        <f>+'27'!J30</f>
        <v>0</v>
      </c>
      <c r="K30" s="246"/>
      <c r="L30" s="246"/>
      <c r="M30" s="124">
        <f>+K30+'27'!M30+L30</f>
        <v>0</v>
      </c>
      <c r="N30" s="162"/>
    </row>
    <row r="31" spans="1:22" ht="13.5" customHeight="1" thickBot="1">
      <c r="A31" s="806"/>
      <c r="B31" s="222"/>
      <c r="C31" s="233"/>
      <c r="D31" s="224"/>
      <c r="E31" s="232"/>
      <c r="F31" s="243"/>
      <c r="G31" s="244"/>
      <c r="H31" s="241"/>
      <c r="I31" s="805"/>
      <c r="J31" s="221">
        <f>+'27'!J31</f>
        <v>0</v>
      </c>
      <c r="K31" s="246"/>
      <c r="L31" s="246"/>
      <c r="M31" s="124">
        <f>+K31+'27'!M31+L31</f>
        <v>0</v>
      </c>
      <c r="N31" s="156" t="s">
        <v>615</v>
      </c>
      <c r="O31" s="156">
        <v>800</v>
      </c>
      <c r="P31" s="156">
        <f>+O31-(O31*0.22)</f>
        <v>624</v>
      </c>
      <c r="Q31" s="156">
        <v>10</v>
      </c>
      <c r="R31" s="156">
        <f t="shared" ref="R31:R33" si="4">+O31*Q31</f>
        <v>8000</v>
      </c>
      <c r="S31" s="156">
        <f t="shared" ref="S31:S33" si="5">+P31*Q31</f>
        <v>6240</v>
      </c>
      <c r="U31" s="156">
        <f>+(1275-V31)/1275</f>
        <v>0.31111111111111106</v>
      </c>
      <c r="V31" s="156">
        <v>878.33333333333337</v>
      </c>
    </row>
    <row r="32" spans="1:22" ht="13.5" customHeight="1" thickBot="1">
      <c r="A32" s="807"/>
      <c r="B32" s="172" t="s">
        <v>3</v>
      </c>
      <c r="C32" s="106">
        <f>SUM(C25:C31)</f>
        <v>11269</v>
      </c>
      <c r="D32" s="107">
        <f>SUM(D25:D31)</f>
        <v>0</v>
      </c>
      <c r="E32" s="108">
        <f>SUM(E25:E31)</f>
        <v>0</v>
      </c>
      <c r="F32" s="109">
        <f>SUM(F24:F31)</f>
        <v>162</v>
      </c>
      <c r="G32" s="178"/>
      <c r="H32" s="179"/>
      <c r="I32" s="176"/>
      <c r="J32" s="221">
        <f>+'27'!J32</f>
        <v>0</v>
      </c>
      <c r="K32" s="246"/>
      <c r="L32" s="250"/>
      <c r="M32" s="124">
        <f>+K32+'27'!M32+L32</f>
        <v>0</v>
      </c>
      <c r="O32" s="156">
        <v>880</v>
      </c>
      <c r="P32" s="156">
        <f>+O32-(O32*0.22)</f>
        <v>686.4</v>
      </c>
      <c r="Q32" s="156">
        <v>470</v>
      </c>
      <c r="R32" s="156">
        <f t="shared" si="4"/>
        <v>413600</v>
      </c>
      <c r="S32" s="156">
        <f t="shared" si="5"/>
        <v>322608</v>
      </c>
      <c r="U32" s="156">
        <f>+U31*(480)</f>
        <v>149.33333333333331</v>
      </c>
    </row>
    <row r="33" spans="1:21" ht="13.5" thickBot="1">
      <c r="A33" s="180"/>
      <c r="B33" s="181"/>
      <c r="C33" s="110">
        <f>C32/($C$32+$D$32+$E$32)</f>
        <v>1</v>
      </c>
      <c r="D33" s="111">
        <f>D32/($C$32+$D$32+$E$32)</f>
        <v>0</v>
      </c>
      <c r="E33" s="112">
        <f>E32/($C$32+$D$32+$E$32)</f>
        <v>0</v>
      </c>
      <c r="F33" s="113"/>
      <c r="G33" s="182"/>
      <c r="H33" s="183"/>
      <c r="I33" s="184"/>
      <c r="J33" s="128"/>
      <c r="K33" s="129"/>
      <c r="L33" s="220"/>
      <c r="M33" s="126"/>
      <c r="P33" s="156">
        <f>+O33-(O33*0.22)</f>
        <v>0</v>
      </c>
      <c r="R33" s="156">
        <f t="shared" si="4"/>
        <v>0</v>
      </c>
      <c r="S33" s="156">
        <f t="shared" si="5"/>
        <v>0</v>
      </c>
      <c r="U33" s="156">
        <f>+U32</f>
        <v>149.33333333333331</v>
      </c>
    </row>
    <row r="34" spans="1:21" ht="13.5" thickBot="1">
      <c r="A34" s="808" t="s">
        <v>70</v>
      </c>
      <c r="B34" s="809"/>
      <c r="C34" s="114">
        <f>C14+C23+C32</f>
        <v>33441</v>
      </c>
      <c r="D34" s="114">
        <f>D14+D23+D32</f>
        <v>0</v>
      </c>
      <c r="E34" s="114">
        <f>E14+E23+E32</f>
        <v>0</v>
      </c>
      <c r="F34" s="115">
        <f>F14+F23+F32</f>
        <v>531</v>
      </c>
      <c r="H34" s="185"/>
      <c r="I34" s="185"/>
      <c r="J34" s="130" t="s">
        <v>29</v>
      </c>
      <c r="K34" s="131">
        <f>SUM(K7:K32)</f>
        <v>33441</v>
      </c>
      <c r="L34" s="219">
        <f>SUM(L7:L32)</f>
        <v>0</v>
      </c>
      <c r="M34" s="127">
        <f>SUM(M7:M32)</f>
        <v>1248778</v>
      </c>
    </row>
    <row r="35" spans="1:21" ht="13.5" thickBot="1">
      <c r="A35" s="186"/>
      <c r="B35" s="187"/>
      <c r="C35" s="111">
        <f>C34/($C$34+$D$34+$E$34)</f>
        <v>1</v>
      </c>
      <c r="D35" s="111">
        <f>D34/($C$34+$D$34+$E$34)</f>
        <v>0</v>
      </c>
      <c r="E35" s="116">
        <f>E34/($C$34+$D$34+$E$34)</f>
        <v>0</v>
      </c>
      <c r="K35" s="162"/>
      <c r="L35" s="799" t="s">
        <v>184</v>
      </c>
      <c r="M35" s="799"/>
    </row>
    <row r="36" spans="1:21" ht="13.5" thickBot="1">
      <c r="A36" s="185"/>
      <c r="B36" s="185"/>
      <c r="C36" s="162"/>
      <c r="D36" s="162"/>
      <c r="E36" s="162"/>
      <c r="G36" s="162"/>
      <c r="H36" s="188"/>
      <c r="I36" s="169" t="s">
        <v>41</v>
      </c>
      <c r="J36" s="169" t="s">
        <v>42</v>
      </c>
      <c r="K36" s="189"/>
      <c r="L36" s="169" t="s">
        <v>41</v>
      </c>
      <c r="M36" s="169" t="s">
        <v>42</v>
      </c>
    </row>
    <row r="37" spans="1:21" ht="17.45" customHeight="1" thickBot="1">
      <c r="A37" s="797" t="s">
        <v>71</v>
      </c>
      <c r="B37" s="798"/>
      <c r="C37" s="169" t="s">
        <v>72</v>
      </c>
      <c r="D37" s="190" t="s">
        <v>73</v>
      </c>
      <c r="E37" s="191" t="s">
        <v>74</v>
      </c>
      <c r="F37" s="368"/>
      <c r="G37" s="370"/>
      <c r="H37" s="193" t="s">
        <v>75</v>
      </c>
      <c r="I37" s="251">
        <f>(14*1440)/1440*G42*2.75*1440/1000000</f>
        <v>36.020985000000003</v>
      </c>
      <c r="J37" s="132">
        <f>+I37+'27'!J37</f>
        <v>1366.9420848721186</v>
      </c>
      <c r="K37" s="133" t="s">
        <v>76</v>
      </c>
      <c r="L37" s="429"/>
      <c r="M37" s="430"/>
    </row>
    <row r="38" spans="1:21" ht="17.45" customHeight="1">
      <c r="A38" s="793" t="s">
        <v>13</v>
      </c>
      <c r="B38" s="794"/>
      <c r="C38" s="171">
        <f>SUMIF($G$7:$G$31,"Process",$F$7:$F$31)</f>
        <v>32</v>
      </c>
      <c r="D38" s="125">
        <f>+C38+'27'!D38</f>
        <v>1327</v>
      </c>
      <c r="E38" s="150">
        <f t="shared" ref="E38:E51" si="6">D38/60</f>
        <v>22.116666666666667</v>
      </c>
      <c r="F38" s="368">
        <v>800</v>
      </c>
      <c r="G38" s="368">
        <v>624</v>
      </c>
      <c r="H38" s="194" t="s">
        <v>77</v>
      </c>
      <c r="I38" s="551">
        <f>11.412+11.957+11.968</f>
        <v>35.337000000000003</v>
      </c>
      <c r="J38" s="134">
        <f>+I38+'27'!J38</f>
        <v>1282.7499999999998</v>
      </c>
      <c r="K38" s="135" t="s">
        <v>76</v>
      </c>
      <c r="L38" s="431"/>
      <c r="M38" s="432"/>
    </row>
    <row r="39" spans="1:21" ht="17.45" customHeight="1">
      <c r="A39" s="789" t="s">
        <v>14</v>
      </c>
      <c r="B39" s="790"/>
      <c r="C39" s="171">
        <f>SUMIF($G$7:$G$31,"Cleaning",$F$7:$F$31)</f>
        <v>0</v>
      </c>
      <c r="D39" s="125">
        <f>+C39+'27'!D39</f>
        <v>254</v>
      </c>
      <c r="E39" s="150">
        <f t="shared" si="6"/>
        <v>4.2333333333333334</v>
      </c>
      <c r="F39" s="368">
        <v>820.625</v>
      </c>
      <c r="G39" s="368">
        <v>640.08749999999998</v>
      </c>
      <c r="H39" s="194" t="s">
        <v>78</v>
      </c>
      <c r="I39" s="149"/>
      <c r="J39" s="136">
        <f>J37/G4</f>
        <v>48.819360174004238</v>
      </c>
      <c r="K39" s="137" t="s">
        <v>76</v>
      </c>
      <c r="L39" s="431"/>
      <c r="M39" s="432"/>
    </row>
    <row r="40" spans="1:21" ht="17.45" customHeight="1">
      <c r="A40" s="789" t="s">
        <v>79</v>
      </c>
      <c r="B40" s="790"/>
      <c r="C40" s="171">
        <f>SUMIF($G$7:$G$31,"Mechanical",$F$7:$F$31)</f>
        <v>0</v>
      </c>
      <c r="D40" s="125">
        <f>+C40+'27'!D40</f>
        <v>133</v>
      </c>
      <c r="E40" s="150">
        <f t="shared" si="6"/>
        <v>2.2166666666666668</v>
      </c>
      <c r="F40" s="368">
        <v>878.33333333333337</v>
      </c>
      <c r="G40" s="368">
        <v>685.1</v>
      </c>
      <c r="H40" s="194" t="s">
        <v>80</v>
      </c>
      <c r="I40" s="125">
        <f>(K34+L34)/1000</f>
        <v>33.441000000000003</v>
      </c>
      <c r="J40" s="138">
        <f>+I40+'27'!J40</f>
        <v>1248.7779999999998</v>
      </c>
      <c r="K40" s="137" t="s">
        <v>76</v>
      </c>
      <c r="L40" s="431"/>
      <c r="M40" s="432"/>
    </row>
    <row r="41" spans="1:21" ht="17.45" customHeight="1">
      <c r="A41" s="789" t="s">
        <v>81</v>
      </c>
      <c r="B41" s="790"/>
      <c r="C41" s="171">
        <f>SUMIF($G$7:$G$31,"Electrical",$F$7:$F$31)</f>
        <v>0</v>
      </c>
      <c r="D41" s="125">
        <f>+C41+'27'!D41</f>
        <v>549</v>
      </c>
      <c r="E41" s="150">
        <f t="shared" si="6"/>
        <v>9.15</v>
      </c>
      <c r="F41" s="368"/>
      <c r="G41" s="368"/>
      <c r="H41" s="194" t="s">
        <v>82</v>
      </c>
      <c r="I41" s="149"/>
      <c r="J41" s="136">
        <f>J40/G4</f>
        <v>44.599214285714275</v>
      </c>
      <c r="K41" s="137" t="s">
        <v>76</v>
      </c>
      <c r="L41" s="431"/>
      <c r="M41" s="432"/>
      <c r="Q41" s="183">
        <f>SUM(Q31:Q39)</f>
        <v>480</v>
      </c>
      <c r="R41" s="183">
        <f>SUM(R31:R39)</f>
        <v>421600</v>
      </c>
      <c r="S41" s="183">
        <f>SUM(S31:S39)</f>
        <v>328848</v>
      </c>
    </row>
    <row r="42" spans="1:21" ht="17.45" customHeight="1">
      <c r="A42" s="789" t="s">
        <v>17</v>
      </c>
      <c r="B42" s="790"/>
      <c r="C42" s="171">
        <f>SUMIF($G$7:$G$31,"Instrument",$F$7:$F$31)</f>
        <v>0</v>
      </c>
      <c r="D42" s="125">
        <f>+C42+'27'!D42</f>
        <v>0</v>
      </c>
      <c r="E42" s="150">
        <f t="shared" si="6"/>
        <v>0</v>
      </c>
      <c r="F42" s="368">
        <f>+(480*F38+480*F39+480*F40)/1440</f>
        <v>832.98611111111109</v>
      </c>
      <c r="G42" s="368">
        <f>+(480*G38+480*G39+480*G40)/1440</f>
        <v>649.72916666666663</v>
      </c>
      <c r="H42" s="194" t="s">
        <v>83</v>
      </c>
      <c r="I42" s="253" t="s">
        <v>787</v>
      </c>
      <c r="J42" s="139"/>
      <c r="K42" s="137" t="s">
        <v>84</v>
      </c>
      <c r="L42" s="431"/>
      <c r="M42" s="432"/>
      <c r="Q42" s="156">
        <f>480-Q41</f>
        <v>0</v>
      </c>
      <c r="R42" s="183">
        <f>+R41/Q41</f>
        <v>878.33333333333337</v>
      </c>
      <c r="S42" s="183">
        <f>+S41/Q41</f>
        <v>685.1</v>
      </c>
    </row>
    <row r="43" spans="1:21" ht="17.45" customHeight="1">
      <c r="A43" s="789" t="s">
        <v>85</v>
      </c>
      <c r="B43" s="790"/>
      <c r="C43" s="171">
        <f>SUMIF($G$7:$G$31,"Water",$F$7:$F$31)</f>
        <v>0</v>
      </c>
      <c r="D43" s="125">
        <f>+C43+'27'!D43</f>
        <v>0</v>
      </c>
      <c r="E43" s="150">
        <f t="shared" si="6"/>
        <v>0</v>
      </c>
      <c r="F43" s="368"/>
      <c r="G43" s="369"/>
      <c r="H43" s="195" t="s">
        <v>86</v>
      </c>
      <c r="I43" s="125">
        <f>+Report1!AH36</f>
        <v>73.2</v>
      </c>
      <c r="J43" s="140">
        <f>+I43+'27'!J43</f>
        <v>1815.3</v>
      </c>
      <c r="K43" s="137" t="s">
        <v>76</v>
      </c>
      <c r="L43" s="433">
        <f>+Report1!AN36</f>
        <v>0</v>
      </c>
      <c r="M43" s="434">
        <f>+L43+'27'!M43</f>
        <v>9</v>
      </c>
    </row>
    <row r="44" spans="1:21" ht="17.45" customHeight="1">
      <c r="A44" s="789" t="s">
        <v>18</v>
      </c>
      <c r="B44" s="790"/>
      <c r="C44" s="171">
        <f>SUMIF($G$7:$G$31,"PLN",$F$7:$F$31)</f>
        <v>0</v>
      </c>
      <c r="D44" s="125">
        <f>+C44+'27'!D44</f>
        <v>0</v>
      </c>
      <c r="E44" s="150">
        <f t="shared" si="6"/>
        <v>0</v>
      </c>
      <c r="F44" s="368"/>
      <c r="G44" s="369"/>
      <c r="H44" s="195" t="s">
        <v>87</v>
      </c>
      <c r="I44" s="125">
        <f>I43/I38</f>
        <v>2.07148314797521</v>
      </c>
      <c r="J44" s="141">
        <f>J43/J38</f>
        <v>1.415162736308712</v>
      </c>
      <c r="K44" s="137" t="s">
        <v>76</v>
      </c>
      <c r="L44" s="435">
        <f>+L43/I38</f>
        <v>0</v>
      </c>
      <c r="M44" s="436">
        <f>+M43/J38</f>
        <v>7.0161761839797323E-3</v>
      </c>
    </row>
    <row r="45" spans="1:21" ht="17.45" customHeight="1">
      <c r="A45" s="789" t="s">
        <v>19</v>
      </c>
      <c r="B45" s="790"/>
      <c r="C45" s="171">
        <f>SUMIF($G$7:$G$31,"Boiler",$F$7:$F$31)</f>
        <v>0</v>
      </c>
      <c r="D45" s="125">
        <f>+C45+'27'!D45</f>
        <v>0</v>
      </c>
      <c r="E45" s="150">
        <f t="shared" si="6"/>
        <v>0</v>
      </c>
      <c r="F45" s="368"/>
      <c r="G45" s="371"/>
      <c r="H45" s="195" t="s">
        <v>88</v>
      </c>
      <c r="I45" s="125">
        <f>I43/I40</f>
        <v>2.1889297568852606</v>
      </c>
      <c r="J45" s="141">
        <f>J43/J40</f>
        <v>1.453661099090471</v>
      </c>
      <c r="K45" s="137" t="s">
        <v>76</v>
      </c>
      <c r="L45" s="435">
        <f>+L43/I40</f>
        <v>0</v>
      </c>
      <c r="M45" s="436">
        <f>+M43/J40</f>
        <v>7.2070456077861726E-3</v>
      </c>
    </row>
    <row r="46" spans="1:21" ht="17.45" customHeight="1">
      <c r="A46" s="789" t="s">
        <v>89</v>
      </c>
      <c r="B46" s="790"/>
      <c r="C46" s="171">
        <f>SUMIF($G$7:$G$31,"Gas",$F$7:$F$31)</f>
        <v>499</v>
      </c>
      <c r="D46" s="125">
        <f>+C46+'27'!D46</f>
        <v>2199</v>
      </c>
      <c r="E46" s="150">
        <f t="shared" si="6"/>
        <v>36.65</v>
      </c>
      <c r="F46" s="368"/>
      <c r="G46" s="369"/>
      <c r="H46" s="195" t="s">
        <v>90</v>
      </c>
      <c r="I46" s="147">
        <f>+SUMIF(Listrik!P35,"&gt;0")</f>
        <v>37943.180000000022</v>
      </c>
      <c r="J46" s="142">
        <f>+I46+'27'!J46</f>
        <v>1126057.8799999999</v>
      </c>
      <c r="K46" s="137" t="s">
        <v>91</v>
      </c>
      <c r="L46" s="435">
        <f>+Listrik!AF35</f>
        <v>0</v>
      </c>
      <c r="M46" s="437">
        <f>+L46+'27'!M46</f>
        <v>0</v>
      </c>
    </row>
    <row r="47" spans="1:21" ht="17.45" customHeight="1">
      <c r="A47" s="789" t="s">
        <v>92</v>
      </c>
      <c r="B47" s="790"/>
      <c r="C47" s="171">
        <f>SUMIF($G$7:$G$31,"Power Plant",$F$7:$F$31)</f>
        <v>0</v>
      </c>
      <c r="D47" s="125">
        <f>+C47+'27'!D47</f>
        <v>0</v>
      </c>
      <c r="E47" s="150">
        <f t="shared" si="6"/>
        <v>0</v>
      </c>
      <c r="F47" s="368"/>
      <c r="G47" s="369"/>
      <c r="H47" s="195" t="s">
        <v>93</v>
      </c>
      <c r="I47" s="125">
        <f>I46/I38</f>
        <v>1073.7521577949462</v>
      </c>
      <c r="J47" s="142">
        <f>J46/J38</f>
        <v>877.84671993763402</v>
      </c>
      <c r="K47" s="137" t="s">
        <v>25</v>
      </c>
      <c r="L47" s="435">
        <f>+L46/I38</f>
        <v>0</v>
      </c>
      <c r="M47" s="436">
        <f>+M46/J38</f>
        <v>0</v>
      </c>
    </row>
    <row r="48" spans="1:21" ht="17.45" customHeight="1">
      <c r="A48" s="789" t="s">
        <v>15</v>
      </c>
      <c r="B48" s="790"/>
      <c r="C48" s="171">
        <f>SUMIF($G$7:$G$31,"Start Up",$F$7:$F$31)</f>
        <v>0</v>
      </c>
      <c r="D48" s="125">
        <f>+C48+'27'!D48</f>
        <v>0</v>
      </c>
      <c r="E48" s="150">
        <f t="shared" si="6"/>
        <v>0</v>
      </c>
      <c r="F48" s="368"/>
      <c r="G48" s="369"/>
      <c r="H48" s="195" t="s">
        <v>94</v>
      </c>
      <c r="I48" s="125">
        <f>I46/I40</f>
        <v>1134.6305433449963</v>
      </c>
      <c r="J48" s="142">
        <f>J46/J40</f>
        <v>901.7278331296676</v>
      </c>
      <c r="K48" s="137" t="s">
        <v>25</v>
      </c>
      <c r="L48" s="435">
        <f>+L46/I38</f>
        <v>0</v>
      </c>
      <c r="M48" s="436">
        <f>+M46/J40</f>
        <v>0</v>
      </c>
    </row>
    <row r="49" spans="1:13" ht="17.45" customHeight="1">
      <c r="A49" s="789" t="s">
        <v>21</v>
      </c>
      <c r="B49" s="790"/>
      <c r="C49" s="171">
        <f>SUMIF($G$7:$G$31,"Others",$F$7:$F$31)</f>
        <v>0</v>
      </c>
      <c r="D49" s="125">
        <f>+C49+'27'!D49</f>
        <v>677</v>
      </c>
      <c r="E49" s="150">
        <f t="shared" si="6"/>
        <v>11.283333333333333</v>
      </c>
      <c r="F49" s="192"/>
      <c r="H49" s="195" t="s">
        <v>95</v>
      </c>
      <c r="I49" s="125">
        <f>+Report1!AB36</f>
        <v>751.71565911139305</v>
      </c>
      <c r="J49" s="142">
        <f>+I49+'27'!J49</f>
        <v>117266.68583459509</v>
      </c>
      <c r="K49" s="137" t="s">
        <v>96</v>
      </c>
      <c r="L49" s="431"/>
      <c r="M49" s="432"/>
    </row>
    <row r="50" spans="1:13" ht="17.45" customHeight="1">
      <c r="A50" s="789" t="s">
        <v>20</v>
      </c>
      <c r="B50" s="790"/>
      <c r="C50" s="171">
        <f>SUMIF($G$7:$G$31,"Steam",$F$7:$F$31)</f>
        <v>0</v>
      </c>
      <c r="D50" s="125">
        <f>+C50+'27'!D50</f>
        <v>0</v>
      </c>
      <c r="E50" s="150">
        <f t="shared" si="6"/>
        <v>0</v>
      </c>
      <c r="F50" s="192"/>
      <c r="H50" s="195" t="s">
        <v>97</v>
      </c>
      <c r="I50" s="147">
        <f>I49/I38</f>
        <v>21.272763933310497</v>
      </c>
      <c r="J50" s="140">
        <f>J49/J38</f>
        <v>91.418192036324385</v>
      </c>
      <c r="K50" s="137" t="s">
        <v>96</v>
      </c>
      <c r="L50" s="431"/>
      <c r="M50" s="432"/>
    </row>
    <row r="51" spans="1:13" ht="17.45" customHeight="1" thickBot="1">
      <c r="A51" s="791" t="s">
        <v>98</v>
      </c>
      <c r="B51" s="792"/>
      <c r="C51" s="171">
        <f>SUMIF($G$7:$G$31,"Planned shut",$F$7:$F$31)</f>
        <v>0</v>
      </c>
      <c r="D51" s="125">
        <f>+C51+'27'!D51</f>
        <v>394</v>
      </c>
      <c r="E51" s="150">
        <f t="shared" si="6"/>
        <v>6.5666666666666664</v>
      </c>
      <c r="F51" s="192"/>
      <c r="H51" s="197" t="s">
        <v>99</v>
      </c>
      <c r="I51" s="148">
        <f>I49/I40</f>
        <v>22.478863045704166</v>
      </c>
      <c r="J51" s="143">
        <f>J49/J40</f>
        <v>93.905150342651069</v>
      </c>
      <c r="K51" s="144" t="s">
        <v>96</v>
      </c>
      <c r="L51" s="431"/>
      <c r="M51" s="432"/>
    </row>
    <row r="52" spans="1:13" ht="13.5" thickBot="1">
      <c r="A52" s="793" t="s">
        <v>29</v>
      </c>
      <c r="B52" s="794"/>
      <c r="C52" s="151">
        <f>SUM(C38:C51)</f>
        <v>531</v>
      </c>
      <c r="D52" s="151">
        <f>SUM(D38:D51)</f>
        <v>5533</v>
      </c>
      <c r="E52" s="152">
        <f>SUM(E38:E51)</f>
        <v>92.216666666666669</v>
      </c>
      <c r="F52" s="192"/>
      <c r="H52" s="198"/>
      <c r="I52" s="199"/>
      <c r="J52" s="145"/>
      <c r="K52" s="146"/>
      <c r="L52" s="438"/>
      <c r="M52" s="439"/>
    </row>
    <row r="53" spans="1:13" ht="13.5" thickBot="1">
      <c r="A53" s="795"/>
      <c r="B53" s="796"/>
      <c r="C53" s="153">
        <f>C52/(24*60)</f>
        <v>0.36875000000000002</v>
      </c>
      <c r="D53" s="153">
        <f>D52/(24*60*G4)</f>
        <v>0.13722718253968255</v>
      </c>
      <c r="E53" s="154">
        <f>E52/(G4*24)</f>
        <v>0.13722718253968255</v>
      </c>
      <c r="F53" s="192"/>
    </row>
    <row r="54" spans="1:13">
      <c r="E54" s="200"/>
      <c r="F54" s="192"/>
    </row>
    <row r="55" spans="1:13">
      <c r="E55" s="200"/>
    </row>
    <row r="56" spans="1:13">
      <c r="A56" s="201" t="s">
        <v>100</v>
      </c>
      <c r="B56" s="202"/>
      <c r="C56" s="203"/>
      <c r="D56" s="203"/>
      <c r="E56" s="203"/>
      <c r="F56" s="204"/>
      <c r="G56" s="203"/>
      <c r="H56" s="205"/>
      <c r="I56" s="206" t="s">
        <v>101</v>
      </c>
      <c r="J56" s="207">
        <f>+D34+'27'!J56</f>
        <v>5317</v>
      </c>
      <c r="K56" s="208">
        <f>J56/(J40+J56/1000)/1000</f>
        <v>4.2397107077215054E-3</v>
      </c>
    </row>
    <row r="57" spans="1:13">
      <c r="A57" s="183"/>
      <c r="I57" s="206" t="s">
        <v>102</v>
      </c>
      <c r="J57" s="207">
        <f>+E34+'27'!J57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X61"/>
  <sheetViews>
    <sheetView topLeftCell="E7" zoomScale="80" zoomScaleNormal="80" workbookViewId="0">
      <selection activeCell="H31" sqref="H31"/>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2.28515625" style="156" customWidth="1"/>
    <col min="11" max="11" width="12.5703125" style="156" bestFit="1" customWidth="1"/>
    <col min="12" max="12" width="8.28515625" style="156" customWidth="1"/>
    <col min="13" max="13" width="15.85546875" style="156" customWidth="1"/>
    <col min="14" max="16384" width="9.140625" style="156"/>
  </cols>
  <sheetData>
    <row r="1" spans="1:24" ht="15.75">
      <c r="A1" s="155"/>
    </row>
    <row r="2" spans="1:24" ht="15.75">
      <c r="A2" s="155" t="s">
        <v>183</v>
      </c>
    </row>
    <row r="3" spans="1:24" ht="15">
      <c r="A3" s="157"/>
    </row>
    <row r="4" spans="1:24" ht="20.25">
      <c r="A4" s="158" t="s">
        <v>5</v>
      </c>
      <c r="B4" s="159"/>
      <c r="F4" s="160" t="s">
        <v>30</v>
      </c>
      <c r="G4" s="161">
        <v>27</v>
      </c>
      <c r="H4" s="161" t="str">
        <f>+'1'!H4</f>
        <v>.01.26</v>
      </c>
      <c r="J4" s="156">
        <f>992.1+869.8+920.5</f>
        <v>2782.4</v>
      </c>
    </row>
    <row r="5" spans="1:24" ht="13.5" thickBot="1">
      <c r="C5" s="162"/>
      <c r="D5" s="162"/>
    </row>
    <row r="6" spans="1:24"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615</v>
      </c>
      <c r="O6" s="156">
        <v>1280</v>
      </c>
      <c r="P6" s="156">
        <f>+O6-(O6*0.22)</f>
        <v>998.4</v>
      </c>
      <c r="Q6" s="156">
        <f>60*3+18</f>
        <v>198</v>
      </c>
      <c r="R6" s="156">
        <f t="shared" ref="R6:R7" si="0">+O6*Q6</f>
        <v>253440</v>
      </c>
      <c r="S6" s="156">
        <f t="shared" ref="S6:S7" si="1">+P6*Q6</f>
        <v>197683.19999999998</v>
      </c>
      <c r="U6" s="156">
        <f>+(1275-V6)/1275</f>
        <v>0.21725490196078431</v>
      </c>
      <c r="V6" s="156">
        <v>998</v>
      </c>
      <c r="X6" s="156">
        <v>1275</v>
      </c>
    </row>
    <row r="7" spans="1:24" ht="13.5" customHeight="1" thickBot="1">
      <c r="A7" s="800" t="s">
        <v>423</v>
      </c>
      <c r="B7" s="222" t="s">
        <v>623</v>
      </c>
      <c r="C7" s="223">
        <v>9776</v>
      </c>
      <c r="D7" s="224"/>
      <c r="E7" s="225"/>
      <c r="F7" s="235"/>
      <c r="G7" s="236" t="s">
        <v>13</v>
      </c>
      <c r="H7" s="237" t="s">
        <v>386</v>
      </c>
      <c r="I7" s="803" t="s">
        <v>774</v>
      </c>
      <c r="J7" s="221" t="str">
        <f>+'26'!J7</f>
        <v>T 13,5 RC HW</v>
      </c>
      <c r="K7" s="245"/>
      <c r="L7" s="249"/>
      <c r="M7" s="124">
        <f>+K7+'26'!M7+L7</f>
        <v>331081</v>
      </c>
      <c r="O7" s="156">
        <v>800</v>
      </c>
      <c r="P7" s="156">
        <f>+O7-(O7*0.22)</f>
        <v>624</v>
      </c>
      <c r="Q7" s="156">
        <f>480-Q6</f>
        <v>282</v>
      </c>
      <c r="R7" s="156">
        <f t="shared" si="0"/>
        <v>225600</v>
      </c>
      <c r="S7" s="156">
        <f t="shared" si="1"/>
        <v>175968</v>
      </c>
      <c r="U7" s="156">
        <f>+U6*(480)</f>
        <v>104.28235294117647</v>
      </c>
    </row>
    <row r="8" spans="1:24" ht="13.5" thickBot="1">
      <c r="A8" s="801"/>
      <c r="B8" s="222"/>
      <c r="C8" s="223"/>
      <c r="D8" s="224"/>
      <c r="E8" s="226"/>
      <c r="F8" s="238">
        <v>6</v>
      </c>
      <c r="G8" s="582" t="s">
        <v>13</v>
      </c>
      <c r="H8" s="237" t="s">
        <v>501</v>
      </c>
      <c r="I8" s="804"/>
      <c r="J8" s="221" t="str">
        <f>+'26'!J8</f>
        <v>T 14,5 RC HW</v>
      </c>
      <c r="K8" s="246"/>
      <c r="L8" s="246"/>
      <c r="M8" s="124">
        <f>+K8+'26'!M8+L8</f>
        <v>57466</v>
      </c>
      <c r="U8" s="156">
        <f>+U7</f>
        <v>104.28235294117647</v>
      </c>
    </row>
    <row r="9" spans="1:24" ht="13.5" thickBot="1">
      <c r="A9" s="801"/>
      <c r="B9" s="222"/>
      <c r="C9" s="223"/>
      <c r="D9" s="224"/>
      <c r="E9" s="227"/>
      <c r="F9" s="235">
        <v>6</v>
      </c>
      <c r="G9" s="582" t="s">
        <v>13</v>
      </c>
      <c r="H9" s="240" t="s">
        <v>586</v>
      </c>
      <c r="I9" s="804"/>
      <c r="J9" s="221" t="str">
        <f>+'26'!J9</f>
        <v>TW 17 RC HW</v>
      </c>
      <c r="K9" s="246"/>
      <c r="L9" s="246"/>
      <c r="M9" s="124">
        <f>+K9+'26'!M9+L9</f>
        <v>24830</v>
      </c>
    </row>
    <row r="10" spans="1:24" ht="26.25" thickBot="1">
      <c r="A10" s="801"/>
      <c r="B10" s="222"/>
      <c r="C10" s="223"/>
      <c r="D10" s="224"/>
      <c r="E10" s="226"/>
      <c r="F10" s="235"/>
      <c r="G10" s="244" t="s">
        <v>14</v>
      </c>
      <c r="H10" s="240" t="s">
        <v>772</v>
      </c>
      <c r="I10" s="804"/>
      <c r="J10" s="221" t="str">
        <f>+'26'!J10</f>
        <v>TW 22 RC HW</v>
      </c>
      <c r="K10" s="246"/>
      <c r="L10" s="246"/>
      <c r="M10" s="124">
        <f>+K10+'26'!M10+L10</f>
        <v>24459</v>
      </c>
    </row>
    <row r="11" spans="1:24" ht="28.5" customHeight="1" thickBot="1">
      <c r="A11" s="801"/>
      <c r="B11" s="222"/>
      <c r="C11" s="223"/>
      <c r="D11" s="224"/>
      <c r="E11" s="226"/>
      <c r="F11" s="235"/>
      <c r="G11" s="239"/>
      <c r="H11" s="240" t="s">
        <v>773</v>
      </c>
      <c r="I11" s="804"/>
      <c r="J11" s="221" t="str">
        <f>+'26'!J11</f>
        <v>TW 14 RC HW</v>
      </c>
      <c r="K11" s="246"/>
      <c r="L11" s="246"/>
      <c r="M11" s="124">
        <f>+K11+'26'!M11+L11</f>
        <v>8043</v>
      </c>
    </row>
    <row r="12" spans="1:24" ht="13.5" thickBot="1">
      <c r="A12" s="801"/>
      <c r="B12" s="222"/>
      <c r="C12" s="223"/>
      <c r="D12" s="224"/>
      <c r="E12" s="226"/>
      <c r="F12" s="235">
        <v>104</v>
      </c>
      <c r="G12" s="239" t="s">
        <v>89</v>
      </c>
      <c r="H12" s="240"/>
      <c r="I12" s="804"/>
      <c r="J12" s="221" t="str">
        <f>+'26'!J12</f>
        <v>TW 29 RC HW</v>
      </c>
      <c r="K12" s="246"/>
      <c r="L12" s="246"/>
      <c r="M12" s="124">
        <f>+K12+'26'!M12+L12</f>
        <v>21439</v>
      </c>
    </row>
    <row r="13" spans="1:24" ht="13.5" thickBot="1">
      <c r="A13" s="801"/>
      <c r="B13" s="222"/>
      <c r="C13" s="223"/>
      <c r="D13" s="223"/>
      <c r="E13" s="226"/>
      <c r="F13" s="243"/>
      <c r="G13" s="239"/>
      <c r="H13" s="240"/>
      <c r="I13" s="805"/>
      <c r="J13" s="221" t="str">
        <f>+'26'!J13</f>
        <v>TW 35,5 RC HW</v>
      </c>
      <c r="K13" s="246"/>
      <c r="L13" s="246"/>
      <c r="M13" s="124">
        <f>+K13+'26'!M13+L13</f>
        <v>2193</v>
      </c>
    </row>
    <row r="14" spans="1:24" ht="13.5" thickBot="1">
      <c r="A14" s="802"/>
      <c r="B14" s="172" t="s">
        <v>3</v>
      </c>
      <c r="C14" s="106">
        <f>SUM(C7:C13)</f>
        <v>9776</v>
      </c>
      <c r="D14" s="118">
        <f>SUM(D7:D13)</f>
        <v>0</v>
      </c>
      <c r="E14" s="119">
        <f>SUM(E5:E13)</f>
        <v>0</v>
      </c>
      <c r="F14" s="109">
        <f>SUM(F6:F13)</f>
        <v>116</v>
      </c>
      <c r="G14" s="166"/>
      <c r="H14" s="173"/>
      <c r="I14" s="174"/>
      <c r="J14" s="221" t="str">
        <f>+'26'!J14</f>
        <v>N 15,5 RC HW</v>
      </c>
      <c r="K14" s="246"/>
      <c r="L14" s="246"/>
      <c r="M14" s="124">
        <f>+K14+'26'!M14+L14</f>
        <v>46927</v>
      </c>
    </row>
    <row r="15" spans="1:24" ht="13.5" customHeight="1" thickBot="1">
      <c r="A15" s="800" t="s">
        <v>424</v>
      </c>
      <c r="B15" s="172"/>
      <c r="C15" s="120">
        <f>C14/($C$23+$D$23+$E$23)</f>
        <v>0.77772474144789183</v>
      </c>
      <c r="D15" s="121">
        <f>D14/($C$23+$D$23+$E$23)</f>
        <v>0</v>
      </c>
      <c r="E15" s="122">
        <f>E14/($C$23+$D$23+$E$23)</f>
        <v>0</v>
      </c>
      <c r="F15" s="235"/>
      <c r="G15" s="236" t="s">
        <v>13</v>
      </c>
      <c r="H15" s="237" t="s">
        <v>386</v>
      </c>
      <c r="I15" s="803" t="s">
        <v>761</v>
      </c>
      <c r="J15" s="221" t="str">
        <f>+'26'!J15</f>
        <v>F 14 RC HW</v>
      </c>
      <c r="K15" s="246"/>
      <c r="L15" s="246"/>
      <c r="M15" s="124">
        <f>+K15+'26'!M15+L15</f>
        <v>4620</v>
      </c>
    </row>
    <row r="16" spans="1:24" ht="13.5" thickBot="1">
      <c r="A16" s="806"/>
      <c r="B16" s="222" t="s">
        <v>623</v>
      </c>
      <c r="C16" s="229">
        <v>12570</v>
      </c>
      <c r="D16" s="230"/>
      <c r="E16" s="231"/>
      <c r="F16" s="238">
        <v>3</v>
      </c>
      <c r="G16" s="582" t="s">
        <v>13</v>
      </c>
      <c r="H16" s="237" t="s">
        <v>414</v>
      </c>
      <c r="I16" s="804"/>
      <c r="J16" s="221" t="str">
        <f>+'26'!J16</f>
        <v>T 15 RC HW</v>
      </c>
      <c r="K16" s="246"/>
      <c r="L16" s="246"/>
      <c r="M16" s="124">
        <f>+K16+'26'!M16+L16</f>
        <v>370116</v>
      </c>
      <c r="Q16" s="183">
        <f>SUM(Q6:Q14)</f>
        <v>480</v>
      </c>
      <c r="R16" s="183">
        <f>SUM(R6:R14)</f>
        <v>479040</v>
      </c>
      <c r="S16" s="183">
        <f>SUM(S6:S14)</f>
        <v>373651.19999999995</v>
      </c>
    </row>
    <row r="17" spans="1:22" ht="13.5" thickBot="1">
      <c r="A17" s="806"/>
      <c r="B17" s="222"/>
      <c r="C17" s="223"/>
      <c r="D17" s="224"/>
      <c r="E17" s="232"/>
      <c r="F17" s="235">
        <v>5</v>
      </c>
      <c r="G17" s="582" t="s">
        <v>13</v>
      </c>
      <c r="H17" s="240" t="s">
        <v>777</v>
      </c>
      <c r="I17" s="804"/>
      <c r="J17" s="221" t="str">
        <f>+'26'!J17</f>
        <v>T 14 RC HW</v>
      </c>
      <c r="K17" s="246">
        <f>+C34</f>
        <v>34753</v>
      </c>
      <c r="L17" s="246"/>
      <c r="M17" s="124">
        <f>+K17+'26'!M17+L17</f>
        <v>204612</v>
      </c>
      <c r="Q17" s="156">
        <f>480-Q16</f>
        <v>0</v>
      </c>
      <c r="R17" s="183">
        <f>+R16/Q16</f>
        <v>998</v>
      </c>
      <c r="S17" s="183">
        <f>+S16/Q16</f>
        <v>778.43999999999994</v>
      </c>
    </row>
    <row r="18" spans="1:22" ht="26.25" thickBot="1">
      <c r="A18" s="806"/>
      <c r="B18" s="222"/>
      <c r="C18" s="223"/>
      <c r="D18" s="224"/>
      <c r="E18" s="232"/>
      <c r="F18" s="235">
        <v>8</v>
      </c>
      <c r="G18" s="244" t="s">
        <v>14</v>
      </c>
      <c r="H18" s="240" t="s">
        <v>770</v>
      </c>
      <c r="I18" s="804"/>
      <c r="J18" s="221" t="str">
        <f>+'26'!J18</f>
        <v>T 16 RC HW</v>
      </c>
      <c r="K18" s="246"/>
      <c r="L18" s="246"/>
      <c r="M18" s="124">
        <f>+K18+'26'!M18+L18</f>
        <v>17950</v>
      </c>
      <c r="N18" s="156" t="s">
        <v>615</v>
      </c>
      <c r="O18" s="156">
        <v>800</v>
      </c>
      <c r="P18" s="156">
        <f>+O18-(O18*0.22)</f>
        <v>624</v>
      </c>
      <c r="Q18" s="156">
        <v>480</v>
      </c>
      <c r="R18" s="156">
        <f t="shared" ref="R18" si="2">+O18*Q18</f>
        <v>384000</v>
      </c>
      <c r="S18" s="156">
        <f t="shared" ref="S18" si="3">+P18*Q18</f>
        <v>299520</v>
      </c>
      <c r="U18" s="156">
        <f>+(1275-V18)/1275</f>
        <v>0.37254901960784315</v>
      </c>
      <c r="V18" s="156">
        <v>800</v>
      </c>
    </row>
    <row r="19" spans="1:22" ht="13.5" thickBot="1">
      <c r="A19" s="806"/>
      <c r="B19" s="222"/>
      <c r="C19" s="223"/>
      <c r="D19" s="224"/>
      <c r="E19" s="232"/>
      <c r="F19" s="242"/>
      <c r="G19" s="239"/>
      <c r="H19" s="240" t="s">
        <v>771</v>
      </c>
      <c r="I19" s="804"/>
      <c r="J19" s="221" t="str">
        <f>+'26'!J19</f>
        <v>T 18 RC HW</v>
      </c>
      <c r="K19" s="246"/>
      <c r="L19" s="246"/>
      <c r="M19" s="124">
        <f>+K19+'26'!M19+L19</f>
        <v>32713</v>
      </c>
      <c r="U19" s="156">
        <f>+U18*(480)</f>
        <v>178.8235294117647</v>
      </c>
    </row>
    <row r="20" spans="1:22" ht="13.5" thickBot="1">
      <c r="A20" s="806"/>
      <c r="B20" s="222"/>
      <c r="C20" s="223"/>
      <c r="D20" s="224"/>
      <c r="E20" s="232"/>
      <c r="F20" s="235">
        <v>179</v>
      </c>
      <c r="G20" s="239" t="s">
        <v>89</v>
      </c>
      <c r="H20" s="240"/>
      <c r="I20" s="804"/>
      <c r="J20" s="221" t="str">
        <f>+'26'!J20</f>
        <v>T 20 RC HW</v>
      </c>
      <c r="K20" s="246"/>
      <c r="L20" s="246"/>
      <c r="M20" s="124">
        <f>+K20+'26'!M20+L20</f>
        <v>12647</v>
      </c>
      <c r="U20" s="156">
        <f>+U19</f>
        <v>178.8235294117647</v>
      </c>
    </row>
    <row r="21" spans="1:22" ht="13.5" thickBot="1">
      <c r="A21" s="806"/>
      <c r="B21" s="222"/>
      <c r="C21" s="223"/>
      <c r="D21" s="224"/>
      <c r="E21" s="232"/>
      <c r="F21" s="238"/>
      <c r="G21" s="239"/>
      <c r="H21" s="240"/>
      <c r="I21" s="804"/>
      <c r="J21" s="221" t="str">
        <f>+'26'!J21</f>
        <v>T 13 RC HW</v>
      </c>
      <c r="K21" s="246"/>
      <c r="L21" s="246"/>
      <c r="M21" s="124">
        <f>+K21+'26'!M21+L21</f>
        <v>56241</v>
      </c>
    </row>
    <row r="22" spans="1:22" ht="13.5" thickBot="1">
      <c r="A22" s="806"/>
      <c r="B22" s="222"/>
      <c r="C22" s="223"/>
      <c r="D22" s="224"/>
      <c r="E22" s="232"/>
      <c r="F22" s="243"/>
      <c r="G22" s="239"/>
      <c r="H22" s="240"/>
      <c r="I22" s="805"/>
      <c r="J22" s="221">
        <f>+'26'!J22</f>
        <v>0</v>
      </c>
      <c r="K22" s="246"/>
      <c r="L22" s="246"/>
      <c r="M22" s="124">
        <f>+K22+'26'!M22+L22</f>
        <v>0</v>
      </c>
    </row>
    <row r="23" spans="1:22" ht="13.5" thickBot="1">
      <c r="A23" s="807"/>
      <c r="B23" s="172" t="s">
        <v>3</v>
      </c>
      <c r="C23" s="107">
        <f>SUM(C16:C22)</f>
        <v>12570</v>
      </c>
      <c r="D23" s="118">
        <f>SUM(D16:D22)</f>
        <v>0</v>
      </c>
      <c r="E23" s="119">
        <f>SUM(E18:E22)</f>
        <v>0</v>
      </c>
      <c r="F23" s="109">
        <f>SUM(F15:F22)</f>
        <v>195</v>
      </c>
      <c r="G23" s="166"/>
      <c r="H23" s="173"/>
      <c r="I23" s="176"/>
      <c r="J23" s="221">
        <f>+'26'!J23</f>
        <v>0</v>
      </c>
      <c r="K23" s="246"/>
      <c r="L23" s="246"/>
      <c r="M23" s="124">
        <f>+K23+'26'!M23+L23</f>
        <v>0</v>
      </c>
    </row>
    <row r="24" spans="1:22" ht="13.5" customHeight="1" thickBot="1">
      <c r="A24" s="800" t="s">
        <v>440</v>
      </c>
      <c r="B24" s="177"/>
      <c r="C24" s="120">
        <f>C23/($C$23+$D$23+$E$23)</f>
        <v>1</v>
      </c>
      <c r="D24" s="121">
        <f>D23/($C$23+$D$23+$E$23)</f>
        <v>0</v>
      </c>
      <c r="E24" s="122">
        <f>E23/($C$23+$D$23+$E$23)</f>
        <v>0</v>
      </c>
      <c r="F24" s="235"/>
      <c r="G24" s="236" t="s">
        <v>13</v>
      </c>
      <c r="H24" s="237" t="s">
        <v>386</v>
      </c>
      <c r="I24" s="803" t="s">
        <v>775</v>
      </c>
      <c r="J24" s="221">
        <f>+'26'!J24</f>
        <v>0</v>
      </c>
      <c r="K24" s="246"/>
      <c r="L24" s="246"/>
      <c r="M24" s="124">
        <f>+K24+'26'!M24+L24</f>
        <v>0</v>
      </c>
    </row>
    <row r="25" spans="1:22" ht="13.5" thickBot="1">
      <c r="A25" s="806"/>
      <c r="B25" s="222" t="s">
        <v>623</v>
      </c>
      <c r="C25" s="233">
        <v>12407</v>
      </c>
      <c r="D25" s="224"/>
      <c r="E25" s="232"/>
      <c r="F25" s="238">
        <v>3</v>
      </c>
      <c r="G25" s="582" t="s">
        <v>13</v>
      </c>
      <c r="H25" s="237" t="s">
        <v>501</v>
      </c>
      <c r="I25" s="804"/>
      <c r="J25" s="221">
        <f>+'26'!J25</f>
        <v>0</v>
      </c>
      <c r="K25" s="246"/>
      <c r="L25" s="246"/>
      <c r="M25" s="124">
        <f>+K25+'26'!M25+L25</f>
        <v>0</v>
      </c>
    </row>
    <row r="26" spans="1:22" ht="13.5" thickBot="1">
      <c r="A26" s="806"/>
      <c r="B26" s="222"/>
      <c r="C26" s="233"/>
      <c r="D26" s="224"/>
      <c r="E26" s="234"/>
      <c r="F26" s="235">
        <v>5</v>
      </c>
      <c r="G26" s="582" t="s">
        <v>13</v>
      </c>
      <c r="H26" s="240" t="s">
        <v>586</v>
      </c>
      <c r="I26" s="804"/>
      <c r="J26" s="221">
        <f>+'26'!J26</f>
        <v>0</v>
      </c>
      <c r="K26" s="246"/>
      <c r="L26" s="246"/>
      <c r="M26" s="124">
        <f>+K26+'26'!M26+L26</f>
        <v>0</v>
      </c>
    </row>
    <row r="27" spans="1:22" ht="26.25" thickBot="1">
      <c r="A27" s="806"/>
      <c r="B27" s="222"/>
      <c r="C27" s="223"/>
      <c r="D27" s="224"/>
      <c r="E27" s="232"/>
      <c r="F27" s="235">
        <v>8</v>
      </c>
      <c r="G27" s="244" t="s">
        <v>14</v>
      </c>
      <c r="H27" s="240" t="s">
        <v>768</v>
      </c>
      <c r="I27" s="804"/>
      <c r="J27" s="221">
        <f>+'26'!J27</f>
        <v>0</v>
      </c>
      <c r="K27" s="246"/>
      <c r="L27" s="246"/>
      <c r="M27" s="124">
        <f>+K27+'26'!M27+L27</f>
        <v>0</v>
      </c>
    </row>
    <row r="28" spans="1:22" ht="64.5" thickBot="1">
      <c r="A28" s="806"/>
      <c r="B28" s="222"/>
      <c r="C28" s="223"/>
      <c r="D28" s="224"/>
      <c r="E28" s="232"/>
      <c r="F28" s="238">
        <v>144</v>
      </c>
      <c r="G28" s="239" t="s">
        <v>89</v>
      </c>
      <c r="H28" s="240" t="s">
        <v>769</v>
      </c>
      <c r="I28" s="804"/>
      <c r="J28" s="221">
        <f>+'26'!J28</f>
        <v>0</v>
      </c>
      <c r="K28" s="246"/>
      <c r="L28" s="246"/>
      <c r="M28" s="124">
        <f>+K28+'26'!M28+L28</f>
        <v>0</v>
      </c>
      <c r="Q28" s="183">
        <f>SUM(Q18:Q26)</f>
        <v>480</v>
      </c>
      <c r="R28" s="183">
        <f>SUM(R18:R26)</f>
        <v>384000</v>
      </c>
      <c r="S28" s="183">
        <f>SUM(S18:S26)</f>
        <v>299520</v>
      </c>
    </row>
    <row r="29" spans="1:22" ht="13.5" thickBot="1">
      <c r="A29" s="806"/>
      <c r="B29" s="222"/>
      <c r="C29" s="223"/>
      <c r="D29" s="224"/>
      <c r="E29" s="232"/>
      <c r="F29" s="243"/>
      <c r="G29" s="239"/>
      <c r="H29" s="240"/>
      <c r="I29" s="804"/>
      <c r="J29" s="221">
        <f>+'26'!J29</f>
        <v>0</v>
      </c>
      <c r="K29" s="246"/>
      <c r="L29" s="246"/>
      <c r="M29" s="124">
        <f>+K29+'26'!M29+L29</f>
        <v>0</v>
      </c>
      <c r="Q29" s="156">
        <f>480-Q28</f>
        <v>0</v>
      </c>
      <c r="R29" s="183">
        <f>+R28/Q28</f>
        <v>800</v>
      </c>
      <c r="S29" s="183">
        <f>+S28/Q28</f>
        <v>624</v>
      </c>
    </row>
    <row r="30" spans="1:22" ht="13.5" thickBot="1">
      <c r="A30" s="806"/>
      <c r="B30" s="222"/>
      <c r="C30" s="233"/>
      <c r="D30" s="224"/>
      <c r="E30" s="232"/>
      <c r="F30" s="243"/>
      <c r="G30" s="239"/>
      <c r="H30" s="240"/>
      <c r="I30" s="804"/>
      <c r="J30" s="221">
        <f>+'26'!J30</f>
        <v>0</v>
      </c>
      <c r="K30" s="246"/>
      <c r="L30" s="246"/>
      <c r="M30" s="124">
        <f>+K30+'26'!M30+L30</f>
        <v>0</v>
      </c>
      <c r="N30" s="162"/>
    </row>
    <row r="31" spans="1:22" ht="13.5" customHeight="1" thickBot="1">
      <c r="A31" s="806"/>
      <c r="B31" s="222"/>
      <c r="C31" s="233"/>
      <c r="D31" s="224"/>
      <c r="E31" s="232"/>
      <c r="F31" s="243"/>
      <c r="G31" s="244"/>
      <c r="H31" s="241"/>
      <c r="I31" s="805"/>
      <c r="J31" s="221">
        <f>+'26'!J31</f>
        <v>0</v>
      </c>
      <c r="K31" s="246"/>
      <c r="L31" s="246"/>
      <c r="M31" s="124">
        <f>+K31+'26'!M31+L31</f>
        <v>0</v>
      </c>
      <c r="N31" s="156" t="s">
        <v>615</v>
      </c>
      <c r="O31" s="156">
        <v>800</v>
      </c>
      <c r="P31" s="156">
        <f>+O31-(O31*0.22)</f>
        <v>624</v>
      </c>
      <c r="Q31" s="156">
        <v>20</v>
      </c>
      <c r="R31" s="156">
        <f t="shared" ref="R31:R33" si="4">+O31*Q31</f>
        <v>16000</v>
      </c>
      <c r="S31" s="156">
        <f t="shared" ref="S31:S33" si="5">+P31*Q31</f>
        <v>12480</v>
      </c>
      <c r="U31" s="156">
        <f>+(1275-V31)/1275</f>
        <v>0.30065359477124187</v>
      </c>
      <c r="V31" s="156">
        <v>891.66666666666663</v>
      </c>
    </row>
    <row r="32" spans="1:22" ht="13.5" thickBot="1">
      <c r="A32" s="807"/>
      <c r="B32" s="172" t="s">
        <v>3</v>
      </c>
      <c r="C32" s="106">
        <f>SUM(C25:C31)</f>
        <v>12407</v>
      </c>
      <c r="D32" s="107">
        <f>SUM(D25:D31)</f>
        <v>0</v>
      </c>
      <c r="E32" s="108">
        <f>SUM(E25:E31)</f>
        <v>0</v>
      </c>
      <c r="F32" s="109">
        <f>SUM(F24:F31)</f>
        <v>160</v>
      </c>
      <c r="G32" s="178"/>
      <c r="H32" s="179"/>
      <c r="I32" s="176"/>
      <c r="J32" s="221">
        <f>+'26'!J32</f>
        <v>0</v>
      </c>
      <c r="K32" s="248"/>
      <c r="L32" s="250"/>
      <c r="M32" s="124">
        <f>+K32+'26'!M32+L32</f>
        <v>0</v>
      </c>
      <c r="O32" s="156">
        <v>900</v>
      </c>
      <c r="P32" s="156">
        <f>+O32-(O32*0.22)</f>
        <v>702</v>
      </c>
      <c r="Q32" s="156">
        <v>440</v>
      </c>
      <c r="R32" s="156">
        <f t="shared" si="4"/>
        <v>396000</v>
      </c>
      <c r="S32" s="156">
        <f t="shared" si="5"/>
        <v>308880</v>
      </c>
      <c r="U32" s="156">
        <f>+U31*(480)</f>
        <v>144.31372549019611</v>
      </c>
    </row>
    <row r="33" spans="1:21" ht="13.5" thickBot="1">
      <c r="A33" s="180"/>
      <c r="B33" s="181"/>
      <c r="C33" s="110">
        <f>C32/($C$32+$D$32+$E$32)</f>
        <v>1</v>
      </c>
      <c r="D33" s="111">
        <f>D32/($C$32+$D$32+$E$32)</f>
        <v>0</v>
      </c>
      <c r="E33" s="112">
        <f>E32/($C$32+$D$32+$E$32)</f>
        <v>0</v>
      </c>
      <c r="F33" s="113"/>
      <c r="G33" s="182"/>
      <c r="H33" s="183"/>
      <c r="I33" s="184"/>
      <c r="J33" s="128"/>
      <c r="K33" s="129"/>
      <c r="L33" s="220"/>
      <c r="M33" s="126"/>
      <c r="O33" s="156">
        <v>800</v>
      </c>
      <c r="P33" s="156">
        <f>+O33-(O33*0.22)</f>
        <v>624</v>
      </c>
      <c r="Q33" s="156">
        <f>60-40</f>
        <v>20</v>
      </c>
      <c r="R33" s="156">
        <f t="shared" si="4"/>
        <v>16000</v>
      </c>
      <c r="S33" s="156">
        <f t="shared" si="5"/>
        <v>12480</v>
      </c>
      <c r="U33" s="156">
        <f>+U32</f>
        <v>144.31372549019611</v>
      </c>
    </row>
    <row r="34" spans="1:21" ht="13.5" thickBot="1">
      <c r="A34" s="808" t="s">
        <v>70</v>
      </c>
      <c r="B34" s="809"/>
      <c r="C34" s="114">
        <f>C14+C23+C32</f>
        <v>34753</v>
      </c>
      <c r="D34" s="114">
        <f>D14+D23+D32</f>
        <v>0</v>
      </c>
      <c r="E34" s="114">
        <f>E14+E23+E32</f>
        <v>0</v>
      </c>
      <c r="F34" s="115">
        <f>F14+F23+F32</f>
        <v>471</v>
      </c>
      <c r="H34" s="185"/>
      <c r="I34" s="185"/>
      <c r="J34" s="130" t="s">
        <v>29</v>
      </c>
      <c r="K34" s="131">
        <f>SUM(K7:K32)</f>
        <v>34753</v>
      </c>
      <c r="L34" s="219">
        <f>SUM(L7:L32)</f>
        <v>0</v>
      </c>
      <c r="M34" s="127">
        <f>SUM(M7:M32)</f>
        <v>1215337</v>
      </c>
    </row>
    <row r="35" spans="1:21" ht="13.5" thickBot="1">
      <c r="A35" s="186"/>
      <c r="B35" s="187"/>
      <c r="C35" s="111">
        <f>C34/($C$34+$D$34+$E$34)</f>
        <v>1</v>
      </c>
      <c r="D35" s="111">
        <f>D34/($C$34+$D$34+$E$34)</f>
        <v>0</v>
      </c>
      <c r="E35" s="116">
        <f>E34/($C$34+$D$34+$E$34)</f>
        <v>0</v>
      </c>
      <c r="K35" s="162"/>
      <c r="L35" s="799" t="s">
        <v>184</v>
      </c>
      <c r="M35" s="799"/>
    </row>
    <row r="36" spans="1:21" ht="13.5" thickBot="1">
      <c r="A36" s="185"/>
      <c r="B36" s="185"/>
      <c r="C36" s="162"/>
      <c r="D36" s="162"/>
      <c r="E36" s="162"/>
      <c r="G36" s="162"/>
      <c r="H36" s="188"/>
      <c r="I36" s="169" t="s">
        <v>41</v>
      </c>
      <c r="J36" s="169" t="s">
        <v>42</v>
      </c>
      <c r="K36" s="189"/>
      <c r="L36" s="169" t="s">
        <v>41</v>
      </c>
      <c r="M36" s="169" t="s">
        <v>42</v>
      </c>
    </row>
    <row r="37" spans="1:21" ht="17.45" customHeight="1" thickBot="1">
      <c r="A37" s="797" t="s">
        <v>71</v>
      </c>
      <c r="B37" s="798"/>
      <c r="C37" s="169" t="s">
        <v>72</v>
      </c>
      <c r="D37" s="190" t="s">
        <v>73</v>
      </c>
      <c r="E37" s="191" t="s">
        <v>74</v>
      </c>
      <c r="F37" s="375"/>
      <c r="G37" s="370"/>
      <c r="H37" s="193" t="s">
        <v>75</v>
      </c>
      <c r="I37" s="251">
        <f>(14*1440)/1440*G42*2.75*1440/1000000</f>
        <v>38.769931199999995</v>
      </c>
      <c r="J37" s="132">
        <f>+I37+'26'!J37</f>
        <v>1330.9210998721185</v>
      </c>
      <c r="K37" s="133" t="s">
        <v>76</v>
      </c>
      <c r="L37" s="429"/>
      <c r="M37" s="430"/>
    </row>
    <row r="38" spans="1:21" ht="17.45" customHeight="1">
      <c r="A38" s="793" t="s">
        <v>13</v>
      </c>
      <c r="B38" s="794"/>
      <c r="C38" s="171">
        <f>SUMIF($G$7:$G$31,"Process",$F$7:$F$31)</f>
        <v>28</v>
      </c>
      <c r="D38" s="125">
        <f>+C38+'26'!D38</f>
        <v>1295</v>
      </c>
      <c r="E38" s="150">
        <f t="shared" ref="E38:E51" si="6">D38/60</f>
        <v>21.583333333333332</v>
      </c>
      <c r="F38" s="368">
        <v>998</v>
      </c>
      <c r="G38" s="368">
        <v>778.43999999999994</v>
      </c>
      <c r="H38" s="194" t="s">
        <v>77</v>
      </c>
      <c r="I38" s="551">
        <f>12.736+10.28+12.083</f>
        <v>35.098999999999997</v>
      </c>
      <c r="J38" s="134">
        <f>+I38+'26'!J38</f>
        <v>1247.4129999999998</v>
      </c>
      <c r="K38" s="135" t="s">
        <v>76</v>
      </c>
      <c r="L38" s="431"/>
      <c r="M38" s="432"/>
    </row>
    <row r="39" spans="1:21" ht="17.45" customHeight="1">
      <c r="A39" s="789" t="s">
        <v>14</v>
      </c>
      <c r="B39" s="790"/>
      <c r="C39" s="171">
        <f>SUMIF($G$7:$G$31,"Cleaning",$F$7:$F$31)</f>
        <v>16</v>
      </c>
      <c r="D39" s="125">
        <f>+C39+'26'!D39</f>
        <v>254</v>
      </c>
      <c r="E39" s="150">
        <f t="shared" si="6"/>
        <v>4.2333333333333334</v>
      </c>
      <c r="F39" s="368">
        <v>800</v>
      </c>
      <c r="G39" s="368">
        <v>624</v>
      </c>
      <c r="H39" s="194" t="s">
        <v>78</v>
      </c>
      <c r="I39" s="149"/>
      <c r="J39" s="136">
        <f>J37/G4</f>
        <v>49.293374069337723</v>
      </c>
      <c r="K39" s="137" t="s">
        <v>76</v>
      </c>
      <c r="L39" s="431"/>
      <c r="M39" s="432"/>
    </row>
    <row r="40" spans="1:21" ht="17.45" customHeight="1">
      <c r="A40" s="789" t="s">
        <v>79</v>
      </c>
      <c r="B40" s="790"/>
      <c r="C40" s="171">
        <f>SUMIF($G$7:$G$31,"Mechanical",$F$7:$F$31)</f>
        <v>0</v>
      </c>
      <c r="D40" s="125">
        <f>+C40+'26'!D40</f>
        <v>133</v>
      </c>
      <c r="E40" s="150">
        <f t="shared" si="6"/>
        <v>2.2166666666666668</v>
      </c>
      <c r="F40" s="368">
        <v>891.66666666666663</v>
      </c>
      <c r="G40" s="368">
        <v>695.5</v>
      </c>
      <c r="H40" s="194" t="s">
        <v>80</v>
      </c>
      <c r="I40" s="125">
        <f>(K34+L34)/1000</f>
        <v>34.753</v>
      </c>
      <c r="J40" s="138">
        <f>+I40+'26'!J40</f>
        <v>1215.3369999999998</v>
      </c>
      <c r="K40" s="137" t="s">
        <v>76</v>
      </c>
      <c r="L40" s="431"/>
      <c r="M40" s="432"/>
    </row>
    <row r="41" spans="1:21" ht="17.45" customHeight="1">
      <c r="A41" s="789" t="s">
        <v>81</v>
      </c>
      <c r="B41" s="790"/>
      <c r="C41" s="171">
        <f>SUMIF($G$7:$G$31,"Electrical",$F$7:$F$31)</f>
        <v>0</v>
      </c>
      <c r="D41" s="125">
        <f>+C41+'26'!D41</f>
        <v>549</v>
      </c>
      <c r="E41" s="150">
        <f t="shared" si="6"/>
        <v>9.15</v>
      </c>
      <c r="F41" s="368"/>
      <c r="G41" s="368"/>
      <c r="H41" s="194" t="s">
        <v>82</v>
      </c>
      <c r="I41" s="149"/>
      <c r="J41" s="136">
        <f>J40/G4</f>
        <v>45.012481481481473</v>
      </c>
      <c r="K41" s="137" t="s">
        <v>76</v>
      </c>
      <c r="L41" s="431"/>
      <c r="M41" s="432"/>
      <c r="Q41" s="183">
        <f>SUM(Q31:Q39)</f>
        <v>480</v>
      </c>
      <c r="R41" s="183">
        <f>SUM(R31:R39)</f>
        <v>428000</v>
      </c>
      <c r="S41" s="183">
        <f>SUM(S31:S39)</f>
        <v>333840</v>
      </c>
    </row>
    <row r="42" spans="1:21" ht="17.45" customHeight="1">
      <c r="A42" s="789" t="s">
        <v>17</v>
      </c>
      <c r="B42" s="790"/>
      <c r="C42" s="171">
        <f>SUMIF($G$7:$G$31,"Instrument",$F$7:$F$31)</f>
        <v>0</v>
      </c>
      <c r="D42" s="125">
        <f>+C42+'26'!D42</f>
        <v>0</v>
      </c>
      <c r="E42" s="150">
        <f t="shared" si="6"/>
        <v>0</v>
      </c>
      <c r="F42" s="368">
        <f>+(F38*480+F39*480+F40*480)/1440</f>
        <v>896.55555555555554</v>
      </c>
      <c r="G42" s="368">
        <f>+(G38*480+G39*480+G40*480)/1440</f>
        <v>699.31333333333328</v>
      </c>
      <c r="H42" s="194" t="s">
        <v>83</v>
      </c>
      <c r="I42" s="253" t="s">
        <v>776</v>
      </c>
      <c r="J42" s="139"/>
      <c r="K42" s="137" t="s">
        <v>84</v>
      </c>
      <c r="L42" s="431"/>
      <c r="M42" s="432"/>
      <c r="Q42" s="156">
        <f>480-Q41</f>
        <v>0</v>
      </c>
      <c r="R42" s="183">
        <f>+R41/Q41</f>
        <v>891.66666666666663</v>
      </c>
      <c r="S42" s="183">
        <f>+S41/Q41</f>
        <v>695.5</v>
      </c>
    </row>
    <row r="43" spans="1:21" ht="17.45" customHeight="1">
      <c r="A43" s="789" t="s">
        <v>85</v>
      </c>
      <c r="B43" s="790"/>
      <c r="C43" s="171">
        <f>SUMIF($G$7:$G$31,"Water",$F$7:$F$31)</f>
        <v>0</v>
      </c>
      <c r="D43" s="125">
        <f>+C43+'26'!D43</f>
        <v>0</v>
      </c>
      <c r="E43" s="150">
        <f t="shared" si="6"/>
        <v>0</v>
      </c>
      <c r="F43" s="368"/>
      <c r="G43" s="369"/>
      <c r="H43" s="195" t="s">
        <v>86</v>
      </c>
      <c r="I43" s="125">
        <f>+Report1!AH35</f>
        <v>74.599999999999994</v>
      </c>
      <c r="J43" s="140">
        <f>+I43+'26'!J43</f>
        <v>1742.1</v>
      </c>
      <c r="K43" s="137" t="s">
        <v>76</v>
      </c>
      <c r="L43" s="433">
        <f>+Report1!AN35</f>
        <v>0</v>
      </c>
      <c r="M43" s="434">
        <f>+L43+'26'!M43</f>
        <v>9</v>
      </c>
    </row>
    <row r="44" spans="1:21" ht="17.45" customHeight="1">
      <c r="A44" s="789" t="s">
        <v>18</v>
      </c>
      <c r="B44" s="790"/>
      <c r="C44" s="171">
        <f>SUMIF($G$7:$G$31,"PLN",$F$7:$F$31)</f>
        <v>0</v>
      </c>
      <c r="D44" s="125">
        <f>+C44+'26'!D44</f>
        <v>0</v>
      </c>
      <c r="E44" s="150">
        <f t="shared" si="6"/>
        <v>0</v>
      </c>
      <c r="F44" s="368"/>
      <c r="G44" s="369"/>
      <c r="H44" s="195" t="s">
        <v>87</v>
      </c>
      <c r="I44" s="125">
        <f>I43/I38</f>
        <v>2.1254166785378503</v>
      </c>
      <c r="J44" s="141">
        <f>J43/J38</f>
        <v>1.3965703419797615</v>
      </c>
      <c r="K44" s="137" t="s">
        <v>76</v>
      </c>
      <c r="L44" s="435">
        <f>+L43/I38</f>
        <v>0</v>
      </c>
      <c r="M44" s="436">
        <f>+M43/J38</f>
        <v>7.2149320233154549E-3</v>
      </c>
    </row>
    <row r="45" spans="1:21" ht="17.45" customHeight="1">
      <c r="A45" s="789" t="s">
        <v>19</v>
      </c>
      <c r="B45" s="790"/>
      <c r="C45" s="171">
        <f>SUMIF($G$7:$G$31,"Boiler",$F$7:$F$31)</f>
        <v>0</v>
      </c>
      <c r="D45" s="125">
        <f>+C45+'26'!D45</f>
        <v>0</v>
      </c>
      <c r="E45" s="150">
        <f t="shared" si="6"/>
        <v>0</v>
      </c>
      <c r="F45" s="368"/>
      <c r="G45" s="371"/>
      <c r="H45" s="195" t="s">
        <v>88</v>
      </c>
      <c r="I45" s="125">
        <f>I43/I40</f>
        <v>2.1465772739044109</v>
      </c>
      <c r="J45" s="141">
        <f>J43/J40</f>
        <v>1.433429575500458</v>
      </c>
      <c r="K45" s="137" t="s">
        <v>76</v>
      </c>
      <c r="L45" s="435">
        <f>+L43/I40</f>
        <v>0</v>
      </c>
      <c r="M45" s="436">
        <f>+M43/J40</f>
        <v>7.4053534122634317E-3</v>
      </c>
    </row>
    <row r="46" spans="1:21" ht="17.45" customHeight="1">
      <c r="A46" s="789" t="s">
        <v>89</v>
      </c>
      <c r="B46" s="790"/>
      <c r="C46" s="171">
        <f>SUMIF($G$7:$G$31,"Gas",$F$7:$F$31)</f>
        <v>427</v>
      </c>
      <c r="D46" s="125">
        <f>+C46+'26'!D46</f>
        <v>1700</v>
      </c>
      <c r="E46" s="150">
        <f t="shared" si="6"/>
        <v>28.333333333333332</v>
      </c>
      <c r="F46" s="368"/>
      <c r="G46" s="369"/>
      <c r="H46" s="195" t="s">
        <v>90</v>
      </c>
      <c r="I46" s="147">
        <f>+SUMIF(Listrik!P34,"&gt;0")</f>
        <v>37403.019999999997</v>
      </c>
      <c r="J46" s="142">
        <f>+I46+'26'!J46</f>
        <v>1088114.7</v>
      </c>
      <c r="K46" s="137" t="s">
        <v>91</v>
      </c>
      <c r="L46" s="435">
        <f>+Listrik!AF34</f>
        <v>0</v>
      </c>
      <c r="M46" s="437">
        <f>+L46+'26'!M46</f>
        <v>0</v>
      </c>
    </row>
    <row r="47" spans="1:21" ht="17.45" customHeight="1">
      <c r="A47" s="789" t="s">
        <v>92</v>
      </c>
      <c r="B47" s="790"/>
      <c r="C47" s="171">
        <f>SUMIF($G$7:$G$31,"Power Plant",$F$7:$F$31)</f>
        <v>0</v>
      </c>
      <c r="D47" s="125">
        <f>+C47+'26'!D47</f>
        <v>0</v>
      </c>
      <c r="E47" s="150">
        <f t="shared" si="6"/>
        <v>0</v>
      </c>
      <c r="F47" s="368"/>
      <c r="G47" s="369"/>
      <c r="H47" s="195" t="s">
        <v>93</v>
      </c>
      <c r="I47" s="125">
        <f>I46/I38</f>
        <v>1065.6434656258014</v>
      </c>
      <c r="J47" s="142">
        <f>J46/J38</f>
        <v>872.29706600780992</v>
      </c>
      <c r="K47" s="137" t="s">
        <v>25</v>
      </c>
      <c r="L47" s="435">
        <f>+L46/I38</f>
        <v>0</v>
      </c>
      <c r="M47" s="436">
        <f>+M46/J38</f>
        <v>0</v>
      </c>
    </row>
    <row r="48" spans="1:21" ht="17.45" customHeight="1">
      <c r="A48" s="789" t="s">
        <v>15</v>
      </c>
      <c r="B48" s="790"/>
      <c r="C48" s="171">
        <f>SUMIF($G$7:$G$31,"Start Up",$F$7:$F$31)</f>
        <v>0</v>
      </c>
      <c r="D48" s="125">
        <f>+C48+'26'!D48</f>
        <v>0</v>
      </c>
      <c r="E48" s="150">
        <f t="shared" si="6"/>
        <v>0</v>
      </c>
      <c r="F48" s="368"/>
      <c r="G48" s="369"/>
      <c r="H48" s="195" t="s">
        <v>94</v>
      </c>
      <c r="I48" s="125">
        <f>I46/I40</f>
        <v>1076.2529853537824</v>
      </c>
      <c r="J48" s="142">
        <f>J46/J40</f>
        <v>895.31932295322213</v>
      </c>
      <c r="K48" s="137" t="s">
        <v>25</v>
      </c>
      <c r="L48" s="435">
        <f>+L46/I38</f>
        <v>0</v>
      </c>
      <c r="M48" s="436">
        <f>+M46/J40</f>
        <v>0</v>
      </c>
    </row>
    <row r="49" spans="1:13" ht="17.45" customHeight="1">
      <c r="A49" s="789" t="s">
        <v>21</v>
      </c>
      <c r="B49" s="790"/>
      <c r="C49" s="171">
        <f>SUMIF($G$7:$G$31,"Others",$F$7:$F$31)</f>
        <v>0</v>
      </c>
      <c r="D49" s="125">
        <f>+C49+'26'!D49</f>
        <v>677</v>
      </c>
      <c r="E49" s="150">
        <f t="shared" si="6"/>
        <v>11.283333333333333</v>
      </c>
      <c r="F49" s="192"/>
      <c r="H49" s="195" t="s">
        <v>95</v>
      </c>
      <c r="I49" s="125">
        <f>+Report1!AB35</f>
        <v>548.90238635136598</v>
      </c>
      <c r="J49" s="142">
        <f>+I49+'26'!J49</f>
        <v>116514.9701754837</v>
      </c>
      <c r="K49" s="137" t="s">
        <v>96</v>
      </c>
      <c r="L49" s="431"/>
      <c r="M49" s="432"/>
    </row>
    <row r="50" spans="1:13" ht="17.45" customHeight="1">
      <c r="A50" s="789" t="s">
        <v>20</v>
      </c>
      <c r="B50" s="790"/>
      <c r="C50" s="171">
        <f>SUMIF($G$7:$G$31,"Steam",$F$7:$F$31)</f>
        <v>0</v>
      </c>
      <c r="D50" s="125">
        <f>+C50+'26'!D50</f>
        <v>0</v>
      </c>
      <c r="E50" s="150">
        <f t="shared" si="6"/>
        <v>0</v>
      </c>
      <c r="F50" s="192"/>
      <c r="H50" s="195" t="s">
        <v>97</v>
      </c>
      <c r="I50" s="147">
        <f>I49/I38</f>
        <v>15.638690172123594</v>
      </c>
      <c r="J50" s="140">
        <f>J49/J38</f>
        <v>93.405287723860283</v>
      </c>
      <c r="K50" s="137" t="s">
        <v>96</v>
      </c>
      <c r="L50" s="431"/>
      <c r="M50" s="432"/>
    </row>
    <row r="51" spans="1:13" ht="17.45" customHeight="1" thickBot="1">
      <c r="A51" s="791" t="s">
        <v>98</v>
      </c>
      <c r="B51" s="792"/>
      <c r="C51" s="171">
        <f>SUMIF($G$7:$G$31,"Planned shut",$F$7:$F$31)</f>
        <v>0</v>
      </c>
      <c r="D51" s="125">
        <f>+C51+'26'!D51</f>
        <v>394</v>
      </c>
      <c r="E51" s="150">
        <f t="shared" si="6"/>
        <v>6.5666666666666664</v>
      </c>
      <c r="F51" s="192"/>
      <c r="H51" s="197" t="s">
        <v>99</v>
      </c>
      <c r="I51" s="148">
        <f>I49/I40</f>
        <v>15.794388580881247</v>
      </c>
      <c r="J51" s="143">
        <f>J49/J40</f>
        <v>95.870503552087797</v>
      </c>
      <c r="K51" s="144" t="s">
        <v>96</v>
      </c>
      <c r="L51" s="431"/>
      <c r="M51" s="432"/>
    </row>
    <row r="52" spans="1:13" ht="13.5" thickBot="1">
      <c r="A52" s="793" t="s">
        <v>29</v>
      </c>
      <c r="B52" s="794"/>
      <c r="C52" s="151">
        <f>SUM(C38:C51)</f>
        <v>471</v>
      </c>
      <c r="D52" s="151">
        <f>SUM(D38:D51)</f>
        <v>5002</v>
      </c>
      <c r="E52" s="152">
        <f>SUM(E38:E51)</f>
        <v>83.36666666666666</v>
      </c>
      <c r="F52" s="192"/>
      <c r="H52" s="198"/>
      <c r="I52" s="199"/>
      <c r="J52" s="145"/>
      <c r="K52" s="146"/>
      <c r="L52" s="438"/>
      <c r="M52" s="439"/>
    </row>
    <row r="53" spans="1:13" ht="13.5" thickBot="1">
      <c r="A53" s="795"/>
      <c r="B53" s="796"/>
      <c r="C53" s="153">
        <f>C52/(24*60)</f>
        <v>0.32708333333333334</v>
      </c>
      <c r="D53" s="153">
        <f>D52/(24*60*G4)</f>
        <v>0.1286522633744856</v>
      </c>
      <c r="E53" s="154">
        <f>E52/(G4*24)</f>
        <v>0.1286522633744856</v>
      </c>
      <c r="F53" s="192"/>
    </row>
    <row r="54" spans="1:13">
      <c r="E54" s="200"/>
      <c r="F54" s="192"/>
    </row>
    <row r="55" spans="1:13">
      <c r="E55" s="200"/>
    </row>
    <row r="56" spans="1:13">
      <c r="A56" s="201" t="s">
        <v>100</v>
      </c>
      <c r="B56" s="202"/>
      <c r="C56" s="203"/>
      <c r="D56" s="203"/>
      <c r="E56" s="203"/>
      <c r="F56" s="204"/>
      <c r="G56" s="203"/>
      <c r="H56" s="205"/>
      <c r="I56" s="206" t="s">
        <v>101</v>
      </c>
      <c r="J56" s="207">
        <f>+D34+'26'!J56</f>
        <v>5317</v>
      </c>
      <c r="K56" s="208">
        <f>J56/(J40+J56/1000)/1000</f>
        <v>4.3558616938133166E-3</v>
      </c>
    </row>
    <row r="57" spans="1:13">
      <c r="A57" s="183"/>
      <c r="I57" s="206" t="s">
        <v>102</v>
      </c>
      <c r="J57" s="207">
        <f>+E34+'26'!J57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U61"/>
  <sheetViews>
    <sheetView topLeftCell="M13" zoomScale="80" zoomScaleNormal="80" workbookViewId="0">
      <selection activeCell="T30" sqref="T30:U32"/>
    </sheetView>
  </sheetViews>
  <sheetFormatPr defaultColWidth="9.140625" defaultRowHeight="12.75"/>
  <cols>
    <col min="1" max="1" width="8" style="156" customWidth="1"/>
    <col min="2" max="2" width="7" style="156" bestFit="1" customWidth="1"/>
    <col min="3" max="3" width="1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1.7109375" style="156" bestFit="1" customWidth="1"/>
    <col min="11" max="11" width="14" style="156" bestFit="1" customWidth="1"/>
    <col min="12" max="12" width="8.28515625" style="156" customWidth="1"/>
    <col min="13" max="13" width="14.42578125" style="156" bestFit="1" customWidth="1"/>
    <col min="14" max="16384" width="9.140625" style="156"/>
  </cols>
  <sheetData>
    <row r="1" spans="1:21" ht="15.75">
      <c r="A1" s="155"/>
    </row>
    <row r="2" spans="1:21" ht="15.75">
      <c r="A2" s="155" t="s">
        <v>183</v>
      </c>
    </row>
    <row r="3" spans="1:21" ht="15">
      <c r="A3" s="157"/>
    </row>
    <row r="4" spans="1:21" ht="20.25">
      <c r="A4" s="158" t="s">
        <v>5</v>
      </c>
      <c r="B4" s="159"/>
      <c r="F4" s="160" t="s">
        <v>30</v>
      </c>
      <c r="G4" s="161">
        <v>26</v>
      </c>
      <c r="H4" s="161" t="str">
        <f>+'1'!H4</f>
        <v>.01.26</v>
      </c>
      <c r="J4" s="156">
        <f>863.2+1042.7+804.5</f>
        <v>2710.4</v>
      </c>
    </row>
    <row r="5" spans="1:21" ht="13.5" thickBot="1">
      <c r="C5" s="162"/>
      <c r="D5" s="162"/>
    </row>
    <row r="6" spans="1:21"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615</v>
      </c>
      <c r="O6" s="156">
        <v>1280</v>
      </c>
      <c r="P6" s="156">
        <f>+O6-(O6*0.21)</f>
        <v>1011.2</v>
      </c>
      <c r="Q6" s="156">
        <f>60*2+16</f>
        <v>136</v>
      </c>
      <c r="R6" s="156">
        <f t="shared" ref="R6" si="0">+O6*Q6</f>
        <v>174080</v>
      </c>
      <c r="S6" s="156">
        <f t="shared" ref="S6" si="1">+P6*Q6</f>
        <v>137523.20000000001</v>
      </c>
      <c r="T6" s="156">
        <f>+(1270-U6)/1270</f>
        <v>8.9946303881826076E-2</v>
      </c>
      <c r="U6" s="156">
        <v>1155.7681940700809</v>
      </c>
    </row>
    <row r="7" spans="1:21" ht="13.5" customHeight="1" thickBot="1">
      <c r="A7" s="800" t="s">
        <v>423</v>
      </c>
      <c r="B7" s="222" t="s">
        <v>623</v>
      </c>
      <c r="C7" s="223">
        <v>11060</v>
      </c>
      <c r="D7" s="224"/>
      <c r="E7" s="225"/>
      <c r="F7" s="235"/>
      <c r="G7" s="236" t="s">
        <v>13</v>
      </c>
      <c r="H7" s="237" t="s">
        <v>386</v>
      </c>
      <c r="I7" s="803" t="s">
        <v>762</v>
      </c>
      <c r="J7" s="221" t="str">
        <f>+'25'!J7</f>
        <v>T 13,5 RC HW</v>
      </c>
      <c r="K7" s="245"/>
      <c r="L7" s="249"/>
      <c r="M7" s="124">
        <f>+K7+'25'!M7+L7</f>
        <v>331081</v>
      </c>
      <c r="N7" s="156" t="s">
        <v>615</v>
      </c>
      <c r="O7" s="156">
        <v>1270</v>
      </c>
      <c r="P7" s="156">
        <f t="shared" ref="P7:P11" si="2">+O7-(O7*0.21)</f>
        <v>1003.3</v>
      </c>
      <c r="Q7" s="156">
        <f>60-16+19</f>
        <v>63</v>
      </c>
      <c r="R7" s="156">
        <f t="shared" ref="R7:R11" si="3">+O7*Q7</f>
        <v>80010</v>
      </c>
      <c r="S7" s="156">
        <f t="shared" ref="S7:S11" si="4">+P7*Q7</f>
        <v>63207.899999999994</v>
      </c>
      <c r="T7" s="156">
        <f>+T6*(371)</f>
        <v>33.370078740157474</v>
      </c>
    </row>
    <row r="8" spans="1:21" ht="13.5" thickBot="1">
      <c r="A8" s="801"/>
      <c r="B8" s="222"/>
      <c r="C8" s="223"/>
      <c r="D8" s="224"/>
      <c r="E8" s="226"/>
      <c r="F8" s="238">
        <v>6</v>
      </c>
      <c r="G8" s="582" t="s">
        <v>13</v>
      </c>
      <c r="H8" s="237" t="s">
        <v>415</v>
      </c>
      <c r="I8" s="804"/>
      <c r="J8" s="221" t="str">
        <f>+'25'!J8</f>
        <v>T 14,5 RC HW</v>
      </c>
      <c r="K8" s="246"/>
      <c r="L8" s="246"/>
      <c r="M8" s="124">
        <f>+K8+'25'!M8+L8</f>
        <v>57466</v>
      </c>
      <c r="O8" s="156">
        <v>1100</v>
      </c>
      <c r="P8" s="156">
        <f t="shared" si="2"/>
        <v>869</v>
      </c>
      <c r="Q8" s="156">
        <f>46-19</f>
        <v>27</v>
      </c>
      <c r="R8" s="156">
        <f t="shared" si="3"/>
        <v>29700</v>
      </c>
      <c r="S8" s="156">
        <f t="shared" si="4"/>
        <v>23463</v>
      </c>
      <c r="T8" s="156">
        <f>+T7</f>
        <v>33.370078740157474</v>
      </c>
    </row>
    <row r="9" spans="1:21" ht="13.5" thickBot="1">
      <c r="A9" s="801"/>
      <c r="B9" s="222"/>
      <c r="C9" s="223"/>
      <c r="D9" s="224"/>
      <c r="E9" s="227"/>
      <c r="F9" s="235">
        <v>10</v>
      </c>
      <c r="G9" s="582" t="s">
        <v>13</v>
      </c>
      <c r="H9" s="240" t="s">
        <v>413</v>
      </c>
      <c r="I9" s="804"/>
      <c r="J9" s="221" t="str">
        <f>+'25'!J9</f>
        <v>TW 17 RC HW</v>
      </c>
      <c r="K9" s="246"/>
      <c r="L9" s="246"/>
      <c r="M9" s="124">
        <f>+K9+'25'!M9+L9</f>
        <v>24830</v>
      </c>
      <c r="O9" s="156">
        <v>1080</v>
      </c>
      <c r="P9" s="156">
        <f t="shared" si="2"/>
        <v>853.2</v>
      </c>
      <c r="Q9" s="156">
        <f>60-46+47</f>
        <v>61</v>
      </c>
      <c r="R9" s="156">
        <f t="shared" si="3"/>
        <v>65880</v>
      </c>
      <c r="S9" s="156">
        <f t="shared" si="4"/>
        <v>52045.200000000004</v>
      </c>
    </row>
    <row r="10" spans="1:21" ht="26.25" thickBot="1">
      <c r="A10" s="801"/>
      <c r="B10" s="222"/>
      <c r="C10" s="223"/>
      <c r="D10" s="224"/>
      <c r="E10" s="226"/>
      <c r="F10" s="235"/>
      <c r="G10" s="244" t="s">
        <v>14</v>
      </c>
      <c r="H10" s="240" t="s">
        <v>758</v>
      </c>
      <c r="I10" s="804"/>
      <c r="J10" s="221" t="str">
        <f>+'25'!J10</f>
        <v>TW 22 RC HW</v>
      </c>
      <c r="K10" s="246"/>
      <c r="L10" s="246"/>
      <c r="M10" s="124">
        <f>+K10+'25'!M10+L10</f>
        <v>24459</v>
      </c>
      <c r="O10" s="156">
        <v>1030</v>
      </c>
      <c r="P10" s="156">
        <f t="shared" si="2"/>
        <v>813.7</v>
      </c>
      <c r="Q10" s="156">
        <f>60-47+34</f>
        <v>47</v>
      </c>
      <c r="R10" s="156">
        <f t="shared" si="3"/>
        <v>48410</v>
      </c>
      <c r="S10" s="156">
        <f t="shared" si="4"/>
        <v>38243.9</v>
      </c>
    </row>
    <row r="11" spans="1:21" ht="90" thickBot="1">
      <c r="A11" s="801"/>
      <c r="B11" s="222"/>
      <c r="C11" s="223"/>
      <c r="D11" s="224"/>
      <c r="E11" s="226"/>
      <c r="F11" s="235">
        <f>60-34+60+23</f>
        <v>109</v>
      </c>
      <c r="G11" s="239" t="s">
        <v>89</v>
      </c>
      <c r="H11" s="240" t="s">
        <v>759</v>
      </c>
      <c r="I11" s="804"/>
      <c r="J11" s="221" t="str">
        <f>+'25'!J11</f>
        <v>TW 14 RC HW</v>
      </c>
      <c r="K11" s="246"/>
      <c r="L11" s="246"/>
      <c r="M11" s="124">
        <f>+K11+'25'!M11+L11</f>
        <v>8043</v>
      </c>
      <c r="O11" s="156">
        <v>830</v>
      </c>
      <c r="P11" s="156">
        <f t="shared" si="2"/>
        <v>655.7</v>
      </c>
      <c r="Q11" s="156">
        <f>60-23</f>
        <v>37</v>
      </c>
      <c r="R11" s="156">
        <f t="shared" si="3"/>
        <v>30710</v>
      </c>
      <c r="S11" s="156">
        <f t="shared" si="4"/>
        <v>24260.9</v>
      </c>
    </row>
    <row r="12" spans="1:21" ht="13.5" thickBot="1">
      <c r="A12" s="801"/>
      <c r="B12" s="222"/>
      <c r="C12" s="223"/>
      <c r="D12" s="224"/>
      <c r="E12" s="226"/>
      <c r="F12" s="235">
        <v>33</v>
      </c>
      <c r="G12" s="239" t="s">
        <v>89</v>
      </c>
      <c r="H12" s="240"/>
      <c r="I12" s="804"/>
      <c r="J12" s="221" t="str">
        <f>+'25'!J12</f>
        <v>TW 29 RC HW</v>
      </c>
      <c r="K12" s="246"/>
      <c r="L12" s="246"/>
      <c r="M12" s="124">
        <f>+K12+'25'!M12+L12</f>
        <v>21439</v>
      </c>
    </row>
    <row r="13" spans="1:21" ht="13.5" thickBot="1">
      <c r="A13" s="801"/>
      <c r="B13" s="222"/>
      <c r="C13" s="223"/>
      <c r="D13" s="223"/>
      <c r="E13" s="226"/>
      <c r="F13" s="235"/>
      <c r="G13" s="239"/>
      <c r="H13" s="240"/>
      <c r="I13" s="805"/>
      <c r="J13" s="221" t="str">
        <f>+'25'!J13</f>
        <v>TW 35,5 RC HW</v>
      </c>
      <c r="K13" s="246"/>
      <c r="L13" s="246"/>
      <c r="M13" s="124">
        <f>+K13+'25'!M13+L13</f>
        <v>2193</v>
      </c>
    </row>
    <row r="14" spans="1:21" ht="13.5" thickBot="1">
      <c r="A14" s="802"/>
      <c r="B14" s="172" t="s">
        <v>3</v>
      </c>
      <c r="C14" s="106">
        <f>SUM(C7:C13)</f>
        <v>11060</v>
      </c>
      <c r="D14" s="118">
        <f>SUM(D7:D13)</f>
        <v>0</v>
      </c>
      <c r="E14" s="119">
        <f>SUM(E5:E13)</f>
        <v>0</v>
      </c>
      <c r="F14" s="109">
        <f>SUM(F6:F13)</f>
        <v>158</v>
      </c>
      <c r="G14" s="166"/>
      <c r="H14" s="173"/>
      <c r="I14" s="174"/>
      <c r="J14" s="221" t="str">
        <f>+'25'!J14</f>
        <v>N 15,5 RC HW</v>
      </c>
      <c r="K14" s="246"/>
      <c r="L14" s="246"/>
      <c r="M14" s="124">
        <f>+K14+'25'!M14+L14</f>
        <v>46927</v>
      </c>
    </row>
    <row r="15" spans="1:21" ht="13.5" customHeight="1" thickBot="1">
      <c r="A15" s="800" t="s">
        <v>424</v>
      </c>
      <c r="B15" s="172"/>
      <c r="C15" s="120">
        <f>C14/($C$23+$D$23+$E$23)</f>
        <v>0.81198149915571549</v>
      </c>
      <c r="D15" s="121">
        <f>D14/($C$23+$D$23+$E$23)</f>
        <v>0</v>
      </c>
      <c r="E15" s="122">
        <f>E14/($C$23+$D$23+$E$23)</f>
        <v>0</v>
      </c>
      <c r="F15" s="235"/>
      <c r="G15" s="236" t="s">
        <v>13</v>
      </c>
      <c r="H15" s="237" t="s">
        <v>386</v>
      </c>
      <c r="I15" s="803" t="s">
        <v>761</v>
      </c>
      <c r="J15" s="221" t="str">
        <f>+'25'!J15</f>
        <v>F 14 RC HW</v>
      </c>
      <c r="K15" s="246"/>
      <c r="L15" s="246"/>
      <c r="M15" s="124">
        <f>+K15+'25'!M15+L15</f>
        <v>4620</v>
      </c>
    </row>
    <row r="16" spans="1:21" ht="13.5" thickBot="1">
      <c r="A16" s="806"/>
      <c r="B16" s="222" t="s">
        <v>623</v>
      </c>
      <c r="C16" s="229">
        <v>13621</v>
      </c>
      <c r="D16" s="230"/>
      <c r="E16" s="231"/>
      <c r="F16" s="238">
        <v>2</v>
      </c>
      <c r="G16" s="582" t="s">
        <v>13</v>
      </c>
      <c r="H16" s="237" t="s">
        <v>501</v>
      </c>
      <c r="I16" s="804"/>
      <c r="J16" s="221" t="str">
        <f>+'25'!J16</f>
        <v>T 15 RC HW</v>
      </c>
      <c r="K16" s="246"/>
      <c r="L16" s="236"/>
      <c r="M16" s="124">
        <f>+K16+'25'!M16+L16</f>
        <v>370116</v>
      </c>
      <c r="Q16" s="183">
        <f>SUM(Q6:Q14)</f>
        <v>371</v>
      </c>
      <c r="R16" s="183">
        <f>SUM(R6:R14)</f>
        <v>428790</v>
      </c>
      <c r="S16" s="183">
        <f>SUM(S6:S14)</f>
        <v>338744.10000000003</v>
      </c>
    </row>
    <row r="17" spans="1:21" ht="13.5" thickBot="1">
      <c r="A17" s="806"/>
      <c r="B17" s="222"/>
      <c r="C17" s="223"/>
      <c r="D17" s="224"/>
      <c r="E17" s="232"/>
      <c r="F17" s="235">
        <v>6</v>
      </c>
      <c r="G17" s="582" t="s">
        <v>13</v>
      </c>
      <c r="H17" s="240" t="s">
        <v>586</v>
      </c>
      <c r="I17" s="804"/>
      <c r="J17" s="221" t="str">
        <f>+'25'!J17</f>
        <v>T 14 RC HW</v>
      </c>
      <c r="K17" s="246">
        <f>+C34</f>
        <v>38465</v>
      </c>
      <c r="L17" s="236"/>
      <c r="M17" s="124">
        <f>+K17+'25'!M17+L17</f>
        <v>169859</v>
      </c>
      <c r="Q17" s="156">
        <f>480-Q16</f>
        <v>109</v>
      </c>
      <c r="R17" s="183">
        <f>+R16/Q16</f>
        <v>1155.7681940700809</v>
      </c>
      <c r="S17" s="183">
        <f>+S16/Q16</f>
        <v>913.05687331536399</v>
      </c>
    </row>
    <row r="18" spans="1:21" ht="26.25" thickBot="1">
      <c r="A18" s="806"/>
      <c r="B18" s="222"/>
      <c r="C18" s="223"/>
      <c r="D18" s="224"/>
      <c r="E18" s="232"/>
      <c r="F18" s="235">
        <v>8</v>
      </c>
      <c r="G18" s="244" t="s">
        <v>14</v>
      </c>
      <c r="H18" s="240" t="s">
        <v>754</v>
      </c>
      <c r="I18" s="804"/>
      <c r="J18" s="221" t="str">
        <f>+'25'!J18</f>
        <v>T 16 RC HW</v>
      </c>
      <c r="K18" s="246"/>
      <c r="L18" s="246"/>
      <c r="M18" s="124">
        <f>+K18+'25'!M18+L18</f>
        <v>17950</v>
      </c>
      <c r="N18" s="156" t="s">
        <v>615</v>
      </c>
      <c r="O18" s="156">
        <v>800</v>
      </c>
      <c r="P18" s="156">
        <f>+O18-(O18*0.22)</f>
        <v>624</v>
      </c>
      <c r="Q18" s="156">
        <v>480</v>
      </c>
      <c r="R18" s="156">
        <f t="shared" ref="R18" si="5">+O18*Q18</f>
        <v>384000</v>
      </c>
      <c r="S18" s="156">
        <f t="shared" ref="S18" si="6">+P18*Q18</f>
        <v>299520</v>
      </c>
      <c r="T18" s="156">
        <f>+(1270-U18)/1270</f>
        <v>0.37007874015748032</v>
      </c>
      <c r="U18" s="156">
        <v>800</v>
      </c>
    </row>
    <row r="19" spans="1:21" ht="39" thickBot="1">
      <c r="A19" s="806"/>
      <c r="B19" s="222"/>
      <c r="C19" s="223"/>
      <c r="D19" s="224"/>
      <c r="E19" s="232"/>
      <c r="F19" s="242"/>
      <c r="G19" s="239"/>
      <c r="H19" s="240" t="s">
        <v>755</v>
      </c>
      <c r="I19" s="804"/>
      <c r="J19" s="221" t="str">
        <f>+'25'!J19</f>
        <v>T 18 RC HW</v>
      </c>
      <c r="K19" s="246"/>
      <c r="L19" s="246"/>
      <c r="M19" s="124">
        <f>+K19+'25'!M19+L19</f>
        <v>32713</v>
      </c>
      <c r="T19" s="156">
        <f>+T18*(480)</f>
        <v>177.63779527559055</v>
      </c>
    </row>
    <row r="20" spans="1:21" ht="13.5" thickBot="1">
      <c r="A20" s="806"/>
      <c r="B20" s="222"/>
      <c r="C20" s="223"/>
      <c r="D20" s="224"/>
      <c r="E20" s="232"/>
      <c r="F20" s="235">
        <v>178</v>
      </c>
      <c r="G20" s="239" t="s">
        <v>89</v>
      </c>
      <c r="H20" s="240"/>
      <c r="I20" s="804"/>
      <c r="J20" s="221" t="str">
        <f>+'25'!J20</f>
        <v>T 20 RC HW</v>
      </c>
      <c r="K20" s="246"/>
      <c r="L20" s="247"/>
      <c r="M20" s="124">
        <f>+K20+'25'!M20+L20</f>
        <v>12647</v>
      </c>
      <c r="T20" s="156">
        <f>+T19</f>
        <v>177.63779527559055</v>
      </c>
    </row>
    <row r="21" spans="1:21" ht="13.5" thickBot="1">
      <c r="A21" s="806"/>
      <c r="B21" s="222"/>
      <c r="C21" s="223"/>
      <c r="D21" s="224"/>
      <c r="E21" s="232"/>
      <c r="F21" s="238"/>
      <c r="G21" s="239"/>
      <c r="H21" s="240"/>
      <c r="I21" s="804"/>
      <c r="J21" s="221" t="str">
        <f>+'25'!J21</f>
        <v>T 13 RC HW</v>
      </c>
      <c r="K21" s="246"/>
      <c r="L21" s="246"/>
      <c r="M21" s="124">
        <f>+K21+'25'!M21+L21</f>
        <v>56241</v>
      </c>
    </row>
    <row r="22" spans="1:21" ht="13.5" thickBot="1">
      <c r="A22" s="806"/>
      <c r="B22" s="222"/>
      <c r="C22" s="223"/>
      <c r="D22" s="224"/>
      <c r="E22" s="232"/>
      <c r="F22" s="243"/>
      <c r="G22" s="239"/>
      <c r="H22" s="240"/>
      <c r="I22" s="805"/>
      <c r="J22" s="221">
        <f>+'25'!J22</f>
        <v>0</v>
      </c>
      <c r="K22" s="246"/>
      <c r="L22" s="246"/>
      <c r="M22" s="124">
        <f>+K22+'25'!M22+L22</f>
        <v>0</v>
      </c>
    </row>
    <row r="23" spans="1:21" ht="13.5" thickBot="1">
      <c r="A23" s="807"/>
      <c r="B23" s="172" t="s">
        <v>3</v>
      </c>
      <c r="C23" s="107">
        <f>SUM(C16:C22)</f>
        <v>13621</v>
      </c>
      <c r="D23" s="118">
        <f>SUM(D16:D22)</f>
        <v>0</v>
      </c>
      <c r="E23" s="119">
        <f>SUM(E18:E22)</f>
        <v>0</v>
      </c>
      <c r="F23" s="109">
        <f>SUM(F15:F22)</f>
        <v>194</v>
      </c>
      <c r="G23" s="166"/>
      <c r="H23" s="173"/>
      <c r="I23" s="176"/>
      <c r="J23" s="221">
        <f>+'25'!J23</f>
        <v>0</v>
      </c>
      <c r="K23" s="246"/>
      <c r="L23" s="246"/>
      <c r="M23" s="124">
        <f>+K23+'25'!M23+L23</f>
        <v>0</v>
      </c>
    </row>
    <row r="24" spans="1:21" ht="13.5" customHeight="1" thickBot="1">
      <c r="A24" s="800" t="s">
        <v>440</v>
      </c>
      <c r="B24" s="177"/>
      <c r="C24" s="120">
        <f>C23/($C$23+$D$23+$E$23)</f>
        <v>1</v>
      </c>
      <c r="D24" s="121">
        <f>D23/($C$23+$D$23+$E$23)</f>
        <v>0</v>
      </c>
      <c r="E24" s="122">
        <f>E23/($C$23+$D$23+$E$23)</f>
        <v>0</v>
      </c>
      <c r="F24" s="235"/>
      <c r="G24" s="236" t="s">
        <v>13</v>
      </c>
      <c r="H24" s="237" t="s">
        <v>386</v>
      </c>
      <c r="I24" s="803" t="s">
        <v>760</v>
      </c>
      <c r="J24" s="221">
        <f>+'25'!J24</f>
        <v>0</v>
      </c>
      <c r="K24" s="246"/>
      <c r="L24" s="246"/>
      <c r="M24" s="124">
        <f>+K24+'25'!M24+L24</f>
        <v>0</v>
      </c>
    </row>
    <row r="25" spans="1:21" ht="13.5" thickBot="1">
      <c r="A25" s="806"/>
      <c r="B25" s="222" t="s">
        <v>623</v>
      </c>
      <c r="C25" s="233">
        <v>13784</v>
      </c>
      <c r="D25" s="224"/>
      <c r="E25" s="232"/>
      <c r="F25" s="238">
        <v>3</v>
      </c>
      <c r="G25" s="582" t="s">
        <v>13</v>
      </c>
      <c r="H25" s="237" t="s">
        <v>414</v>
      </c>
      <c r="I25" s="804"/>
      <c r="J25" s="221">
        <f>+'25'!J25</f>
        <v>0</v>
      </c>
      <c r="K25" s="246"/>
      <c r="L25" s="246"/>
      <c r="M25" s="124">
        <f>+K25+'25'!M25+L25</f>
        <v>0</v>
      </c>
    </row>
    <row r="26" spans="1:21" ht="13.5" thickBot="1">
      <c r="A26" s="806"/>
      <c r="B26" s="222"/>
      <c r="C26" s="233"/>
      <c r="D26" s="224"/>
      <c r="E26" s="234"/>
      <c r="F26" s="235">
        <v>9</v>
      </c>
      <c r="G26" s="582" t="s">
        <v>13</v>
      </c>
      <c r="H26" s="240" t="s">
        <v>395</v>
      </c>
      <c r="I26" s="804"/>
      <c r="J26" s="221">
        <f>+'25'!J26</f>
        <v>0</v>
      </c>
      <c r="K26" s="246"/>
      <c r="L26" s="246"/>
      <c r="M26" s="124">
        <f>+K26+'25'!M26+L26</f>
        <v>0</v>
      </c>
    </row>
    <row r="27" spans="1:21" ht="26.25" thickBot="1">
      <c r="A27" s="806"/>
      <c r="B27" s="222"/>
      <c r="C27" s="223"/>
      <c r="D27" s="224"/>
      <c r="E27" s="232"/>
      <c r="F27" s="235"/>
      <c r="G27" s="244" t="s">
        <v>14</v>
      </c>
      <c r="H27" s="240" t="s">
        <v>756</v>
      </c>
      <c r="I27" s="804"/>
      <c r="J27" s="221">
        <f>+'25'!J27</f>
        <v>0</v>
      </c>
      <c r="K27" s="246"/>
      <c r="L27" s="246"/>
      <c r="M27" s="124">
        <f>+K27+'25'!M27+L27</f>
        <v>0</v>
      </c>
    </row>
    <row r="28" spans="1:21" ht="64.5" thickBot="1">
      <c r="A28" s="806"/>
      <c r="B28" s="222"/>
      <c r="C28" s="223"/>
      <c r="D28" s="224"/>
      <c r="E28" s="232" t="s">
        <v>602</v>
      </c>
      <c r="F28" s="238">
        <f>60-55+5</f>
        <v>10</v>
      </c>
      <c r="G28" s="239" t="s">
        <v>81</v>
      </c>
      <c r="H28" s="240" t="s">
        <v>757</v>
      </c>
      <c r="I28" s="804"/>
      <c r="J28" s="221">
        <f>+'25'!J28</f>
        <v>0</v>
      </c>
      <c r="K28" s="246"/>
      <c r="L28" s="246"/>
      <c r="M28" s="124">
        <f>+K28+'25'!M28+L28</f>
        <v>0</v>
      </c>
      <c r="Q28" s="183">
        <f>SUM(Q18:Q26)</f>
        <v>480</v>
      </c>
      <c r="R28" s="183">
        <f>SUM(R18:R26)</f>
        <v>384000</v>
      </c>
      <c r="S28" s="183">
        <f>SUM(S18:S26)</f>
        <v>299520</v>
      </c>
    </row>
    <row r="29" spans="1:21" ht="13.5" thickBot="1">
      <c r="A29" s="806"/>
      <c r="B29" s="222"/>
      <c r="C29" s="223"/>
      <c r="D29" s="224"/>
      <c r="E29" s="232"/>
      <c r="F29" s="235">
        <v>178</v>
      </c>
      <c r="G29" s="239" t="s">
        <v>89</v>
      </c>
      <c r="H29" s="240"/>
      <c r="I29" s="804"/>
      <c r="J29" s="221">
        <f>+'25'!J29</f>
        <v>0</v>
      </c>
      <c r="K29" s="246"/>
      <c r="L29" s="246"/>
      <c r="M29" s="124">
        <f>+K29+'25'!M29+L29</f>
        <v>0</v>
      </c>
      <c r="Q29" s="156">
        <f>480-Q28</f>
        <v>0</v>
      </c>
      <c r="R29" s="183">
        <f>+R28/Q28</f>
        <v>800</v>
      </c>
      <c r="S29" s="183">
        <f>+S28/Q28</f>
        <v>624</v>
      </c>
    </row>
    <row r="30" spans="1:21" ht="13.5" thickBot="1">
      <c r="A30" s="806"/>
      <c r="B30" s="222"/>
      <c r="C30" s="233"/>
      <c r="D30" s="224"/>
      <c r="E30" s="232"/>
      <c r="F30" s="243"/>
      <c r="G30" s="239"/>
      <c r="H30" s="240"/>
      <c r="I30" s="804"/>
      <c r="J30" s="221">
        <f>+'25'!J30</f>
        <v>0</v>
      </c>
      <c r="K30" s="246"/>
      <c r="L30" s="246"/>
      <c r="M30" s="124">
        <f>+K30+'25'!M30+L30</f>
        <v>0</v>
      </c>
      <c r="N30" s="156" t="s">
        <v>615</v>
      </c>
      <c r="O30" s="156">
        <v>850</v>
      </c>
      <c r="P30" s="156">
        <f>+O30-(O30*0.22)</f>
        <v>663</v>
      </c>
      <c r="Q30" s="156">
        <v>480</v>
      </c>
      <c r="R30" s="156">
        <f t="shared" ref="R30" si="7">+O30*Q30</f>
        <v>408000</v>
      </c>
      <c r="S30" s="156">
        <f t="shared" ref="S30" si="8">+P30*Q30</f>
        <v>318240</v>
      </c>
      <c r="T30" s="156">
        <f>+(1270-U30)/1270</f>
        <v>0.37007874015748032</v>
      </c>
      <c r="U30" s="156">
        <v>800</v>
      </c>
    </row>
    <row r="31" spans="1:21" ht="13.5" thickBot="1">
      <c r="A31" s="806"/>
      <c r="B31" s="222"/>
      <c r="C31" s="233"/>
      <c r="D31" s="224"/>
      <c r="E31" s="232"/>
      <c r="F31" s="243"/>
      <c r="G31" s="244"/>
      <c r="H31" s="241"/>
      <c r="I31" s="805"/>
      <c r="J31" s="221">
        <f>+'25'!J31</f>
        <v>0</v>
      </c>
      <c r="K31" s="246"/>
      <c r="L31" s="246"/>
      <c r="M31" s="124">
        <f>+K31+'25'!M31+L31</f>
        <v>0</v>
      </c>
      <c r="T31" s="156">
        <f>+T30*(480)</f>
        <v>177.63779527559055</v>
      </c>
    </row>
    <row r="32" spans="1:21" ht="13.5" thickBot="1">
      <c r="A32" s="807"/>
      <c r="B32" s="172" t="s">
        <v>3</v>
      </c>
      <c r="C32" s="106">
        <f>SUM(C25:C31)</f>
        <v>13784</v>
      </c>
      <c r="D32" s="107">
        <f>SUM(D25:D31)</f>
        <v>0</v>
      </c>
      <c r="E32" s="108">
        <f>SUM(E25:E31)</f>
        <v>0</v>
      </c>
      <c r="F32" s="109">
        <f>SUM(F24:F31)</f>
        <v>200</v>
      </c>
      <c r="G32" s="178"/>
      <c r="H32" s="179"/>
      <c r="I32" s="176"/>
      <c r="J32" s="221">
        <f>+'25'!J32</f>
        <v>0</v>
      </c>
      <c r="K32" s="248"/>
      <c r="L32" s="250"/>
      <c r="M32" s="124">
        <f>+K32+'25'!M32+L32</f>
        <v>0</v>
      </c>
      <c r="T32" s="156">
        <f>+T31</f>
        <v>177.63779527559055</v>
      </c>
    </row>
    <row r="33" spans="1:19" ht="13.5" thickBot="1">
      <c r="A33" s="180"/>
      <c r="B33" s="181"/>
      <c r="C33" s="110">
        <f>C32/($C$32+$D$32+$E$32)</f>
        <v>1</v>
      </c>
      <c r="D33" s="111">
        <f>D32/($C$32+$D$32+$E$32)</f>
        <v>0</v>
      </c>
      <c r="E33" s="112">
        <f>E32/($C$32+$D$32+$E$32)</f>
        <v>0</v>
      </c>
      <c r="F33" s="113"/>
      <c r="G33" s="182"/>
      <c r="H33" s="183"/>
      <c r="I33" s="184"/>
      <c r="J33" s="128"/>
      <c r="K33" s="129"/>
      <c r="L33" s="220"/>
      <c r="M33" s="126"/>
    </row>
    <row r="34" spans="1:19" ht="13.5" thickBot="1">
      <c r="A34" s="808" t="s">
        <v>70</v>
      </c>
      <c r="B34" s="809"/>
      <c r="C34" s="114">
        <f>C14+C23+C32</f>
        <v>38465</v>
      </c>
      <c r="D34" s="114">
        <f>D14+D23+D32</f>
        <v>0</v>
      </c>
      <c r="E34" s="114">
        <f>E14+E23+E32</f>
        <v>0</v>
      </c>
      <c r="F34" s="115">
        <f>F14+F23+F32</f>
        <v>552</v>
      </c>
      <c r="G34" s="156">
        <f>56+109</f>
        <v>165</v>
      </c>
      <c r="H34" s="185"/>
      <c r="I34" s="185"/>
      <c r="J34" s="130" t="s">
        <v>29</v>
      </c>
      <c r="K34" s="131">
        <f>SUM(K7:K32)</f>
        <v>38465</v>
      </c>
      <c r="L34" s="219">
        <f>SUM(L7:L32)</f>
        <v>0</v>
      </c>
      <c r="M34" s="127">
        <f>SUM(M7:M32)</f>
        <v>1180584</v>
      </c>
    </row>
    <row r="35" spans="1:19" ht="13.5" thickBot="1">
      <c r="A35" s="186"/>
      <c r="B35" s="187"/>
      <c r="C35" s="111">
        <f>C34/($C$34+$D$34+$E$34)</f>
        <v>1</v>
      </c>
      <c r="D35" s="111">
        <f>D34/($C$34+$D$34+$E$34)</f>
        <v>0</v>
      </c>
      <c r="E35" s="116">
        <f>E34/($C$34+$D$34+$E$34)</f>
        <v>0</v>
      </c>
      <c r="K35" s="162"/>
      <c r="L35" s="799" t="s">
        <v>184</v>
      </c>
      <c r="M35" s="799"/>
    </row>
    <row r="36" spans="1:19" ht="13.5" thickBot="1">
      <c r="A36" s="185"/>
      <c r="B36" s="185"/>
      <c r="C36" s="162"/>
      <c r="D36" s="162"/>
      <c r="E36" s="162"/>
      <c r="G36" s="162"/>
      <c r="H36" s="188"/>
      <c r="I36" s="169" t="s">
        <v>41</v>
      </c>
      <c r="J36" s="169" t="s">
        <v>42</v>
      </c>
      <c r="K36" s="189"/>
      <c r="L36" s="169" t="s">
        <v>41</v>
      </c>
      <c r="M36" s="169" t="s">
        <v>42</v>
      </c>
    </row>
    <row r="37" spans="1:19" ht="17.45" customHeight="1" thickBot="1">
      <c r="A37" s="797" t="s">
        <v>71</v>
      </c>
      <c r="B37" s="798"/>
      <c r="C37" s="169" t="s">
        <v>72</v>
      </c>
      <c r="D37" s="190" t="s">
        <v>73</v>
      </c>
      <c r="E37" s="191" t="s">
        <v>74</v>
      </c>
      <c r="F37" s="368"/>
      <c r="G37" s="370"/>
      <c r="H37" s="193" t="s">
        <v>75</v>
      </c>
      <c r="I37" s="251">
        <f>(14*1331)/1331*G42*2.75*1331/1000000</f>
        <v>36.825407850000012</v>
      </c>
      <c r="J37" s="132">
        <f>+I37+'25'!J37</f>
        <v>1292.1511686721185</v>
      </c>
      <c r="K37" s="133" t="s">
        <v>76</v>
      </c>
      <c r="L37" s="429"/>
      <c r="M37" s="430"/>
    </row>
    <row r="38" spans="1:19" ht="17.45" customHeight="1">
      <c r="A38" s="793" t="s">
        <v>13</v>
      </c>
      <c r="B38" s="794"/>
      <c r="C38" s="171">
        <f>SUMIF($G$7:$G$31,"Process",$F$7:$F$31)</f>
        <v>36</v>
      </c>
      <c r="D38" s="125">
        <f>+C38+'25'!D38</f>
        <v>1267</v>
      </c>
      <c r="E38" s="150">
        <f t="shared" ref="E38:E51" si="9">D38/60</f>
        <v>21.116666666666667</v>
      </c>
      <c r="F38" s="368">
        <v>1155.7681940700809</v>
      </c>
      <c r="G38" s="368">
        <v>913.05687331536399</v>
      </c>
      <c r="H38" s="194" t="s">
        <v>77</v>
      </c>
      <c r="I38" s="551">
        <f>12.639+10.293+11.178</f>
        <v>34.11</v>
      </c>
      <c r="J38" s="134">
        <f>+I38+'25'!J38</f>
        <v>1212.3139999999999</v>
      </c>
      <c r="K38" s="135" t="s">
        <v>76</v>
      </c>
      <c r="L38" s="431"/>
      <c r="M38" s="432"/>
    </row>
    <row r="39" spans="1:19" ht="17.45" customHeight="1">
      <c r="A39" s="789" t="s">
        <v>14</v>
      </c>
      <c r="B39" s="790"/>
      <c r="C39" s="171">
        <f>SUMIF($G$7:$G$31,"Cleaning",$F$7:$F$31)</f>
        <v>8</v>
      </c>
      <c r="D39" s="125">
        <f>+C39+'25'!D39</f>
        <v>238</v>
      </c>
      <c r="E39" s="150">
        <f t="shared" si="9"/>
        <v>3.9666666666666668</v>
      </c>
      <c r="F39" s="368">
        <v>800</v>
      </c>
      <c r="G39" s="368">
        <v>624</v>
      </c>
      <c r="H39" s="194" t="s">
        <v>78</v>
      </c>
      <c r="I39" s="149"/>
      <c r="J39" s="136">
        <f>J37/G4</f>
        <v>49.698121872004556</v>
      </c>
      <c r="K39" s="137" t="s">
        <v>76</v>
      </c>
      <c r="L39" s="431"/>
      <c r="M39" s="432"/>
    </row>
    <row r="40" spans="1:19" ht="17.45" customHeight="1">
      <c r="A40" s="789" t="s">
        <v>79</v>
      </c>
      <c r="B40" s="790"/>
      <c r="C40" s="171">
        <f>SUMIF($G$7:$G$31,"Mechanical",$F$7:$F$31)</f>
        <v>0</v>
      </c>
      <c r="D40" s="125">
        <f>+C40+'25'!D40</f>
        <v>133</v>
      </c>
      <c r="E40" s="150">
        <f t="shared" si="9"/>
        <v>2.2166666666666668</v>
      </c>
      <c r="F40" s="368">
        <v>850</v>
      </c>
      <c r="G40" s="368">
        <v>663</v>
      </c>
      <c r="H40" s="194" t="s">
        <v>80</v>
      </c>
      <c r="I40" s="125">
        <f>(K34+L34)/1000</f>
        <v>38.465000000000003</v>
      </c>
      <c r="J40" s="138">
        <f>+I40+'25'!J40</f>
        <v>1180.5839999999998</v>
      </c>
      <c r="K40" s="137" t="s">
        <v>76</v>
      </c>
      <c r="L40" s="431"/>
      <c r="M40" s="432"/>
      <c r="Q40" s="183">
        <f>SUM(Q30:Q38)</f>
        <v>480</v>
      </c>
      <c r="R40" s="183">
        <f>SUM(R30:R38)</f>
        <v>408000</v>
      </c>
      <c r="S40" s="183">
        <f>SUM(S30:S38)</f>
        <v>318240</v>
      </c>
    </row>
    <row r="41" spans="1:19" ht="17.45" customHeight="1">
      <c r="A41" s="789" t="s">
        <v>81</v>
      </c>
      <c r="B41" s="790"/>
      <c r="C41" s="171">
        <f>SUMIF($G$7:$G$31,"Electrical",$F$7:$F$31)</f>
        <v>10</v>
      </c>
      <c r="D41" s="125">
        <f>+C41+'25'!D41</f>
        <v>549</v>
      </c>
      <c r="E41" s="150">
        <f t="shared" si="9"/>
        <v>9.15</v>
      </c>
      <c r="F41" s="368"/>
      <c r="G41" s="368"/>
      <c r="H41" s="194" t="s">
        <v>82</v>
      </c>
      <c r="I41" s="149"/>
      <c r="J41" s="136">
        <f>J40/G4</f>
        <v>45.407076923076914</v>
      </c>
      <c r="K41" s="137" t="s">
        <v>76</v>
      </c>
      <c r="L41" s="431"/>
      <c r="M41" s="432"/>
      <c r="Q41" s="156">
        <f>480-Q40</f>
        <v>0</v>
      </c>
      <c r="R41" s="183">
        <f>+R40/Q40</f>
        <v>850</v>
      </c>
      <c r="S41" s="183">
        <f>+S40/Q40</f>
        <v>663</v>
      </c>
    </row>
    <row r="42" spans="1:19" ht="17.45" customHeight="1">
      <c r="A42" s="789" t="s">
        <v>17</v>
      </c>
      <c r="B42" s="790"/>
      <c r="C42" s="171">
        <f>SUMIF($G$7:$G$31,"Instrument",$F$7:$F$31)</f>
        <v>0</v>
      </c>
      <c r="D42" s="125">
        <f>+C42+'25'!D42</f>
        <v>0</v>
      </c>
      <c r="E42" s="150">
        <f t="shared" si="9"/>
        <v>0</v>
      </c>
      <c r="F42" s="368">
        <f>+(371*F38+480*F39+480*F40)/1331</f>
        <v>917.19759579263712</v>
      </c>
      <c r="G42" s="368">
        <f>+(371*G38+480*G39+480*G40)/1331</f>
        <v>718.63568745304292</v>
      </c>
      <c r="H42" s="194" t="s">
        <v>83</v>
      </c>
      <c r="I42" s="253" t="s">
        <v>763</v>
      </c>
      <c r="J42" s="139"/>
      <c r="K42" s="137" t="s">
        <v>84</v>
      </c>
      <c r="L42" s="431"/>
      <c r="M42" s="432"/>
      <c r="N42" s="156">
        <v>371</v>
      </c>
    </row>
    <row r="43" spans="1:19" ht="17.45" customHeight="1">
      <c r="A43" s="789" t="s">
        <v>85</v>
      </c>
      <c r="B43" s="790"/>
      <c r="C43" s="171">
        <f>SUMIF($G$7:$G$31,"Water",$F$7:$F$31)</f>
        <v>0</v>
      </c>
      <c r="D43" s="125">
        <f>+C43+'25'!D43</f>
        <v>0</v>
      </c>
      <c r="E43" s="150">
        <f t="shared" si="9"/>
        <v>0</v>
      </c>
      <c r="F43" s="368"/>
      <c r="G43" s="369"/>
      <c r="H43" s="195" t="s">
        <v>86</v>
      </c>
      <c r="I43" s="125">
        <f>+Report1!AH34</f>
        <v>70.8</v>
      </c>
      <c r="J43" s="140">
        <f>+I43+'25'!J43</f>
        <v>1667.5</v>
      </c>
      <c r="K43" s="137" t="s">
        <v>76</v>
      </c>
      <c r="L43" s="433">
        <f>+Report1!AN34</f>
        <v>0</v>
      </c>
      <c r="M43" s="434">
        <f>+L43+'25'!M43</f>
        <v>9</v>
      </c>
      <c r="N43" s="156">
        <v>480</v>
      </c>
    </row>
    <row r="44" spans="1:19" ht="17.45" customHeight="1">
      <c r="A44" s="789" t="s">
        <v>18</v>
      </c>
      <c r="B44" s="790"/>
      <c r="C44" s="171">
        <f>SUMIF($G$7:$G$31,"PLN",$F$7:$F$31)</f>
        <v>0</v>
      </c>
      <c r="D44" s="125">
        <f>+C44+'25'!D44</f>
        <v>0</v>
      </c>
      <c r="E44" s="150">
        <f t="shared" si="9"/>
        <v>0</v>
      </c>
      <c r="F44" s="368"/>
      <c r="G44" s="369"/>
      <c r="H44" s="195" t="s">
        <v>87</v>
      </c>
      <c r="I44" s="125">
        <f>I43/I38</f>
        <v>2.0756376429199648</v>
      </c>
      <c r="J44" s="141">
        <f>J43/J38</f>
        <v>1.3754687316982235</v>
      </c>
      <c r="K44" s="137" t="s">
        <v>76</v>
      </c>
      <c r="L44" s="435">
        <f>+L43/I38</f>
        <v>0</v>
      </c>
      <c r="M44" s="436">
        <f>+M43/J38</f>
        <v>7.4238192415496326E-3</v>
      </c>
      <c r="N44" s="156">
        <v>480</v>
      </c>
    </row>
    <row r="45" spans="1:19" ht="17.45" customHeight="1">
      <c r="A45" s="789" t="s">
        <v>19</v>
      </c>
      <c r="B45" s="790"/>
      <c r="C45" s="171">
        <f>SUMIF($G$7:$G$31,"Boiler",$F$7:$F$31)</f>
        <v>0</v>
      </c>
      <c r="D45" s="125">
        <f>+C45+'25'!D45</f>
        <v>0</v>
      </c>
      <c r="E45" s="150">
        <f t="shared" si="9"/>
        <v>0</v>
      </c>
      <c r="F45" s="368"/>
      <c r="G45" s="371"/>
      <c r="H45" s="195" t="s">
        <v>88</v>
      </c>
      <c r="I45" s="125">
        <f>I43/I40</f>
        <v>1.8406343429091379</v>
      </c>
      <c r="J45" s="141">
        <f>J43/J40</f>
        <v>1.4124365568227253</v>
      </c>
      <c r="K45" s="137" t="s">
        <v>76</v>
      </c>
      <c r="L45" s="435">
        <f>+L43/I40</f>
        <v>0</v>
      </c>
      <c r="M45" s="436">
        <f>+M43/J40</f>
        <v>7.6233457339757284E-3</v>
      </c>
      <c r="N45" s="156">
        <f>SUM(N42:N44)</f>
        <v>1331</v>
      </c>
    </row>
    <row r="46" spans="1:19" ht="17.45" customHeight="1">
      <c r="A46" s="789" t="s">
        <v>89</v>
      </c>
      <c r="B46" s="790"/>
      <c r="C46" s="171">
        <f>SUMIF($G$7:$G$31,"Gas",$F$7:$F$31)</f>
        <v>498</v>
      </c>
      <c r="D46" s="125">
        <f>+C46+'25'!D46</f>
        <v>1273</v>
      </c>
      <c r="E46" s="150">
        <f t="shared" si="9"/>
        <v>21.216666666666665</v>
      </c>
      <c r="F46" s="368"/>
      <c r="G46" s="369"/>
      <c r="H46" s="195" t="s">
        <v>90</v>
      </c>
      <c r="I46" s="147">
        <f>+SUMIF(Listrik!P33,"&gt;0")</f>
        <v>35970.259999999951</v>
      </c>
      <c r="J46" s="142">
        <f>+I46+'25'!J46</f>
        <v>1050711.68</v>
      </c>
      <c r="K46" s="137" t="s">
        <v>91</v>
      </c>
      <c r="L46" s="435">
        <f>+Listrik!AF33</f>
        <v>0</v>
      </c>
      <c r="M46" s="437">
        <f>+L46+'25'!M46</f>
        <v>0</v>
      </c>
    </row>
    <row r="47" spans="1:19" ht="17.45" customHeight="1">
      <c r="A47" s="789" t="s">
        <v>92</v>
      </c>
      <c r="B47" s="790"/>
      <c r="C47" s="171">
        <f>SUMIF($G$7:$G$31,"Power Plant",$F$7:$F$31)</f>
        <v>0</v>
      </c>
      <c r="D47" s="125">
        <f>+C47+'25'!D47</f>
        <v>0</v>
      </c>
      <c r="E47" s="150">
        <f t="shared" si="9"/>
        <v>0</v>
      </c>
      <c r="F47" s="368"/>
      <c r="G47" s="369"/>
      <c r="H47" s="195" t="s">
        <v>93</v>
      </c>
      <c r="I47" s="125">
        <f>I46/I38</f>
        <v>1054.5370858985621</v>
      </c>
      <c r="J47" s="142">
        <f>J46/J38</f>
        <v>866.6992874783266</v>
      </c>
      <c r="K47" s="137" t="s">
        <v>25</v>
      </c>
      <c r="L47" s="435">
        <f>+L46/I38</f>
        <v>0</v>
      </c>
      <c r="M47" s="436">
        <f>+M46/J38</f>
        <v>0</v>
      </c>
    </row>
    <row r="48" spans="1:19" ht="17.45" customHeight="1">
      <c r="A48" s="789" t="s">
        <v>15</v>
      </c>
      <c r="B48" s="790"/>
      <c r="C48" s="171">
        <f>SUMIF($G$7:$G$31,"Start Up",$F$7:$F$31)</f>
        <v>0</v>
      </c>
      <c r="D48" s="125">
        <f>+C48+'25'!D48</f>
        <v>0</v>
      </c>
      <c r="E48" s="150">
        <f t="shared" si="9"/>
        <v>0</v>
      </c>
      <c r="F48" s="368"/>
      <c r="G48" s="369"/>
      <c r="H48" s="195" t="s">
        <v>94</v>
      </c>
      <c r="I48" s="125">
        <f>I46/I40</f>
        <v>935.14259716625372</v>
      </c>
      <c r="J48" s="142">
        <f>J46/J40</f>
        <v>889.99315592960784</v>
      </c>
      <c r="K48" s="137" t="s">
        <v>25</v>
      </c>
      <c r="L48" s="435">
        <f>+L46/I38</f>
        <v>0</v>
      </c>
      <c r="M48" s="436">
        <f>+M46/J40</f>
        <v>0</v>
      </c>
    </row>
    <row r="49" spans="1:13" ht="17.45" customHeight="1">
      <c r="A49" s="789" t="s">
        <v>21</v>
      </c>
      <c r="B49" s="790"/>
      <c r="C49" s="171">
        <f>SUMIF($G$7:$G$31,"Others",$F$7:$F$31)</f>
        <v>0</v>
      </c>
      <c r="D49" s="125">
        <f>+C49+'25'!D49</f>
        <v>677</v>
      </c>
      <c r="E49" s="150">
        <f t="shared" si="9"/>
        <v>11.283333333333333</v>
      </c>
      <c r="F49" s="192"/>
      <c r="H49" s="195" t="s">
        <v>95</v>
      </c>
      <c r="I49" s="125">
        <f>+Report1!AB34</f>
        <v>733.07004137967488</v>
      </c>
      <c r="J49" s="142">
        <f>+I49+'25'!J49</f>
        <v>115966.06778913233</v>
      </c>
      <c r="K49" s="137" t="s">
        <v>96</v>
      </c>
      <c r="L49" s="431"/>
      <c r="M49" s="432"/>
    </row>
    <row r="50" spans="1:13" ht="17.45" customHeight="1">
      <c r="A50" s="789" t="s">
        <v>20</v>
      </c>
      <c r="B50" s="790"/>
      <c r="C50" s="171">
        <f>SUMIF($G$7:$G$31,"Steam",$F$7:$F$31)</f>
        <v>0</v>
      </c>
      <c r="D50" s="125">
        <f>+C50+'25'!D50</f>
        <v>0</v>
      </c>
      <c r="E50" s="150">
        <f t="shared" si="9"/>
        <v>0</v>
      </c>
      <c r="F50" s="192"/>
      <c r="H50" s="195" t="s">
        <v>97</v>
      </c>
      <c r="I50" s="147">
        <f>I49/I38</f>
        <v>21.491352722945614</v>
      </c>
      <c r="J50" s="140">
        <f>J49/J38</f>
        <v>95.656791713312174</v>
      </c>
      <c r="K50" s="137" t="s">
        <v>96</v>
      </c>
      <c r="L50" s="431"/>
      <c r="M50" s="432"/>
    </row>
    <row r="51" spans="1:13" ht="17.45" customHeight="1" thickBot="1">
      <c r="A51" s="791" t="s">
        <v>98</v>
      </c>
      <c r="B51" s="792"/>
      <c r="C51" s="171">
        <f>SUMIF($G$7:$G$31,"Planned shut",$F$7:$F$31)</f>
        <v>0</v>
      </c>
      <c r="D51" s="125">
        <f>+C51+'25'!D51</f>
        <v>394</v>
      </c>
      <c r="E51" s="150">
        <f t="shared" si="9"/>
        <v>6.5666666666666664</v>
      </c>
      <c r="F51" s="192"/>
      <c r="H51" s="197" t="s">
        <v>99</v>
      </c>
      <c r="I51" s="148">
        <f>I49/I40</f>
        <v>19.058105846345374</v>
      </c>
      <c r="J51" s="143">
        <f>J49/J40</f>
        <v>98.227714240691341</v>
      </c>
      <c r="K51" s="144" t="s">
        <v>96</v>
      </c>
      <c r="L51" s="431"/>
      <c r="M51" s="432"/>
    </row>
    <row r="52" spans="1:13" ht="13.5" thickBot="1">
      <c r="A52" s="793" t="s">
        <v>29</v>
      </c>
      <c r="B52" s="794"/>
      <c r="C52" s="151">
        <f>SUM(C38:C51)</f>
        <v>552</v>
      </c>
      <c r="D52" s="151">
        <f>SUM(D38:D51)</f>
        <v>4531</v>
      </c>
      <c r="E52" s="152">
        <f>SUM(E38:E51)</f>
        <v>75.516666666666666</v>
      </c>
      <c r="F52" s="192"/>
      <c r="H52" s="198"/>
      <c r="I52" s="199"/>
      <c r="J52" s="145"/>
      <c r="K52" s="146"/>
      <c r="L52" s="438"/>
      <c r="M52" s="439"/>
    </row>
    <row r="53" spans="1:13" ht="13.5" thickBot="1">
      <c r="A53" s="795"/>
      <c r="B53" s="796"/>
      <c r="C53" s="153">
        <f>C52/(24*60)</f>
        <v>0.38333333333333336</v>
      </c>
      <c r="D53" s="153">
        <f>D52/(24*60*G4)</f>
        <v>0.12102029914529915</v>
      </c>
      <c r="E53" s="154">
        <f>E52/(G4*24)</f>
        <v>0.12102029914529915</v>
      </c>
      <c r="F53" s="192"/>
    </row>
    <row r="54" spans="1:13">
      <c r="E54" s="200"/>
      <c r="F54" s="192"/>
    </row>
    <row r="55" spans="1:13">
      <c r="E55" s="200"/>
    </row>
    <row r="56" spans="1:13">
      <c r="A56" s="201" t="s">
        <v>100</v>
      </c>
      <c r="B56" s="202"/>
      <c r="C56" s="203"/>
      <c r="D56" s="203"/>
      <c r="E56" s="203"/>
      <c r="F56" s="204"/>
      <c r="G56" s="203"/>
      <c r="H56" s="205"/>
      <c r="I56" s="206" t="s">
        <v>101</v>
      </c>
      <c r="J56" s="207">
        <f>+D34+'25'!J56</f>
        <v>5317</v>
      </c>
      <c r="K56" s="208">
        <f>J56/(J40+J56/1000)/1000</f>
        <v>4.4835108495565826E-3</v>
      </c>
    </row>
    <row r="57" spans="1:13">
      <c r="A57" s="183"/>
      <c r="I57" s="206" t="s">
        <v>102</v>
      </c>
      <c r="J57" s="207">
        <f>+E34+'25'!J57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I24:I31"/>
    <mergeCell ref="A7:A14"/>
    <mergeCell ref="A41:B41"/>
    <mergeCell ref="I7:I13"/>
    <mergeCell ref="A15:A23"/>
    <mergeCell ref="I15:I22"/>
    <mergeCell ref="A24:A32"/>
    <mergeCell ref="A34:B34"/>
    <mergeCell ref="A37:B37"/>
    <mergeCell ref="A38:B38"/>
    <mergeCell ref="A39:B39"/>
    <mergeCell ref="A40:B40"/>
    <mergeCell ref="L35:M35"/>
    <mergeCell ref="A46:B46"/>
    <mergeCell ref="A52:B52"/>
    <mergeCell ref="A53:B53"/>
    <mergeCell ref="A47:B47"/>
    <mergeCell ref="A48:B48"/>
    <mergeCell ref="A49:B49"/>
    <mergeCell ref="A50:B50"/>
    <mergeCell ref="A51:B51"/>
    <mergeCell ref="A43:B43"/>
    <mergeCell ref="A44:B44"/>
    <mergeCell ref="A45:B45"/>
    <mergeCell ref="A42:B4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AA61"/>
  <sheetViews>
    <sheetView topLeftCell="C4" zoomScale="80" zoomScaleNormal="80" workbookViewId="0">
      <selection activeCell="H27" sqref="F24:H27"/>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1.7109375" style="156" bestFit="1" customWidth="1"/>
    <col min="11" max="11" width="12.5703125" style="156" bestFit="1" customWidth="1"/>
    <col min="12" max="12" width="8.28515625" style="156" customWidth="1"/>
    <col min="13" max="13" width="14.42578125" style="156" bestFit="1" customWidth="1"/>
    <col min="14" max="16384" width="9.140625" style="156"/>
  </cols>
  <sheetData>
    <row r="1" spans="1:27" ht="15.75">
      <c r="A1" s="155"/>
    </row>
    <row r="2" spans="1:27" ht="15.75">
      <c r="A2" s="155" t="s">
        <v>183</v>
      </c>
    </row>
    <row r="3" spans="1:27" ht="15">
      <c r="A3" s="157"/>
    </row>
    <row r="4" spans="1:27" ht="20.25">
      <c r="A4" s="158" t="s">
        <v>5</v>
      </c>
      <c r="B4" s="159"/>
      <c r="F4" s="160" t="s">
        <v>30</v>
      </c>
      <c r="G4" s="161">
        <v>25</v>
      </c>
      <c r="H4" s="161" t="str">
        <f>+'1'!H4</f>
        <v>.01.26</v>
      </c>
      <c r="J4" s="156">
        <f>670.3+747.3+665.3</f>
        <v>2082.8999999999996</v>
      </c>
    </row>
    <row r="5" spans="1:27" ht="13.5" thickBot="1">
      <c r="C5" s="162"/>
      <c r="D5" s="162"/>
    </row>
    <row r="6" spans="1:27"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408</v>
      </c>
      <c r="O6" s="156">
        <v>1300</v>
      </c>
      <c r="P6" s="156">
        <f>+O6-(O6*0.21)</f>
        <v>1027</v>
      </c>
      <c r="Q6" s="156">
        <f>60+18</f>
        <v>78</v>
      </c>
      <c r="R6" s="156">
        <f t="shared" ref="R6" si="0">+O6*Q6</f>
        <v>101400</v>
      </c>
      <c r="S6" s="156">
        <f t="shared" ref="S6" si="1">+P6*Q6</f>
        <v>80106</v>
      </c>
      <c r="T6" s="156" t="s">
        <v>408</v>
      </c>
      <c r="U6" s="156">
        <v>1300</v>
      </c>
      <c r="V6" s="156">
        <f>+U6-(U6*0.21)</f>
        <v>1027</v>
      </c>
      <c r="W6" s="156">
        <f>60+18</f>
        <v>78</v>
      </c>
      <c r="X6" s="156">
        <f t="shared" ref="X6:X10" si="2">+U6*W6</f>
        <v>101400</v>
      </c>
      <c r="Y6" s="156">
        <f t="shared" ref="Y6:Y10" si="3">+V6*W6</f>
        <v>80106</v>
      </c>
      <c r="Z6" s="156">
        <f>+(1270-AA6)/1270</f>
        <v>4.7188447733785902E-2</v>
      </c>
      <c r="AA6" s="156">
        <v>1210.0706713780919</v>
      </c>
    </row>
    <row r="7" spans="1:27" ht="13.5" customHeight="1" thickBot="1">
      <c r="A7" s="800" t="s">
        <v>423</v>
      </c>
      <c r="B7" s="222" t="s">
        <v>422</v>
      </c>
      <c r="C7" s="223">
        <v>9167</v>
      </c>
      <c r="D7" s="224"/>
      <c r="E7" s="225"/>
      <c r="F7" s="235"/>
      <c r="G7" s="236" t="s">
        <v>13</v>
      </c>
      <c r="H7" s="237" t="s">
        <v>386</v>
      </c>
      <c r="I7" s="803" t="s">
        <v>747</v>
      </c>
      <c r="J7" s="221" t="str">
        <f>+'24'!J7</f>
        <v>T 13,5 RC HW</v>
      </c>
      <c r="K7" s="245">
        <f>+C7+C16</f>
        <v>20866</v>
      </c>
      <c r="L7" s="249"/>
      <c r="M7" s="124">
        <f>+K7+'24'!M7+L7</f>
        <v>331081</v>
      </c>
      <c r="O7" s="156">
        <v>1230</v>
      </c>
      <c r="P7" s="156">
        <f t="shared" ref="P7:P10" si="4">+O7-(O7*0.21)</f>
        <v>971.7</v>
      </c>
      <c r="Q7" s="156">
        <f>60-18+60+5</f>
        <v>107</v>
      </c>
      <c r="R7" s="156">
        <f t="shared" ref="R7:R10" si="5">+O7*Q7</f>
        <v>131610</v>
      </c>
      <c r="S7" s="156">
        <f t="shared" ref="S7:S10" si="6">+P7*Q7</f>
        <v>103971.90000000001</v>
      </c>
      <c r="U7" s="156">
        <v>1230</v>
      </c>
      <c r="V7" s="156">
        <f t="shared" ref="V7:V10" si="7">+U7-(U7*0.21)</f>
        <v>971.7</v>
      </c>
      <c r="W7" s="156">
        <f>60-18+60+5</f>
        <v>107</v>
      </c>
      <c r="X7" s="156">
        <f t="shared" si="2"/>
        <v>131610</v>
      </c>
      <c r="Y7" s="156">
        <f t="shared" si="3"/>
        <v>103971.90000000001</v>
      </c>
      <c r="Z7" s="156">
        <f>+Z6*(283)</f>
        <v>13.35433070866141</v>
      </c>
    </row>
    <row r="8" spans="1:27" ht="13.5" thickBot="1">
      <c r="A8" s="801"/>
      <c r="B8" s="222"/>
      <c r="C8" s="223"/>
      <c r="D8" s="224"/>
      <c r="E8" s="226"/>
      <c r="F8" s="238">
        <v>2</v>
      </c>
      <c r="G8" s="582" t="s">
        <v>13</v>
      </c>
      <c r="H8" s="237" t="s">
        <v>414</v>
      </c>
      <c r="I8" s="804"/>
      <c r="J8" s="221" t="str">
        <f>+'24'!J8</f>
        <v>T 14,5 RC HW</v>
      </c>
      <c r="K8" s="246"/>
      <c r="L8" s="246"/>
      <c r="M8" s="124">
        <f>+K8+'24'!M8+L8</f>
        <v>57466</v>
      </c>
      <c r="O8" s="156">
        <v>1100</v>
      </c>
      <c r="P8" s="156">
        <f t="shared" si="4"/>
        <v>869</v>
      </c>
      <c r="Q8" s="156">
        <f>60-22+2</f>
        <v>40</v>
      </c>
      <c r="R8" s="156">
        <f t="shared" si="5"/>
        <v>44000</v>
      </c>
      <c r="S8" s="156">
        <f t="shared" si="6"/>
        <v>34760</v>
      </c>
      <c r="U8" s="156">
        <v>1100</v>
      </c>
      <c r="V8" s="156">
        <f t="shared" si="7"/>
        <v>869</v>
      </c>
      <c r="W8" s="156">
        <f>60-22+2</f>
        <v>40</v>
      </c>
      <c r="X8" s="156">
        <f t="shared" si="2"/>
        <v>44000</v>
      </c>
      <c r="Y8" s="156">
        <f t="shared" si="3"/>
        <v>34760</v>
      </c>
      <c r="Z8" s="156">
        <f>+Z7</f>
        <v>13.35433070866141</v>
      </c>
    </row>
    <row r="9" spans="1:27" ht="13.5" thickBot="1">
      <c r="A9" s="801"/>
      <c r="B9" s="222"/>
      <c r="C9" s="223"/>
      <c r="D9" s="224"/>
      <c r="E9" s="227"/>
      <c r="F9" s="235">
        <v>3</v>
      </c>
      <c r="G9" s="582" t="s">
        <v>13</v>
      </c>
      <c r="H9" s="240" t="s">
        <v>450</v>
      </c>
      <c r="I9" s="804"/>
      <c r="J9" s="221" t="str">
        <f>+'24'!J9</f>
        <v>TW 17 RC HW</v>
      </c>
      <c r="K9" s="246"/>
      <c r="L9" s="246"/>
      <c r="M9" s="124">
        <f>+K9+'24'!M9+L9</f>
        <v>24830</v>
      </c>
      <c r="O9" s="156">
        <v>1120</v>
      </c>
      <c r="P9" s="156">
        <f t="shared" si="4"/>
        <v>884.8</v>
      </c>
      <c r="Q9" s="156">
        <f>36-2</f>
        <v>34</v>
      </c>
      <c r="R9" s="156">
        <f t="shared" si="5"/>
        <v>38080</v>
      </c>
      <c r="S9" s="156">
        <f t="shared" si="6"/>
        <v>30083.199999999997</v>
      </c>
      <c r="U9" s="156">
        <v>1120</v>
      </c>
      <c r="V9" s="156">
        <f t="shared" si="7"/>
        <v>884.8</v>
      </c>
      <c r="W9" s="156">
        <f>36-2</f>
        <v>34</v>
      </c>
      <c r="X9" s="156">
        <f t="shared" si="2"/>
        <v>38080</v>
      </c>
      <c r="Y9" s="156">
        <f t="shared" si="3"/>
        <v>30083.199999999997</v>
      </c>
    </row>
    <row r="10" spans="1:27" ht="26.25" thickBot="1">
      <c r="A10" s="801"/>
      <c r="B10" s="222"/>
      <c r="C10" s="223"/>
      <c r="D10" s="224"/>
      <c r="E10" s="226"/>
      <c r="F10" s="235"/>
      <c r="G10" s="244" t="s">
        <v>14</v>
      </c>
      <c r="H10" s="240" t="s">
        <v>733</v>
      </c>
      <c r="I10" s="804"/>
      <c r="J10" s="221" t="str">
        <f>+'24'!J10</f>
        <v>TW 22 RC HW</v>
      </c>
      <c r="K10" s="246"/>
      <c r="L10" s="246"/>
      <c r="M10" s="124">
        <f>+K10+'24'!M10+L10</f>
        <v>24459</v>
      </c>
      <c r="O10" s="156">
        <v>1140</v>
      </c>
      <c r="P10" s="156">
        <f t="shared" si="4"/>
        <v>900.6</v>
      </c>
      <c r="Q10" s="156">
        <f>60-36</f>
        <v>24</v>
      </c>
      <c r="R10" s="156">
        <f t="shared" si="5"/>
        <v>27360</v>
      </c>
      <c r="S10" s="156">
        <f t="shared" si="6"/>
        <v>21614.400000000001</v>
      </c>
      <c r="U10" s="156">
        <v>1140</v>
      </c>
      <c r="V10" s="156">
        <f t="shared" si="7"/>
        <v>900.6</v>
      </c>
      <c r="W10" s="156">
        <f>60-36</f>
        <v>24</v>
      </c>
      <c r="X10" s="156">
        <f t="shared" si="2"/>
        <v>27360</v>
      </c>
      <c r="Y10" s="156">
        <f t="shared" si="3"/>
        <v>21614.400000000001</v>
      </c>
    </row>
    <row r="11" spans="1:27" ht="102.75" thickBot="1">
      <c r="A11" s="801"/>
      <c r="B11" s="222"/>
      <c r="C11" s="223"/>
      <c r="D11" s="224"/>
      <c r="E11" s="226"/>
      <c r="F11" s="235">
        <f>60-5+120+22</f>
        <v>197</v>
      </c>
      <c r="G11" s="239" t="s">
        <v>21</v>
      </c>
      <c r="H11" s="240" t="s">
        <v>734</v>
      </c>
      <c r="I11" s="804"/>
      <c r="J11" s="221" t="str">
        <f>+'24'!J11</f>
        <v>TW 14 RC HW</v>
      </c>
      <c r="K11" s="246"/>
      <c r="L11" s="246"/>
      <c r="M11" s="124">
        <f>+K11+'24'!M11+L11</f>
        <v>8043</v>
      </c>
      <c r="T11" s="156" t="s">
        <v>408</v>
      </c>
      <c r="U11" s="156">
        <v>1160</v>
      </c>
      <c r="V11" s="156">
        <v>916.4</v>
      </c>
      <c r="W11" s="156">
        <v>370</v>
      </c>
      <c r="X11" s="156">
        <v>429200</v>
      </c>
      <c r="Y11" s="156">
        <v>339068</v>
      </c>
    </row>
    <row r="12" spans="1:27" ht="13.5" thickBot="1">
      <c r="A12" s="801"/>
      <c r="B12" s="222"/>
      <c r="C12" s="223"/>
      <c r="D12" s="224"/>
      <c r="E12" s="226"/>
      <c r="F12" s="235">
        <v>13</v>
      </c>
      <c r="G12" s="239" t="s">
        <v>89</v>
      </c>
      <c r="H12" s="240"/>
      <c r="I12" s="804"/>
      <c r="J12" s="221" t="str">
        <f>+'24'!J12</f>
        <v>TW 29 RC HW</v>
      </c>
      <c r="K12" s="246"/>
      <c r="L12" s="246"/>
      <c r="M12" s="124">
        <f>+K12+'24'!M12+L12</f>
        <v>21439</v>
      </c>
    </row>
    <row r="13" spans="1:27" ht="13.5" thickBot="1">
      <c r="A13" s="801"/>
      <c r="B13" s="222"/>
      <c r="C13" s="223"/>
      <c r="D13" s="223"/>
      <c r="E13" s="226"/>
      <c r="F13" s="235"/>
      <c r="G13" s="239"/>
      <c r="H13" s="240"/>
      <c r="I13" s="805"/>
      <c r="J13" s="221" t="str">
        <f>+'24'!J13</f>
        <v>TW 35,5 RC HW</v>
      </c>
      <c r="K13" s="246"/>
      <c r="L13" s="246"/>
      <c r="M13" s="124">
        <f>+K13+'24'!M13+L13</f>
        <v>2193</v>
      </c>
    </row>
    <row r="14" spans="1:27" ht="13.5" thickBot="1">
      <c r="A14" s="802"/>
      <c r="B14" s="172" t="s">
        <v>3</v>
      </c>
      <c r="C14" s="106">
        <f>SUM(C7:C13)</f>
        <v>9167</v>
      </c>
      <c r="D14" s="118">
        <f>SUM(D7:D13)</f>
        <v>0</v>
      </c>
      <c r="E14" s="119">
        <f>SUM(E5:E13)</f>
        <v>0</v>
      </c>
      <c r="F14" s="109">
        <f>SUM(F6:F13)</f>
        <v>215</v>
      </c>
      <c r="G14" s="166"/>
      <c r="H14" s="173"/>
      <c r="I14" s="174"/>
      <c r="J14" s="221" t="str">
        <f>+'24'!J14</f>
        <v>N 15,5 RC HW</v>
      </c>
      <c r="K14" s="246"/>
      <c r="L14" s="246"/>
      <c r="M14" s="124">
        <f>+K14+'24'!M14+L14</f>
        <v>46927</v>
      </c>
    </row>
    <row r="15" spans="1:27" ht="13.5" customHeight="1" thickBot="1">
      <c r="A15" s="800" t="s">
        <v>424</v>
      </c>
      <c r="B15" s="172"/>
      <c r="C15" s="120">
        <f>C14/($C$23+$D$23+$E$23)</f>
        <v>0.73903579490486937</v>
      </c>
      <c r="D15" s="121">
        <f>D14/($C$23+$D$23+$E$23)</f>
        <v>0</v>
      </c>
      <c r="E15" s="122">
        <f>E14/($C$23+$D$23+$E$23)</f>
        <v>0</v>
      </c>
      <c r="F15" s="235"/>
      <c r="G15" s="236" t="s">
        <v>13</v>
      </c>
      <c r="H15" s="237" t="s">
        <v>386</v>
      </c>
      <c r="I15" s="803" t="s">
        <v>748</v>
      </c>
      <c r="J15" s="221" t="str">
        <f>+'24'!J15</f>
        <v>F 14 RC HW</v>
      </c>
      <c r="K15" s="246"/>
      <c r="L15" s="246"/>
      <c r="M15" s="124">
        <f>+K15+'24'!M15+L15</f>
        <v>4620</v>
      </c>
    </row>
    <row r="16" spans="1:27" ht="13.5" thickBot="1">
      <c r="A16" s="806"/>
      <c r="B16" s="222" t="s">
        <v>422</v>
      </c>
      <c r="C16" s="229">
        <v>11699</v>
      </c>
      <c r="D16" s="230"/>
      <c r="E16" s="231"/>
      <c r="F16" s="238">
        <v>3</v>
      </c>
      <c r="G16" s="582" t="s">
        <v>13</v>
      </c>
      <c r="H16" s="237" t="s">
        <v>501</v>
      </c>
      <c r="I16" s="804"/>
      <c r="J16" s="221" t="str">
        <f>+'24'!J16</f>
        <v>T 15 RC HW</v>
      </c>
      <c r="K16" s="246"/>
      <c r="L16" s="236"/>
      <c r="M16" s="124">
        <f>+K16+'24'!M16+L16</f>
        <v>370116</v>
      </c>
      <c r="Q16" s="183">
        <f>SUM(Q6:Q14)</f>
        <v>283</v>
      </c>
      <c r="R16" s="183">
        <f>SUM(R6:R14)</f>
        <v>342450</v>
      </c>
      <c r="S16" s="183">
        <f>SUM(S6:S14)</f>
        <v>270535.50000000006</v>
      </c>
      <c r="W16" s="183">
        <f>SUM(W6:W14)</f>
        <v>653</v>
      </c>
      <c r="X16" s="183">
        <f>SUM(X6:X14)</f>
        <v>771650</v>
      </c>
      <c r="Y16" s="183">
        <f>SUM(Y6:Y14)</f>
        <v>609603.5</v>
      </c>
    </row>
    <row r="17" spans="1:27" ht="13.5" thickBot="1">
      <c r="A17" s="806"/>
      <c r="B17" s="222" t="s">
        <v>623</v>
      </c>
      <c r="C17" s="223">
        <v>705</v>
      </c>
      <c r="D17" s="224"/>
      <c r="E17" s="232"/>
      <c r="F17" s="235">
        <v>10</v>
      </c>
      <c r="G17" s="582" t="s">
        <v>13</v>
      </c>
      <c r="H17" s="240" t="s">
        <v>395</v>
      </c>
      <c r="I17" s="804"/>
      <c r="J17" s="221" t="str">
        <f>+'24'!J17</f>
        <v>T 14 RC HW</v>
      </c>
      <c r="K17" s="246">
        <f>+C17+C25</f>
        <v>13349</v>
      </c>
      <c r="L17" s="236"/>
      <c r="M17" s="124">
        <f>+K17+'24'!M17+L17</f>
        <v>131394</v>
      </c>
      <c r="Q17" s="156">
        <f>480-Q16</f>
        <v>197</v>
      </c>
      <c r="R17" s="183">
        <f>+R16/Q16</f>
        <v>1210.0706713780919</v>
      </c>
      <c r="S17" s="183">
        <f>+S16/Q16</f>
        <v>955.95583038869279</v>
      </c>
      <c r="W17" s="156">
        <f>480-W16</f>
        <v>-173</v>
      </c>
      <c r="X17" s="183">
        <f>+X16/W16</f>
        <v>1181.6998468606432</v>
      </c>
      <c r="Y17" s="183">
        <f>+Y16/W16</f>
        <v>933.54287901990813</v>
      </c>
    </row>
    <row r="18" spans="1:27" ht="26.25" thickBot="1">
      <c r="A18" s="806"/>
      <c r="B18" s="222"/>
      <c r="C18" s="223"/>
      <c r="D18" s="224"/>
      <c r="E18" s="232"/>
      <c r="F18" s="235">
        <v>8</v>
      </c>
      <c r="G18" s="244" t="s">
        <v>14</v>
      </c>
      <c r="H18" s="240" t="s">
        <v>731</v>
      </c>
      <c r="I18" s="804"/>
      <c r="J18" s="221" t="str">
        <f>+'24'!J18</f>
        <v>T 16 RC HW</v>
      </c>
      <c r="K18" s="246"/>
      <c r="L18" s="246"/>
      <c r="M18" s="124">
        <f>+K18+'24'!M18+L18</f>
        <v>17950</v>
      </c>
      <c r="N18" s="156" t="s">
        <v>408</v>
      </c>
      <c r="O18" s="156">
        <v>1160</v>
      </c>
      <c r="P18" s="156">
        <f>+O18-(O18*0.21)</f>
        <v>916.4</v>
      </c>
      <c r="Q18" s="156">
        <f>60*6+10</f>
        <v>370</v>
      </c>
      <c r="R18" s="156">
        <f t="shared" ref="R18:R19" si="8">+O18*Q18</f>
        <v>429200</v>
      </c>
      <c r="S18" s="156">
        <f t="shared" ref="S18:S19" si="9">+P18*Q18</f>
        <v>339068</v>
      </c>
      <c r="T18" s="156" t="s">
        <v>615</v>
      </c>
      <c r="U18" s="156">
        <v>1160</v>
      </c>
      <c r="V18" s="156">
        <v>916.4</v>
      </c>
      <c r="W18" s="156">
        <v>110</v>
      </c>
      <c r="X18" s="156">
        <v>127600</v>
      </c>
      <c r="Y18" s="156">
        <v>100804</v>
      </c>
      <c r="Z18" s="156">
        <f>+(1270-AA18)/1270</f>
        <v>8.6614173228346455E-2</v>
      </c>
      <c r="AA18" s="156">
        <v>1160</v>
      </c>
    </row>
    <row r="19" spans="1:27" ht="26.25" thickBot="1">
      <c r="A19" s="806"/>
      <c r="B19" s="222"/>
      <c r="C19" s="223"/>
      <c r="D19" s="224"/>
      <c r="E19" s="232"/>
      <c r="F19" s="242">
        <f>32+9</f>
        <v>41</v>
      </c>
      <c r="G19" s="239" t="s">
        <v>89</v>
      </c>
      <c r="H19" s="240" t="s">
        <v>732</v>
      </c>
      <c r="I19" s="804"/>
      <c r="J19" s="221" t="str">
        <f>+'24'!J19</f>
        <v>T 18 RC HW</v>
      </c>
      <c r="K19" s="246"/>
      <c r="L19" s="246"/>
      <c r="M19" s="124">
        <f>+K19+'24'!M19+L19</f>
        <v>32713</v>
      </c>
      <c r="N19" s="156" t="s">
        <v>615</v>
      </c>
      <c r="O19" s="156">
        <v>1160</v>
      </c>
      <c r="P19" s="156">
        <f>+O19-(O19*0.21)</f>
        <v>916.4</v>
      </c>
      <c r="Q19" s="156">
        <f>60-10+60</f>
        <v>110</v>
      </c>
      <c r="R19" s="156">
        <f t="shared" si="8"/>
        <v>127600</v>
      </c>
      <c r="S19" s="156">
        <f t="shared" si="9"/>
        <v>100804</v>
      </c>
      <c r="T19" s="156" t="s">
        <v>615</v>
      </c>
      <c r="U19" s="156">
        <v>1280</v>
      </c>
      <c r="V19" s="156">
        <v>1011.2</v>
      </c>
      <c r="W19" s="156">
        <v>73</v>
      </c>
      <c r="X19" s="156">
        <v>93440</v>
      </c>
      <c r="Y19" s="156">
        <v>73817.600000000006</v>
      </c>
      <c r="Z19" s="156">
        <f>+Z18*(370)</f>
        <v>32.047244094488185</v>
      </c>
    </row>
    <row r="20" spans="1:27" ht="13.5" thickBot="1">
      <c r="A20" s="806"/>
      <c r="B20" s="222"/>
      <c r="C20" s="223"/>
      <c r="D20" s="224"/>
      <c r="E20" s="232"/>
      <c r="F20" s="235"/>
      <c r="G20" s="239"/>
      <c r="H20" s="240"/>
      <c r="I20" s="804"/>
      <c r="J20" s="221" t="str">
        <f>+'24'!J20</f>
        <v>T 20 RC HW</v>
      </c>
      <c r="K20" s="246"/>
      <c r="L20" s="247"/>
      <c r="M20" s="124">
        <f>+K20+'24'!M20+L20</f>
        <v>12647</v>
      </c>
      <c r="T20" s="156" t="s">
        <v>615</v>
      </c>
      <c r="U20" s="156">
        <v>1280</v>
      </c>
      <c r="V20" s="156">
        <v>1011.2</v>
      </c>
      <c r="W20" s="156">
        <v>296</v>
      </c>
      <c r="X20" s="156">
        <v>378880</v>
      </c>
      <c r="Y20" s="156">
        <v>299315.20000000001</v>
      </c>
      <c r="Z20" s="156">
        <f>+Z19</f>
        <v>32.047244094488185</v>
      </c>
    </row>
    <row r="21" spans="1:27" ht="13.5" thickBot="1">
      <c r="A21" s="806"/>
      <c r="B21" s="222"/>
      <c r="C21" s="223"/>
      <c r="D21" s="224"/>
      <c r="E21" s="232"/>
      <c r="F21" s="238"/>
      <c r="G21" s="239"/>
      <c r="H21" s="240"/>
      <c r="I21" s="804"/>
      <c r="J21" s="221" t="str">
        <f>+'24'!J21</f>
        <v>T 13 RC HW</v>
      </c>
      <c r="K21" s="246"/>
      <c r="L21" s="246"/>
      <c r="M21" s="124">
        <f>+K21+'24'!M21+L21</f>
        <v>56241</v>
      </c>
    </row>
    <row r="22" spans="1:27" ht="13.5" thickBot="1">
      <c r="A22" s="806"/>
      <c r="B22" s="222"/>
      <c r="C22" s="223"/>
      <c r="D22" s="224"/>
      <c r="E22" s="232"/>
      <c r="F22" s="243"/>
      <c r="G22" s="239"/>
      <c r="H22" s="240"/>
      <c r="I22" s="805"/>
      <c r="J22" s="221">
        <f>+'24'!J22</f>
        <v>0</v>
      </c>
      <c r="K22" s="246"/>
      <c r="L22" s="246"/>
      <c r="M22" s="124">
        <f>+K22+'24'!M22+L22</f>
        <v>0</v>
      </c>
    </row>
    <row r="23" spans="1:27" ht="13.5" thickBot="1">
      <c r="A23" s="807"/>
      <c r="B23" s="172" t="s">
        <v>3</v>
      </c>
      <c r="C23" s="107">
        <f>SUM(C16:C22)</f>
        <v>12404</v>
      </c>
      <c r="D23" s="118">
        <f>SUM(D16:D22)</f>
        <v>0</v>
      </c>
      <c r="E23" s="119">
        <f>SUM(E18:E22)</f>
        <v>0</v>
      </c>
      <c r="F23" s="109">
        <f>SUM(F15:F22)</f>
        <v>62</v>
      </c>
      <c r="G23" s="166"/>
      <c r="H23" s="173"/>
      <c r="I23" s="176"/>
      <c r="J23" s="221">
        <f>+'24'!J23</f>
        <v>0</v>
      </c>
      <c r="K23" s="246"/>
      <c r="L23" s="246"/>
      <c r="M23" s="124">
        <f>+K23+'24'!M23+L23</f>
        <v>0</v>
      </c>
    </row>
    <row r="24" spans="1:27" ht="13.5" customHeight="1" thickBot="1">
      <c r="A24" s="800" t="s">
        <v>425</v>
      </c>
      <c r="B24" s="177"/>
      <c r="C24" s="120">
        <f>C23/($C$23+$D$23+$E$23)</f>
        <v>1</v>
      </c>
      <c r="D24" s="121">
        <f>D23/($C$23+$D$23+$E$23)</f>
        <v>0</v>
      </c>
      <c r="E24" s="122">
        <f>E23/($C$23+$D$23+$E$23)</f>
        <v>0</v>
      </c>
      <c r="F24" s="235"/>
      <c r="G24" s="236" t="s">
        <v>13</v>
      </c>
      <c r="H24" s="237" t="s">
        <v>386</v>
      </c>
      <c r="I24" s="803" t="s">
        <v>741</v>
      </c>
      <c r="J24" s="221">
        <f>+'24'!J24</f>
        <v>0</v>
      </c>
      <c r="K24" s="246"/>
      <c r="L24" s="246"/>
      <c r="M24" s="124">
        <f>+K24+'24'!M24+L24</f>
        <v>0</v>
      </c>
    </row>
    <row r="25" spans="1:27" ht="13.5" thickBot="1">
      <c r="A25" s="806"/>
      <c r="B25" s="222" t="s">
        <v>623</v>
      </c>
      <c r="C25" s="233">
        <v>12644</v>
      </c>
      <c r="D25" s="224"/>
      <c r="E25" s="232"/>
      <c r="F25" s="238">
        <v>4</v>
      </c>
      <c r="G25" s="582" t="s">
        <v>13</v>
      </c>
      <c r="H25" s="237" t="s">
        <v>414</v>
      </c>
      <c r="I25" s="804"/>
      <c r="J25" s="221">
        <f>+'24'!J25</f>
        <v>0</v>
      </c>
      <c r="K25" s="246"/>
      <c r="L25" s="246"/>
      <c r="M25" s="124">
        <f>+K25+'24'!M25+L25</f>
        <v>0</v>
      </c>
    </row>
    <row r="26" spans="1:27" ht="13.5" thickBot="1">
      <c r="A26" s="806"/>
      <c r="B26" s="222"/>
      <c r="C26" s="233"/>
      <c r="D26" s="224"/>
      <c r="E26" s="234"/>
      <c r="F26" s="235">
        <v>5</v>
      </c>
      <c r="G26" s="582" t="s">
        <v>13</v>
      </c>
      <c r="H26" s="240" t="s">
        <v>523</v>
      </c>
      <c r="I26" s="804"/>
      <c r="J26" s="221">
        <f>+'24'!J26</f>
        <v>0</v>
      </c>
      <c r="K26" s="246"/>
      <c r="L26" s="246"/>
      <c r="M26" s="124">
        <f>+K26+'24'!M26+L26</f>
        <v>0</v>
      </c>
    </row>
    <row r="27" spans="1:27" ht="26.25" thickBot="1">
      <c r="A27" s="806"/>
      <c r="B27" s="222"/>
      <c r="C27" s="223"/>
      <c r="D27" s="224"/>
      <c r="E27" s="232"/>
      <c r="F27" s="235"/>
      <c r="G27" s="244" t="s">
        <v>14</v>
      </c>
      <c r="H27" s="240" t="s">
        <v>745</v>
      </c>
      <c r="I27" s="804"/>
      <c r="J27" s="221">
        <f>+'24'!J27</f>
        <v>0</v>
      </c>
      <c r="K27" s="246"/>
      <c r="L27" s="246"/>
      <c r="M27" s="124">
        <f>+K27+'24'!M27+L27</f>
        <v>0</v>
      </c>
    </row>
    <row r="28" spans="1:27" ht="77.25" thickBot="1">
      <c r="A28" s="806"/>
      <c r="B28" s="222"/>
      <c r="C28" s="223"/>
      <c r="D28" s="224"/>
      <c r="E28" s="232"/>
      <c r="F28" s="238">
        <f>60-13+60+4</f>
        <v>111</v>
      </c>
      <c r="G28" s="239" t="s">
        <v>79</v>
      </c>
      <c r="H28" s="240" t="s">
        <v>746</v>
      </c>
      <c r="I28" s="804"/>
      <c r="J28" s="221">
        <f>+'24'!J28</f>
        <v>0</v>
      </c>
      <c r="K28" s="246"/>
      <c r="L28" s="246"/>
      <c r="M28" s="124">
        <f>+K28+'24'!M28+L28</f>
        <v>0</v>
      </c>
      <c r="Q28" s="183">
        <f>SUM(Q18:Q26)</f>
        <v>480</v>
      </c>
      <c r="R28" s="183">
        <f>SUM(R18:R26)</f>
        <v>556800</v>
      </c>
      <c r="S28" s="183">
        <f>SUM(S18:S26)</f>
        <v>439872</v>
      </c>
      <c r="W28" s="183">
        <f>SUM(W18:W26)</f>
        <v>479</v>
      </c>
      <c r="X28" s="183">
        <f>SUM(X18:X26)</f>
        <v>599920</v>
      </c>
      <c r="Y28" s="183">
        <f>SUM(Y18:Y26)</f>
        <v>473936.80000000005</v>
      </c>
      <c r="Z28" s="156">
        <f>+(1260-AA28)/1270</f>
        <v>7.874015748031496E-2</v>
      </c>
      <c r="AA28" s="156">
        <v>1160</v>
      </c>
    </row>
    <row r="29" spans="1:27" ht="13.5" thickBot="1">
      <c r="A29" s="806"/>
      <c r="B29" s="222"/>
      <c r="C29" s="223"/>
      <c r="D29" s="224"/>
      <c r="E29" s="232"/>
      <c r="F29" s="243"/>
      <c r="G29" s="239"/>
      <c r="H29" s="240"/>
      <c r="I29" s="804"/>
      <c r="J29" s="221">
        <f>+'24'!J29</f>
        <v>0</v>
      </c>
      <c r="K29" s="246"/>
      <c r="L29" s="246"/>
      <c r="M29" s="124">
        <f>+K29+'24'!M29+L29</f>
        <v>0</v>
      </c>
      <c r="Q29" s="156">
        <f>480-Q28</f>
        <v>0</v>
      </c>
      <c r="R29" s="183">
        <f>+R28/Q28</f>
        <v>1160</v>
      </c>
      <c r="S29" s="183">
        <f>+S28/Q28</f>
        <v>916.4</v>
      </c>
      <c r="W29" s="156">
        <f>480-W28</f>
        <v>1</v>
      </c>
      <c r="X29" s="183">
        <f>+X28/W28</f>
        <v>1252.4425887265136</v>
      </c>
      <c r="Y29" s="183">
        <f>+Y28/W28</f>
        <v>989.42964509394585</v>
      </c>
      <c r="Z29" s="156">
        <f>+Z28*(110)</f>
        <v>8.6614173228346463</v>
      </c>
    </row>
    <row r="30" spans="1:27" ht="13.5" thickBot="1">
      <c r="A30" s="806"/>
      <c r="B30" s="222"/>
      <c r="C30" s="233"/>
      <c r="D30" s="224"/>
      <c r="E30" s="232"/>
      <c r="F30" s="243"/>
      <c r="G30" s="239"/>
      <c r="H30" s="240"/>
      <c r="I30" s="804"/>
      <c r="J30" s="221">
        <f>+'24'!J30</f>
        <v>0</v>
      </c>
      <c r="K30" s="246"/>
      <c r="L30" s="246"/>
      <c r="M30" s="124">
        <f>+K30+'24'!M30+L30</f>
        <v>0</v>
      </c>
      <c r="N30" s="156" t="s">
        <v>615</v>
      </c>
      <c r="O30" s="156">
        <v>1280</v>
      </c>
      <c r="P30" s="156">
        <f>+O30-(O30*0.21)</f>
        <v>1011.2</v>
      </c>
      <c r="Q30" s="156">
        <f>60+13</f>
        <v>73</v>
      </c>
      <c r="R30" s="156">
        <f t="shared" ref="R30:R31" si="10">+O30*Q30</f>
        <v>93440</v>
      </c>
      <c r="S30" s="156">
        <f t="shared" ref="S30:S31" si="11">+P30*Q30</f>
        <v>73817.600000000006</v>
      </c>
      <c r="Z30" s="156">
        <f>+Z29</f>
        <v>8.6614173228346463</v>
      </c>
    </row>
    <row r="31" spans="1:27" ht="13.5" thickBot="1">
      <c r="A31" s="806"/>
      <c r="B31" s="222"/>
      <c r="C31" s="233"/>
      <c r="D31" s="224"/>
      <c r="E31" s="232"/>
      <c r="F31" s="243"/>
      <c r="G31" s="244"/>
      <c r="H31" s="241"/>
      <c r="I31" s="805"/>
      <c r="J31" s="221">
        <f>+'24'!J31</f>
        <v>0</v>
      </c>
      <c r="K31" s="246"/>
      <c r="L31" s="246"/>
      <c r="M31" s="124">
        <f>+K31+'24'!M31+L31</f>
        <v>0</v>
      </c>
      <c r="N31" s="156" t="s">
        <v>615</v>
      </c>
      <c r="O31" s="156">
        <v>1280</v>
      </c>
      <c r="P31" s="156">
        <f>+O31-(O31*0.21)</f>
        <v>1011.2</v>
      </c>
      <c r="Q31" s="156">
        <f>60-4+240</f>
        <v>296</v>
      </c>
      <c r="R31" s="156">
        <f t="shared" si="10"/>
        <v>378880</v>
      </c>
      <c r="S31" s="156">
        <f t="shared" si="11"/>
        <v>299315.20000000001</v>
      </c>
    </row>
    <row r="32" spans="1:27" ht="13.5" thickBot="1">
      <c r="A32" s="807"/>
      <c r="B32" s="172" t="s">
        <v>3</v>
      </c>
      <c r="C32" s="106">
        <f>SUM(C25:C31)</f>
        <v>12644</v>
      </c>
      <c r="D32" s="107">
        <f>SUM(D25:D31)</f>
        <v>0</v>
      </c>
      <c r="E32" s="108">
        <f>SUM(E25:E31)</f>
        <v>0</v>
      </c>
      <c r="F32" s="109">
        <f>SUM(F24:F31)</f>
        <v>120</v>
      </c>
      <c r="G32" s="178"/>
      <c r="H32" s="179"/>
      <c r="I32" s="176"/>
      <c r="J32" s="221">
        <f>+'24'!J32</f>
        <v>0</v>
      </c>
      <c r="K32" s="246"/>
      <c r="L32" s="250"/>
      <c r="M32" s="124">
        <f>+K32+'24'!M32+L32</f>
        <v>0</v>
      </c>
    </row>
    <row r="33" spans="1:23" ht="13.5" thickBot="1">
      <c r="A33" s="180"/>
      <c r="B33" s="181"/>
      <c r="C33" s="110">
        <f>C32/($C$32+$D$32+$E$32)</f>
        <v>1</v>
      </c>
      <c r="D33" s="111">
        <f>D32/($C$32+$D$32+$E$32)</f>
        <v>0</v>
      </c>
      <c r="E33" s="112">
        <f>E32/($C$32+$D$32+$E$32)</f>
        <v>0</v>
      </c>
      <c r="F33" s="113"/>
      <c r="G33" s="182"/>
      <c r="H33" s="183"/>
      <c r="I33" s="184"/>
      <c r="J33" s="128"/>
      <c r="K33" s="129"/>
      <c r="L33" s="220"/>
      <c r="M33" s="126"/>
    </row>
    <row r="34" spans="1:23" ht="13.5" thickBot="1">
      <c r="A34" s="808" t="s">
        <v>70</v>
      </c>
      <c r="B34" s="809"/>
      <c r="C34" s="114">
        <f>C14+C23+C32</f>
        <v>34215</v>
      </c>
      <c r="D34" s="114">
        <f>D14+D23+D32</f>
        <v>0</v>
      </c>
      <c r="E34" s="114">
        <f>E14+E23+E32</f>
        <v>0</v>
      </c>
      <c r="F34" s="115">
        <f>F14+F23+F32</f>
        <v>397</v>
      </c>
      <c r="H34" s="185"/>
      <c r="I34" s="185"/>
      <c r="J34" s="130" t="s">
        <v>29</v>
      </c>
      <c r="K34" s="131">
        <f>SUM(K7:K32)</f>
        <v>34215</v>
      </c>
      <c r="L34" s="219">
        <f>SUM(L7:L32)</f>
        <v>0</v>
      </c>
      <c r="M34" s="127">
        <f>SUM(M7:M32)</f>
        <v>1142119</v>
      </c>
      <c r="V34" s="156">
        <f>+(1260-W34)/1270</f>
        <v>7.874015748031496E-2</v>
      </c>
      <c r="W34" s="156">
        <v>1160</v>
      </c>
    </row>
    <row r="35" spans="1:23" ht="13.5" thickBot="1">
      <c r="A35" s="186"/>
      <c r="B35" s="187"/>
      <c r="C35" s="111">
        <f>C34/($C$34+$D$34+$E$34)</f>
        <v>1</v>
      </c>
      <c r="D35" s="111">
        <f>D34/($C$34+$D$34+$E$34)</f>
        <v>0</v>
      </c>
      <c r="E35" s="116">
        <f>E34/($C$34+$D$34+$E$34)</f>
        <v>0</v>
      </c>
      <c r="K35" s="162"/>
      <c r="L35" s="799" t="s">
        <v>184</v>
      </c>
      <c r="M35" s="799"/>
      <c r="V35" s="156">
        <f>+V34*(110)</f>
        <v>8.6614173228346463</v>
      </c>
    </row>
    <row r="36" spans="1:23" ht="13.5" thickBot="1">
      <c r="A36" s="185"/>
      <c r="B36" s="185"/>
      <c r="C36" s="162"/>
      <c r="D36" s="162"/>
      <c r="E36" s="162"/>
      <c r="G36" s="162"/>
      <c r="H36" s="188"/>
      <c r="I36" s="169" t="s">
        <v>41</v>
      </c>
      <c r="J36" s="169" t="s">
        <v>42</v>
      </c>
      <c r="K36" s="189"/>
      <c r="L36" s="169" t="s">
        <v>41</v>
      </c>
      <c r="M36" s="169" t="s">
        <v>42</v>
      </c>
      <c r="V36" s="156">
        <f>+V35/3</f>
        <v>2.8871391076115489</v>
      </c>
    </row>
    <row r="37" spans="1:23" ht="17.45" customHeight="1" thickBot="1">
      <c r="A37" s="797" t="s">
        <v>71</v>
      </c>
      <c r="B37" s="798"/>
      <c r="C37" s="169" t="s">
        <v>72</v>
      </c>
      <c r="D37" s="190" t="s">
        <v>73</v>
      </c>
      <c r="E37" s="191" t="s">
        <v>74</v>
      </c>
      <c r="F37" s="368"/>
      <c r="G37" s="370"/>
      <c r="H37" s="193" t="s">
        <v>75</v>
      </c>
      <c r="I37" s="251">
        <f>(13.5*653+479*14)/1132*G42*2.75*1132/1000000</f>
        <v>41.027352502929929</v>
      </c>
      <c r="J37" s="132">
        <f>+I37+'24'!J37</f>
        <v>1255.3257608221186</v>
      </c>
      <c r="K37" s="133" t="s">
        <v>76</v>
      </c>
      <c r="L37" s="429"/>
      <c r="M37" s="430"/>
    </row>
    <row r="38" spans="1:23" ht="17.45" customHeight="1">
      <c r="A38" s="793" t="s">
        <v>13</v>
      </c>
      <c r="B38" s="794"/>
      <c r="C38" s="171">
        <f>SUMIF($G$7:$G$31,"Process",$F$7:$F$31)</f>
        <v>27</v>
      </c>
      <c r="D38" s="125">
        <f>+C38+'24'!D38</f>
        <v>1231</v>
      </c>
      <c r="E38" s="150">
        <f t="shared" ref="E38:E51" si="12">D38/60</f>
        <v>20.516666666666666</v>
      </c>
      <c r="F38" s="368">
        <v>1210.0706713780919</v>
      </c>
      <c r="G38" s="368">
        <v>955.95583038869279</v>
      </c>
      <c r="H38" s="194" t="s">
        <v>77</v>
      </c>
      <c r="I38" s="551">
        <f>9.617+14.167+2.049+13.867</f>
        <v>39.700000000000003</v>
      </c>
      <c r="J38" s="134">
        <f>+I38+'24'!J38</f>
        <v>1178.204</v>
      </c>
      <c r="K38" s="135" t="s">
        <v>76</v>
      </c>
      <c r="L38" s="431"/>
      <c r="M38" s="432"/>
    </row>
    <row r="39" spans="1:23" ht="17.45" customHeight="1">
      <c r="A39" s="789" t="s">
        <v>14</v>
      </c>
      <c r="B39" s="790"/>
      <c r="C39" s="171">
        <f>SUMIF($G$7:$G$31,"Cleaning",$F$7:$F$31)</f>
        <v>8</v>
      </c>
      <c r="D39" s="125">
        <f>+C39+'24'!D39</f>
        <v>230</v>
      </c>
      <c r="E39" s="150">
        <f t="shared" si="12"/>
        <v>3.8333333333333335</v>
      </c>
      <c r="F39" s="368">
        <v>1160</v>
      </c>
      <c r="G39" s="368">
        <v>916.4</v>
      </c>
      <c r="H39" s="194" t="s">
        <v>78</v>
      </c>
      <c r="I39" s="149"/>
      <c r="J39" s="136">
        <f>J37/G4</f>
        <v>50.213030432884743</v>
      </c>
      <c r="K39" s="137" t="s">
        <v>76</v>
      </c>
      <c r="L39" s="431"/>
      <c r="M39" s="432"/>
    </row>
    <row r="40" spans="1:23" ht="17.45" customHeight="1">
      <c r="A40" s="789" t="s">
        <v>79</v>
      </c>
      <c r="B40" s="790"/>
      <c r="C40" s="171">
        <f>SUMIF($G$7:$G$31,"Mechanical",$F$7:$F$31)</f>
        <v>111</v>
      </c>
      <c r="D40" s="125">
        <f>+C40+'24'!D40</f>
        <v>133</v>
      </c>
      <c r="E40" s="150">
        <f t="shared" si="12"/>
        <v>2.2166666666666668</v>
      </c>
      <c r="F40" s="368">
        <v>1280</v>
      </c>
      <c r="G40" s="368">
        <v>1011.2000000000002</v>
      </c>
      <c r="H40" s="194" t="s">
        <v>80</v>
      </c>
      <c r="I40" s="125">
        <f>(K34+L34)/1000</f>
        <v>34.215000000000003</v>
      </c>
      <c r="J40" s="138">
        <f>+I40+'24'!J40</f>
        <v>1142.1189999999999</v>
      </c>
      <c r="K40" s="137" t="s">
        <v>76</v>
      </c>
      <c r="L40" s="431"/>
      <c r="M40" s="432"/>
      <c r="Q40" s="183">
        <f>SUM(Q30:Q38)</f>
        <v>369</v>
      </c>
      <c r="R40" s="183">
        <f>SUM(R30:R38)</f>
        <v>472320</v>
      </c>
      <c r="S40" s="183">
        <f>SUM(S30:S38)</f>
        <v>373132.80000000005</v>
      </c>
    </row>
    <row r="41" spans="1:23" ht="17.45" customHeight="1">
      <c r="A41" s="789" t="s">
        <v>81</v>
      </c>
      <c r="B41" s="790"/>
      <c r="C41" s="171">
        <f>SUMIF($G$7:$G$31,"Electrical",$F$7:$F$31)</f>
        <v>0</v>
      </c>
      <c r="D41" s="125">
        <f>+C41+'24'!D41</f>
        <v>539</v>
      </c>
      <c r="E41" s="150">
        <f t="shared" si="12"/>
        <v>8.9833333333333325</v>
      </c>
      <c r="F41" s="368"/>
      <c r="G41" s="368"/>
      <c r="H41" s="194" t="s">
        <v>82</v>
      </c>
      <c r="I41" s="149"/>
      <c r="J41" s="136">
        <f>J40/G4</f>
        <v>45.684759999999997</v>
      </c>
      <c r="K41" s="137" t="s">
        <v>76</v>
      </c>
      <c r="L41" s="431"/>
      <c r="M41" s="432"/>
      <c r="Q41" s="156">
        <f>480-Q40</f>
        <v>111</v>
      </c>
      <c r="R41" s="183">
        <f>+R40/Q40</f>
        <v>1280</v>
      </c>
      <c r="S41" s="183">
        <f>+S40/Q40</f>
        <v>1011.2000000000002</v>
      </c>
    </row>
    <row r="42" spans="1:23" ht="17.45" customHeight="1">
      <c r="A42" s="789" t="s">
        <v>17</v>
      </c>
      <c r="B42" s="790"/>
      <c r="C42" s="171">
        <f>SUMIF($G$7:$G$31,"Instrument",$F$7:$F$31)</f>
        <v>0</v>
      </c>
      <c r="D42" s="125">
        <f>+C42+'24'!D42</f>
        <v>0</v>
      </c>
      <c r="E42" s="150">
        <f t="shared" si="12"/>
        <v>0</v>
      </c>
      <c r="F42" s="368">
        <f>+(F38*480+F39*480+F40*480)/1440</f>
        <v>1216.6902237926972</v>
      </c>
      <c r="G42" s="368">
        <f>+(G38*480+G39*480+G40*480)/1440</f>
        <v>961.18527679623094</v>
      </c>
      <c r="H42" s="194" t="s">
        <v>83</v>
      </c>
      <c r="I42" s="253" t="s">
        <v>749</v>
      </c>
      <c r="J42" s="139"/>
      <c r="K42" s="137" t="s">
        <v>84</v>
      </c>
      <c r="L42" s="431"/>
      <c r="M42" s="432"/>
    </row>
    <row r="43" spans="1:23" ht="17.45" customHeight="1">
      <c r="A43" s="789" t="s">
        <v>199</v>
      </c>
      <c r="B43" s="790"/>
      <c r="C43" s="171">
        <f>SUMIF($G$7:$G$31,"Change Grade",$F$7:$F$31)</f>
        <v>0</v>
      </c>
      <c r="D43" s="125">
        <f>+C43+'24'!D43</f>
        <v>0</v>
      </c>
      <c r="E43" s="150">
        <f t="shared" si="12"/>
        <v>0</v>
      </c>
      <c r="F43" s="368"/>
      <c r="G43" s="369"/>
      <c r="H43" s="195" t="s">
        <v>86</v>
      </c>
      <c r="I43" s="125">
        <f>+Report1!AH33</f>
        <v>57.9</v>
      </c>
      <c r="J43" s="140">
        <f>+I43+'24'!J43</f>
        <v>1596.7</v>
      </c>
      <c r="K43" s="137" t="s">
        <v>76</v>
      </c>
      <c r="L43" s="433">
        <f>+Report1!AN33</f>
        <v>0</v>
      </c>
      <c r="M43" s="434">
        <f>+L43+'24'!M43</f>
        <v>9</v>
      </c>
      <c r="N43" s="156">
        <v>283</v>
      </c>
      <c r="P43" s="156" t="s">
        <v>408</v>
      </c>
      <c r="Q43" s="156">
        <v>1181.6998468606432</v>
      </c>
      <c r="R43" s="156">
        <v>933.54287901990813</v>
      </c>
      <c r="S43" s="156">
        <v>653</v>
      </c>
    </row>
    <row r="44" spans="1:23" ht="17.45" customHeight="1">
      <c r="A44" s="789" t="s">
        <v>18</v>
      </c>
      <c r="B44" s="790"/>
      <c r="C44" s="171">
        <f>SUMIF($G$7:$G$31,"PLN",$F$7:$F$31)</f>
        <v>0</v>
      </c>
      <c r="D44" s="125">
        <f>+C44+'24'!D44</f>
        <v>0</v>
      </c>
      <c r="E44" s="150">
        <f t="shared" si="12"/>
        <v>0</v>
      </c>
      <c r="F44" s="368"/>
      <c r="G44" s="369"/>
      <c r="H44" s="195" t="s">
        <v>87</v>
      </c>
      <c r="I44" s="125">
        <f>I43/I38</f>
        <v>1.4584382871536523</v>
      </c>
      <c r="J44" s="141">
        <f>J43/J38</f>
        <v>1.3551982508971283</v>
      </c>
      <c r="K44" s="137" t="s">
        <v>76</v>
      </c>
      <c r="L44" s="435">
        <f>+L43/I38</f>
        <v>0</v>
      </c>
      <c r="M44" s="436">
        <f>+M43/J38</f>
        <v>7.6387450730094281E-3</v>
      </c>
      <c r="N44" s="156">
        <v>480</v>
      </c>
      <c r="P44" s="156" t="s">
        <v>615</v>
      </c>
      <c r="Q44" s="156">
        <v>1252.4425887265136</v>
      </c>
      <c r="R44" s="156">
        <v>989.42964509394585</v>
      </c>
      <c r="S44" s="156">
        <v>479</v>
      </c>
    </row>
    <row r="45" spans="1:23" ht="17.45" customHeight="1">
      <c r="A45" s="789" t="s">
        <v>19</v>
      </c>
      <c r="B45" s="790"/>
      <c r="C45" s="171">
        <f>SUMIF($G$7:$G$31,"Boiler",$F$7:$F$31)</f>
        <v>0</v>
      </c>
      <c r="D45" s="125">
        <f>+C45+'24'!D45</f>
        <v>0</v>
      </c>
      <c r="E45" s="150">
        <f t="shared" si="12"/>
        <v>0</v>
      </c>
      <c r="F45" s="368"/>
      <c r="G45" s="371"/>
      <c r="H45" s="195" t="s">
        <v>88</v>
      </c>
      <c r="I45" s="125">
        <f>I43/I40</f>
        <v>1.6922402455063565</v>
      </c>
      <c r="J45" s="141">
        <f>J43/J40</f>
        <v>1.3980154432243928</v>
      </c>
      <c r="K45" s="137" t="s">
        <v>76</v>
      </c>
      <c r="L45" s="435">
        <f>+L43/I40</f>
        <v>0</v>
      </c>
      <c r="M45" s="436">
        <f>+M43/J40</f>
        <v>7.8800895528399403E-3</v>
      </c>
      <c r="N45" s="156">
        <v>369</v>
      </c>
      <c r="S45" s="156">
        <f>+S43+S44</f>
        <v>1132</v>
      </c>
    </row>
    <row r="46" spans="1:23" ht="17.45" customHeight="1">
      <c r="A46" s="789" t="s">
        <v>89</v>
      </c>
      <c r="B46" s="790"/>
      <c r="C46" s="171">
        <f>SUMIF($G$7:$G$31,"Gas",$F$7:$F$31)</f>
        <v>54</v>
      </c>
      <c r="D46" s="125">
        <f>+C46+'24'!D46</f>
        <v>775</v>
      </c>
      <c r="E46" s="150">
        <f t="shared" si="12"/>
        <v>12.916666666666666</v>
      </c>
      <c r="F46" s="368"/>
      <c r="G46" s="369"/>
      <c r="H46" s="195" t="s">
        <v>90</v>
      </c>
      <c r="I46" s="147">
        <f>+SUMIF(Listrik!P32,"&gt;0")</f>
        <v>37051.599999999999</v>
      </c>
      <c r="J46" s="142">
        <f>+I46+'24'!J46</f>
        <v>1014741.42</v>
      </c>
      <c r="K46" s="137" t="s">
        <v>91</v>
      </c>
      <c r="L46" s="435">
        <f>+Listrik!AF32</f>
        <v>0</v>
      </c>
      <c r="M46" s="437">
        <f>+L46+'24'!M46</f>
        <v>0</v>
      </c>
      <c r="N46" s="156">
        <f>SUM(N43:N45)</f>
        <v>1132</v>
      </c>
    </row>
    <row r="47" spans="1:23" ht="17.45" customHeight="1">
      <c r="A47" s="789" t="s">
        <v>92</v>
      </c>
      <c r="B47" s="790"/>
      <c r="C47" s="171">
        <f>SUMIF($G$7:$G$31,"Power Plant",$F$7:$F$31)</f>
        <v>0</v>
      </c>
      <c r="D47" s="125">
        <f>+C47+'24'!D47</f>
        <v>0</v>
      </c>
      <c r="E47" s="150">
        <f t="shared" si="12"/>
        <v>0</v>
      </c>
      <c r="F47" s="368"/>
      <c r="G47" s="369"/>
      <c r="H47" s="195" t="s">
        <v>93</v>
      </c>
      <c r="I47" s="125">
        <f>I46/I38</f>
        <v>933.28967254408053</v>
      </c>
      <c r="J47" s="142">
        <f>J46/J38</f>
        <v>861.26122471151018</v>
      </c>
      <c r="K47" s="137" t="s">
        <v>25</v>
      </c>
      <c r="L47" s="435">
        <f>+L46/I38</f>
        <v>0</v>
      </c>
      <c r="M47" s="436">
        <f>+M46/J38</f>
        <v>0</v>
      </c>
    </row>
    <row r="48" spans="1:23" ht="17.45" customHeight="1">
      <c r="A48" s="789" t="s">
        <v>15</v>
      </c>
      <c r="B48" s="790"/>
      <c r="C48" s="171">
        <f>SUMIF($G$7:$G$31,"Start Up",$F$7:$F$31)</f>
        <v>0</v>
      </c>
      <c r="D48" s="125">
        <f>+C48+'24'!D48</f>
        <v>0</v>
      </c>
      <c r="E48" s="150">
        <f t="shared" si="12"/>
        <v>0</v>
      </c>
      <c r="F48" s="368"/>
      <c r="G48" s="369"/>
      <c r="H48" s="195" t="s">
        <v>94</v>
      </c>
      <c r="I48" s="125">
        <f>I46/I40</f>
        <v>1082.9051585561886</v>
      </c>
      <c r="J48" s="142">
        <f>J46/J40</f>
        <v>888.47258473066302</v>
      </c>
      <c r="K48" s="137" t="s">
        <v>25</v>
      </c>
      <c r="L48" s="435">
        <f>+L46/I38</f>
        <v>0</v>
      </c>
      <c r="M48" s="436">
        <f>+M46/J40</f>
        <v>0</v>
      </c>
    </row>
    <row r="49" spans="1:13" ht="17.45" customHeight="1">
      <c r="A49" s="789" t="s">
        <v>21</v>
      </c>
      <c r="B49" s="790"/>
      <c r="C49" s="171">
        <f>SUMIF($G$7:$G$31,"Others",$F$7:$F$31)</f>
        <v>197</v>
      </c>
      <c r="D49" s="125">
        <f>+C49+'24'!D49</f>
        <v>677</v>
      </c>
      <c r="E49" s="150">
        <f t="shared" si="12"/>
        <v>11.283333333333333</v>
      </c>
      <c r="F49" s="192"/>
      <c r="H49" s="195" t="s">
        <v>95</v>
      </c>
      <c r="I49" s="125">
        <f>+Report1!AB33</f>
        <v>0</v>
      </c>
      <c r="J49" s="142">
        <f>+I49+'24'!J49</f>
        <v>115232.99774775266</v>
      </c>
      <c r="K49" s="137" t="s">
        <v>96</v>
      </c>
      <c r="L49" s="431"/>
      <c r="M49" s="432"/>
    </row>
    <row r="50" spans="1:13" ht="17.45" customHeight="1">
      <c r="A50" s="789" t="s">
        <v>20</v>
      </c>
      <c r="B50" s="790"/>
      <c r="C50" s="171">
        <f>SUMIF($G$7:$G$31,"Steam",$F$7:$F$31)</f>
        <v>0</v>
      </c>
      <c r="D50" s="125">
        <f>+C50+'24'!D50</f>
        <v>0</v>
      </c>
      <c r="E50" s="150">
        <f t="shared" si="12"/>
        <v>0</v>
      </c>
      <c r="F50" s="192"/>
      <c r="H50" s="195" t="s">
        <v>97</v>
      </c>
      <c r="I50" s="147">
        <f>I49/I38</f>
        <v>0</v>
      </c>
      <c r="J50" s="140">
        <f>J49/J38</f>
        <v>97.803943754861351</v>
      </c>
      <c r="K50" s="137" t="s">
        <v>96</v>
      </c>
      <c r="L50" s="431"/>
      <c r="M50" s="432"/>
    </row>
    <row r="51" spans="1:13" ht="17.45" customHeight="1" thickBot="1">
      <c r="A51" s="791" t="s">
        <v>98</v>
      </c>
      <c r="B51" s="792"/>
      <c r="C51" s="171">
        <f>SUMIF($G$7:$G$31,"Planned shut",$F$7:$F$31)</f>
        <v>0</v>
      </c>
      <c r="D51" s="125">
        <f>+C51+'24'!D51</f>
        <v>394</v>
      </c>
      <c r="E51" s="150">
        <f t="shared" si="12"/>
        <v>6.5666666666666664</v>
      </c>
      <c r="F51" s="192"/>
      <c r="H51" s="197" t="s">
        <v>99</v>
      </c>
      <c r="I51" s="148">
        <f>I49/I40</f>
        <v>0</v>
      </c>
      <c r="J51" s="143">
        <f>J49/J40</f>
        <v>100.89403796605491</v>
      </c>
      <c r="K51" s="144" t="s">
        <v>96</v>
      </c>
      <c r="L51" s="431"/>
      <c r="M51" s="432"/>
    </row>
    <row r="52" spans="1:13" ht="13.5" thickBot="1">
      <c r="A52" s="793" t="s">
        <v>29</v>
      </c>
      <c r="B52" s="794"/>
      <c r="C52" s="151">
        <f>SUM(C38:C51)</f>
        <v>397</v>
      </c>
      <c r="D52" s="151">
        <f>SUM(D38:D51)</f>
        <v>3979</v>
      </c>
      <c r="E52" s="152">
        <f>SUM(E38:E51)</f>
        <v>66.316666666666663</v>
      </c>
      <c r="F52" s="192"/>
      <c r="H52" s="198"/>
      <c r="I52" s="199"/>
      <c r="J52" s="145"/>
      <c r="K52" s="146"/>
      <c r="L52" s="438"/>
      <c r="M52" s="439"/>
    </row>
    <row r="53" spans="1:13" ht="13.5" thickBot="1">
      <c r="A53" s="795"/>
      <c r="B53" s="796"/>
      <c r="C53" s="153">
        <f>C52/(24*60)</f>
        <v>0.27569444444444446</v>
      </c>
      <c r="D53" s="153">
        <f>D52/(24*60*G4)</f>
        <v>0.11052777777777778</v>
      </c>
      <c r="E53" s="154">
        <f>E52/(G4*24)</f>
        <v>0.11052777777777777</v>
      </c>
      <c r="F53" s="192"/>
    </row>
    <row r="54" spans="1:13">
      <c r="E54" s="200"/>
      <c r="F54" s="192"/>
    </row>
    <row r="55" spans="1:13">
      <c r="E55" s="200"/>
    </row>
    <row r="56" spans="1:13">
      <c r="A56" s="201" t="s">
        <v>100</v>
      </c>
      <c r="B56" s="202"/>
      <c r="C56" s="203"/>
      <c r="D56" s="203"/>
      <c r="E56" s="203"/>
      <c r="F56" s="204"/>
      <c r="G56" s="203"/>
      <c r="H56" s="205"/>
      <c r="I56" s="206" t="s">
        <v>101</v>
      </c>
      <c r="J56" s="207">
        <f>+D34+'24'!J56</f>
        <v>5317</v>
      </c>
      <c r="K56" s="208">
        <f>J56/(J40+J56/1000)/1000</f>
        <v>4.6338096416706463E-3</v>
      </c>
    </row>
    <row r="57" spans="1:13">
      <c r="A57" s="183"/>
      <c r="I57" s="206" t="s">
        <v>102</v>
      </c>
      <c r="J57" s="207">
        <f>+E34+'24'!J57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U61"/>
  <sheetViews>
    <sheetView topLeftCell="B1" zoomScale="80" zoomScaleNormal="80" workbookViewId="0">
      <selection activeCell="H19" sqref="H19"/>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18.85546875" style="156" customWidth="1"/>
    <col min="11" max="11" width="12.5703125" style="156" bestFit="1" customWidth="1"/>
    <col min="12" max="12" width="8.28515625" style="156" customWidth="1"/>
    <col min="13" max="13" width="15.140625" style="156" customWidth="1"/>
    <col min="14" max="16384" width="9.140625" style="156"/>
  </cols>
  <sheetData>
    <row r="1" spans="1:21" ht="15.75">
      <c r="A1" s="155"/>
    </row>
    <row r="2" spans="1:21" ht="15.75">
      <c r="A2" s="155" t="s">
        <v>183</v>
      </c>
    </row>
    <row r="3" spans="1:21" ht="15">
      <c r="A3" s="157"/>
    </row>
    <row r="4" spans="1:21" ht="20.25">
      <c r="A4" s="158" t="s">
        <v>5</v>
      </c>
      <c r="B4" s="159"/>
      <c r="F4" s="160" t="s">
        <v>30</v>
      </c>
      <c r="G4" s="161">
        <v>24</v>
      </c>
      <c r="H4" s="161" t="str">
        <f>+'1'!H4</f>
        <v>.01.26</v>
      </c>
      <c r="J4" s="156">
        <f>1053+984.3+1075.4</f>
        <v>3112.7</v>
      </c>
    </row>
    <row r="5" spans="1:21" ht="13.5" thickBot="1">
      <c r="C5" s="162"/>
      <c r="D5" s="162"/>
    </row>
    <row r="6" spans="1:21"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408</v>
      </c>
      <c r="O6" s="156">
        <v>1100</v>
      </c>
      <c r="P6" s="156">
        <f>+O6-(O6*0.21)</f>
        <v>869</v>
      </c>
      <c r="Q6" s="156">
        <f>60*2+42</f>
        <v>162</v>
      </c>
      <c r="R6" s="156">
        <f t="shared" ref="R6" si="0">+O6*Q6</f>
        <v>178200</v>
      </c>
      <c r="S6" s="156">
        <f t="shared" ref="S6" si="1">+P6*Q6</f>
        <v>140778</v>
      </c>
      <c r="T6" s="156">
        <f>+(1270-U6)/1270</f>
        <v>0.15075967616723956</v>
      </c>
      <c r="U6" s="156">
        <v>1078.5352112676057</v>
      </c>
    </row>
    <row r="7" spans="1:21" ht="13.5" customHeight="1" thickBot="1">
      <c r="A7" s="800" t="s">
        <v>423</v>
      </c>
      <c r="B7" s="222" t="s">
        <v>422</v>
      </c>
      <c r="C7" s="223">
        <v>8478</v>
      </c>
      <c r="D7" s="224"/>
      <c r="E7" s="225"/>
      <c r="F7" s="235"/>
      <c r="G7" s="236" t="s">
        <v>13</v>
      </c>
      <c r="H7" s="237" t="s">
        <v>386</v>
      </c>
      <c r="I7" s="803" t="s">
        <v>743</v>
      </c>
      <c r="J7" s="221" t="str">
        <f>+'23'!J7</f>
        <v>T 13,5 RC HW</v>
      </c>
      <c r="K7" s="245">
        <f>+C34</f>
        <v>41923</v>
      </c>
      <c r="L7" s="249"/>
      <c r="M7" s="124">
        <f>+K7+'23'!M7+L7</f>
        <v>310215</v>
      </c>
      <c r="O7" s="156">
        <v>1000</v>
      </c>
      <c r="P7" s="156">
        <f t="shared" ref="P7:P11" si="2">+O7-(O7*0.21)</f>
        <v>790</v>
      </c>
      <c r="Q7" s="156">
        <f>60-47+17</f>
        <v>30</v>
      </c>
      <c r="R7" s="156">
        <f t="shared" ref="R7:R11" si="3">+O7*Q7</f>
        <v>30000</v>
      </c>
      <c r="S7" s="156">
        <f t="shared" ref="S7:S11" si="4">+P7*Q7</f>
        <v>23700</v>
      </c>
      <c r="T7" s="156">
        <f>+T6*(355)</f>
        <v>53.519685039370046</v>
      </c>
    </row>
    <row r="8" spans="1:21" ht="13.5" thickBot="1">
      <c r="A8" s="801"/>
      <c r="B8" s="222"/>
      <c r="C8" s="223"/>
      <c r="D8" s="224"/>
      <c r="E8" s="226"/>
      <c r="F8" s="238">
        <v>6</v>
      </c>
      <c r="G8" s="582" t="s">
        <v>13</v>
      </c>
      <c r="H8" s="237" t="s">
        <v>414</v>
      </c>
      <c r="I8" s="804"/>
      <c r="J8" s="221" t="str">
        <f>+'23'!J8</f>
        <v>T 14,5 RC HW</v>
      </c>
      <c r="K8" s="246"/>
      <c r="L8" s="246"/>
      <c r="M8" s="124">
        <f>+K8+'23'!M8+L8</f>
        <v>57466</v>
      </c>
      <c r="O8" s="156">
        <v>1040</v>
      </c>
      <c r="P8" s="156">
        <f t="shared" si="2"/>
        <v>821.6</v>
      </c>
      <c r="Q8" s="156">
        <f>42-17</f>
        <v>25</v>
      </c>
      <c r="R8" s="156">
        <f t="shared" si="3"/>
        <v>26000</v>
      </c>
      <c r="S8" s="156">
        <f t="shared" si="4"/>
        <v>20540</v>
      </c>
      <c r="T8" s="156">
        <f>+T7</f>
        <v>53.519685039370046</v>
      </c>
    </row>
    <row r="9" spans="1:21" ht="13.5" thickBot="1">
      <c r="A9" s="801"/>
      <c r="B9" s="222"/>
      <c r="C9" s="223"/>
      <c r="D9" s="224"/>
      <c r="E9" s="227"/>
      <c r="F9" s="235">
        <v>10</v>
      </c>
      <c r="G9" s="582" t="s">
        <v>13</v>
      </c>
      <c r="H9" s="240" t="s">
        <v>413</v>
      </c>
      <c r="I9" s="804"/>
      <c r="J9" s="221" t="str">
        <f>+'23'!J9</f>
        <v>TW 17 RC HW</v>
      </c>
      <c r="K9" s="246"/>
      <c r="L9" s="246"/>
      <c r="M9" s="124">
        <f>+K9+'23'!M9+L9</f>
        <v>24830</v>
      </c>
      <c r="O9" s="156">
        <v>1050</v>
      </c>
      <c r="P9" s="156">
        <f t="shared" si="2"/>
        <v>829.5</v>
      </c>
      <c r="Q9" s="156">
        <f>60-42+30</f>
        <v>48</v>
      </c>
      <c r="R9" s="156">
        <f t="shared" si="3"/>
        <v>50400</v>
      </c>
      <c r="S9" s="156">
        <f t="shared" si="4"/>
        <v>39816</v>
      </c>
    </row>
    <row r="10" spans="1:21" ht="26.25" thickBot="1">
      <c r="A10" s="801"/>
      <c r="B10" s="222"/>
      <c r="C10" s="223"/>
      <c r="D10" s="224"/>
      <c r="E10" s="226"/>
      <c r="F10" s="235"/>
      <c r="G10" s="244" t="s">
        <v>14</v>
      </c>
      <c r="H10" s="240" t="s">
        <v>739</v>
      </c>
      <c r="I10" s="804"/>
      <c r="J10" s="221" t="str">
        <f>+'23'!J10</f>
        <v>TW 22 RC HW</v>
      </c>
      <c r="K10" s="246"/>
      <c r="L10" s="246"/>
      <c r="M10" s="124">
        <f>+K10+'23'!M10+L10</f>
        <v>24459</v>
      </c>
      <c r="O10" s="156">
        <v>1080</v>
      </c>
      <c r="P10" s="156">
        <f t="shared" si="2"/>
        <v>853.2</v>
      </c>
      <c r="Q10" s="156">
        <f>60-30+6</f>
        <v>36</v>
      </c>
      <c r="R10" s="156">
        <f t="shared" si="3"/>
        <v>38880</v>
      </c>
      <c r="S10" s="156">
        <f t="shared" si="4"/>
        <v>30715.200000000001</v>
      </c>
    </row>
    <row r="11" spans="1:21" ht="156.75" customHeight="1" thickBot="1">
      <c r="A11" s="801"/>
      <c r="B11" s="222"/>
      <c r="C11" s="223"/>
      <c r="D11" s="224"/>
      <c r="E11" s="226"/>
      <c r="F11" s="235">
        <f>60-42+60+47</f>
        <v>125</v>
      </c>
      <c r="G11" s="239" t="s">
        <v>89</v>
      </c>
      <c r="H11" s="240" t="s">
        <v>740</v>
      </c>
      <c r="I11" s="804"/>
      <c r="J11" s="221" t="str">
        <f>+'23'!J11</f>
        <v>TW 14 RC HW</v>
      </c>
      <c r="K11" s="246"/>
      <c r="L11" s="246"/>
      <c r="M11" s="124">
        <f>+K11+'23'!M11+L11</f>
        <v>8043</v>
      </c>
      <c r="O11" s="156">
        <v>1100</v>
      </c>
      <c r="P11" s="156">
        <f t="shared" si="2"/>
        <v>869</v>
      </c>
      <c r="Q11" s="156">
        <f>60-6</f>
        <v>54</v>
      </c>
      <c r="R11" s="156">
        <f t="shared" si="3"/>
        <v>59400</v>
      </c>
      <c r="S11" s="156">
        <f t="shared" si="4"/>
        <v>46926</v>
      </c>
    </row>
    <row r="12" spans="1:21" ht="13.5" thickBot="1">
      <c r="A12" s="801"/>
      <c r="B12" s="222"/>
      <c r="C12" s="223"/>
      <c r="D12" s="224"/>
      <c r="E12" s="226"/>
      <c r="F12" s="235">
        <v>54</v>
      </c>
      <c r="G12" s="239" t="s">
        <v>89</v>
      </c>
      <c r="H12" s="240"/>
      <c r="I12" s="804"/>
      <c r="J12" s="221" t="str">
        <f>+'23'!J12</f>
        <v>TW 29 RC HW</v>
      </c>
      <c r="K12" s="246"/>
      <c r="L12" s="246"/>
      <c r="M12" s="124">
        <f>+K12+'23'!M12+L12</f>
        <v>21439</v>
      </c>
    </row>
    <row r="13" spans="1:21" ht="13.5" thickBot="1">
      <c r="A13" s="801"/>
      <c r="B13" s="222"/>
      <c r="C13" s="223"/>
      <c r="D13" s="223"/>
      <c r="E13" s="226"/>
      <c r="F13" s="235"/>
      <c r="G13" s="239"/>
      <c r="H13" s="240"/>
      <c r="I13" s="805"/>
      <c r="J13" s="221" t="str">
        <f>+'23'!J13</f>
        <v>TW 35,5 RC HW</v>
      </c>
      <c r="K13" s="246"/>
      <c r="L13" s="246"/>
      <c r="M13" s="124">
        <f>+K13+'23'!M13+L13</f>
        <v>2193</v>
      </c>
    </row>
    <row r="14" spans="1:21" ht="13.5" thickBot="1">
      <c r="A14" s="802"/>
      <c r="B14" s="172" t="s">
        <v>3</v>
      </c>
      <c r="C14" s="106">
        <f>SUM(C7:C13)</f>
        <v>8478</v>
      </c>
      <c r="D14" s="118">
        <f>SUM(D7:D13)</f>
        <v>0</v>
      </c>
      <c r="E14" s="119">
        <f>SUM(E5:E13)</f>
        <v>0</v>
      </c>
      <c r="F14" s="109">
        <f>SUM(F6:F13)</f>
        <v>195</v>
      </c>
      <c r="G14" s="166"/>
      <c r="H14" s="173"/>
      <c r="I14" s="174"/>
      <c r="J14" s="221" t="str">
        <f>+'23'!J14</f>
        <v>N 15,5 RC HW</v>
      </c>
      <c r="K14" s="246"/>
      <c r="L14" s="246"/>
      <c r="M14" s="124">
        <f>+K14+'23'!M14+L14</f>
        <v>46927</v>
      </c>
    </row>
    <row r="15" spans="1:21" ht="13.5" customHeight="1" thickBot="1">
      <c r="A15" s="800" t="s">
        <v>424</v>
      </c>
      <c r="B15" s="172"/>
      <c r="C15" s="120">
        <f>C14/($C$23+$D$23+$E$23)</f>
        <v>0.56690070210631893</v>
      </c>
      <c r="D15" s="121">
        <f>D14/($C$23+$D$23+$E$23)</f>
        <v>0</v>
      </c>
      <c r="E15" s="122">
        <f>E14/($C$23+$D$23+$E$23)</f>
        <v>0</v>
      </c>
      <c r="F15" s="235"/>
      <c r="G15" s="236" t="s">
        <v>13</v>
      </c>
      <c r="H15" s="237" t="s">
        <v>386</v>
      </c>
      <c r="I15" s="803" t="s">
        <v>742</v>
      </c>
      <c r="J15" s="221" t="str">
        <f>+'23'!J15</f>
        <v>F 14 RC HW</v>
      </c>
      <c r="K15" s="246"/>
      <c r="L15" s="246"/>
      <c r="M15" s="124">
        <f>+K15+'23'!M15+L15</f>
        <v>4620</v>
      </c>
    </row>
    <row r="16" spans="1:21" ht="13.5" thickBot="1">
      <c r="A16" s="806"/>
      <c r="B16" s="222" t="s">
        <v>422</v>
      </c>
      <c r="C16" s="229">
        <v>14955</v>
      </c>
      <c r="D16" s="230"/>
      <c r="E16" s="231"/>
      <c r="F16" s="238">
        <v>3</v>
      </c>
      <c r="G16" s="582" t="s">
        <v>13</v>
      </c>
      <c r="H16" s="237" t="s">
        <v>414</v>
      </c>
      <c r="I16" s="804"/>
      <c r="J16" s="221" t="str">
        <f>+'23'!J16</f>
        <v>T 15 RC HW</v>
      </c>
      <c r="K16" s="246"/>
      <c r="L16" s="236"/>
      <c r="M16" s="124">
        <f>+K16+'23'!M16+L16</f>
        <v>370116</v>
      </c>
      <c r="Q16" s="183">
        <f>SUM(Q6:Q14)</f>
        <v>355</v>
      </c>
      <c r="R16" s="183">
        <f>SUM(R6:R14)</f>
        <v>382880</v>
      </c>
      <c r="S16" s="183">
        <f>SUM(S6:S14)</f>
        <v>302475.2</v>
      </c>
    </row>
    <row r="17" spans="1:21" ht="13.5" thickBot="1">
      <c r="A17" s="806"/>
      <c r="B17" s="222"/>
      <c r="C17" s="223"/>
      <c r="D17" s="224"/>
      <c r="E17" s="232"/>
      <c r="F17" s="235">
        <v>8</v>
      </c>
      <c r="G17" s="582" t="s">
        <v>13</v>
      </c>
      <c r="H17" s="240" t="s">
        <v>413</v>
      </c>
      <c r="I17" s="804"/>
      <c r="J17" s="221" t="str">
        <f>+'23'!J17</f>
        <v>T 14 RC HW</v>
      </c>
      <c r="K17" s="246"/>
      <c r="L17" s="236"/>
      <c r="M17" s="124">
        <f>+K17+'23'!M17+L17</f>
        <v>118045</v>
      </c>
      <c r="Q17" s="156">
        <f>480-Q16</f>
        <v>125</v>
      </c>
      <c r="R17" s="183">
        <f>+R16/Q16</f>
        <v>1078.5352112676057</v>
      </c>
      <c r="S17" s="183">
        <f>+S16/Q16</f>
        <v>852.04281690140851</v>
      </c>
    </row>
    <row r="18" spans="1:21" ht="26.25" thickBot="1">
      <c r="A18" s="806"/>
      <c r="B18" s="222"/>
      <c r="C18" s="223"/>
      <c r="D18" s="224"/>
      <c r="E18" s="232"/>
      <c r="F18" s="235">
        <v>8</v>
      </c>
      <c r="G18" s="244" t="s">
        <v>14</v>
      </c>
      <c r="H18" s="240" t="s">
        <v>737</v>
      </c>
      <c r="I18" s="804"/>
      <c r="J18" s="221" t="str">
        <f>+'23'!J18</f>
        <v>T 16 RC HW</v>
      </c>
      <c r="K18" s="246"/>
      <c r="L18" s="246"/>
      <c r="M18" s="124">
        <f>+K18+'23'!M18+L18</f>
        <v>17950</v>
      </c>
      <c r="N18" s="156" t="s">
        <v>408</v>
      </c>
      <c r="O18" s="156">
        <v>1100</v>
      </c>
      <c r="P18" s="156">
        <f>+O18-(O18*0.21)</f>
        <v>869</v>
      </c>
      <c r="Q18" s="156">
        <f>60+15</f>
        <v>75</v>
      </c>
      <c r="R18" s="156">
        <f t="shared" ref="R18:R23" si="5">+O18*Q18</f>
        <v>82500</v>
      </c>
      <c r="S18" s="156">
        <f t="shared" ref="S18:S23" si="6">+P18*Q18</f>
        <v>65175</v>
      </c>
      <c r="T18" s="156">
        <f>+(1270-U18)/1270</f>
        <v>2.3999343832021056E-2</v>
      </c>
      <c r="U18" s="156">
        <v>1239.5208333333333</v>
      </c>
    </row>
    <row r="19" spans="1:21" ht="51.75" thickBot="1">
      <c r="A19" s="806"/>
      <c r="B19" s="222"/>
      <c r="C19" s="223"/>
      <c r="D19" s="224"/>
      <c r="E19" s="232"/>
      <c r="F19" s="242">
        <v>12</v>
      </c>
      <c r="G19" s="239" t="s">
        <v>89</v>
      </c>
      <c r="H19" s="240" t="s">
        <v>738</v>
      </c>
      <c r="I19" s="804"/>
      <c r="J19" s="221" t="str">
        <f>+'23'!J19</f>
        <v>T 18 RC HW</v>
      </c>
      <c r="K19" s="246"/>
      <c r="L19" s="246"/>
      <c r="M19" s="124">
        <f>+K19+'23'!M19+L19</f>
        <v>32713</v>
      </c>
      <c r="O19" s="156">
        <v>1160</v>
      </c>
      <c r="P19" s="156">
        <f>+O19-(O19*0.21)</f>
        <v>916.4</v>
      </c>
      <c r="Q19" s="156">
        <f>60-15+15</f>
        <v>60</v>
      </c>
      <c r="R19" s="156">
        <f>+O19*Q19</f>
        <v>69600</v>
      </c>
      <c r="S19" s="156">
        <f>+P19*Q19</f>
        <v>54984</v>
      </c>
      <c r="T19" s="156">
        <f>+T18*(480)</f>
        <v>11.519685039370106</v>
      </c>
    </row>
    <row r="20" spans="1:21" ht="13.5" thickBot="1">
      <c r="A20" s="806"/>
      <c r="B20" s="222"/>
      <c r="C20" s="223"/>
      <c r="D20" s="224"/>
      <c r="E20" s="232"/>
      <c r="F20" s="235"/>
      <c r="G20" s="239"/>
      <c r="H20" s="240"/>
      <c r="I20" s="804"/>
      <c r="J20" s="221" t="str">
        <f>+'23'!J20</f>
        <v>T 20 RC HW</v>
      </c>
      <c r="K20" s="246"/>
      <c r="L20" s="247"/>
      <c r="M20" s="124">
        <f>+K20+'23'!M20+L20</f>
        <v>12647</v>
      </c>
      <c r="O20" s="156">
        <v>1230</v>
      </c>
      <c r="P20" s="156">
        <f>+O20-(O20*0.21)</f>
        <v>971.7</v>
      </c>
      <c r="Q20" s="156">
        <f>60-15+15</f>
        <v>60</v>
      </c>
      <c r="R20" s="156">
        <f>+O20*Q20</f>
        <v>73800</v>
      </c>
      <c r="S20" s="156">
        <f>+P20*Q20</f>
        <v>58302</v>
      </c>
      <c r="T20" s="156">
        <f>+T19</f>
        <v>11.519685039370106</v>
      </c>
    </row>
    <row r="21" spans="1:21" ht="13.5" thickBot="1">
      <c r="A21" s="806"/>
      <c r="B21" s="222"/>
      <c r="C21" s="223"/>
      <c r="D21" s="224"/>
      <c r="E21" s="232"/>
      <c r="F21" s="238"/>
      <c r="G21" s="239"/>
      <c r="H21" s="240"/>
      <c r="I21" s="804"/>
      <c r="J21" s="221" t="str">
        <f>+'23'!J21</f>
        <v>T 13 RC HW</v>
      </c>
      <c r="K21" s="246"/>
      <c r="L21" s="246"/>
      <c r="M21" s="124">
        <f>+K21+'23'!M21+L21</f>
        <v>56241</v>
      </c>
      <c r="O21" s="156">
        <v>1290</v>
      </c>
      <c r="P21" s="156">
        <f>+O21-(O21*0.21)</f>
        <v>1019.1</v>
      </c>
      <c r="Q21" s="156">
        <v>143</v>
      </c>
      <c r="R21" s="156">
        <f>+O21*Q21</f>
        <v>184470</v>
      </c>
      <c r="S21" s="156">
        <f>+P21*Q21</f>
        <v>145731.30000000002</v>
      </c>
    </row>
    <row r="22" spans="1:21" ht="13.5" thickBot="1">
      <c r="A22" s="806"/>
      <c r="B22" s="222"/>
      <c r="C22" s="223"/>
      <c r="D22" s="224"/>
      <c r="E22" s="232"/>
      <c r="F22" s="243"/>
      <c r="G22" s="239"/>
      <c r="H22" s="240"/>
      <c r="I22" s="805"/>
      <c r="J22" s="221">
        <f>+'23'!J22</f>
        <v>0</v>
      </c>
      <c r="K22" s="246"/>
      <c r="L22" s="246"/>
      <c r="M22" s="124">
        <f>+K22+'23'!M22+L22</f>
        <v>0</v>
      </c>
      <c r="O22" s="156">
        <v>1300</v>
      </c>
      <c r="P22" s="156">
        <f>+O22-(O22*0.21)</f>
        <v>1027</v>
      </c>
      <c r="Q22" s="156">
        <v>142</v>
      </c>
      <c r="R22" s="156">
        <f>+O22*Q22</f>
        <v>184600</v>
      </c>
      <c r="S22" s="156">
        <f>+P22*Q22</f>
        <v>145834</v>
      </c>
    </row>
    <row r="23" spans="1:21" ht="14.25" customHeight="1" thickBot="1">
      <c r="A23" s="807"/>
      <c r="B23" s="172" t="s">
        <v>3</v>
      </c>
      <c r="C23" s="107">
        <f>SUM(C16:C22)</f>
        <v>14955</v>
      </c>
      <c r="D23" s="118">
        <f>SUM(D16:D22)</f>
        <v>0</v>
      </c>
      <c r="E23" s="119">
        <f>SUM(E18:E22)</f>
        <v>0</v>
      </c>
      <c r="F23" s="109">
        <f>SUM(F15:F22)</f>
        <v>31</v>
      </c>
      <c r="G23" s="166"/>
      <c r="H23" s="173"/>
      <c r="I23" s="176"/>
      <c r="J23" s="221">
        <f>+'23'!J23</f>
        <v>0</v>
      </c>
      <c r="K23" s="246"/>
      <c r="L23" s="246"/>
      <c r="M23" s="124">
        <f>+K23+'23'!M23+L23</f>
        <v>0</v>
      </c>
      <c r="P23" s="156">
        <f t="shared" ref="P23" si="7">+O23-(O23*0.21)</f>
        <v>0</v>
      </c>
      <c r="R23" s="156">
        <f t="shared" si="5"/>
        <v>0</v>
      </c>
      <c r="S23" s="156">
        <f t="shared" si="6"/>
        <v>0</v>
      </c>
    </row>
    <row r="24" spans="1:21" ht="13.5" customHeight="1" thickBot="1">
      <c r="A24" s="800" t="s">
        <v>425</v>
      </c>
      <c r="B24" s="177"/>
      <c r="C24" s="120">
        <f>C23/($C$23+$D$23+$E$23)</f>
        <v>1</v>
      </c>
      <c r="D24" s="121">
        <f>D23/($C$23+$D$23+$E$23)</f>
        <v>0</v>
      </c>
      <c r="E24" s="122">
        <f>E23/($C$23+$D$23+$E$23)</f>
        <v>0</v>
      </c>
      <c r="F24" s="235"/>
      <c r="G24" s="236" t="s">
        <v>13</v>
      </c>
      <c r="H24" s="237" t="s">
        <v>386</v>
      </c>
      <c r="I24" s="803" t="s">
        <v>741</v>
      </c>
      <c r="J24" s="221">
        <f>+'23'!J24</f>
        <v>0</v>
      </c>
      <c r="K24" s="246"/>
      <c r="L24" s="246"/>
      <c r="M24" s="124">
        <f>+K24+'23'!M24+L24</f>
        <v>0</v>
      </c>
    </row>
    <row r="25" spans="1:21" ht="13.5" thickBot="1">
      <c r="A25" s="806"/>
      <c r="B25" s="222" t="s">
        <v>422</v>
      </c>
      <c r="C25" s="233">
        <v>18490</v>
      </c>
      <c r="D25" s="224"/>
      <c r="E25" s="232"/>
      <c r="F25" s="238">
        <v>4</v>
      </c>
      <c r="G25" s="582" t="s">
        <v>13</v>
      </c>
      <c r="H25" s="237" t="s">
        <v>501</v>
      </c>
      <c r="I25" s="804"/>
      <c r="J25" s="221">
        <f>+'23'!J25</f>
        <v>0</v>
      </c>
      <c r="K25" s="246"/>
      <c r="L25" s="246"/>
      <c r="M25" s="124">
        <f>+K25+'23'!M25+L25</f>
        <v>0</v>
      </c>
    </row>
    <row r="26" spans="1:21" ht="13.5" thickBot="1">
      <c r="A26" s="806"/>
      <c r="B26" s="222"/>
      <c r="C26" s="233"/>
      <c r="D26" s="224"/>
      <c r="E26" s="234"/>
      <c r="F26" s="235">
        <v>5</v>
      </c>
      <c r="G26" s="582" t="s">
        <v>13</v>
      </c>
      <c r="H26" s="240" t="s">
        <v>523</v>
      </c>
      <c r="I26" s="804"/>
      <c r="J26" s="221">
        <f>+'23'!J26</f>
        <v>0</v>
      </c>
      <c r="K26" s="246"/>
      <c r="L26" s="246"/>
      <c r="M26" s="124">
        <f>+K26+'23'!M26+L26</f>
        <v>0</v>
      </c>
    </row>
    <row r="27" spans="1:21" ht="26.25" thickBot="1">
      <c r="A27" s="806"/>
      <c r="B27" s="222"/>
      <c r="C27" s="223"/>
      <c r="D27" s="224"/>
      <c r="E27" s="232"/>
      <c r="F27" s="235">
        <v>6</v>
      </c>
      <c r="G27" s="244" t="s">
        <v>14</v>
      </c>
      <c r="H27" s="240" t="s">
        <v>735</v>
      </c>
      <c r="I27" s="804"/>
      <c r="J27" s="221">
        <f>+'23'!J27</f>
        <v>0</v>
      </c>
      <c r="K27" s="246"/>
      <c r="L27" s="246"/>
      <c r="M27" s="124">
        <f>+K27+'23'!M27+L27</f>
        <v>0</v>
      </c>
    </row>
    <row r="28" spans="1:21" ht="13.5" thickBot="1">
      <c r="A28" s="806"/>
      <c r="B28" s="222"/>
      <c r="C28" s="223"/>
      <c r="D28" s="224"/>
      <c r="E28" s="232"/>
      <c r="F28" s="235"/>
      <c r="G28" s="239"/>
      <c r="H28" s="240" t="s">
        <v>736</v>
      </c>
      <c r="I28" s="804"/>
      <c r="J28" s="221">
        <f>+'23'!J28</f>
        <v>0</v>
      </c>
      <c r="K28" s="246"/>
      <c r="L28" s="246"/>
      <c r="M28" s="124">
        <f>+K28+'23'!M28+L28</f>
        <v>0</v>
      </c>
      <c r="Q28" s="183">
        <f>SUM(Q18:Q26)</f>
        <v>480</v>
      </c>
      <c r="R28" s="183">
        <f>SUM(R18:R26)</f>
        <v>594970</v>
      </c>
      <c r="S28" s="183">
        <f>SUM(S18:S26)</f>
        <v>470026.30000000005</v>
      </c>
    </row>
    <row r="29" spans="1:21" ht="13.5" thickBot="1">
      <c r="A29" s="806"/>
      <c r="B29" s="222"/>
      <c r="C29" s="223"/>
      <c r="D29" s="224"/>
      <c r="E29" s="232"/>
      <c r="F29" s="235"/>
      <c r="G29" s="239"/>
      <c r="H29" s="240"/>
      <c r="I29" s="804"/>
      <c r="J29" s="221">
        <f>+'23'!J29</f>
        <v>0</v>
      </c>
      <c r="K29" s="246"/>
      <c r="L29" s="246"/>
      <c r="M29" s="124">
        <f>+K29+'23'!M29+L29</f>
        <v>0</v>
      </c>
      <c r="Q29" s="156">
        <f>480-Q28</f>
        <v>0</v>
      </c>
      <c r="R29" s="183">
        <f>+R28/Q28</f>
        <v>1239.5208333333333</v>
      </c>
      <c r="S29" s="183">
        <f>+S28/Q28</f>
        <v>979.22145833333343</v>
      </c>
    </row>
    <row r="30" spans="1:21" ht="13.5" thickBot="1">
      <c r="A30" s="806"/>
      <c r="B30" s="222"/>
      <c r="C30" s="233"/>
      <c r="D30" s="224"/>
      <c r="E30" s="232"/>
      <c r="F30" s="243"/>
      <c r="G30" s="239"/>
      <c r="H30" s="240"/>
      <c r="I30" s="804"/>
      <c r="J30" s="221">
        <f>+'23'!J30</f>
        <v>0</v>
      </c>
      <c r="K30" s="246"/>
      <c r="L30" s="246"/>
      <c r="M30" s="124">
        <f>+K30+'23'!M30+L30</f>
        <v>0</v>
      </c>
      <c r="N30" s="156" t="s">
        <v>408</v>
      </c>
      <c r="O30" s="156">
        <v>1280</v>
      </c>
      <c r="P30" s="156">
        <f>+O30-(O30*0.21)</f>
        <v>1011.2</v>
      </c>
      <c r="Q30" s="156">
        <v>480</v>
      </c>
      <c r="R30" s="156">
        <f t="shared" ref="R30" si="8">+O30*Q30</f>
        <v>614400</v>
      </c>
      <c r="S30" s="156">
        <f t="shared" ref="S30" si="9">+P30*Q30</f>
        <v>485376</v>
      </c>
    </row>
    <row r="31" spans="1:21" ht="13.5" thickBot="1">
      <c r="A31" s="806"/>
      <c r="B31" s="222"/>
      <c r="C31" s="233"/>
      <c r="D31" s="224"/>
      <c r="E31" s="232"/>
      <c r="F31" s="243"/>
      <c r="G31" s="244"/>
      <c r="H31" s="241"/>
      <c r="I31" s="805"/>
      <c r="J31" s="221">
        <f>+'23'!J31</f>
        <v>0</v>
      </c>
      <c r="K31" s="246"/>
      <c r="L31" s="246"/>
      <c r="M31" s="124">
        <f>+K31+'23'!M31+L31</f>
        <v>0</v>
      </c>
    </row>
    <row r="32" spans="1:21" ht="13.5" thickBot="1">
      <c r="A32" s="807"/>
      <c r="B32" s="172" t="s">
        <v>3</v>
      </c>
      <c r="C32" s="106">
        <f>SUM(C25:C31)</f>
        <v>18490</v>
      </c>
      <c r="D32" s="107">
        <f>SUM(D25:D31)</f>
        <v>0</v>
      </c>
      <c r="E32" s="108">
        <f>SUM(E25:E31)</f>
        <v>0</v>
      </c>
      <c r="F32" s="109">
        <f>SUM(F24:F31)</f>
        <v>15</v>
      </c>
      <c r="G32" s="178"/>
      <c r="H32" s="179"/>
      <c r="I32" s="176"/>
      <c r="J32" s="221">
        <f>+'23'!J32</f>
        <v>0</v>
      </c>
      <c r="K32" s="248"/>
      <c r="L32" s="250"/>
      <c r="M32" s="124">
        <f>+K32+'23'!M32+L32</f>
        <v>0</v>
      </c>
    </row>
    <row r="33" spans="1:19" ht="13.5" thickBot="1">
      <c r="A33" s="180"/>
      <c r="B33" s="181"/>
      <c r="C33" s="110">
        <f>C32/($C$32+$D$32+$E$32)</f>
        <v>1</v>
      </c>
      <c r="D33" s="111">
        <f>D32/($C$32+$D$32+$E$32)</f>
        <v>0</v>
      </c>
      <c r="E33" s="112">
        <f>E32/($C$32+$D$32+$E$32)</f>
        <v>0</v>
      </c>
      <c r="F33" s="113"/>
      <c r="G33" s="182"/>
      <c r="H33" s="183"/>
      <c r="I33" s="184"/>
      <c r="J33" s="128"/>
      <c r="K33" s="129"/>
      <c r="L33" s="220"/>
      <c r="M33" s="126"/>
    </row>
    <row r="34" spans="1:19" ht="13.5" thickBot="1">
      <c r="A34" s="808" t="s">
        <v>70</v>
      </c>
      <c r="B34" s="809"/>
      <c r="C34" s="114">
        <f>C14+C23+C32</f>
        <v>41923</v>
      </c>
      <c r="D34" s="114">
        <f>D14+D23+D32</f>
        <v>0</v>
      </c>
      <c r="E34" s="114">
        <f>E14+E23+E32</f>
        <v>0</v>
      </c>
      <c r="F34" s="115">
        <f>F14+F23+F32</f>
        <v>241</v>
      </c>
      <c r="H34" s="185"/>
      <c r="I34" s="185"/>
      <c r="J34" s="130" t="s">
        <v>29</v>
      </c>
      <c r="K34" s="131">
        <f>SUM(K7:K32)</f>
        <v>41923</v>
      </c>
      <c r="L34" s="219">
        <f>SUM(L7:L32)</f>
        <v>0</v>
      </c>
      <c r="M34" s="127">
        <f>SUM(M7:M32)</f>
        <v>1107904</v>
      </c>
    </row>
    <row r="35" spans="1:19" ht="13.5" thickBot="1">
      <c r="A35" s="186"/>
      <c r="B35" s="187"/>
      <c r="C35" s="111">
        <f>C34/($C$34+$D$34+$E$34)</f>
        <v>1</v>
      </c>
      <c r="D35" s="111">
        <f>D34/($C$34+$D$34+$E$34)</f>
        <v>0</v>
      </c>
      <c r="E35" s="116">
        <f>E34/($C$34+$D$34+$E$34)</f>
        <v>0</v>
      </c>
      <c r="K35" s="162"/>
      <c r="L35" s="799" t="s">
        <v>184</v>
      </c>
      <c r="M35" s="799"/>
    </row>
    <row r="36" spans="1:19" ht="13.5" thickBot="1">
      <c r="A36" s="185"/>
      <c r="B36" s="185"/>
      <c r="C36" s="162"/>
      <c r="D36" s="162"/>
      <c r="E36" s="162"/>
      <c r="G36" s="162"/>
      <c r="H36" s="188"/>
      <c r="I36" s="169" t="s">
        <v>41</v>
      </c>
      <c r="J36" s="169" t="s">
        <v>42</v>
      </c>
      <c r="K36" s="189"/>
      <c r="L36" s="169" t="s">
        <v>41</v>
      </c>
      <c r="M36" s="169" t="s">
        <v>42</v>
      </c>
    </row>
    <row r="37" spans="1:19" ht="17.45" customHeight="1" thickBot="1">
      <c r="A37" s="797" t="s">
        <v>71</v>
      </c>
      <c r="B37" s="798"/>
      <c r="C37" s="169" t="s">
        <v>72</v>
      </c>
      <c r="D37" s="190" t="s">
        <v>73</v>
      </c>
      <c r="E37" s="191" t="s">
        <v>74</v>
      </c>
      <c r="F37" s="368"/>
      <c r="G37" s="370"/>
      <c r="H37" s="193" t="s">
        <v>75</v>
      </c>
      <c r="I37" s="251">
        <f>(13.5*1315)/1315*G42*2.75*1315/1000000</f>
        <v>46.698702187499997</v>
      </c>
      <c r="J37" s="132">
        <f>+I37+'23'!J37</f>
        <v>1214.2984083191886</v>
      </c>
      <c r="K37" s="133" t="s">
        <v>76</v>
      </c>
      <c r="L37" s="429"/>
      <c r="M37" s="430"/>
    </row>
    <row r="38" spans="1:19" ht="17.45" customHeight="1">
      <c r="A38" s="793" t="s">
        <v>13</v>
      </c>
      <c r="B38" s="794"/>
      <c r="C38" s="171">
        <f>SUMIF($G$7:$G$31,"Process",$F$7:$F$31)</f>
        <v>36</v>
      </c>
      <c r="D38" s="125">
        <f>+C38+'23'!D38</f>
        <v>1204</v>
      </c>
      <c r="E38" s="150">
        <f t="shared" ref="E38:E51" si="10">D38/60</f>
        <v>20.066666666666666</v>
      </c>
      <c r="F38" s="368">
        <v>1078.5352112676057</v>
      </c>
      <c r="G38" s="368">
        <v>852.04281690140851</v>
      </c>
      <c r="H38" s="194" t="s">
        <v>77</v>
      </c>
      <c r="I38" s="551">
        <f>9.728+17.405+15.57</f>
        <v>42.703000000000003</v>
      </c>
      <c r="J38" s="134">
        <f>+I38+'23'!J38</f>
        <v>1138.5039999999999</v>
      </c>
      <c r="K38" s="135" t="s">
        <v>76</v>
      </c>
      <c r="L38" s="431"/>
      <c r="M38" s="432"/>
    </row>
    <row r="39" spans="1:19" ht="17.45" customHeight="1">
      <c r="A39" s="789" t="s">
        <v>14</v>
      </c>
      <c r="B39" s="790"/>
      <c r="C39" s="171">
        <f>SUMIF($G$7:$G$31,"Cleaning",$F$7:$F$31)</f>
        <v>14</v>
      </c>
      <c r="D39" s="125">
        <f>+C39+'23'!D39</f>
        <v>222</v>
      </c>
      <c r="E39" s="150">
        <f t="shared" si="10"/>
        <v>3.7</v>
      </c>
      <c r="F39" s="368">
        <v>1239.5208333333333</v>
      </c>
      <c r="G39" s="368">
        <v>979.22145833333343</v>
      </c>
      <c r="H39" s="194" t="s">
        <v>78</v>
      </c>
      <c r="I39" s="149"/>
      <c r="J39" s="136">
        <f>J37/G4</f>
        <v>50.595767013299529</v>
      </c>
      <c r="K39" s="137" t="s">
        <v>76</v>
      </c>
      <c r="L39" s="431"/>
      <c r="M39" s="432"/>
    </row>
    <row r="40" spans="1:19" ht="17.45" customHeight="1">
      <c r="A40" s="789" t="s">
        <v>79</v>
      </c>
      <c r="B40" s="790"/>
      <c r="C40" s="171">
        <f>SUMIF($G$7:$G$31,"Mechanical",$F$7:$F$31)</f>
        <v>0</v>
      </c>
      <c r="D40" s="125">
        <f>+C40+'23'!D40</f>
        <v>22</v>
      </c>
      <c r="E40" s="150">
        <f t="shared" si="10"/>
        <v>0.36666666666666664</v>
      </c>
      <c r="F40" s="368">
        <v>1280</v>
      </c>
      <c r="G40" s="368">
        <v>1011.2</v>
      </c>
      <c r="H40" s="194" t="s">
        <v>80</v>
      </c>
      <c r="I40" s="125">
        <f>(K34+L34)/1000</f>
        <v>41.923000000000002</v>
      </c>
      <c r="J40" s="138">
        <f>+I40+'23'!J40</f>
        <v>1107.904</v>
      </c>
      <c r="K40" s="137" t="s">
        <v>76</v>
      </c>
      <c r="L40" s="431"/>
      <c r="M40" s="432"/>
      <c r="Q40" s="183">
        <f>SUM(Q30:Q38)</f>
        <v>480</v>
      </c>
      <c r="R40" s="183">
        <f>SUM(R30:R38)</f>
        <v>614400</v>
      </c>
      <c r="S40" s="183">
        <f>SUM(S30:S38)</f>
        <v>485376</v>
      </c>
    </row>
    <row r="41" spans="1:19" ht="17.45" customHeight="1">
      <c r="A41" s="789" t="s">
        <v>81</v>
      </c>
      <c r="B41" s="790"/>
      <c r="C41" s="171">
        <f>SUMIF($G$7:$G$31,"Electrical",$F$7:$F$31)</f>
        <v>0</v>
      </c>
      <c r="D41" s="125">
        <f>+C41+'23'!D41</f>
        <v>539</v>
      </c>
      <c r="E41" s="150">
        <f t="shared" si="10"/>
        <v>8.9833333333333325</v>
      </c>
      <c r="F41" s="368"/>
      <c r="G41" s="368"/>
      <c r="H41" s="194" t="s">
        <v>82</v>
      </c>
      <c r="I41" s="149"/>
      <c r="J41" s="136">
        <f>J40/G4</f>
        <v>46.162666666666667</v>
      </c>
      <c r="K41" s="137" t="s">
        <v>76</v>
      </c>
      <c r="L41" s="431"/>
      <c r="M41" s="432"/>
      <c r="Q41" s="156">
        <f>480-Q40</f>
        <v>0</v>
      </c>
      <c r="R41" s="183">
        <f>+R40/Q40</f>
        <v>1280</v>
      </c>
      <c r="S41" s="183">
        <f>+S40/Q40</f>
        <v>1011.2</v>
      </c>
    </row>
    <row r="42" spans="1:19" ht="17.45" customHeight="1">
      <c r="A42" s="789" t="s">
        <v>17</v>
      </c>
      <c r="B42" s="790"/>
      <c r="C42" s="171">
        <f>SUMIF($G$7:$G$31,"Instrument",$F$7:$F$31)</f>
        <v>0</v>
      </c>
      <c r="D42" s="125">
        <f>+C42+'23'!D42</f>
        <v>0</v>
      </c>
      <c r="E42" s="150">
        <f t="shared" si="10"/>
        <v>0</v>
      </c>
      <c r="F42" s="368">
        <f>+(355*F38+480*F39+480*F40)/1315</f>
        <v>1210.8365019011408</v>
      </c>
      <c r="G42" s="368">
        <f>+(355*G38+480*G39+480*G40)/1315</f>
        <v>956.56083650190112</v>
      </c>
      <c r="H42" s="194" t="s">
        <v>83</v>
      </c>
      <c r="I42" s="253" t="s">
        <v>744</v>
      </c>
      <c r="J42" s="139"/>
      <c r="K42" s="137" t="s">
        <v>84</v>
      </c>
      <c r="L42" s="431"/>
      <c r="M42" s="432"/>
      <c r="N42" s="156">
        <v>355</v>
      </c>
    </row>
    <row r="43" spans="1:19" ht="17.45" customHeight="1">
      <c r="A43" s="789" t="s">
        <v>85</v>
      </c>
      <c r="B43" s="790"/>
      <c r="C43" s="171">
        <f>SUMIF($G$7:$G$31,"Water",$F$7:$F$31)</f>
        <v>0</v>
      </c>
      <c r="D43" s="125">
        <f>+C43+'23'!D43</f>
        <v>0</v>
      </c>
      <c r="E43" s="150">
        <f t="shared" si="10"/>
        <v>0</v>
      </c>
      <c r="F43" s="368"/>
      <c r="G43" s="369"/>
      <c r="H43" s="195" t="s">
        <v>86</v>
      </c>
      <c r="I43" s="125">
        <f>+Report1!AH32</f>
        <v>65.7</v>
      </c>
      <c r="J43" s="140">
        <f>+I43+'23'!J43</f>
        <v>1538.8</v>
      </c>
      <c r="K43" s="137" t="s">
        <v>76</v>
      </c>
      <c r="L43" s="433">
        <f>+Report1!AN32</f>
        <v>0</v>
      </c>
      <c r="M43" s="434">
        <f>+L43+'23'!M43</f>
        <v>9</v>
      </c>
      <c r="N43" s="156">
        <v>480</v>
      </c>
    </row>
    <row r="44" spans="1:19" ht="17.45" customHeight="1">
      <c r="A44" s="789" t="s">
        <v>18</v>
      </c>
      <c r="B44" s="790"/>
      <c r="C44" s="171">
        <f>SUMIF($G$7:$G$31,"PLN",$F$7:$F$31)</f>
        <v>0</v>
      </c>
      <c r="D44" s="125">
        <f>+C44+'23'!D44</f>
        <v>0</v>
      </c>
      <c r="E44" s="150">
        <f t="shared" si="10"/>
        <v>0</v>
      </c>
      <c r="F44" s="368"/>
      <c r="G44" s="369"/>
      <c r="H44" s="195" t="s">
        <v>87</v>
      </c>
      <c r="I44" s="125">
        <f>I43/I38</f>
        <v>1.5385335924876471</v>
      </c>
      <c r="J44" s="141">
        <f>J43/J38</f>
        <v>1.3515982376873512</v>
      </c>
      <c r="K44" s="137" t="s">
        <v>76</v>
      </c>
      <c r="L44" s="435">
        <f>+L43/I38</f>
        <v>0</v>
      </c>
      <c r="M44" s="436">
        <f>+M43/J38</f>
        <v>7.9051105661464525E-3</v>
      </c>
      <c r="N44" s="156">
        <v>480</v>
      </c>
    </row>
    <row r="45" spans="1:19" ht="17.45" customHeight="1">
      <c r="A45" s="789" t="s">
        <v>19</v>
      </c>
      <c r="B45" s="790"/>
      <c r="C45" s="171">
        <f>SUMIF($G$7:$G$31,"Boiler",$F$7:$F$31)</f>
        <v>0</v>
      </c>
      <c r="D45" s="125">
        <f>+C45+'23'!D45</f>
        <v>0</v>
      </c>
      <c r="E45" s="150">
        <f t="shared" si="10"/>
        <v>0</v>
      </c>
      <c r="F45" s="368"/>
      <c r="G45" s="371"/>
      <c r="H45" s="195" t="s">
        <v>88</v>
      </c>
      <c r="I45" s="125">
        <f>I43/I40</f>
        <v>1.5671588388235576</v>
      </c>
      <c r="J45" s="141">
        <f>J43/J40</f>
        <v>1.3889290046791056</v>
      </c>
      <c r="K45" s="137" t="s">
        <v>76</v>
      </c>
      <c r="L45" s="435">
        <f>+L43/I40</f>
        <v>0</v>
      </c>
      <c r="M45" s="436">
        <f>+M43/J40</f>
        <v>8.1234475189186067E-3</v>
      </c>
      <c r="N45" s="156">
        <f>SUM(N42:N44)</f>
        <v>1315</v>
      </c>
    </row>
    <row r="46" spans="1:19" ht="17.45" customHeight="1">
      <c r="A46" s="789" t="s">
        <v>89</v>
      </c>
      <c r="B46" s="790"/>
      <c r="C46" s="171">
        <f>SUMIF($G$7:$G$31,"Gas",$F$7:$F$31)</f>
        <v>191</v>
      </c>
      <c r="D46" s="125">
        <f>+C46+'23'!D46</f>
        <v>721</v>
      </c>
      <c r="E46" s="150">
        <f t="shared" si="10"/>
        <v>12.016666666666667</v>
      </c>
      <c r="F46" s="368"/>
      <c r="G46" s="369"/>
      <c r="H46" s="195" t="s">
        <v>90</v>
      </c>
      <c r="I46" s="147">
        <f>+SUMIF(Listrik!P31,"&gt;0")</f>
        <v>41480.900000000052</v>
      </c>
      <c r="J46" s="142">
        <f>+I46+'23'!J46</f>
        <v>977689.82000000007</v>
      </c>
      <c r="K46" s="137" t="s">
        <v>91</v>
      </c>
      <c r="L46" s="435">
        <f>+Listrik!AF31</f>
        <v>0</v>
      </c>
      <c r="M46" s="437">
        <f>+L46+'23'!M46</f>
        <v>0</v>
      </c>
    </row>
    <row r="47" spans="1:19" ht="17.45" customHeight="1">
      <c r="A47" s="789" t="s">
        <v>92</v>
      </c>
      <c r="B47" s="790"/>
      <c r="C47" s="171">
        <f>SUMIF($G$7:$G$31,"Power Plant",$F$7:$F$31)</f>
        <v>0</v>
      </c>
      <c r="D47" s="125">
        <f>+C47+'23'!D47</f>
        <v>0</v>
      </c>
      <c r="E47" s="150">
        <f t="shared" si="10"/>
        <v>0</v>
      </c>
      <c r="F47" s="368"/>
      <c r="G47" s="369"/>
      <c r="H47" s="195" t="s">
        <v>93</v>
      </c>
      <c r="I47" s="125">
        <f>I46/I38</f>
        <v>971.38140177505204</v>
      </c>
      <c r="J47" s="142">
        <f>J46/J38</f>
        <v>858.74956961064709</v>
      </c>
      <c r="K47" s="137" t="s">
        <v>25</v>
      </c>
      <c r="L47" s="435">
        <f>+L46/I38</f>
        <v>0</v>
      </c>
      <c r="M47" s="436">
        <f>+M46/J38</f>
        <v>0</v>
      </c>
    </row>
    <row r="48" spans="1:19" ht="17.45" customHeight="1">
      <c r="A48" s="789" t="s">
        <v>15</v>
      </c>
      <c r="B48" s="790"/>
      <c r="C48" s="171">
        <f>SUMIF($G$7:$G$31,"Start Up",$F$7:$F$31)</f>
        <v>0</v>
      </c>
      <c r="D48" s="125">
        <f>+C48+'23'!D48</f>
        <v>0</v>
      </c>
      <c r="E48" s="150">
        <f t="shared" si="10"/>
        <v>0</v>
      </c>
      <c r="F48" s="368"/>
      <c r="G48" s="369"/>
      <c r="H48" s="195" t="s">
        <v>94</v>
      </c>
      <c r="I48" s="125">
        <f>I46/I40</f>
        <v>989.45447606326002</v>
      </c>
      <c r="J48" s="142">
        <f>J46/J40</f>
        <v>882.46799361677552</v>
      </c>
      <c r="K48" s="137" t="s">
        <v>25</v>
      </c>
      <c r="L48" s="435">
        <f>+L46/I38</f>
        <v>0</v>
      </c>
      <c r="M48" s="436">
        <f>+M46/J40</f>
        <v>0</v>
      </c>
    </row>
    <row r="49" spans="1:13" ht="17.45" customHeight="1">
      <c r="A49" s="789" t="s">
        <v>21</v>
      </c>
      <c r="B49" s="790"/>
      <c r="C49" s="171">
        <f>SUMIF($G$7:$G$31,"Others",$F$7:$F$31)</f>
        <v>0</v>
      </c>
      <c r="D49" s="125">
        <f>+C49+'23'!D49</f>
        <v>480</v>
      </c>
      <c r="E49" s="150">
        <f t="shared" si="10"/>
        <v>8</v>
      </c>
      <c r="F49" s="192"/>
      <c r="H49" s="195" t="s">
        <v>95</v>
      </c>
      <c r="I49" s="125">
        <f>+Report1!AB32</f>
        <v>3332.6079795251853</v>
      </c>
      <c r="J49" s="142">
        <f>+I49+'23'!J49</f>
        <v>115232.99774775266</v>
      </c>
      <c r="K49" s="137" t="s">
        <v>96</v>
      </c>
      <c r="L49" s="431"/>
      <c r="M49" s="432"/>
    </row>
    <row r="50" spans="1:13" ht="17.45" customHeight="1">
      <c r="A50" s="789" t="s">
        <v>20</v>
      </c>
      <c r="B50" s="790"/>
      <c r="C50" s="171">
        <f>SUMIF($G$7:$G$31,"Steam",$F$7:$F$31)</f>
        <v>0</v>
      </c>
      <c r="D50" s="125">
        <f>+C50+'23'!D50</f>
        <v>0</v>
      </c>
      <c r="E50" s="150">
        <f t="shared" si="10"/>
        <v>0</v>
      </c>
      <c r="F50" s="192"/>
      <c r="H50" s="195" t="s">
        <v>97</v>
      </c>
      <c r="I50" s="147">
        <f>I49/I38</f>
        <v>78.041542269282843</v>
      </c>
      <c r="J50" s="140">
        <f>J49/J38</f>
        <v>101.21439867383221</v>
      </c>
      <c r="K50" s="137" t="s">
        <v>96</v>
      </c>
      <c r="L50" s="431"/>
      <c r="M50" s="432"/>
    </row>
    <row r="51" spans="1:13" ht="17.45" customHeight="1" thickBot="1">
      <c r="A51" s="791" t="s">
        <v>98</v>
      </c>
      <c r="B51" s="792"/>
      <c r="C51" s="171">
        <f>SUMIF($G$7:$G$31,"Planned shut",$F$7:$F$31)</f>
        <v>0</v>
      </c>
      <c r="D51" s="125">
        <f>+C51+'23'!D51</f>
        <v>394</v>
      </c>
      <c r="E51" s="150">
        <f t="shared" si="10"/>
        <v>6.5666666666666664</v>
      </c>
      <c r="F51" s="192"/>
      <c r="H51" s="197" t="s">
        <v>99</v>
      </c>
      <c r="I51" s="148">
        <f>I49/I40</f>
        <v>79.493547206191948</v>
      </c>
      <c r="J51" s="143">
        <f>J49/J40</f>
        <v>104.00991218350386</v>
      </c>
      <c r="K51" s="144" t="s">
        <v>96</v>
      </c>
      <c r="L51" s="431"/>
      <c r="M51" s="432"/>
    </row>
    <row r="52" spans="1:13" ht="13.5" thickBot="1">
      <c r="A52" s="793" t="s">
        <v>29</v>
      </c>
      <c r="B52" s="794"/>
      <c r="C52" s="151">
        <f>SUM(C38:C51)</f>
        <v>241</v>
      </c>
      <c r="D52" s="151">
        <f>SUM(D38:D51)</f>
        <v>3582</v>
      </c>
      <c r="E52" s="152">
        <f>SUM(E38:E51)</f>
        <v>59.7</v>
      </c>
      <c r="F52" s="192"/>
      <c r="H52" s="198"/>
      <c r="I52" s="199"/>
      <c r="J52" s="145"/>
      <c r="K52" s="146"/>
      <c r="L52" s="438"/>
      <c r="M52" s="439"/>
    </row>
    <row r="53" spans="1:13" ht="13.5" thickBot="1">
      <c r="A53" s="795"/>
      <c r="B53" s="796"/>
      <c r="C53" s="153">
        <f>C52/(24*60)</f>
        <v>0.1673611111111111</v>
      </c>
      <c r="D53" s="153">
        <f>D52/(24*60*G4)</f>
        <v>0.10364583333333334</v>
      </c>
      <c r="E53" s="154">
        <f>E52/(G4*24)</f>
        <v>0.10364583333333334</v>
      </c>
      <c r="F53" s="192"/>
    </row>
    <row r="54" spans="1:13">
      <c r="E54" s="200"/>
      <c r="F54" s="192"/>
    </row>
    <row r="55" spans="1:13">
      <c r="E55" s="200"/>
    </row>
    <row r="56" spans="1:13">
      <c r="A56" s="201" t="s">
        <v>100</v>
      </c>
      <c r="B56" s="202"/>
      <c r="C56" s="203"/>
      <c r="D56" s="203"/>
      <c r="E56" s="203"/>
      <c r="F56" s="204"/>
      <c r="G56" s="203"/>
      <c r="H56" s="205"/>
      <c r="I56" s="206" t="s">
        <v>101</v>
      </c>
      <c r="J56" s="207">
        <f>+D34+'23'!J56</f>
        <v>5317</v>
      </c>
      <c r="K56" s="208">
        <f>J56/(J40+J56/1000)/1000</f>
        <v>4.7762304160629378E-3</v>
      </c>
    </row>
    <row r="57" spans="1:13">
      <c r="A57" s="183"/>
      <c r="I57" s="206" t="s">
        <v>102</v>
      </c>
      <c r="J57" s="207">
        <f>+E34+'23'!J57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AA61"/>
  <sheetViews>
    <sheetView topLeftCell="C1" zoomScale="80" zoomScaleNormal="80" workbookViewId="0">
      <selection activeCell="F28" activeCellId="1" sqref="F19 F28"/>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1.7109375" style="156" bestFit="1" customWidth="1"/>
    <col min="11" max="11" width="12.5703125" style="156" bestFit="1" customWidth="1"/>
    <col min="12" max="12" width="8.28515625" style="156" customWidth="1"/>
    <col min="13" max="13" width="16.28515625" style="156" customWidth="1"/>
    <col min="14" max="16384" width="9.140625" style="156"/>
  </cols>
  <sheetData>
    <row r="1" spans="1:27" ht="15.75">
      <c r="A1" s="155"/>
    </row>
    <row r="2" spans="1:27" ht="15.75">
      <c r="A2" s="155" t="s">
        <v>183</v>
      </c>
    </row>
    <row r="3" spans="1:27" ht="15">
      <c r="A3" s="157"/>
    </row>
    <row r="4" spans="1:27" ht="20.25">
      <c r="A4" s="158" t="s">
        <v>5</v>
      </c>
      <c r="B4" s="159"/>
      <c r="F4" s="160" t="s">
        <v>30</v>
      </c>
      <c r="G4" s="161">
        <v>23</v>
      </c>
      <c r="H4" s="161" t="str">
        <f>+'1'!H4</f>
        <v>.01.26</v>
      </c>
      <c r="J4" s="156">
        <f>1094+1201.3+1069.1</f>
        <v>3364.4</v>
      </c>
    </row>
    <row r="5" spans="1:27" ht="13.5" thickBot="1">
      <c r="C5" s="162"/>
      <c r="D5" s="162"/>
    </row>
    <row r="6" spans="1:27"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704</v>
      </c>
      <c r="O6" s="156">
        <v>1270</v>
      </c>
      <c r="P6" s="156">
        <f>+O6-(O6*0.21)</f>
        <v>1003.3</v>
      </c>
      <c r="Q6" s="156">
        <f>60*3+40</f>
        <v>220</v>
      </c>
      <c r="R6" s="156">
        <f t="shared" ref="R6:R7" si="0">+O6*Q6</f>
        <v>279400</v>
      </c>
      <c r="S6" s="156">
        <f t="shared" ref="S6:S7" si="1">+P6*Q6</f>
        <v>220726</v>
      </c>
      <c r="Y6" s="156">
        <v>13</v>
      </c>
      <c r="Z6" s="156">
        <v>1</v>
      </c>
      <c r="AA6" s="156">
        <v>1270</v>
      </c>
    </row>
    <row r="7" spans="1:27" ht="13.5" customHeight="1" thickBot="1">
      <c r="A7" s="800" t="s">
        <v>440</v>
      </c>
      <c r="B7" s="222" t="s">
        <v>709</v>
      </c>
      <c r="C7" s="223">
        <v>10394</v>
      </c>
      <c r="D7" s="224"/>
      <c r="E7" s="225"/>
      <c r="F7" s="235"/>
      <c r="G7" s="236" t="s">
        <v>13</v>
      </c>
      <c r="H7" s="237" t="s">
        <v>386</v>
      </c>
      <c r="I7" s="803" t="s">
        <v>726</v>
      </c>
      <c r="J7" s="221" t="str">
        <f>+'22'!J7</f>
        <v>T 13,5 RC HW</v>
      </c>
      <c r="K7" s="245">
        <f>+C8+C16+C25</f>
        <v>35315</v>
      </c>
      <c r="L7" s="249"/>
      <c r="M7" s="124">
        <f>+K7+'22'!M7+L7</f>
        <v>268292</v>
      </c>
      <c r="N7" s="156" t="s">
        <v>408</v>
      </c>
      <c r="O7" s="156">
        <v>1270</v>
      </c>
      <c r="P7" s="156">
        <f>+O7-(O7*0.21)</f>
        <v>1003.3</v>
      </c>
      <c r="Q7" s="156">
        <f>480-Q6</f>
        <v>260</v>
      </c>
      <c r="R7" s="156">
        <f t="shared" si="0"/>
        <v>330200</v>
      </c>
      <c r="S7" s="156">
        <f t="shared" si="1"/>
        <v>260858</v>
      </c>
      <c r="Y7" s="156">
        <v>13.5</v>
      </c>
      <c r="Z7" s="156">
        <v>1</v>
      </c>
      <c r="AA7" s="156">
        <v>1270</v>
      </c>
    </row>
    <row r="8" spans="1:27" ht="13.5" thickBot="1">
      <c r="A8" s="801"/>
      <c r="B8" s="222" t="s">
        <v>422</v>
      </c>
      <c r="C8" s="223">
        <v>5420</v>
      </c>
      <c r="D8" s="224"/>
      <c r="E8" s="226"/>
      <c r="F8" s="238">
        <v>8</v>
      </c>
      <c r="G8" s="582" t="s">
        <v>13</v>
      </c>
      <c r="H8" s="237" t="s">
        <v>415</v>
      </c>
      <c r="I8" s="804"/>
      <c r="J8" s="221" t="str">
        <f>+'22'!J8</f>
        <v>T 14,5 RC HW</v>
      </c>
      <c r="K8" s="246"/>
      <c r="L8" s="246"/>
      <c r="M8" s="124">
        <f>+K8+'22'!M8+L8</f>
        <v>57466</v>
      </c>
    </row>
    <row r="9" spans="1:27" ht="13.5" thickBot="1">
      <c r="A9" s="801"/>
      <c r="B9" s="222"/>
      <c r="C9" s="223"/>
      <c r="D9" s="224"/>
      <c r="E9" s="227"/>
      <c r="F9" s="235">
        <f>23-8</f>
        <v>15</v>
      </c>
      <c r="G9" s="582" t="s">
        <v>13</v>
      </c>
      <c r="H9" s="240" t="s">
        <v>395</v>
      </c>
      <c r="I9" s="804"/>
      <c r="J9" s="221" t="str">
        <f>+'22'!J9</f>
        <v>TW 17 RC HW</v>
      </c>
      <c r="K9" s="246"/>
      <c r="L9" s="246"/>
      <c r="M9" s="124">
        <f>+K9+'22'!M9+L9</f>
        <v>24830</v>
      </c>
    </row>
    <row r="10" spans="1:27" ht="26.25" thickBot="1">
      <c r="A10" s="801"/>
      <c r="B10" s="222"/>
      <c r="C10" s="223"/>
      <c r="D10" s="224"/>
      <c r="E10" s="226"/>
      <c r="F10" s="235"/>
      <c r="G10" s="244" t="s">
        <v>14</v>
      </c>
      <c r="H10" s="240" t="s">
        <v>718</v>
      </c>
      <c r="I10" s="804"/>
      <c r="J10" s="221" t="str">
        <f>+'22'!J10</f>
        <v>TW 22 RC HW</v>
      </c>
      <c r="K10" s="246"/>
      <c r="L10" s="246"/>
      <c r="M10" s="124">
        <f>+K10+'22'!M10+L10</f>
        <v>24459</v>
      </c>
    </row>
    <row r="11" spans="1:27" ht="26.25" thickBot="1">
      <c r="A11" s="801"/>
      <c r="B11" s="222"/>
      <c r="C11" s="223"/>
      <c r="D11" s="224"/>
      <c r="E11" s="226"/>
      <c r="F11" s="238"/>
      <c r="G11" s="239"/>
      <c r="H11" s="240" t="s">
        <v>719</v>
      </c>
      <c r="I11" s="804"/>
      <c r="J11" s="221" t="str">
        <f>+'22'!J11</f>
        <v>TW 14 RC HW</v>
      </c>
      <c r="K11" s="246"/>
      <c r="L11" s="246"/>
      <c r="M11" s="124">
        <f>+K11+'22'!M11+L11</f>
        <v>8043</v>
      </c>
    </row>
    <row r="12" spans="1:27" ht="13.5" thickBot="1">
      <c r="A12" s="801"/>
      <c r="B12" s="222"/>
      <c r="C12" s="223"/>
      <c r="D12" s="224"/>
      <c r="E12" s="226"/>
      <c r="F12" s="235"/>
      <c r="G12" s="239"/>
      <c r="H12" s="240"/>
      <c r="I12" s="804"/>
      <c r="J12" s="221" t="str">
        <f>+'22'!J12</f>
        <v>TW 29 RC HW</v>
      </c>
      <c r="K12" s="246"/>
      <c r="L12" s="246"/>
      <c r="M12" s="124">
        <f>+K12+'22'!M12+L12</f>
        <v>21439</v>
      </c>
    </row>
    <row r="13" spans="1:27" ht="13.5" thickBot="1">
      <c r="A13" s="801"/>
      <c r="B13" s="222"/>
      <c r="C13" s="223"/>
      <c r="D13" s="223"/>
      <c r="E13" s="226"/>
      <c r="F13" s="235"/>
      <c r="G13" s="239"/>
      <c r="H13" s="240"/>
      <c r="I13" s="805"/>
      <c r="J13" s="221" t="str">
        <f>+'22'!J13</f>
        <v>TW 35,5 RC HW</v>
      </c>
      <c r="K13" s="246"/>
      <c r="L13" s="246"/>
      <c r="M13" s="124">
        <f>+K13+'22'!M13+L13</f>
        <v>2193</v>
      </c>
    </row>
    <row r="14" spans="1:27" ht="13.5" thickBot="1">
      <c r="A14" s="802"/>
      <c r="B14" s="172" t="s">
        <v>3</v>
      </c>
      <c r="C14" s="106">
        <f>SUM(C7:C13)</f>
        <v>15814</v>
      </c>
      <c r="D14" s="118">
        <f>SUM(D7:D13)</f>
        <v>0</v>
      </c>
      <c r="E14" s="119">
        <f>SUM(E5:E13)</f>
        <v>0</v>
      </c>
      <c r="F14" s="109">
        <f>SUM(F6:F13)</f>
        <v>23</v>
      </c>
      <c r="G14" s="166"/>
      <c r="H14" s="173"/>
      <c r="I14" s="174"/>
      <c r="J14" s="221" t="str">
        <f>+'22'!J14</f>
        <v>N 15,5 RC HW</v>
      </c>
      <c r="K14" s="246"/>
      <c r="L14" s="246"/>
      <c r="M14" s="124">
        <f>+K14+'22'!M14+L14</f>
        <v>46927</v>
      </c>
    </row>
    <row r="15" spans="1:27" ht="13.5" customHeight="1" thickBot="1">
      <c r="A15" s="800" t="s">
        <v>424</v>
      </c>
      <c r="B15" s="172"/>
      <c r="C15" s="120">
        <f>C14/($C$23+$D$23+$E$23)</f>
        <v>1.1694150706204245</v>
      </c>
      <c r="D15" s="121">
        <f>D14/($C$23+$D$23+$E$23)</f>
        <v>0</v>
      </c>
      <c r="E15" s="122">
        <f>E14/($C$23+$D$23+$E$23)</f>
        <v>0</v>
      </c>
      <c r="F15" s="235"/>
      <c r="G15" s="236" t="s">
        <v>13</v>
      </c>
      <c r="H15" s="237" t="s">
        <v>386</v>
      </c>
      <c r="I15" s="803" t="s">
        <v>725</v>
      </c>
      <c r="J15" s="221" t="str">
        <f>+'22'!J15</f>
        <v>F 14 RC HW</v>
      </c>
      <c r="K15" s="246"/>
      <c r="L15" s="246"/>
      <c r="M15" s="124">
        <f>+K15+'22'!M15+L15</f>
        <v>4620</v>
      </c>
    </row>
    <row r="16" spans="1:27" ht="13.5" thickBot="1">
      <c r="A16" s="811"/>
      <c r="B16" s="222" t="s">
        <v>422</v>
      </c>
      <c r="C16" s="229">
        <v>13523</v>
      </c>
      <c r="D16" s="230"/>
      <c r="E16" s="231"/>
      <c r="F16" s="238">
        <v>3</v>
      </c>
      <c r="G16" s="582" t="s">
        <v>13</v>
      </c>
      <c r="H16" s="237" t="s">
        <v>414</v>
      </c>
      <c r="I16" s="804"/>
      <c r="J16" s="221" t="str">
        <f>+'22'!J16</f>
        <v>T 15 RC HW</v>
      </c>
      <c r="K16" s="246"/>
      <c r="L16" s="236"/>
      <c r="M16" s="124">
        <f>+K16+'22'!M16+L16</f>
        <v>370116</v>
      </c>
      <c r="Q16" s="183">
        <f>SUM(Q6:Q14)</f>
        <v>480</v>
      </c>
      <c r="R16" s="183">
        <f>SUM(R6:R14)</f>
        <v>609600</v>
      </c>
      <c r="S16" s="183">
        <f>SUM(S6:S14)</f>
        <v>481584</v>
      </c>
    </row>
    <row r="17" spans="1:26" ht="13.5" thickBot="1">
      <c r="A17" s="811"/>
      <c r="B17" s="222"/>
      <c r="C17" s="223"/>
      <c r="D17" s="224"/>
      <c r="E17" s="232"/>
      <c r="F17" s="235">
        <v>7</v>
      </c>
      <c r="G17" s="582" t="s">
        <v>13</v>
      </c>
      <c r="H17" s="240" t="s">
        <v>450</v>
      </c>
      <c r="I17" s="804"/>
      <c r="J17" s="221" t="str">
        <f>+'22'!J17</f>
        <v>T 14 RC HW</v>
      </c>
      <c r="K17" s="246"/>
      <c r="L17" s="236"/>
      <c r="M17" s="124">
        <f>+K17+'22'!M17+L17</f>
        <v>118045</v>
      </c>
      <c r="Q17" s="156">
        <f>480-Q16</f>
        <v>0</v>
      </c>
      <c r="R17" s="183">
        <f>+R16/Q16</f>
        <v>1270</v>
      </c>
      <c r="S17" s="183">
        <f>+S16/Q16</f>
        <v>1003.3</v>
      </c>
    </row>
    <row r="18" spans="1:26" ht="26.25" thickBot="1">
      <c r="A18" s="811"/>
      <c r="B18" s="222"/>
      <c r="C18" s="223"/>
      <c r="D18" s="224"/>
      <c r="E18" s="232"/>
      <c r="F18" s="235">
        <v>8</v>
      </c>
      <c r="G18" s="244" t="s">
        <v>14</v>
      </c>
      <c r="H18" s="240" t="s">
        <v>722</v>
      </c>
      <c r="I18" s="804"/>
      <c r="J18" s="221" t="str">
        <f>+'22'!J18</f>
        <v>T 16 RC HW</v>
      </c>
      <c r="K18" s="246"/>
      <c r="L18" s="246"/>
      <c r="M18" s="124">
        <f>+K18+'22'!M18+L18</f>
        <v>17950</v>
      </c>
      <c r="N18" s="156" t="s">
        <v>408</v>
      </c>
      <c r="O18" s="156">
        <v>1280</v>
      </c>
      <c r="P18" s="156">
        <f>+O18-(O18*0.21)</f>
        <v>1011.2</v>
      </c>
      <c r="Q18" s="156">
        <v>53</v>
      </c>
      <c r="R18" s="156">
        <f t="shared" ref="R18:R20" si="2">+O18*Q18</f>
        <v>67840</v>
      </c>
      <c r="S18" s="156">
        <f t="shared" ref="S18:S20" si="3">+P18*Q18</f>
        <v>53593.600000000006</v>
      </c>
      <c r="U18" s="156">
        <f>+(1270-V18)/1270</f>
        <v>9.4488188976377951E-2</v>
      </c>
      <c r="V18" s="156">
        <v>1150</v>
      </c>
    </row>
    <row r="19" spans="1:26" ht="39" thickBot="1">
      <c r="A19" s="811"/>
      <c r="B19" s="222"/>
      <c r="C19" s="223"/>
      <c r="D19" s="224"/>
      <c r="E19" s="232"/>
      <c r="F19" s="242">
        <v>52</v>
      </c>
      <c r="G19" s="239" t="s">
        <v>89</v>
      </c>
      <c r="H19" s="240" t="s">
        <v>723</v>
      </c>
      <c r="I19" s="804"/>
      <c r="J19" s="221" t="str">
        <f>+'22'!J19</f>
        <v>T 18 RC HW</v>
      </c>
      <c r="K19" s="246"/>
      <c r="L19" s="246"/>
      <c r="M19" s="124">
        <f>+K19+'22'!M19+L19</f>
        <v>32713</v>
      </c>
      <c r="O19" s="156">
        <v>1150</v>
      </c>
      <c r="P19" s="156">
        <f>+O19-(O19*0.21)</f>
        <v>908.5</v>
      </c>
      <c r="Q19" s="156">
        <v>214</v>
      </c>
      <c r="R19" s="156">
        <f t="shared" si="2"/>
        <v>246100</v>
      </c>
      <c r="S19" s="156">
        <f t="shared" si="3"/>
        <v>194419</v>
      </c>
      <c r="U19" s="156">
        <f>+U18*(214)</f>
        <v>20.220472440944881</v>
      </c>
    </row>
    <row r="20" spans="1:26" ht="13.5" thickBot="1">
      <c r="A20" s="811"/>
      <c r="B20" s="222"/>
      <c r="C20" s="223"/>
      <c r="D20" s="224"/>
      <c r="E20" s="232"/>
      <c r="F20" s="235"/>
      <c r="G20" s="239"/>
      <c r="H20" s="240"/>
      <c r="I20" s="804"/>
      <c r="J20" s="221" t="str">
        <f>+'22'!J20</f>
        <v>T 20 RC HW</v>
      </c>
      <c r="K20" s="246"/>
      <c r="L20" s="247"/>
      <c r="M20" s="124">
        <f>+K20+'22'!M20+L20</f>
        <v>12647</v>
      </c>
      <c r="O20" s="156">
        <v>1080</v>
      </c>
      <c r="P20" s="156">
        <f>+O20-(O20*0.21)</f>
        <v>853.2</v>
      </c>
      <c r="Q20" s="156">
        <v>213</v>
      </c>
      <c r="R20" s="156">
        <f t="shared" si="2"/>
        <v>230040</v>
      </c>
      <c r="S20" s="156">
        <f t="shared" si="3"/>
        <v>181731.6</v>
      </c>
      <c r="U20" s="156">
        <f>+U19</f>
        <v>20.220472440944881</v>
      </c>
    </row>
    <row r="21" spans="1:26" ht="13.5" thickBot="1">
      <c r="A21" s="811"/>
      <c r="B21" s="222"/>
      <c r="C21" s="223"/>
      <c r="D21" s="224"/>
      <c r="E21" s="232"/>
      <c r="F21" s="238"/>
      <c r="G21" s="239"/>
      <c r="H21" s="240"/>
      <c r="I21" s="804"/>
      <c r="J21" s="221" t="str">
        <f>+'22'!J21</f>
        <v>T 13 RC HW</v>
      </c>
      <c r="K21" s="246">
        <f>+C7</f>
        <v>10394</v>
      </c>
      <c r="L21" s="246"/>
      <c r="M21" s="124">
        <f>+K21+'22'!M21+L21</f>
        <v>56241</v>
      </c>
      <c r="U21" s="156">
        <f>+(1270-V21)/1270</f>
        <v>0.14960629921259844</v>
      </c>
      <c r="V21" s="156">
        <v>1080</v>
      </c>
    </row>
    <row r="22" spans="1:26" ht="13.5" thickBot="1">
      <c r="A22" s="811"/>
      <c r="B22" s="222"/>
      <c r="C22" s="223"/>
      <c r="D22" s="224"/>
      <c r="E22" s="232"/>
      <c r="F22" s="243"/>
      <c r="G22" s="239"/>
      <c r="H22" s="240"/>
      <c r="I22" s="805"/>
      <c r="J22" s="221">
        <f>+'22'!J22</f>
        <v>0</v>
      </c>
      <c r="K22" s="246"/>
      <c r="L22" s="246"/>
      <c r="M22" s="124">
        <f>+K22+'22'!M22+L22</f>
        <v>0</v>
      </c>
      <c r="U22" s="156">
        <f>+U21*(213)</f>
        <v>31.866141732283467</v>
      </c>
    </row>
    <row r="23" spans="1:26" ht="13.5" thickBot="1">
      <c r="A23" s="812"/>
      <c r="B23" s="172" t="s">
        <v>3</v>
      </c>
      <c r="C23" s="107">
        <f>SUM(C16:C22)</f>
        <v>13523</v>
      </c>
      <c r="D23" s="118">
        <f>SUM(D16:D22)</f>
        <v>0</v>
      </c>
      <c r="E23" s="119">
        <f>SUM(E18:E22)</f>
        <v>0</v>
      </c>
      <c r="F23" s="109">
        <f>SUM(F15:F22)</f>
        <v>70</v>
      </c>
      <c r="G23" s="166"/>
      <c r="H23" s="173"/>
      <c r="I23" s="176"/>
      <c r="J23" s="221">
        <f>+'22'!J23</f>
        <v>0</v>
      </c>
      <c r="K23" s="246"/>
      <c r="L23" s="246"/>
      <c r="M23" s="124">
        <f>+K23+'22'!M23+L23</f>
        <v>0</v>
      </c>
      <c r="U23" s="156">
        <f>+U22</f>
        <v>31.866141732283467</v>
      </c>
    </row>
    <row r="24" spans="1:26" ht="13.5" customHeight="1" thickBot="1">
      <c r="A24" s="800" t="s">
        <v>425</v>
      </c>
      <c r="B24" s="177"/>
      <c r="C24" s="120">
        <f>C23/($C$23+$D$23+$E$23)</f>
        <v>1</v>
      </c>
      <c r="D24" s="121">
        <f>D23/($C$23+$D$23+$E$23)</f>
        <v>0</v>
      </c>
      <c r="E24" s="122">
        <f>E23/($C$23+$D$23+$E$23)</f>
        <v>0</v>
      </c>
      <c r="F24" s="235"/>
      <c r="G24" s="236" t="s">
        <v>13</v>
      </c>
      <c r="H24" s="237" t="s">
        <v>386</v>
      </c>
      <c r="I24" s="803" t="s">
        <v>724</v>
      </c>
      <c r="J24" s="221">
        <f>+'22'!J24</f>
        <v>0</v>
      </c>
      <c r="K24" s="246"/>
      <c r="L24" s="246"/>
      <c r="M24" s="124">
        <f>+K24+'22'!M24+L24</f>
        <v>0</v>
      </c>
    </row>
    <row r="25" spans="1:26" ht="13.5" thickBot="1">
      <c r="A25" s="811"/>
      <c r="B25" s="222" t="s">
        <v>422</v>
      </c>
      <c r="C25" s="233">
        <v>16372</v>
      </c>
      <c r="D25" s="224"/>
      <c r="E25" s="232"/>
      <c r="F25" s="238">
        <v>4</v>
      </c>
      <c r="G25" s="582" t="s">
        <v>13</v>
      </c>
      <c r="H25" s="237" t="s">
        <v>414</v>
      </c>
      <c r="I25" s="804"/>
      <c r="J25" s="221">
        <f>+'22'!J25</f>
        <v>0</v>
      </c>
      <c r="K25" s="246"/>
      <c r="L25" s="246"/>
      <c r="M25" s="124">
        <f>+K25+'22'!M25+L25</f>
        <v>0</v>
      </c>
    </row>
    <row r="26" spans="1:26" ht="13.5" thickBot="1">
      <c r="A26" s="811"/>
      <c r="B26" s="222"/>
      <c r="C26" s="233"/>
      <c r="D26" s="224"/>
      <c r="E26" s="234"/>
      <c r="F26" s="235">
        <v>5</v>
      </c>
      <c r="G26" s="582" t="s">
        <v>13</v>
      </c>
      <c r="H26" s="240" t="s">
        <v>523</v>
      </c>
      <c r="I26" s="804"/>
      <c r="J26" s="221">
        <f>+'22'!J26</f>
        <v>0</v>
      </c>
      <c r="K26" s="246"/>
      <c r="L26" s="246"/>
      <c r="M26" s="124">
        <f>+K26+'22'!M26+L26</f>
        <v>0</v>
      </c>
    </row>
    <row r="27" spans="1:26" ht="39" thickBot="1">
      <c r="A27" s="811"/>
      <c r="B27" s="222"/>
      <c r="C27" s="223"/>
      <c r="D27" s="224"/>
      <c r="E27" s="232"/>
      <c r="F27" s="235">
        <v>6</v>
      </c>
      <c r="G27" s="244" t="s">
        <v>14</v>
      </c>
      <c r="H27" s="240" t="s">
        <v>720</v>
      </c>
      <c r="I27" s="804"/>
      <c r="J27" s="221">
        <f>+'22'!J27</f>
        <v>0</v>
      </c>
      <c r="K27" s="246"/>
      <c r="L27" s="246"/>
      <c r="M27" s="124">
        <f>+K27+'22'!M27+L27</f>
        <v>0</v>
      </c>
    </row>
    <row r="28" spans="1:26" ht="26.25" thickBot="1">
      <c r="A28" s="811"/>
      <c r="B28" s="222"/>
      <c r="C28" s="223"/>
      <c r="D28" s="224"/>
      <c r="E28" s="232"/>
      <c r="F28" s="238">
        <v>70</v>
      </c>
      <c r="G28" s="239" t="s">
        <v>89</v>
      </c>
      <c r="H28" s="240" t="s">
        <v>721</v>
      </c>
      <c r="I28" s="804"/>
      <c r="J28" s="221">
        <f>+'22'!J28</f>
        <v>0</v>
      </c>
      <c r="K28" s="246"/>
      <c r="L28" s="246"/>
      <c r="M28" s="124">
        <f>+K28+'22'!M28+L28</f>
        <v>0</v>
      </c>
      <c r="Q28" s="183">
        <f>SUM(Q18:Q26)</f>
        <v>480</v>
      </c>
      <c r="R28" s="183">
        <f>SUM(R18:R26)</f>
        <v>543980</v>
      </c>
      <c r="S28" s="183">
        <f>SUM(S18:S26)</f>
        <v>429744.2</v>
      </c>
    </row>
    <row r="29" spans="1:26" ht="13.5" thickBot="1">
      <c r="A29" s="811"/>
      <c r="B29" s="222"/>
      <c r="C29" s="223"/>
      <c r="D29" s="224"/>
      <c r="E29" s="232"/>
      <c r="F29" s="243"/>
      <c r="G29" s="239"/>
      <c r="H29" s="240"/>
      <c r="I29" s="804"/>
      <c r="J29" s="221">
        <f>+'22'!J29</f>
        <v>0</v>
      </c>
      <c r="K29" s="246"/>
      <c r="L29" s="246"/>
      <c r="M29" s="124">
        <f>+K29+'22'!M29+L29</f>
        <v>0</v>
      </c>
      <c r="R29" s="183">
        <f>+R28/Q28</f>
        <v>1133.2916666666667</v>
      </c>
      <c r="S29" s="183">
        <f>+S28/Q28</f>
        <v>895.30041666666671</v>
      </c>
    </row>
    <row r="30" spans="1:26" ht="13.5" thickBot="1">
      <c r="A30" s="811"/>
      <c r="B30" s="222"/>
      <c r="C30" s="233"/>
      <c r="D30" s="224"/>
      <c r="E30" s="232"/>
      <c r="F30" s="243"/>
      <c r="G30" s="239"/>
      <c r="H30" s="240"/>
      <c r="I30" s="804"/>
      <c r="J30" s="221">
        <f>+'22'!J30</f>
        <v>0</v>
      </c>
      <c r="K30" s="246"/>
      <c r="L30" s="246"/>
      <c r="M30" s="124">
        <f>+K30+'22'!M30+L30</f>
        <v>0</v>
      </c>
      <c r="N30" s="156" t="s">
        <v>408</v>
      </c>
      <c r="O30" s="156">
        <v>1080</v>
      </c>
      <c r="P30" s="156">
        <f>+O30-(O30*0.21)</f>
        <v>853.2</v>
      </c>
      <c r="Q30" s="156">
        <f>60*6+30</f>
        <v>390</v>
      </c>
      <c r="R30" s="156">
        <f t="shared" ref="R30:R31" si="4">+O30*Q30</f>
        <v>421200</v>
      </c>
      <c r="S30" s="156">
        <f t="shared" ref="S30:S31" si="5">+P30*Q30</f>
        <v>332748</v>
      </c>
      <c r="U30" s="156" t="s">
        <v>408</v>
      </c>
      <c r="V30" s="156">
        <v>1270</v>
      </c>
      <c r="W30" s="156">
        <v>1003.3</v>
      </c>
      <c r="X30" s="156">
        <v>260</v>
      </c>
      <c r="Y30" s="156">
        <f t="shared" ref="Y30" si="6">+V30*X30</f>
        <v>330200</v>
      </c>
      <c r="Z30" s="156">
        <f t="shared" ref="Z30" si="7">+W30*X30</f>
        <v>260858</v>
      </c>
    </row>
    <row r="31" spans="1:26" ht="13.5" thickBot="1">
      <c r="A31" s="811"/>
      <c r="B31" s="222"/>
      <c r="C31" s="233"/>
      <c r="D31" s="224"/>
      <c r="E31" s="232"/>
      <c r="F31" s="243"/>
      <c r="G31" s="244"/>
      <c r="H31" s="241"/>
      <c r="I31" s="805"/>
      <c r="J31" s="221">
        <f>+'22'!J31</f>
        <v>0</v>
      </c>
      <c r="K31" s="246"/>
      <c r="L31" s="246"/>
      <c r="M31" s="124">
        <f>+K31+'22'!M31+L31</f>
        <v>0</v>
      </c>
      <c r="O31" s="156">
        <v>1100</v>
      </c>
      <c r="P31" s="156">
        <f>+O31-(O31*0.21)</f>
        <v>869</v>
      </c>
      <c r="Q31" s="156">
        <f>480-Q30</f>
        <v>90</v>
      </c>
      <c r="R31" s="156">
        <f t="shared" si="4"/>
        <v>99000</v>
      </c>
      <c r="S31" s="156">
        <f t="shared" si="5"/>
        <v>78210</v>
      </c>
      <c r="U31" s="156" t="s">
        <v>408</v>
      </c>
      <c r="V31" s="156">
        <v>1280</v>
      </c>
      <c r="W31" s="156">
        <v>1011.2</v>
      </c>
      <c r="X31" s="156">
        <v>53</v>
      </c>
      <c r="Y31" s="156">
        <f t="shared" ref="Y31:Y35" si="8">+V31*X31</f>
        <v>67840</v>
      </c>
      <c r="Z31" s="156">
        <f t="shared" ref="Z31:Z35" si="9">+W31*X31</f>
        <v>53593.600000000006</v>
      </c>
    </row>
    <row r="32" spans="1:26" ht="13.5" thickBot="1">
      <c r="A32" s="812"/>
      <c r="B32" s="172" t="s">
        <v>3</v>
      </c>
      <c r="C32" s="106">
        <f>SUM(C25:C31)</f>
        <v>16372</v>
      </c>
      <c r="D32" s="107">
        <f>SUM(D25:D31)</f>
        <v>0</v>
      </c>
      <c r="E32" s="108">
        <f>SUM(E25:E31)</f>
        <v>0</v>
      </c>
      <c r="F32" s="109">
        <f>SUM(F24:F31)</f>
        <v>85</v>
      </c>
      <c r="G32" s="178"/>
      <c r="H32" s="179"/>
      <c r="I32" s="176"/>
      <c r="J32" s="221">
        <f>+'22'!J32</f>
        <v>0</v>
      </c>
      <c r="K32" s="246"/>
      <c r="L32" s="250"/>
      <c r="M32" s="124">
        <f>+K32+'22'!M32+L32</f>
        <v>0</v>
      </c>
      <c r="V32" s="156">
        <v>1150</v>
      </c>
      <c r="W32" s="156">
        <v>908.5</v>
      </c>
      <c r="X32" s="156">
        <v>214</v>
      </c>
      <c r="Y32" s="156">
        <f t="shared" si="8"/>
        <v>246100</v>
      </c>
      <c r="Z32" s="156">
        <f t="shared" si="9"/>
        <v>194419</v>
      </c>
    </row>
    <row r="33" spans="1:26" ht="13.5" thickBot="1">
      <c r="A33" s="180"/>
      <c r="B33" s="181"/>
      <c r="C33" s="110">
        <f>C32/($C$32+$D$32+$E$32)</f>
        <v>1</v>
      </c>
      <c r="D33" s="111">
        <f>D32/($C$32+$D$32+$E$32)</f>
        <v>0</v>
      </c>
      <c r="E33" s="112">
        <f>E32/($C$32+$D$32+$E$32)</f>
        <v>0</v>
      </c>
      <c r="F33" s="113"/>
      <c r="G33" s="182"/>
      <c r="H33" s="183"/>
      <c r="I33" s="184"/>
      <c r="J33" s="128"/>
      <c r="K33" s="129"/>
      <c r="L33" s="220"/>
      <c r="M33" s="126"/>
      <c r="V33" s="156">
        <v>1080</v>
      </c>
      <c r="W33" s="156">
        <v>853.2</v>
      </c>
      <c r="X33" s="156">
        <v>213</v>
      </c>
      <c r="Y33" s="156">
        <f t="shared" si="8"/>
        <v>230040</v>
      </c>
      <c r="Z33" s="156">
        <f t="shared" si="9"/>
        <v>181731.6</v>
      </c>
    </row>
    <row r="34" spans="1:26" ht="13.5" thickBot="1">
      <c r="A34" s="808" t="s">
        <v>70</v>
      </c>
      <c r="B34" s="809"/>
      <c r="C34" s="114">
        <f>C14+C23+C32</f>
        <v>45709</v>
      </c>
      <c r="D34" s="114">
        <f>D14+D23+D32</f>
        <v>0</v>
      </c>
      <c r="E34" s="114">
        <f>E14+E23+E32</f>
        <v>0</v>
      </c>
      <c r="F34" s="115">
        <f>F14+F23+F32</f>
        <v>178</v>
      </c>
      <c r="H34" s="185"/>
      <c r="I34" s="185"/>
      <c r="J34" s="130" t="s">
        <v>29</v>
      </c>
      <c r="K34" s="131">
        <f>SUM(K7:K32)</f>
        <v>45709</v>
      </c>
      <c r="L34" s="219">
        <f>SUM(L7:L32)</f>
        <v>0</v>
      </c>
      <c r="M34" s="127">
        <f>SUM(M7:M32)</f>
        <v>1065981</v>
      </c>
      <c r="U34" s="156" t="s">
        <v>408</v>
      </c>
      <c r="V34" s="156">
        <v>1080</v>
      </c>
      <c r="W34" s="156">
        <v>853.2</v>
      </c>
      <c r="X34" s="156">
        <v>390</v>
      </c>
      <c r="Y34" s="156">
        <f t="shared" si="8"/>
        <v>421200</v>
      </c>
      <c r="Z34" s="156">
        <f t="shared" si="9"/>
        <v>332748</v>
      </c>
    </row>
    <row r="35" spans="1:26" ht="13.5" thickBot="1">
      <c r="A35" s="186"/>
      <c r="B35" s="187"/>
      <c r="C35" s="111">
        <f>C34/($C$34+$D$34+$E$34)</f>
        <v>1</v>
      </c>
      <c r="D35" s="111">
        <f>D34/($C$34+$D$34+$E$34)</f>
        <v>0</v>
      </c>
      <c r="E35" s="116">
        <f>E34/($C$34+$D$34+$E$34)</f>
        <v>0</v>
      </c>
      <c r="K35" s="162"/>
      <c r="L35" s="799" t="s">
        <v>184</v>
      </c>
      <c r="M35" s="799"/>
      <c r="V35" s="156">
        <v>1100</v>
      </c>
      <c r="W35" s="156">
        <v>869</v>
      </c>
      <c r="X35" s="156">
        <v>90</v>
      </c>
      <c r="Y35" s="156">
        <f t="shared" si="8"/>
        <v>99000</v>
      </c>
      <c r="Z35" s="156">
        <f t="shared" si="9"/>
        <v>78210</v>
      </c>
    </row>
    <row r="36" spans="1:26" ht="13.5" thickBot="1">
      <c r="A36" s="185"/>
      <c r="B36" s="185"/>
      <c r="C36" s="162"/>
      <c r="D36" s="162"/>
      <c r="E36" s="162"/>
      <c r="G36" s="162"/>
      <c r="H36" s="188"/>
      <c r="I36" s="169" t="s">
        <v>41</v>
      </c>
      <c r="J36" s="169" t="s">
        <v>42</v>
      </c>
      <c r="K36" s="189"/>
      <c r="L36" s="169" t="s">
        <v>41</v>
      </c>
      <c r="M36" s="169" t="s">
        <v>42</v>
      </c>
    </row>
    <row r="37" spans="1:26" ht="17.45" customHeight="1" thickBot="1">
      <c r="A37" s="797" t="s">
        <v>71</v>
      </c>
      <c r="B37" s="798"/>
      <c r="C37" s="169" t="s">
        <v>72</v>
      </c>
      <c r="D37" s="190" t="s">
        <v>73</v>
      </c>
      <c r="E37" s="191" t="s">
        <v>74</v>
      </c>
      <c r="F37" s="368"/>
      <c r="G37" s="370"/>
      <c r="H37" s="193" t="s">
        <v>75</v>
      </c>
      <c r="I37" s="251">
        <f>(13*220+13.5*1220)/1440*G42*2.75*1440/1000000</f>
        <v>48.812103247569446</v>
      </c>
      <c r="J37" s="132">
        <f>+I37+'22'!J37</f>
        <v>1167.5997061316887</v>
      </c>
      <c r="K37" s="133" t="s">
        <v>76</v>
      </c>
      <c r="L37" s="429"/>
      <c r="M37" s="430"/>
    </row>
    <row r="38" spans="1:26" ht="17.45" customHeight="1">
      <c r="A38" s="793" t="s">
        <v>13</v>
      </c>
      <c r="B38" s="794"/>
      <c r="C38" s="171">
        <f>SUMIF($G$7:$G$31,"Process",$F$7:$F$31)</f>
        <v>42</v>
      </c>
      <c r="D38" s="125">
        <f>+C38+'22'!D38</f>
        <v>1168</v>
      </c>
      <c r="E38" s="150">
        <f t="shared" ref="E38:E51" si="10">D38/60</f>
        <v>19.466666666666665</v>
      </c>
      <c r="F38" s="368">
        <v>1270</v>
      </c>
      <c r="G38" s="368">
        <v>1003.3</v>
      </c>
      <c r="H38" s="194" t="s">
        <v>77</v>
      </c>
      <c r="I38" s="551">
        <f>16.285+14.51+14.714</f>
        <v>45.509</v>
      </c>
      <c r="J38" s="134">
        <f>+I38+'22'!J38</f>
        <v>1095.8009999999999</v>
      </c>
      <c r="K38" s="135" t="s">
        <v>76</v>
      </c>
      <c r="L38" s="431"/>
      <c r="M38" s="432"/>
    </row>
    <row r="39" spans="1:26" ht="17.45" customHeight="1">
      <c r="A39" s="789" t="s">
        <v>14</v>
      </c>
      <c r="B39" s="790"/>
      <c r="C39" s="171">
        <f>SUMIF($G$7:$G$31,"Cleaning",$F$7:$F$31)</f>
        <v>14</v>
      </c>
      <c r="D39" s="125">
        <f>+C39+'22'!D39</f>
        <v>208</v>
      </c>
      <c r="E39" s="150">
        <f t="shared" si="10"/>
        <v>3.4666666666666668</v>
      </c>
      <c r="F39" s="368">
        <v>1133.2916666666667</v>
      </c>
      <c r="G39" s="368">
        <v>895.30041666666671</v>
      </c>
      <c r="H39" s="194" t="s">
        <v>78</v>
      </c>
      <c r="I39" s="149"/>
      <c r="J39" s="136">
        <f>J37/G4</f>
        <v>50.765204614421243</v>
      </c>
      <c r="K39" s="137" t="s">
        <v>76</v>
      </c>
      <c r="L39" s="431"/>
      <c r="M39" s="432"/>
    </row>
    <row r="40" spans="1:26" ht="17.45" customHeight="1">
      <c r="A40" s="789" t="s">
        <v>79</v>
      </c>
      <c r="B40" s="790"/>
      <c r="C40" s="171">
        <f>SUMIF($G$7:$G$31,"Mechanical",$F$7:$F$31)</f>
        <v>0</v>
      </c>
      <c r="D40" s="125">
        <f>+C40+'22'!D40</f>
        <v>22</v>
      </c>
      <c r="E40" s="150">
        <f t="shared" si="10"/>
        <v>0.36666666666666664</v>
      </c>
      <c r="F40" s="368">
        <v>1083.75</v>
      </c>
      <c r="G40" s="368">
        <v>856.16250000000002</v>
      </c>
      <c r="H40" s="194" t="s">
        <v>80</v>
      </c>
      <c r="I40" s="125">
        <f>(K34+L34)/1000</f>
        <v>45.709000000000003</v>
      </c>
      <c r="J40" s="138">
        <f>+I40+'22'!J40</f>
        <v>1065.981</v>
      </c>
      <c r="K40" s="137" t="s">
        <v>76</v>
      </c>
      <c r="L40" s="431"/>
      <c r="M40" s="432"/>
      <c r="Q40" s="183">
        <f>SUM(Q30:Q38)</f>
        <v>480</v>
      </c>
      <c r="R40" s="183">
        <f>SUM(R30:R38)</f>
        <v>520200</v>
      </c>
      <c r="S40" s="183">
        <f>SUM(S30:S38)</f>
        <v>410958</v>
      </c>
      <c r="X40" s="183">
        <f>SUM(X30:X38)</f>
        <v>1220</v>
      </c>
      <c r="Y40" s="183">
        <f>SUM(Y30:Y38)</f>
        <v>1394380</v>
      </c>
      <c r="Z40" s="183">
        <f>SUM(Z30:Z38)</f>
        <v>1101560.2</v>
      </c>
    </row>
    <row r="41" spans="1:26" ht="17.45" customHeight="1">
      <c r="A41" s="789" t="s">
        <v>81</v>
      </c>
      <c r="B41" s="790"/>
      <c r="C41" s="171">
        <f>SUMIF($G$7:$G$31,"Electrical",$F$7:$F$31)</f>
        <v>0</v>
      </c>
      <c r="D41" s="125">
        <f>+C41+'22'!D41</f>
        <v>539</v>
      </c>
      <c r="E41" s="150">
        <f t="shared" si="10"/>
        <v>8.9833333333333325</v>
      </c>
      <c r="F41" s="368"/>
      <c r="G41" s="368"/>
      <c r="H41" s="194" t="s">
        <v>82</v>
      </c>
      <c r="I41" s="149"/>
      <c r="J41" s="136">
        <f>J40/G4</f>
        <v>46.347000000000001</v>
      </c>
      <c r="K41" s="137" t="s">
        <v>76</v>
      </c>
      <c r="L41" s="431"/>
      <c r="M41" s="432"/>
      <c r="Q41" s="156">
        <f>480-Q40</f>
        <v>0</v>
      </c>
      <c r="R41" s="183">
        <f>+R40/Q40</f>
        <v>1083.75</v>
      </c>
      <c r="S41" s="183">
        <f>+S40/Q40</f>
        <v>856.16250000000002</v>
      </c>
      <c r="X41" s="156">
        <f>480-X40</f>
        <v>-740</v>
      </c>
      <c r="Y41" s="183">
        <f>+Y40/X40</f>
        <v>1142.9344262295083</v>
      </c>
      <c r="Z41" s="183">
        <f>+Z40/X40</f>
        <v>902.91819672131146</v>
      </c>
    </row>
    <row r="42" spans="1:26" ht="17.45" customHeight="1">
      <c r="A42" s="789" t="s">
        <v>17</v>
      </c>
      <c r="B42" s="790"/>
      <c r="C42" s="171">
        <f>SUMIF($G$7:$G$31,"Instrument",$F$7:$F$31)</f>
        <v>0</v>
      </c>
      <c r="D42" s="125">
        <f>+C42+'22'!D42</f>
        <v>0</v>
      </c>
      <c r="E42" s="150">
        <f t="shared" si="10"/>
        <v>0</v>
      </c>
      <c r="F42" s="368">
        <f>+(F38*480+F39*480+F40*480)/1440</f>
        <v>1162.3472222222222</v>
      </c>
      <c r="G42" s="368">
        <f>+(G38*480+G39*480+G40*480)/1440</f>
        <v>918.25430555555556</v>
      </c>
      <c r="H42" s="194" t="s">
        <v>83</v>
      </c>
      <c r="I42" s="253" t="s">
        <v>727</v>
      </c>
      <c r="J42" s="139"/>
      <c r="K42" s="137" t="s">
        <v>84</v>
      </c>
      <c r="L42" s="431"/>
      <c r="M42" s="432"/>
      <c r="N42" s="156" t="s">
        <v>704</v>
      </c>
      <c r="O42" s="156">
        <v>1270</v>
      </c>
      <c r="P42" s="156">
        <v>1003.3</v>
      </c>
      <c r="Q42" s="156">
        <v>220</v>
      </c>
      <c r="U42" s="156">
        <f>+(1270-V42)/1270</f>
        <v>0.1466535433070866</v>
      </c>
      <c r="V42" s="156">
        <v>1083.75</v>
      </c>
    </row>
    <row r="43" spans="1:26" ht="17.45" customHeight="1">
      <c r="A43" s="789" t="s">
        <v>199</v>
      </c>
      <c r="B43" s="790"/>
      <c r="C43" s="171">
        <f>SUMIF($G$7:$G$31,"Change Grade",$F$7:$F$31)</f>
        <v>0</v>
      </c>
      <c r="D43" s="125">
        <f>+C43+'22'!D43</f>
        <v>0</v>
      </c>
      <c r="E43" s="150">
        <f t="shared" si="10"/>
        <v>0</v>
      </c>
      <c r="F43" s="368"/>
      <c r="G43" s="369"/>
      <c r="H43" s="195" t="s">
        <v>86</v>
      </c>
      <c r="I43" s="125">
        <f>+Report1!AH31</f>
        <v>70.5</v>
      </c>
      <c r="J43" s="140">
        <f>+I43+'22'!J43</f>
        <v>1473.1</v>
      </c>
      <c r="K43" s="137" t="s">
        <v>76</v>
      </c>
      <c r="L43" s="433">
        <f>+Report1!AN31</f>
        <v>0</v>
      </c>
      <c r="M43" s="434">
        <f>+L43+'22'!M43</f>
        <v>9</v>
      </c>
      <c r="N43" s="156" t="s">
        <v>408</v>
      </c>
      <c r="O43" s="156">
        <v>1142.9344262295083</v>
      </c>
      <c r="P43" s="156">
        <v>902.91819672131146</v>
      </c>
      <c r="Q43" s="156">
        <v>1220</v>
      </c>
      <c r="U43" s="156">
        <f>+U42*(480)</f>
        <v>70.393700787401571</v>
      </c>
    </row>
    <row r="44" spans="1:26" ht="17.45" customHeight="1">
      <c r="A44" s="789" t="s">
        <v>18</v>
      </c>
      <c r="B44" s="790"/>
      <c r="C44" s="171">
        <f>SUMIF($G$7:$G$31,"PLN",$F$7:$F$31)</f>
        <v>0</v>
      </c>
      <c r="D44" s="125">
        <f>+C44+'22'!D44</f>
        <v>0</v>
      </c>
      <c r="E44" s="150">
        <f t="shared" si="10"/>
        <v>0</v>
      </c>
      <c r="F44" s="368"/>
      <c r="G44" s="369"/>
      <c r="H44" s="195" t="s">
        <v>87</v>
      </c>
      <c r="I44" s="125">
        <f>I43/I38</f>
        <v>1.5491441253378453</v>
      </c>
      <c r="J44" s="141">
        <f>J43/J38</f>
        <v>1.3443134291719026</v>
      </c>
      <c r="K44" s="137" t="s">
        <v>76</v>
      </c>
      <c r="L44" s="435">
        <f>+L43/I38</f>
        <v>0</v>
      </c>
      <c r="M44" s="436">
        <f>+M43/J38</f>
        <v>8.2131700920148824E-3</v>
      </c>
      <c r="Q44" s="156">
        <f>+Q42+Q43</f>
        <v>1440</v>
      </c>
      <c r="U44" s="156">
        <f>+U43</f>
        <v>70.393700787401571</v>
      </c>
    </row>
    <row r="45" spans="1:26" ht="17.45" customHeight="1">
      <c r="A45" s="789" t="s">
        <v>19</v>
      </c>
      <c r="B45" s="790"/>
      <c r="C45" s="171">
        <f>SUMIF($G$7:$G$31,"Boiler",$F$7:$F$31)</f>
        <v>0</v>
      </c>
      <c r="D45" s="125">
        <f>+C45+'22'!D45</f>
        <v>0</v>
      </c>
      <c r="E45" s="150">
        <f t="shared" si="10"/>
        <v>0</v>
      </c>
      <c r="F45" s="368"/>
      <c r="G45" s="371"/>
      <c r="H45" s="195" t="s">
        <v>88</v>
      </c>
      <c r="I45" s="125">
        <f>I43/I40</f>
        <v>1.5423658360497932</v>
      </c>
      <c r="J45" s="141">
        <f>J43/J40</f>
        <v>1.3819195651704861</v>
      </c>
      <c r="K45" s="137" t="s">
        <v>76</v>
      </c>
      <c r="L45" s="435">
        <f>+L43/I40</f>
        <v>0</v>
      </c>
      <c r="M45" s="436">
        <f>+M43/J40</f>
        <v>8.4429272191530614E-3</v>
      </c>
    </row>
    <row r="46" spans="1:26" ht="17.45" customHeight="1">
      <c r="A46" s="789" t="s">
        <v>89</v>
      </c>
      <c r="B46" s="790"/>
      <c r="C46" s="171">
        <f>SUMIF($G$7:$G$31,"Gas",$F$7:$F$31)</f>
        <v>122</v>
      </c>
      <c r="D46" s="125">
        <f>+C46+'22'!D46</f>
        <v>530</v>
      </c>
      <c r="E46" s="150">
        <f t="shared" si="10"/>
        <v>8.8333333333333339</v>
      </c>
      <c r="F46" s="368"/>
      <c r="G46" s="369"/>
      <c r="H46" s="195" t="s">
        <v>90</v>
      </c>
      <c r="I46" s="147">
        <f>+SUMIF(Listrik!P30,"&gt;0")</f>
        <v>43269.680000000015</v>
      </c>
      <c r="J46" s="142">
        <f>+I46+'22'!J46</f>
        <v>936208.92</v>
      </c>
      <c r="K46" s="137" t="s">
        <v>91</v>
      </c>
      <c r="L46" s="435">
        <f>+Listrik!AF30</f>
        <v>0</v>
      </c>
      <c r="M46" s="437">
        <f>+L46+'22'!M46</f>
        <v>0</v>
      </c>
    </row>
    <row r="47" spans="1:26" ht="17.45" customHeight="1">
      <c r="A47" s="789" t="s">
        <v>92</v>
      </c>
      <c r="B47" s="790"/>
      <c r="C47" s="171">
        <f>SUMIF($G$7:$G$31,"Power Plant",$F$7:$F$31)</f>
        <v>0</v>
      </c>
      <c r="D47" s="125">
        <f>+C47+'22'!D47</f>
        <v>0</v>
      </c>
      <c r="E47" s="150">
        <f t="shared" si="10"/>
        <v>0</v>
      </c>
      <c r="F47" s="368"/>
      <c r="G47" s="369"/>
      <c r="H47" s="195" t="s">
        <v>93</v>
      </c>
      <c r="I47" s="125">
        <f>I46/I38</f>
        <v>950.79390889714159</v>
      </c>
      <c r="J47" s="142">
        <f>J46/J38</f>
        <v>854.36034462461714</v>
      </c>
      <c r="K47" s="137" t="s">
        <v>25</v>
      </c>
      <c r="L47" s="435">
        <f>+L46/I38</f>
        <v>0</v>
      </c>
      <c r="M47" s="436">
        <f>+M46/J38</f>
        <v>0</v>
      </c>
      <c r="O47" s="156">
        <f>+(1270-P47)/480</f>
        <v>0.28480902777777761</v>
      </c>
      <c r="P47" s="156">
        <v>1133.2916666666667</v>
      </c>
    </row>
    <row r="48" spans="1:26" ht="17.45" customHeight="1">
      <c r="A48" s="789" t="s">
        <v>15</v>
      </c>
      <c r="B48" s="790"/>
      <c r="C48" s="171">
        <f>SUMIF($G$7:$G$31,"Start Up",$F$7:$F$31)</f>
        <v>0</v>
      </c>
      <c r="D48" s="125">
        <f>+C48+'22'!D48</f>
        <v>0</v>
      </c>
      <c r="E48" s="150">
        <f t="shared" si="10"/>
        <v>0</v>
      </c>
      <c r="F48" s="368"/>
      <c r="G48" s="369"/>
      <c r="H48" s="195" t="s">
        <v>94</v>
      </c>
      <c r="I48" s="125">
        <f>I46/I40</f>
        <v>946.63370452208562</v>
      </c>
      <c r="J48" s="142">
        <f>J46/J40</f>
        <v>878.2604192757658</v>
      </c>
      <c r="K48" s="137" t="s">
        <v>25</v>
      </c>
      <c r="L48" s="435">
        <f>+L46/I38</f>
        <v>0</v>
      </c>
      <c r="M48" s="436">
        <f>+M46/J40</f>
        <v>0</v>
      </c>
      <c r="O48" s="156">
        <f>+O47*(480)</f>
        <v>136.70833333333326</v>
      </c>
    </row>
    <row r="49" spans="1:16" ht="17.45" customHeight="1">
      <c r="A49" s="789" t="s">
        <v>21</v>
      </c>
      <c r="B49" s="790"/>
      <c r="C49" s="171">
        <f>SUMIF($G$7:$G$31,"Others",$F$7:$F$31)</f>
        <v>0</v>
      </c>
      <c r="D49" s="125">
        <f>+C49+'22'!D49</f>
        <v>480</v>
      </c>
      <c r="E49" s="150">
        <f t="shared" si="10"/>
        <v>8</v>
      </c>
      <c r="F49" s="192"/>
      <c r="H49" s="195" t="s">
        <v>95</v>
      </c>
      <c r="I49" s="125">
        <f>+Report1!AB31</f>
        <v>4071.2316094896742</v>
      </c>
      <c r="J49" s="142">
        <f>+I49+'22'!J49</f>
        <v>111900.38976822747</v>
      </c>
      <c r="K49" s="137" t="s">
        <v>96</v>
      </c>
      <c r="L49" s="431"/>
      <c r="M49" s="432"/>
      <c r="O49" s="156">
        <f>+O48/3</f>
        <v>45.569444444444422</v>
      </c>
    </row>
    <row r="50" spans="1:16" ht="17.45" customHeight="1">
      <c r="A50" s="789" t="s">
        <v>20</v>
      </c>
      <c r="B50" s="790"/>
      <c r="C50" s="171">
        <f>SUMIF($G$7:$G$31,"Steam",$F$7:$F$31)</f>
        <v>0</v>
      </c>
      <c r="D50" s="125">
        <f>+C50+'22'!D50</f>
        <v>0</v>
      </c>
      <c r="E50" s="150">
        <f t="shared" si="10"/>
        <v>0</v>
      </c>
      <c r="F50" s="192"/>
      <c r="H50" s="195" t="s">
        <v>97</v>
      </c>
      <c r="I50" s="147">
        <f>I49/I38</f>
        <v>89.459922421711624</v>
      </c>
      <c r="J50" s="140">
        <f>J49/J38</f>
        <v>102.11743716991268</v>
      </c>
      <c r="K50" s="137" t="s">
        <v>96</v>
      </c>
      <c r="L50" s="431"/>
      <c r="M50" s="432"/>
    </row>
    <row r="51" spans="1:16" ht="17.45" customHeight="1" thickBot="1">
      <c r="A51" s="791" t="s">
        <v>98</v>
      </c>
      <c r="B51" s="792"/>
      <c r="C51" s="171">
        <f>SUMIF($G$7:$G$31,"Planned shut",$F$7:$F$31)</f>
        <v>0</v>
      </c>
      <c r="D51" s="125">
        <f>+C51+'22'!D51</f>
        <v>394</v>
      </c>
      <c r="E51" s="150">
        <f t="shared" si="10"/>
        <v>6.5666666666666664</v>
      </c>
      <c r="F51" s="192"/>
      <c r="H51" s="197" t="s">
        <v>99</v>
      </c>
      <c r="I51" s="148">
        <f>I49/I40</f>
        <v>89.068490001743072</v>
      </c>
      <c r="J51" s="143">
        <f>J49/J40</f>
        <v>104.97409406755605</v>
      </c>
      <c r="K51" s="144" t="s">
        <v>96</v>
      </c>
      <c r="L51" s="431"/>
      <c r="M51" s="432"/>
      <c r="O51" s="156">
        <f>+(1270-P51)/480</f>
        <v>0.38802083333333331</v>
      </c>
      <c r="P51" s="156">
        <v>1083.75</v>
      </c>
    </row>
    <row r="52" spans="1:16" ht="13.5" thickBot="1">
      <c r="A52" s="793" t="s">
        <v>29</v>
      </c>
      <c r="B52" s="794"/>
      <c r="C52" s="151">
        <f>SUM(C38:C51)</f>
        <v>178</v>
      </c>
      <c r="D52" s="151">
        <f>SUM(D38:D51)</f>
        <v>3341</v>
      </c>
      <c r="E52" s="152">
        <f>SUM(E38:E51)</f>
        <v>55.683333333333337</v>
      </c>
      <c r="F52" s="192"/>
      <c r="H52" s="198"/>
      <c r="I52" s="199"/>
      <c r="J52" s="145"/>
      <c r="K52" s="146"/>
      <c r="L52" s="438"/>
      <c r="M52" s="439"/>
      <c r="O52" s="156">
        <f>+O51*(480)</f>
        <v>186.25</v>
      </c>
    </row>
    <row r="53" spans="1:16" ht="13.5" thickBot="1">
      <c r="A53" s="795"/>
      <c r="B53" s="796"/>
      <c r="C53" s="153">
        <f>C52/(24*60)</f>
        <v>0.12361111111111112</v>
      </c>
      <c r="D53" s="153">
        <f>D52/(24*60*G4)</f>
        <v>0.10087560386473431</v>
      </c>
      <c r="E53" s="154">
        <f>E52/(G4*24)</f>
        <v>0.10087560386473431</v>
      </c>
      <c r="F53" s="192"/>
      <c r="O53" s="156">
        <f>+O52/3</f>
        <v>62.083333333333336</v>
      </c>
    </row>
    <row r="54" spans="1:16">
      <c r="E54" s="200"/>
      <c r="F54" s="192"/>
    </row>
    <row r="55" spans="1:16">
      <c r="E55" s="200"/>
    </row>
    <row r="56" spans="1:16">
      <c r="A56" s="201" t="s">
        <v>100</v>
      </c>
      <c r="B56" s="202"/>
      <c r="C56" s="203"/>
      <c r="D56" s="203"/>
      <c r="E56" s="203"/>
      <c r="F56" s="204"/>
      <c r="G56" s="203"/>
      <c r="H56" s="205"/>
      <c r="I56" s="206" t="s">
        <v>101</v>
      </c>
      <c r="J56" s="207">
        <f>+D34+'22'!J56</f>
        <v>5317</v>
      </c>
      <c r="K56" s="208">
        <f>J56/(J40+J56/1000)/1000</f>
        <v>4.9631381744388581E-3</v>
      </c>
    </row>
    <row r="57" spans="1:16">
      <c r="A57" s="183"/>
      <c r="I57" s="206" t="s">
        <v>102</v>
      </c>
      <c r="J57" s="207">
        <f>+E34+'22'!J57</f>
        <v>0</v>
      </c>
      <c r="K57" s="208">
        <f>J57/(J40+J57/1000)/1000</f>
        <v>0</v>
      </c>
    </row>
    <row r="58" spans="1:16">
      <c r="A58" s="209"/>
      <c r="B58" s="210"/>
      <c r="F58" s="192"/>
      <c r="H58" s="211"/>
    </row>
    <row r="59" spans="1:16">
      <c r="A59" s="212"/>
      <c r="B59" s="183"/>
      <c r="C59" s="183"/>
      <c r="D59" s="183"/>
      <c r="E59" s="183"/>
      <c r="F59" s="196"/>
      <c r="G59" s="183"/>
      <c r="H59" s="211"/>
    </row>
    <row r="60" spans="1:16">
      <c r="H60" s="211"/>
    </row>
    <row r="61" spans="1:16">
      <c r="A61" s="213"/>
      <c r="B61" s="214"/>
      <c r="C61" s="214"/>
      <c r="D61" s="214"/>
      <c r="E61" s="214"/>
      <c r="F61" s="215"/>
      <c r="G61" s="214"/>
      <c r="H61" s="216"/>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61"/>
  <sheetViews>
    <sheetView zoomScale="80" zoomScaleNormal="80" workbookViewId="0">
      <selection activeCell="A7" sqref="A7:A32"/>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1.7109375" style="156" bestFit="1" customWidth="1"/>
    <col min="11" max="11" width="12.7109375" style="156" bestFit="1" customWidth="1"/>
    <col min="12" max="12" width="8.28515625" style="156" customWidth="1"/>
    <col min="13" max="13" width="14.42578125" style="156" customWidth="1"/>
    <col min="14" max="16384" width="9.140625" style="156"/>
  </cols>
  <sheetData>
    <row r="1" spans="1:15" ht="15.75">
      <c r="A1" s="155"/>
    </row>
    <row r="2" spans="1:15" ht="15.75">
      <c r="A2" s="155" t="s">
        <v>183</v>
      </c>
    </row>
    <row r="3" spans="1:15" ht="15">
      <c r="A3" s="157"/>
    </row>
    <row r="4" spans="1:15" ht="20.25">
      <c r="A4" s="158" t="s">
        <v>5</v>
      </c>
      <c r="B4" s="159"/>
      <c r="F4" s="160" t="s">
        <v>30</v>
      </c>
      <c r="G4" s="161">
        <v>22</v>
      </c>
      <c r="H4" s="161" t="str">
        <f>+'1'!H4</f>
        <v>.01.26</v>
      </c>
      <c r="J4" s="156">
        <f>1108+1065.1+1205.9</f>
        <v>3379</v>
      </c>
    </row>
    <row r="5" spans="1:15" ht="13.5" thickBot="1">
      <c r="C5" s="162"/>
      <c r="D5" s="162"/>
    </row>
    <row r="6" spans="1:15"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row>
    <row r="7" spans="1:15" ht="13.5" customHeight="1" thickBot="1">
      <c r="A7" s="800" t="s">
        <v>440</v>
      </c>
      <c r="B7" s="222" t="s">
        <v>709</v>
      </c>
      <c r="C7" s="223">
        <v>12624</v>
      </c>
      <c r="D7" s="224"/>
      <c r="E7" s="225"/>
      <c r="F7" s="235">
        <v>10</v>
      </c>
      <c r="G7" s="236" t="s">
        <v>13</v>
      </c>
      <c r="H7" s="237" t="s">
        <v>394</v>
      </c>
      <c r="I7" s="803" t="s">
        <v>712</v>
      </c>
      <c r="J7" s="221" t="str">
        <f>+'21'!J7</f>
        <v>T 13,5 RC HW</v>
      </c>
      <c r="K7" s="245">
        <f>+C8</f>
        <v>2720</v>
      </c>
      <c r="L7" s="249"/>
      <c r="M7" s="124">
        <f>+K7+'21'!M7+L7</f>
        <v>232977</v>
      </c>
    </row>
    <row r="8" spans="1:15" ht="13.5" thickBot="1">
      <c r="A8" s="801"/>
      <c r="B8" s="222" t="s">
        <v>422</v>
      </c>
      <c r="C8" s="223">
        <v>2720</v>
      </c>
      <c r="D8" s="224"/>
      <c r="E8" s="226"/>
      <c r="F8" s="238">
        <v>5</v>
      </c>
      <c r="G8" s="582" t="s">
        <v>13</v>
      </c>
      <c r="H8" s="237" t="s">
        <v>414</v>
      </c>
      <c r="I8" s="804"/>
      <c r="J8" s="221" t="str">
        <f>+'21'!J8</f>
        <v>T 14,5 RC HW</v>
      </c>
      <c r="K8" s="246"/>
      <c r="L8" s="246"/>
      <c r="M8" s="124">
        <f>+K8+'21'!M8+L8</f>
        <v>57466</v>
      </c>
      <c r="N8" s="156">
        <v>1250</v>
      </c>
      <c r="O8" s="156">
        <f>+N8-N8*0.21</f>
        <v>987.5</v>
      </c>
    </row>
    <row r="9" spans="1:15" ht="13.5" thickBot="1">
      <c r="A9" s="801"/>
      <c r="B9" s="222"/>
      <c r="C9" s="223"/>
      <c r="D9" s="224"/>
      <c r="E9" s="227"/>
      <c r="F9" s="235">
        <v>10</v>
      </c>
      <c r="G9" s="582" t="s">
        <v>13</v>
      </c>
      <c r="H9" s="240" t="s">
        <v>395</v>
      </c>
      <c r="I9" s="804"/>
      <c r="J9" s="221" t="str">
        <f>+'21'!J9</f>
        <v>TW 17 RC HW</v>
      </c>
      <c r="K9" s="246"/>
      <c r="L9" s="246"/>
      <c r="M9" s="124">
        <f>+K9+'21'!M9+L9</f>
        <v>24830</v>
      </c>
      <c r="N9" s="156">
        <v>1290</v>
      </c>
      <c r="O9" s="156">
        <f>+N9-N9*0.21</f>
        <v>1019.1</v>
      </c>
    </row>
    <row r="10" spans="1:15" ht="13.5" thickBot="1">
      <c r="A10" s="801"/>
      <c r="B10" s="222"/>
      <c r="C10" s="223"/>
      <c r="D10" s="224"/>
      <c r="E10" s="226"/>
      <c r="F10" s="235"/>
      <c r="G10" s="244" t="s">
        <v>14</v>
      </c>
      <c r="H10" s="240" t="s">
        <v>716</v>
      </c>
      <c r="I10" s="804"/>
      <c r="J10" s="221" t="str">
        <f>+'21'!J10</f>
        <v>TW 22 RC HW</v>
      </c>
      <c r="K10" s="246"/>
      <c r="L10" s="246"/>
      <c r="M10" s="124">
        <f>+K10+'21'!M10+L10</f>
        <v>24459</v>
      </c>
      <c r="N10" s="156">
        <v>1290</v>
      </c>
      <c r="O10" s="156">
        <f>+N10-N10*0.21</f>
        <v>1019.1</v>
      </c>
    </row>
    <row r="11" spans="1:15" ht="13.5" thickBot="1">
      <c r="A11" s="801"/>
      <c r="B11" s="222"/>
      <c r="C11" s="223"/>
      <c r="D11" s="224"/>
      <c r="E11" s="226"/>
      <c r="F11" s="235"/>
      <c r="G11" s="239"/>
      <c r="H11" s="240"/>
      <c r="I11" s="804"/>
      <c r="J11" s="221" t="str">
        <f>+'21'!J11</f>
        <v>TW 14 RC HW</v>
      </c>
      <c r="K11" s="246"/>
      <c r="L11" s="246"/>
      <c r="M11" s="124">
        <f>+K11+'21'!M11+L11</f>
        <v>8043</v>
      </c>
    </row>
    <row r="12" spans="1:15" ht="13.5" thickBot="1">
      <c r="A12" s="801"/>
      <c r="B12" s="222"/>
      <c r="C12" s="223"/>
      <c r="D12" s="224"/>
      <c r="E12" s="226"/>
      <c r="F12" s="235"/>
      <c r="G12" s="239"/>
      <c r="H12" s="240"/>
      <c r="I12" s="804"/>
      <c r="J12" s="221" t="str">
        <f>+'21'!J12</f>
        <v>TW 29 RC HW</v>
      </c>
      <c r="K12" s="246"/>
      <c r="L12" s="246"/>
      <c r="M12" s="124">
        <f>+K12+'21'!M12+L12</f>
        <v>21439</v>
      </c>
    </row>
    <row r="13" spans="1:15" ht="13.5" thickBot="1">
      <c r="A13" s="801"/>
      <c r="B13" s="222"/>
      <c r="C13" s="223"/>
      <c r="D13" s="223"/>
      <c r="E13" s="226"/>
      <c r="F13" s="235"/>
      <c r="G13" s="239"/>
      <c r="H13" s="240"/>
      <c r="I13" s="805"/>
      <c r="J13" s="221" t="str">
        <f>+'21'!J13</f>
        <v>TW 35,5 RC HW</v>
      </c>
      <c r="K13" s="246"/>
      <c r="L13" s="246"/>
      <c r="M13" s="124">
        <f>+K13+'21'!M13+L13</f>
        <v>2193</v>
      </c>
    </row>
    <row r="14" spans="1:15" ht="13.5" thickBot="1">
      <c r="A14" s="802"/>
      <c r="B14" s="172" t="s">
        <v>3</v>
      </c>
      <c r="C14" s="106">
        <f>SUM(C7:C13)</f>
        <v>15344</v>
      </c>
      <c r="D14" s="118">
        <f>SUM(D7:D13)</f>
        <v>0</v>
      </c>
      <c r="E14" s="119">
        <f>SUM(E5:E13)</f>
        <v>0</v>
      </c>
      <c r="F14" s="123"/>
      <c r="G14" s="166"/>
      <c r="H14" s="173"/>
      <c r="I14" s="174"/>
      <c r="J14" s="221" t="str">
        <f>+'21'!J14</f>
        <v>N 15,5 RC HW</v>
      </c>
      <c r="K14" s="246"/>
      <c r="L14" s="246"/>
      <c r="M14" s="124">
        <f>+K14+'21'!M14+L14</f>
        <v>46927</v>
      </c>
    </row>
    <row r="15" spans="1:15" ht="13.5" customHeight="1" thickBot="1">
      <c r="A15" s="800" t="s">
        <v>423</v>
      </c>
      <c r="B15" s="172"/>
      <c r="C15" s="120">
        <f>C14/($C$23+$D$23+$E$23)</f>
        <v>0.95192009429865376</v>
      </c>
      <c r="D15" s="121">
        <f>D14/($C$23+$D$23+$E$23)</f>
        <v>0</v>
      </c>
      <c r="E15" s="122">
        <f>E14/($C$23+$D$23+$E$23)</f>
        <v>0</v>
      </c>
      <c r="F15" s="235"/>
      <c r="G15" s="236" t="s">
        <v>13</v>
      </c>
      <c r="H15" s="237" t="s">
        <v>386</v>
      </c>
      <c r="I15" s="803" t="s">
        <v>713</v>
      </c>
      <c r="J15" s="221" t="str">
        <f>+'21'!J15</f>
        <v>F 14 RC HW</v>
      </c>
      <c r="K15" s="246"/>
      <c r="L15" s="246"/>
      <c r="M15" s="124">
        <f>+K15+'21'!M15+L15</f>
        <v>4620</v>
      </c>
    </row>
    <row r="16" spans="1:15" ht="13.5" thickBot="1">
      <c r="A16" s="811"/>
      <c r="B16" s="222" t="s">
        <v>709</v>
      </c>
      <c r="C16" s="229">
        <v>16119</v>
      </c>
      <c r="D16" s="230"/>
      <c r="E16" s="231"/>
      <c r="F16" s="238">
        <v>3</v>
      </c>
      <c r="G16" s="582" t="s">
        <v>13</v>
      </c>
      <c r="H16" s="237" t="s">
        <v>501</v>
      </c>
      <c r="I16" s="804"/>
      <c r="J16" s="221" t="str">
        <f>+'21'!J16</f>
        <v>T 15 RC HW</v>
      </c>
      <c r="K16" s="246"/>
      <c r="L16" s="236"/>
      <c r="M16" s="124">
        <f>+K16+'21'!M16+L16</f>
        <v>370116</v>
      </c>
    </row>
    <row r="17" spans="1:13" ht="13.5" thickBot="1">
      <c r="A17" s="811"/>
      <c r="B17" s="222"/>
      <c r="C17" s="223"/>
      <c r="D17" s="224"/>
      <c r="E17" s="232"/>
      <c r="F17" s="235">
        <v>8</v>
      </c>
      <c r="G17" s="582" t="s">
        <v>13</v>
      </c>
      <c r="H17" s="240" t="s">
        <v>413</v>
      </c>
      <c r="I17" s="804"/>
      <c r="J17" s="221" t="str">
        <f>+'21'!J17</f>
        <v>T 14 RC HW</v>
      </c>
      <c r="K17" s="246"/>
      <c r="L17" s="236"/>
      <c r="M17" s="124">
        <f>+K17+'21'!M17+L17</f>
        <v>118045</v>
      </c>
    </row>
    <row r="18" spans="1:13" ht="13.5" thickBot="1">
      <c r="A18" s="811"/>
      <c r="B18" s="222"/>
      <c r="C18" s="223"/>
      <c r="D18" s="224"/>
      <c r="E18" s="232"/>
      <c r="F18" s="235">
        <v>8</v>
      </c>
      <c r="G18" s="244" t="s">
        <v>14</v>
      </c>
      <c r="H18" s="240" t="s">
        <v>717</v>
      </c>
      <c r="I18" s="804"/>
      <c r="J18" s="221" t="str">
        <f>+'21'!J18</f>
        <v>T 16 RC HW</v>
      </c>
      <c r="K18" s="246"/>
      <c r="L18" s="246"/>
      <c r="M18" s="124">
        <f>+K18+'21'!M18+L18</f>
        <v>17950</v>
      </c>
    </row>
    <row r="19" spans="1:13" ht="13.5" thickBot="1">
      <c r="A19" s="811"/>
      <c r="B19" s="222"/>
      <c r="C19" s="223"/>
      <c r="D19" s="224"/>
      <c r="E19" s="232"/>
      <c r="F19" s="242"/>
      <c r="G19" s="239"/>
      <c r="H19" s="240"/>
      <c r="I19" s="804"/>
      <c r="J19" s="221" t="str">
        <f>+'21'!J19</f>
        <v>T 18 RC HW</v>
      </c>
      <c r="K19" s="246"/>
      <c r="L19" s="246"/>
      <c r="M19" s="124">
        <f>+K19+'21'!M19+L19</f>
        <v>32713</v>
      </c>
    </row>
    <row r="20" spans="1:13" ht="13.5" thickBot="1">
      <c r="A20" s="811"/>
      <c r="B20" s="222"/>
      <c r="C20" s="223"/>
      <c r="D20" s="224"/>
      <c r="E20" s="232"/>
      <c r="F20" s="235"/>
      <c r="G20" s="239"/>
      <c r="H20" s="240"/>
      <c r="I20" s="804"/>
      <c r="J20" s="221" t="str">
        <f>+'21'!J20</f>
        <v>T 20 RC HW</v>
      </c>
      <c r="K20" s="246"/>
      <c r="L20" s="247"/>
      <c r="M20" s="124">
        <f>+K20+'21'!M20+L20</f>
        <v>12647</v>
      </c>
    </row>
    <row r="21" spans="1:13" ht="13.5" thickBot="1">
      <c r="A21" s="811"/>
      <c r="B21" s="222"/>
      <c r="C21" s="223"/>
      <c r="D21" s="224"/>
      <c r="E21" s="232"/>
      <c r="F21" s="238"/>
      <c r="G21" s="239"/>
      <c r="H21" s="240"/>
      <c r="I21" s="804"/>
      <c r="J21" s="221" t="s">
        <v>709</v>
      </c>
      <c r="K21" s="246">
        <f>+C7+C16+C25</f>
        <v>45847</v>
      </c>
      <c r="L21" s="246"/>
      <c r="M21" s="124">
        <f>+K21+'21'!M21+L21</f>
        <v>45847</v>
      </c>
    </row>
    <row r="22" spans="1:13" ht="13.5" thickBot="1">
      <c r="A22" s="811"/>
      <c r="B22" s="222"/>
      <c r="C22" s="223"/>
      <c r="D22" s="224"/>
      <c r="E22" s="232"/>
      <c r="F22" s="243"/>
      <c r="G22" s="239"/>
      <c r="H22" s="240"/>
      <c r="I22" s="805"/>
      <c r="J22" s="221">
        <f>+'21'!J22</f>
        <v>0</v>
      </c>
      <c r="K22" s="246"/>
      <c r="L22" s="246"/>
      <c r="M22" s="124">
        <f>+K22+'21'!M22+L22</f>
        <v>0</v>
      </c>
    </row>
    <row r="23" spans="1:13" ht="13.5" thickBot="1">
      <c r="A23" s="812"/>
      <c r="B23" s="172" t="s">
        <v>3</v>
      </c>
      <c r="C23" s="107">
        <f>SUM(C16:C22)</f>
        <v>16119</v>
      </c>
      <c r="D23" s="118">
        <f>SUM(D16:D22)</f>
        <v>0</v>
      </c>
      <c r="E23" s="119">
        <f>SUM(E18:E22)</f>
        <v>0</v>
      </c>
      <c r="F23" s="123"/>
      <c r="G23" s="166"/>
      <c r="H23" s="173"/>
      <c r="I23" s="176"/>
      <c r="J23" s="221">
        <f>+'21'!J23</f>
        <v>0</v>
      </c>
      <c r="K23" s="246"/>
      <c r="L23" s="246"/>
      <c r="M23" s="124">
        <f>+K23+'21'!M23+L23</f>
        <v>0</v>
      </c>
    </row>
    <row r="24" spans="1:13" ht="13.5" customHeight="1" thickBot="1">
      <c r="A24" s="800" t="s">
        <v>425</v>
      </c>
      <c r="B24" s="177"/>
      <c r="C24" s="120">
        <f>C23/($C$23+$D$23+$E$23)</f>
        <v>1</v>
      </c>
      <c r="D24" s="121">
        <f>D23/($C$23+$D$23+$E$23)</f>
        <v>0</v>
      </c>
      <c r="E24" s="122">
        <f>E23/($C$23+$D$23+$E$23)</f>
        <v>0</v>
      </c>
      <c r="F24" s="235"/>
      <c r="G24" s="236" t="s">
        <v>13</v>
      </c>
      <c r="H24" s="237" t="s">
        <v>386</v>
      </c>
      <c r="I24" s="803" t="s">
        <v>713</v>
      </c>
      <c r="J24" s="221">
        <f>+'21'!J24</f>
        <v>0</v>
      </c>
      <c r="K24" s="246"/>
      <c r="L24" s="246"/>
      <c r="M24" s="124">
        <f>+K24+'21'!M24+L24</f>
        <v>0</v>
      </c>
    </row>
    <row r="25" spans="1:13" ht="13.5" customHeight="1" thickBot="1">
      <c r="A25" s="811"/>
      <c r="B25" s="222" t="s">
        <v>709</v>
      </c>
      <c r="C25" s="233">
        <v>17104</v>
      </c>
      <c r="D25" s="224"/>
      <c r="E25" s="232"/>
      <c r="F25" s="238">
        <v>9</v>
      </c>
      <c r="G25" s="582" t="s">
        <v>13</v>
      </c>
      <c r="H25" s="237" t="s">
        <v>415</v>
      </c>
      <c r="I25" s="804"/>
      <c r="J25" s="221">
        <f>+'21'!J25</f>
        <v>0</v>
      </c>
      <c r="K25" s="246"/>
      <c r="L25" s="246"/>
      <c r="M25" s="124">
        <f>+K25+'21'!M25+L25</f>
        <v>0</v>
      </c>
    </row>
    <row r="26" spans="1:13" ht="13.5" customHeight="1" thickBot="1">
      <c r="A26" s="811"/>
      <c r="B26" s="222"/>
      <c r="C26" s="233"/>
      <c r="D26" s="224"/>
      <c r="E26" s="234"/>
      <c r="F26" s="235">
        <v>10</v>
      </c>
      <c r="G26" s="582" t="s">
        <v>13</v>
      </c>
      <c r="H26" s="240" t="s">
        <v>523</v>
      </c>
      <c r="I26" s="804"/>
      <c r="J26" s="221">
        <f>+'21'!J26</f>
        <v>0</v>
      </c>
      <c r="K26" s="246"/>
      <c r="L26" s="246"/>
      <c r="M26" s="124">
        <f>+K26+'21'!M26+L26</f>
        <v>0</v>
      </c>
    </row>
    <row r="27" spans="1:13" ht="13.5" thickBot="1">
      <c r="A27" s="811"/>
      <c r="B27" s="222"/>
      <c r="C27" s="223"/>
      <c r="D27" s="224"/>
      <c r="E27" s="232"/>
      <c r="F27" s="235"/>
      <c r="G27" s="244" t="s">
        <v>14</v>
      </c>
      <c r="H27" s="240" t="s">
        <v>717</v>
      </c>
      <c r="I27" s="804"/>
      <c r="J27" s="221">
        <f>+'21'!J27</f>
        <v>0</v>
      </c>
      <c r="K27" s="246"/>
      <c r="L27" s="246"/>
      <c r="M27" s="124">
        <f>+K27+'21'!M27+L27</f>
        <v>0</v>
      </c>
    </row>
    <row r="28" spans="1:13" ht="13.5" customHeight="1" thickBot="1">
      <c r="A28" s="811"/>
      <c r="B28" s="222"/>
      <c r="C28" s="223"/>
      <c r="D28" s="224"/>
      <c r="E28" s="232"/>
      <c r="F28" s="238"/>
      <c r="G28" s="239"/>
      <c r="H28" s="240"/>
      <c r="I28" s="804"/>
      <c r="J28" s="221">
        <f>+'21'!J28</f>
        <v>0</v>
      </c>
      <c r="K28" s="246"/>
      <c r="L28" s="246"/>
      <c r="M28" s="124">
        <f>+K28+'21'!M28+L28</f>
        <v>0</v>
      </c>
    </row>
    <row r="29" spans="1:13" ht="13.5" customHeight="1" thickBot="1">
      <c r="A29" s="811"/>
      <c r="B29" s="222"/>
      <c r="C29" s="223"/>
      <c r="D29" s="224"/>
      <c r="E29" s="232"/>
      <c r="F29" s="243"/>
      <c r="G29" s="239"/>
      <c r="H29" s="240"/>
      <c r="I29" s="804"/>
      <c r="J29" s="221">
        <f>+'21'!J29</f>
        <v>0</v>
      </c>
      <c r="K29" s="246"/>
      <c r="L29" s="246"/>
      <c r="M29" s="124">
        <f>+K29+'21'!M29+L29</f>
        <v>0</v>
      </c>
    </row>
    <row r="30" spans="1:13" ht="13.5" customHeight="1" thickBot="1">
      <c r="A30" s="811"/>
      <c r="B30" s="222"/>
      <c r="C30" s="233"/>
      <c r="D30" s="224"/>
      <c r="E30" s="232"/>
      <c r="F30" s="243"/>
      <c r="G30" s="239"/>
      <c r="H30" s="240"/>
      <c r="I30" s="804"/>
      <c r="J30" s="221">
        <f>+'21'!J30</f>
        <v>0</v>
      </c>
      <c r="K30" s="246"/>
      <c r="L30" s="246"/>
      <c r="M30" s="124">
        <f>+K30+'21'!M30+L30</f>
        <v>0</v>
      </c>
    </row>
    <row r="31" spans="1:13" ht="13.5" customHeight="1" thickBot="1">
      <c r="A31" s="811"/>
      <c r="B31" s="222"/>
      <c r="C31" s="233"/>
      <c r="D31" s="224"/>
      <c r="E31" s="232"/>
      <c r="F31" s="243"/>
      <c r="G31" s="244"/>
      <c r="H31" s="241"/>
      <c r="I31" s="805"/>
      <c r="J31" s="221">
        <f>+'21'!J31</f>
        <v>0</v>
      </c>
      <c r="K31" s="246"/>
      <c r="L31" s="246"/>
      <c r="M31" s="124">
        <f>+K31+'21'!M31+L31</f>
        <v>0</v>
      </c>
    </row>
    <row r="32" spans="1:13" ht="13.5" customHeight="1" thickBot="1">
      <c r="A32" s="812"/>
      <c r="B32" s="172" t="s">
        <v>3</v>
      </c>
      <c r="C32" s="106">
        <f>SUM(C25:C31)</f>
        <v>17104</v>
      </c>
      <c r="D32" s="107">
        <f>SUM(D25:D31)</f>
        <v>0</v>
      </c>
      <c r="E32" s="108">
        <f>SUM(E25:E31)</f>
        <v>0</v>
      </c>
      <c r="F32" s="109">
        <f>SUM(F24:F31)</f>
        <v>19</v>
      </c>
      <c r="G32" s="178"/>
      <c r="H32" s="179"/>
      <c r="I32" s="176"/>
      <c r="J32" s="221">
        <f>+'21'!J32</f>
        <v>0</v>
      </c>
      <c r="K32" s="248"/>
      <c r="L32" s="250"/>
      <c r="M32" s="124">
        <f>+K32+'21'!M32+L32</f>
        <v>0</v>
      </c>
    </row>
    <row r="33" spans="1:13" ht="13.5" thickBot="1">
      <c r="A33" s="180"/>
      <c r="B33" s="181"/>
      <c r="C33" s="110">
        <f>C32/($C$32+$D$32+$E$32)</f>
        <v>1</v>
      </c>
      <c r="D33" s="111">
        <f>D32/($C$32+$D$32+$E$32)</f>
        <v>0</v>
      </c>
      <c r="E33" s="112">
        <f>E32/($C$32+$D$32+$E$32)</f>
        <v>0</v>
      </c>
      <c r="F33" s="113"/>
      <c r="G33" s="182"/>
      <c r="H33" s="183"/>
      <c r="I33" s="184"/>
      <c r="J33" s="128"/>
      <c r="K33" s="129"/>
      <c r="L33" s="220"/>
      <c r="M33" s="126"/>
    </row>
    <row r="34" spans="1:13" ht="13.5" thickBot="1">
      <c r="A34" s="808" t="s">
        <v>70</v>
      </c>
      <c r="B34" s="809"/>
      <c r="C34" s="114">
        <f>C14+C23+C32</f>
        <v>48567</v>
      </c>
      <c r="D34" s="114">
        <f>D14+D23+D32</f>
        <v>0</v>
      </c>
      <c r="E34" s="114">
        <f>E14+E23+E32</f>
        <v>0</v>
      </c>
      <c r="F34" s="115">
        <f>F14+F23+F32</f>
        <v>19</v>
      </c>
      <c r="H34" s="185"/>
      <c r="I34" s="185"/>
      <c r="J34" s="130" t="s">
        <v>29</v>
      </c>
      <c r="K34" s="131">
        <f>SUM(K7:K32)</f>
        <v>48567</v>
      </c>
      <c r="L34" s="219">
        <f>SUM(L7:L32)</f>
        <v>0</v>
      </c>
      <c r="M34" s="127">
        <f>SUM(M7:M32)</f>
        <v>1020272</v>
      </c>
    </row>
    <row r="35" spans="1:13" ht="13.5" thickBot="1">
      <c r="A35" s="186"/>
      <c r="B35" s="187"/>
      <c r="C35" s="111">
        <f>C34/($C$34+$D$34+$E$34)</f>
        <v>1</v>
      </c>
      <c r="D35" s="111">
        <f>D34/($C$34+$D$34+$E$34)</f>
        <v>0</v>
      </c>
      <c r="E35" s="116">
        <f>E34/($C$34+$D$34+$E$34)</f>
        <v>0</v>
      </c>
      <c r="K35" s="162"/>
      <c r="L35" s="799" t="s">
        <v>184</v>
      </c>
      <c r="M35" s="799"/>
    </row>
    <row r="36" spans="1:13" ht="13.5" thickBot="1">
      <c r="A36" s="185"/>
      <c r="B36" s="185"/>
      <c r="C36" s="162"/>
      <c r="D36" s="162"/>
      <c r="E36" s="162"/>
      <c r="G36" s="162"/>
      <c r="H36" s="188"/>
      <c r="I36" s="169" t="s">
        <v>41</v>
      </c>
      <c r="J36" s="169" t="s">
        <v>42</v>
      </c>
      <c r="K36" s="189"/>
      <c r="L36" s="169" t="s">
        <v>41</v>
      </c>
      <c r="M36" s="169" t="s">
        <v>42</v>
      </c>
    </row>
    <row r="37" spans="1:13" ht="17.45" customHeight="1" thickBot="1">
      <c r="A37" s="797" t="s">
        <v>71</v>
      </c>
      <c r="B37" s="798"/>
      <c r="C37" s="169" t="s">
        <v>72</v>
      </c>
      <c r="D37" s="190" t="s">
        <v>73</v>
      </c>
      <c r="E37" s="191" t="s">
        <v>74</v>
      </c>
      <c r="F37" s="368"/>
      <c r="G37" s="370"/>
      <c r="H37" s="193" t="s">
        <v>75</v>
      </c>
      <c r="I37" s="251">
        <f>(15*1440)/1440*G42*2.75*1440/1000000</f>
        <v>59.908859999999997</v>
      </c>
      <c r="J37" s="132">
        <f>+I37+'21'!J37</f>
        <v>1118.7876028841192</v>
      </c>
      <c r="K37" s="133" t="s">
        <v>76</v>
      </c>
      <c r="L37" s="429"/>
      <c r="M37" s="430"/>
    </row>
    <row r="38" spans="1:13" ht="17.45" customHeight="1">
      <c r="A38" s="793" t="s">
        <v>13</v>
      </c>
      <c r="B38" s="794"/>
      <c r="C38" s="171">
        <f>SUMIF($G$7:$G$31,"Process",$F$7:$F$31)</f>
        <v>55</v>
      </c>
      <c r="D38" s="125">
        <f>+C38+'21'!D38</f>
        <v>1126</v>
      </c>
      <c r="E38" s="150">
        <f t="shared" ref="E38:E51" si="0">D38/60</f>
        <v>18.766666666666666</v>
      </c>
      <c r="F38" s="368">
        <v>1250</v>
      </c>
      <c r="G38" s="368">
        <f>+F38-F38*0.21</f>
        <v>987.5</v>
      </c>
      <c r="H38" s="194" t="s">
        <v>77</v>
      </c>
      <c r="I38" s="551">
        <f>15.947+16.662+16.609</f>
        <v>49.217999999999996</v>
      </c>
      <c r="J38" s="134">
        <f>+I38+'21'!J38</f>
        <v>1050.2919999999999</v>
      </c>
      <c r="K38" s="135" t="s">
        <v>76</v>
      </c>
      <c r="L38" s="431"/>
      <c r="M38" s="432"/>
    </row>
    <row r="39" spans="1:13" ht="17.45" customHeight="1">
      <c r="A39" s="789" t="s">
        <v>14</v>
      </c>
      <c r="B39" s="790"/>
      <c r="C39" s="171">
        <f>SUMIF($G$7:$G$31,"Cleaning",$F$7:$F$31)</f>
        <v>8</v>
      </c>
      <c r="D39" s="125">
        <f>+C39+'21'!D39</f>
        <v>194</v>
      </c>
      <c r="E39" s="150">
        <f t="shared" si="0"/>
        <v>3.2333333333333334</v>
      </c>
      <c r="F39" s="368">
        <v>1290</v>
      </c>
      <c r="G39" s="368">
        <f>+F39-F39*0.21</f>
        <v>1019.1</v>
      </c>
      <c r="H39" s="194" t="s">
        <v>78</v>
      </c>
      <c r="I39" s="149"/>
      <c r="J39" s="136">
        <f>J37/G4</f>
        <v>50.853981949278143</v>
      </c>
      <c r="K39" s="137" t="s">
        <v>76</v>
      </c>
      <c r="L39" s="431"/>
      <c r="M39" s="432"/>
    </row>
    <row r="40" spans="1:13" ht="17.45" customHeight="1">
      <c r="A40" s="789" t="s">
        <v>79</v>
      </c>
      <c r="B40" s="790"/>
      <c r="C40" s="171">
        <f>SUMIF($G$7:$G$31,"Mechanical",$F$7:$F$31)</f>
        <v>0</v>
      </c>
      <c r="D40" s="125">
        <f>+C40+'21'!D40</f>
        <v>22</v>
      </c>
      <c r="E40" s="150">
        <f t="shared" si="0"/>
        <v>0.36666666666666664</v>
      </c>
      <c r="F40" s="368">
        <v>1290</v>
      </c>
      <c r="G40" s="368">
        <f>+F40-F40*0.21</f>
        <v>1019.1</v>
      </c>
      <c r="H40" s="194" t="s">
        <v>80</v>
      </c>
      <c r="I40" s="125">
        <f>(K34+L34)/1000</f>
        <v>48.567</v>
      </c>
      <c r="J40" s="138">
        <f>+I40+'21'!J40</f>
        <v>1020.272</v>
      </c>
      <c r="K40" s="137" t="s">
        <v>76</v>
      </c>
      <c r="L40" s="431"/>
      <c r="M40" s="432"/>
    </row>
    <row r="41" spans="1:13" ht="17.45" customHeight="1">
      <c r="A41" s="789" t="s">
        <v>81</v>
      </c>
      <c r="B41" s="790"/>
      <c r="C41" s="171">
        <f>SUMIF($G$7:$G$31,"Electrical",$F$7:$F$31)</f>
        <v>0</v>
      </c>
      <c r="D41" s="125">
        <f>+C41+'21'!D41</f>
        <v>539</v>
      </c>
      <c r="E41" s="150">
        <f t="shared" si="0"/>
        <v>8.9833333333333325</v>
      </c>
      <c r="F41" s="368"/>
      <c r="G41" s="368"/>
      <c r="H41" s="194" t="s">
        <v>82</v>
      </c>
      <c r="I41" s="149"/>
      <c r="J41" s="136">
        <f>J40/G4</f>
        <v>46.376000000000005</v>
      </c>
      <c r="K41" s="137" t="s">
        <v>76</v>
      </c>
      <c r="L41" s="431"/>
      <c r="M41" s="432"/>
    </row>
    <row r="42" spans="1:13" ht="17.45" customHeight="1">
      <c r="A42" s="789" t="s">
        <v>17</v>
      </c>
      <c r="B42" s="790"/>
      <c r="C42" s="171">
        <f>SUMIF($G$7:$G$31,"Instrument",$F$7:$F$31)</f>
        <v>0</v>
      </c>
      <c r="D42" s="125">
        <f>+C42+'21'!D42</f>
        <v>0</v>
      </c>
      <c r="E42" s="150">
        <f t="shared" si="0"/>
        <v>0</v>
      </c>
      <c r="F42" s="368">
        <f>+(F38*480+F39*480+F40*480)/1440</f>
        <v>1276.6666666666667</v>
      </c>
      <c r="G42" s="368">
        <f>+(G38*480+G39*480+G40*480)/1440</f>
        <v>1008.5666666666667</v>
      </c>
      <c r="H42" s="194" t="s">
        <v>83</v>
      </c>
      <c r="I42" s="253" t="s">
        <v>714</v>
      </c>
      <c r="J42" s="139"/>
      <c r="K42" s="137" t="s">
        <v>84</v>
      </c>
      <c r="L42" s="431"/>
      <c r="M42" s="432"/>
    </row>
    <row r="43" spans="1:13" ht="17.45" customHeight="1">
      <c r="A43" s="789" t="s">
        <v>199</v>
      </c>
      <c r="B43" s="790"/>
      <c r="C43" s="171">
        <f>SUMIF($G$7:$G$31,"Change Grade",$F$7:$F$31)</f>
        <v>0</v>
      </c>
      <c r="D43" s="125">
        <f>+C43+'21'!D43</f>
        <v>0</v>
      </c>
      <c r="E43" s="150">
        <f t="shared" si="0"/>
        <v>0</v>
      </c>
      <c r="F43" s="368"/>
      <c r="G43" s="369"/>
      <c r="H43" s="195" t="s">
        <v>86</v>
      </c>
      <c r="I43" s="125">
        <f>+Report1!AH30</f>
        <v>66.8</v>
      </c>
      <c r="J43" s="140">
        <f>+I43+'21'!J43</f>
        <v>1402.6</v>
      </c>
      <c r="K43" s="137" t="s">
        <v>76</v>
      </c>
      <c r="L43" s="433">
        <f>+Report1!AN30</f>
        <v>0</v>
      </c>
      <c r="M43" s="434">
        <f>+L43+'21'!M43</f>
        <v>9</v>
      </c>
    </row>
    <row r="44" spans="1:13" ht="17.45" customHeight="1">
      <c r="A44" s="789" t="s">
        <v>18</v>
      </c>
      <c r="B44" s="790"/>
      <c r="C44" s="171">
        <f>SUMIF($G$7:$G$31,"PLN",$F$7:$F$31)</f>
        <v>0</v>
      </c>
      <c r="D44" s="125">
        <f>+C44+'21'!D44</f>
        <v>0</v>
      </c>
      <c r="E44" s="150">
        <f t="shared" si="0"/>
        <v>0</v>
      </c>
      <c r="F44" s="368"/>
      <c r="G44" s="369"/>
      <c r="H44" s="195" t="s">
        <v>87</v>
      </c>
      <c r="I44" s="125">
        <f>I43/I38</f>
        <v>1.3572270307611036</v>
      </c>
      <c r="J44" s="141">
        <f>J43/J38</f>
        <v>1.3354381448206785</v>
      </c>
      <c r="K44" s="137" t="s">
        <v>76</v>
      </c>
      <c r="L44" s="435">
        <f>+L43/I38</f>
        <v>0</v>
      </c>
      <c r="M44" s="436">
        <f>+M43/J38</f>
        <v>8.5690455606631313E-3</v>
      </c>
    </row>
    <row r="45" spans="1:13" ht="17.45" customHeight="1">
      <c r="A45" s="789" t="s">
        <v>19</v>
      </c>
      <c r="B45" s="790"/>
      <c r="C45" s="171">
        <f>SUMIF($G$7:$G$31,"Boiler",$F$7:$F$31)</f>
        <v>0</v>
      </c>
      <c r="D45" s="125">
        <f>+C45+'21'!D45</f>
        <v>0</v>
      </c>
      <c r="E45" s="150">
        <f t="shared" si="0"/>
        <v>0</v>
      </c>
      <c r="F45" s="368"/>
      <c r="G45" s="371"/>
      <c r="H45" s="195" t="s">
        <v>88</v>
      </c>
      <c r="I45" s="125">
        <f>I43/I40</f>
        <v>1.3754195235447937</v>
      </c>
      <c r="J45" s="141">
        <f>J43/J40</f>
        <v>1.3747314441639091</v>
      </c>
      <c r="K45" s="137" t="s">
        <v>76</v>
      </c>
      <c r="L45" s="435">
        <f>+L43/I40</f>
        <v>0</v>
      </c>
      <c r="M45" s="436">
        <f>+M43/J40</f>
        <v>8.8211770978719392E-3</v>
      </c>
    </row>
    <row r="46" spans="1:13" ht="17.45" customHeight="1">
      <c r="A46" s="789" t="s">
        <v>89</v>
      </c>
      <c r="B46" s="790"/>
      <c r="C46" s="171">
        <f>SUMIF($G$7:$G$31,"Gas",$F$7:$F$31)</f>
        <v>0</v>
      </c>
      <c r="D46" s="125">
        <f>+C46+'21'!D46</f>
        <v>408</v>
      </c>
      <c r="E46" s="150">
        <f t="shared" si="0"/>
        <v>6.8</v>
      </c>
      <c r="F46" s="368"/>
      <c r="G46" s="369"/>
      <c r="H46" s="195" t="s">
        <v>90</v>
      </c>
      <c r="I46" s="147">
        <f>+SUMIF(Listrik!P29,"&gt;0")</f>
        <v>47332.339999999931</v>
      </c>
      <c r="J46" s="142">
        <f>+I46+'21'!J46</f>
        <v>892939.24</v>
      </c>
      <c r="K46" s="137" t="s">
        <v>91</v>
      </c>
      <c r="L46" s="435">
        <f>+Listrik!AF29</f>
        <v>0</v>
      </c>
      <c r="M46" s="437">
        <f>+L46+'21'!M46</f>
        <v>0</v>
      </c>
    </row>
    <row r="47" spans="1:13" ht="17.45" customHeight="1">
      <c r="A47" s="789" t="s">
        <v>92</v>
      </c>
      <c r="B47" s="790"/>
      <c r="C47" s="171">
        <f>SUMIF($G$7:$G$31,"Gas",$F$7:$F$31)</f>
        <v>0</v>
      </c>
      <c r="D47" s="125">
        <f>+C47+'21'!D47</f>
        <v>0</v>
      </c>
      <c r="E47" s="150">
        <f t="shared" si="0"/>
        <v>0</v>
      </c>
      <c r="F47" s="368"/>
      <c r="G47" s="369"/>
      <c r="H47" s="195" t="s">
        <v>93</v>
      </c>
      <c r="I47" s="125">
        <f>I46/I38</f>
        <v>961.6875939696846</v>
      </c>
      <c r="J47" s="142">
        <f>J46/J38</f>
        <v>850.18189227376774</v>
      </c>
      <c r="K47" s="137" t="s">
        <v>25</v>
      </c>
      <c r="L47" s="435">
        <f>+L46/I38</f>
        <v>0</v>
      </c>
      <c r="M47" s="436">
        <f>+M46/J38</f>
        <v>0</v>
      </c>
    </row>
    <row r="48" spans="1:13" ht="17.45" customHeight="1">
      <c r="A48" s="789" t="s">
        <v>15</v>
      </c>
      <c r="B48" s="790"/>
      <c r="C48" s="171">
        <f>SUMIF($G$7:$G$31,"Start Up",$F$7:$F$31)</f>
        <v>0</v>
      </c>
      <c r="D48" s="125">
        <f>+C48+'21'!D48</f>
        <v>0</v>
      </c>
      <c r="E48" s="150">
        <f t="shared" si="0"/>
        <v>0</v>
      </c>
      <c r="F48" s="368"/>
      <c r="G48" s="369"/>
      <c r="H48" s="195" t="s">
        <v>94</v>
      </c>
      <c r="I48" s="125">
        <f>I46/I40</f>
        <v>974.57821154281567</v>
      </c>
      <c r="J48" s="142">
        <f>J46/J40</f>
        <v>875.1972415199084</v>
      </c>
      <c r="K48" s="137" t="s">
        <v>25</v>
      </c>
      <c r="L48" s="435">
        <f>+L46/I38</f>
        <v>0</v>
      </c>
      <c r="M48" s="436">
        <f>+M46/J40</f>
        <v>0</v>
      </c>
    </row>
    <row r="49" spans="1:13" ht="17.45" customHeight="1">
      <c r="A49" s="789" t="s">
        <v>21</v>
      </c>
      <c r="B49" s="790"/>
      <c r="C49" s="171">
        <f>SUMIF($G$7:$G$31,"Others",$F$7:$F$31)</f>
        <v>0</v>
      </c>
      <c r="D49" s="125">
        <f>+C49+'21'!D49</f>
        <v>480</v>
      </c>
      <c r="E49" s="150">
        <f t="shared" si="0"/>
        <v>8</v>
      </c>
      <c r="F49" s="192"/>
      <c r="H49" s="195" t="s">
        <v>95</v>
      </c>
      <c r="I49" s="125">
        <f>+Report1!AB30</f>
        <v>5708.1952845600254</v>
      </c>
      <c r="J49" s="142">
        <f>+I49+'21'!J49</f>
        <v>107829.15815873779</v>
      </c>
      <c r="K49" s="137" t="s">
        <v>96</v>
      </c>
      <c r="L49" s="431"/>
      <c r="M49" s="432"/>
    </row>
    <row r="50" spans="1:13" ht="17.45" customHeight="1">
      <c r="A50" s="789" t="s">
        <v>20</v>
      </c>
      <c r="B50" s="790"/>
      <c r="C50" s="171">
        <f>SUMIF($G$7:$G$31,"Steam",$F$7:$F$31)</f>
        <v>0</v>
      </c>
      <c r="D50" s="125">
        <f>+C50+'21'!D50</f>
        <v>0</v>
      </c>
      <c r="E50" s="150">
        <f t="shared" si="0"/>
        <v>0</v>
      </c>
      <c r="F50" s="192"/>
      <c r="H50" s="195" t="s">
        <v>97</v>
      </c>
      <c r="I50" s="147">
        <f>I49/I38</f>
        <v>115.97779845910085</v>
      </c>
      <c r="J50" s="140">
        <f>J49/J38</f>
        <v>102.66588544779718</v>
      </c>
      <c r="K50" s="137" t="s">
        <v>96</v>
      </c>
      <c r="L50" s="431"/>
      <c r="M50" s="432"/>
    </row>
    <row r="51" spans="1:13" ht="17.45" customHeight="1" thickBot="1">
      <c r="A51" s="791" t="s">
        <v>98</v>
      </c>
      <c r="B51" s="792"/>
      <c r="C51" s="171">
        <f>SUMIF($G$7:$G$31,"Planned shut",$F$7:$F$31)</f>
        <v>0</v>
      </c>
      <c r="D51" s="125">
        <f>+C51+'21'!D51</f>
        <v>394</v>
      </c>
      <c r="E51" s="150">
        <f t="shared" si="0"/>
        <v>6.5666666666666664</v>
      </c>
      <c r="F51" s="192"/>
      <c r="H51" s="197" t="s">
        <v>99</v>
      </c>
      <c r="I51" s="148">
        <f>I49/I40</f>
        <v>117.53238381123037</v>
      </c>
      <c r="J51" s="143">
        <f>J49/J40</f>
        <v>105.68667782585212</v>
      </c>
      <c r="K51" s="144" t="s">
        <v>96</v>
      </c>
      <c r="L51" s="431"/>
      <c r="M51" s="432"/>
    </row>
    <row r="52" spans="1:13" ht="13.5" thickBot="1">
      <c r="A52" s="793" t="s">
        <v>29</v>
      </c>
      <c r="B52" s="794"/>
      <c r="C52" s="151">
        <f>SUM(C38:C51)</f>
        <v>63</v>
      </c>
      <c r="D52" s="151">
        <f>SUM(D38:D51)</f>
        <v>3163</v>
      </c>
      <c r="E52" s="152">
        <f>SUM(E38:E51)</f>
        <v>52.716666666666669</v>
      </c>
      <c r="F52" s="192"/>
      <c r="H52" s="198"/>
      <c r="I52" s="199"/>
      <c r="J52" s="145"/>
      <c r="K52" s="146"/>
      <c r="L52" s="438"/>
      <c r="M52" s="439"/>
    </row>
    <row r="53" spans="1:13" ht="13.5" thickBot="1">
      <c r="A53" s="795"/>
      <c r="B53" s="796"/>
      <c r="C53" s="153">
        <f>C52/(24*60)</f>
        <v>4.3749999999999997E-2</v>
      </c>
      <c r="D53" s="153">
        <f>D52/(24*60*G4)</f>
        <v>9.9842171717171718E-2</v>
      </c>
      <c r="E53" s="154">
        <f>E52/(G4*24)</f>
        <v>9.9842171717171718E-2</v>
      </c>
      <c r="F53" s="192"/>
    </row>
    <row r="54" spans="1:13">
      <c r="E54" s="200"/>
      <c r="F54" s="192"/>
    </row>
    <row r="55" spans="1:13">
      <c r="E55" s="200"/>
    </row>
    <row r="56" spans="1:13">
      <c r="A56" s="201" t="s">
        <v>100</v>
      </c>
      <c r="B56" s="202"/>
      <c r="C56" s="203"/>
      <c r="D56" s="203"/>
      <c r="E56" s="203"/>
      <c r="F56" s="204"/>
      <c r="G56" s="203"/>
      <c r="H56" s="205"/>
      <c r="I56" s="206" t="s">
        <v>101</v>
      </c>
      <c r="J56" s="207">
        <f>+D34+'21'!J56</f>
        <v>5317</v>
      </c>
      <c r="K56" s="208">
        <f>J56/(J40+J56/1000)/1000</f>
        <v>5.1843379755438096E-3</v>
      </c>
    </row>
    <row r="57" spans="1:13">
      <c r="A57" s="183"/>
      <c r="I57" s="206" t="s">
        <v>102</v>
      </c>
      <c r="J57" s="207">
        <f>+E34+'21'!J57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1388888888888889" bottom="0.39027777777777778" header="0" footer="0"/>
  <pageSetup paperSize="9" scale="62" firstPageNumber="4294963191" orientation="landscape"/>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Y61"/>
  <sheetViews>
    <sheetView zoomScale="80" zoomScaleNormal="80" workbookViewId="0">
      <selection activeCell="H37" sqref="A33:H37"/>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7109375" style="117" bestFit="1" customWidth="1"/>
    <col min="7" max="7" width="11.42578125" style="156" bestFit="1" customWidth="1"/>
    <col min="8" max="8" width="64.85546875" style="156" customWidth="1"/>
    <col min="9" max="9" width="14.7109375" style="156" bestFit="1" customWidth="1"/>
    <col min="10" max="10" width="17.7109375" style="156" customWidth="1"/>
    <col min="11" max="11" width="12.5703125" style="156" bestFit="1" customWidth="1"/>
    <col min="12" max="12" width="11" style="156" customWidth="1"/>
    <col min="13" max="13" width="14.7109375" style="156" customWidth="1"/>
    <col min="14" max="16384" width="9.140625" style="156"/>
  </cols>
  <sheetData>
    <row r="1" spans="1:19" ht="15.75">
      <c r="A1" s="155"/>
    </row>
    <row r="2" spans="1:19" ht="15.75">
      <c r="A2" s="155" t="s">
        <v>183</v>
      </c>
    </row>
    <row r="3" spans="1:19" ht="15">
      <c r="A3" s="157"/>
    </row>
    <row r="4" spans="1:19" ht="20.25">
      <c r="A4" s="158" t="s">
        <v>5</v>
      </c>
      <c r="B4" s="159"/>
      <c r="F4" s="160" t="s">
        <v>30</v>
      </c>
      <c r="G4" s="161">
        <v>21</v>
      </c>
      <c r="H4" s="161" t="str">
        <f>+'1'!H4</f>
        <v>.01.26</v>
      </c>
      <c r="J4" s="156">
        <f>1125.9+1069.3+1140.6</f>
        <v>3335.7999999999997</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584</v>
      </c>
      <c r="O6" s="156">
        <v>1180</v>
      </c>
      <c r="P6" s="156">
        <f>+O6-(O6*0.21)</f>
        <v>932.2</v>
      </c>
      <c r="Q6" s="156">
        <v>480</v>
      </c>
      <c r="R6" s="156">
        <f t="shared" ref="R6:R7" si="0">+O6*Q6</f>
        <v>566400</v>
      </c>
      <c r="S6" s="156">
        <f t="shared" ref="S6:S7" si="1">+P6*Q6</f>
        <v>447456</v>
      </c>
    </row>
    <row r="7" spans="1:19" ht="13.5" customHeight="1" thickBot="1">
      <c r="A7" s="800" t="s">
        <v>440</v>
      </c>
      <c r="B7" s="222" t="s">
        <v>604</v>
      </c>
      <c r="C7" s="223">
        <v>17514</v>
      </c>
      <c r="D7" s="224"/>
      <c r="E7" s="225"/>
      <c r="F7" s="235"/>
      <c r="G7" s="236" t="s">
        <v>13</v>
      </c>
      <c r="H7" s="237" t="s">
        <v>386</v>
      </c>
      <c r="I7" s="803" t="s">
        <v>697</v>
      </c>
      <c r="J7" s="373" t="str">
        <f>+'20'!J7</f>
        <v>T 13,5 RC HW</v>
      </c>
      <c r="K7" s="245">
        <f>+C26</f>
        <v>8915</v>
      </c>
      <c r="L7" s="249"/>
      <c r="M7" s="124">
        <f>+K7+'20'!M7+L7</f>
        <v>230257</v>
      </c>
      <c r="O7" s="156">
        <v>1180</v>
      </c>
      <c r="P7" s="156">
        <f>+O7-(O7*0.21)</f>
        <v>932.2</v>
      </c>
      <c r="Q7" s="156">
        <v>480</v>
      </c>
      <c r="R7" s="156">
        <f t="shared" si="0"/>
        <v>566400</v>
      </c>
      <c r="S7" s="156">
        <f t="shared" si="1"/>
        <v>447456</v>
      </c>
    </row>
    <row r="8" spans="1:19" ht="13.5" thickBot="1">
      <c r="A8" s="801"/>
      <c r="B8" s="222"/>
      <c r="C8" s="223"/>
      <c r="D8" s="224"/>
      <c r="E8" s="226"/>
      <c r="F8" s="238">
        <v>9</v>
      </c>
      <c r="G8" s="582" t="s">
        <v>13</v>
      </c>
      <c r="H8" s="237" t="s">
        <v>414</v>
      </c>
      <c r="I8" s="804"/>
      <c r="J8" s="221" t="str">
        <f>+'20'!J8</f>
        <v>T 14,5 RC HW</v>
      </c>
      <c r="K8" s="246"/>
      <c r="L8" s="246"/>
      <c r="M8" s="124">
        <f>+K8+'20'!M8+L8</f>
        <v>57466</v>
      </c>
    </row>
    <row r="9" spans="1:19" ht="13.5" thickBot="1">
      <c r="A9" s="801"/>
      <c r="B9" s="222"/>
      <c r="C9" s="223"/>
      <c r="D9" s="224"/>
      <c r="E9" s="227"/>
      <c r="F9" s="235">
        <v>10</v>
      </c>
      <c r="G9" s="582" t="s">
        <v>13</v>
      </c>
      <c r="H9" s="240" t="s">
        <v>523</v>
      </c>
      <c r="I9" s="804"/>
      <c r="J9" s="221" t="str">
        <f>+'20'!J9</f>
        <v>TW 17 RC HW</v>
      </c>
      <c r="K9" s="246"/>
      <c r="L9" s="246"/>
      <c r="M9" s="124">
        <f>+K9+'20'!M9+L9</f>
        <v>24830</v>
      </c>
    </row>
    <row r="10" spans="1:19" ht="26.25" thickBot="1">
      <c r="A10" s="801"/>
      <c r="B10" s="222"/>
      <c r="C10" s="223"/>
      <c r="D10" s="224"/>
      <c r="E10" s="226"/>
      <c r="F10" s="235"/>
      <c r="G10" s="244" t="s">
        <v>14</v>
      </c>
      <c r="H10" s="240" t="s">
        <v>695</v>
      </c>
      <c r="I10" s="804"/>
      <c r="J10" s="221" t="str">
        <f>+'20'!J10</f>
        <v>TW 22 RC HW</v>
      </c>
      <c r="K10" s="246"/>
      <c r="L10" s="246"/>
      <c r="M10" s="124">
        <f>+K10+'20'!M10+L10</f>
        <v>24459</v>
      </c>
    </row>
    <row r="11" spans="1:19" ht="13.5" thickBot="1">
      <c r="A11" s="801"/>
      <c r="B11" s="222"/>
      <c r="C11" s="223"/>
      <c r="D11" s="224"/>
      <c r="E11" s="226"/>
      <c r="F11" s="235"/>
      <c r="G11" s="239"/>
      <c r="H11" s="240"/>
      <c r="I11" s="804"/>
      <c r="J11" s="221" t="str">
        <f>+'20'!J11</f>
        <v>TW 14 RC HW</v>
      </c>
      <c r="K11" s="246"/>
      <c r="L11" s="246"/>
      <c r="M11" s="124">
        <f>+K11+'20'!M11+L11</f>
        <v>8043</v>
      </c>
    </row>
    <row r="12" spans="1:19" ht="13.5" thickBot="1">
      <c r="A12" s="801"/>
      <c r="B12" s="222"/>
      <c r="C12" s="223"/>
      <c r="D12" s="224"/>
      <c r="E12" s="226"/>
      <c r="F12" s="235"/>
      <c r="G12" s="239"/>
      <c r="H12" s="240"/>
      <c r="I12" s="804"/>
      <c r="J12" s="221" t="str">
        <f>+'20'!J12</f>
        <v>TW 29 RC HW</v>
      </c>
      <c r="K12" s="246"/>
      <c r="L12" s="246"/>
      <c r="M12" s="124">
        <f>+K12+'20'!M12+L12</f>
        <v>21439</v>
      </c>
    </row>
    <row r="13" spans="1:19" ht="13.5" thickBot="1">
      <c r="A13" s="801"/>
      <c r="B13" s="222"/>
      <c r="C13" s="223"/>
      <c r="D13" s="223"/>
      <c r="E13" s="226"/>
      <c r="F13" s="235"/>
      <c r="G13" s="239"/>
      <c r="H13" s="240"/>
      <c r="I13" s="805"/>
      <c r="J13" s="221" t="str">
        <f>+'20'!J13</f>
        <v>TW 35,5 RC HW</v>
      </c>
      <c r="K13" s="246"/>
      <c r="L13" s="246"/>
      <c r="M13" s="124">
        <f>+K13+'20'!M13+L13</f>
        <v>2193</v>
      </c>
    </row>
    <row r="14" spans="1:19" ht="13.5" thickBot="1">
      <c r="A14" s="802"/>
      <c r="B14" s="172" t="s">
        <v>3</v>
      </c>
      <c r="C14" s="106">
        <f>SUM(C7:C13)</f>
        <v>17514</v>
      </c>
      <c r="D14" s="118">
        <f>SUM(D7:D13)</f>
        <v>0</v>
      </c>
      <c r="E14" s="119">
        <f>SUM(E5:E13)</f>
        <v>0</v>
      </c>
      <c r="F14" s="109">
        <f>SUM(F6:F13)</f>
        <v>19</v>
      </c>
      <c r="G14" s="166"/>
      <c r="H14" s="173"/>
      <c r="I14" s="174"/>
      <c r="J14" s="221" t="str">
        <f>+'20'!J14</f>
        <v>N 15,5 RC HW</v>
      </c>
      <c r="K14" s="246"/>
      <c r="L14" s="246"/>
      <c r="M14" s="124">
        <f>+K14+'20'!M14+L14</f>
        <v>46927</v>
      </c>
    </row>
    <row r="15" spans="1:19" ht="13.5" customHeight="1" thickBot="1">
      <c r="A15" s="800" t="s">
        <v>423</v>
      </c>
      <c r="B15" s="172"/>
      <c r="C15" s="120">
        <f>C14/($C$23+$D$23+$E$23)</f>
        <v>0.94217010059712736</v>
      </c>
      <c r="D15" s="121">
        <f>D14/($C$23+$D$23+$E$23)</f>
        <v>0</v>
      </c>
      <c r="E15" s="122">
        <f>E14/($C$23+$D$23+$E$23)</f>
        <v>0</v>
      </c>
      <c r="F15" s="235"/>
      <c r="G15" s="236" t="s">
        <v>13</v>
      </c>
      <c r="H15" s="237" t="s">
        <v>386</v>
      </c>
      <c r="I15" s="803" t="s">
        <v>697</v>
      </c>
      <c r="J15" s="221" t="str">
        <f>+'20'!J15</f>
        <v>F 14 RC HW</v>
      </c>
      <c r="K15" s="246"/>
      <c r="L15" s="246"/>
      <c r="M15" s="124">
        <f>+K15+'20'!M15+L15</f>
        <v>4620</v>
      </c>
    </row>
    <row r="16" spans="1:19" ht="13.5" thickBot="1">
      <c r="A16" s="811"/>
      <c r="B16" s="222" t="s">
        <v>604</v>
      </c>
      <c r="C16" s="229">
        <v>18589</v>
      </c>
      <c r="D16" s="230"/>
      <c r="E16" s="231"/>
      <c r="F16" s="238">
        <v>3</v>
      </c>
      <c r="G16" s="582" t="s">
        <v>13</v>
      </c>
      <c r="H16" s="237" t="s">
        <v>414</v>
      </c>
      <c r="I16" s="804"/>
      <c r="J16" s="221" t="str">
        <f>+'20'!J16</f>
        <v>T 15 RC HW</v>
      </c>
      <c r="K16" s="246">
        <f>+C7+C16+C25</f>
        <v>42071</v>
      </c>
      <c r="L16" s="236"/>
      <c r="M16" s="124">
        <f>+K16+'20'!M16+L16</f>
        <v>370116</v>
      </c>
      <c r="Q16" s="183">
        <f>SUM(Q6:Q14)</f>
        <v>960</v>
      </c>
      <c r="R16" s="183">
        <f>SUM(R6:R14)</f>
        <v>1132800</v>
      </c>
      <c r="S16" s="183">
        <f>SUM(S6:S14)</f>
        <v>894912</v>
      </c>
    </row>
    <row r="17" spans="1:25" ht="13.5" thickBot="1">
      <c r="A17" s="811"/>
      <c r="B17" s="222"/>
      <c r="C17" s="223"/>
      <c r="D17" s="224"/>
      <c r="E17" s="232"/>
      <c r="F17" s="235">
        <v>8</v>
      </c>
      <c r="G17" s="582" t="s">
        <v>13</v>
      </c>
      <c r="H17" s="240" t="s">
        <v>413</v>
      </c>
      <c r="I17" s="804"/>
      <c r="J17" s="221" t="str">
        <f>+'20'!J17</f>
        <v>T 14 RC HW</v>
      </c>
      <c r="K17" s="246"/>
      <c r="L17" s="236"/>
      <c r="M17" s="124">
        <f>+K17+'20'!M17+L17</f>
        <v>118045</v>
      </c>
      <c r="Q17" s="156">
        <f>480-Q16</f>
        <v>-480</v>
      </c>
      <c r="R17" s="183">
        <f>+R16/Q16</f>
        <v>1180</v>
      </c>
      <c r="S17" s="183">
        <f>+S16/Q16</f>
        <v>932.2</v>
      </c>
    </row>
    <row r="18" spans="1:25" ht="26.25" thickBot="1">
      <c r="A18" s="811"/>
      <c r="B18" s="222"/>
      <c r="C18" s="223"/>
      <c r="D18" s="224"/>
      <c r="E18" s="232"/>
      <c r="F18" s="235"/>
      <c r="G18" s="244" t="s">
        <v>14</v>
      </c>
      <c r="H18" s="240" t="s">
        <v>703</v>
      </c>
      <c r="I18" s="804"/>
      <c r="J18" s="221" t="str">
        <f>+'20'!J18</f>
        <v>T 16 RC HW</v>
      </c>
      <c r="K18" s="246"/>
      <c r="L18" s="246"/>
      <c r="M18" s="124">
        <f>+K18+'20'!M18+L18</f>
        <v>17950</v>
      </c>
    </row>
    <row r="19" spans="1:25" ht="13.5" thickBot="1">
      <c r="A19" s="811"/>
      <c r="B19" s="222"/>
      <c r="C19" s="223"/>
      <c r="D19" s="224"/>
      <c r="E19" s="232"/>
      <c r="F19" s="242"/>
      <c r="G19" s="239"/>
      <c r="H19" s="240"/>
      <c r="I19" s="804"/>
      <c r="J19" s="221" t="str">
        <f>+'20'!J19</f>
        <v>T 18 RC HW</v>
      </c>
      <c r="K19" s="246"/>
      <c r="L19" s="246"/>
      <c r="M19" s="124">
        <f>+K19+'20'!M19+L19</f>
        <v>32713</v>
      </c>
    </row>
    <row r="20" spans="1:25" ht="13.5" thickBot="1">
      <c r="A20" s="811"/>
      <c r="B20" s="222"/>
      <c r="C20" s="223"/>
      <c r="D20" s="224"/>
      <c r="E20" s="232"/>
      <c r="F20" s="235"/>
      <c r="G20" s="239"/>
      <c r="H20" s="240"/>
      <c r="I20" s="804"/>
      <c r="J20" s="221" t="str">
        <f>+'20'!J20</f>
        <v>T 20 RC HW</v>
      </c>
      <c r="K20" s="246"/>
      <c r="L20" s="247"/>
      <c r="M20" s="124">
        <f>+K20+'20'!M20+L20</f>
        <v>12647</v>
      </c>
    </row>
    <row r="21" spans="1:25" ht="13.5" thickBot="1">
      <c r="A21" s="811"/>
      <c r="B21" s="222"/>
      <c r="C21" s="223"/>
      <c r="D21" s="224"/>
      <c r="E21" s="232"/>
      <c r="F21" s="238"/>
      <c r="G21" s="239"/>
      <c r="H21" s="240"/>
      <c r="I21" s="804"/>
      <c r="J21" s="221">
        <f>+'20'!J21</f>
        <v>0</v>
      </c>
      <c r="K21" s="246"/>
      <c r="L21" s="246"/>
      <c r="M21" s="124">
        <f>+K21+'20'!M21+L21</f>
        <v>0</v>
      </c>
    </row>
    <row r="22" spans="1:25" ht="13.5" thickBot="1">
      <c r="A22" s="811"/>
      <c r="B22" s="222"/>
      <c r="C22" s="223"/>
      <c r="D22" s="224"/>
      <c r="E22" s="232"/>
      <c r="F22" s="243"/>
      <c r="G22" s="239"/>
      <c r="H22" s="240"/>
      <c r="I22" s="805"/>
      <c r="J22" s="221">
        <f>+'20'!J22</f>
        <v>0</v>
      </c>
      <c r="K22" s="246"/>
      <c r="L22" s="246"/>
      <c r="M22" s="124">
        <f>+K22+'20'!M22+L22</f>
        <v>0</v>
      </c>
    </row>
    <row r="23" spans="1:25" ht="13.5" thickBot="1">
      <c r="A23" s="812"/>
      <c r="B23" s="172" t="s">
        <v>3</v>
      </c>
      <c r="C23" s="107">
        <f>SUM(C16:C22)</f>
        <v>18589</v>
      </c>
      <c r="D23" s="118">
        <f>SUM(D16:D22)</f>
        <v>0</v>
      </c>
      <c r="E23" s="119">
        <f>SUM(E18:E22)</f>
        <v>0</v>
      </c>
      <c r="F23" s="109">
        <f>SUM(F15:F22)</f>
        <v>11</v>
      </c>
      <c r="G23" s="166"/>
      <c r="H23" s="173"/>
      <c r="I23" s="176"/>
      <c r="J23" s="221">
        <f>+'20'!J23</f>
        <v>0</v>
      </c>
      <c r="K23" s="246"/>
      <c r="L23" s="246"/>
      <c r="M23" s="124">
        <f>+K23+'20'!M23+L23</f>
        <v>0</v>
      </c>
    </row>
    <row r="24" spans="1:25" ht="13.5" customHeight="1" thickBot="1">
      <c r="A24" s="800" t="s">
        <v>425</v>
      </c>
      <c r="B24" s="177"/>
      <c r="C24" s="120">
        <f>C23/($C$23+$D$23+$E$23)</f>
        <v>1</v>
      </c>
      <c r="D24" s="121">
        <f>D23/($C$23+$D$23+$E$23)</f>
        <v>0</v>
      </c>
      <c r="E24" s="122">
        <f>E23/($C$23+$D$23+$E$23)</f>
        <v>0</v>
      </c>
      <c r="F24" s="235">
        <v>2</v>
      </c>
      <c r="G24" s="236" t="s">
        <v>13</v>
      </c>
      <c r="H24" s="237" t="s">
        <v>619</v>
      </c>
      <c r="I24" s="803" t="s">
        <v>705</v>
      </c>
      <c r="J24" s="221">
        <f>+'20'!J24</f>
        <v>0</v>
      </c>
      <c r="K24" s="246"/>
      <c r="L24" s="246"/>
      <c r="M24" s="124">
        <f>+K24+'20'!M24+L24</f>
        <v>0</v>
      </c>
      <c r="N24" s="156" t="s">
        <v>584</v>
      </c>
      <c r="O24" s="156">
        <v>1170</v>
      </c>
      <c r="P24" s="156">
        <f>+O24-(O24*0.21)</f>
        <v>924.3</v>
      </c>
      <c r="Q24" s="156">
        <f>60+11</f>
        <v>71</v>
      </c>
      <c r="R24" s="156">
        <f t="shared" ref="R24:R26" si="2">+O24*Q24</f>
        <v>83070</v>
      </c>
      <c r="S24" s="156">
        <f t="shared" ref="S24:S26" si="3">+P24*Q24</f>
        <v>65625.3</v>
      </c>
      <c r="T24" s="156" t="s">
        <v>584</v>
      </c>
      <c r="U24" s="156">
        <v>1180</v>
      </c>
      <c r="V24" s="156">
        <f>+U24-(U24*0.21)</f>
        <v>932.2</v>
      </c>
      <c r="W24" s="156">
        <v>480</v>
      </c>
      <c r="X24" s="156">
        <f t="shared" ref="X24:X25" si="4">+U24*W24</f>
        <v>566400</v>
      </c>
      <c r="Y24" s="156">
        <f t="shared" ref="Y24:Y25" si="5">+V24*W24</f>
        <v>447456</v>
      </c>
    </row>
    <row r="25" spans="1:25" ht="13.5" thickBot="1">
      <c r="A25" s="811"/>
      <c r="B25" s="222" t="s">
        <v>604</v>
      </c>
      <c r="C25" s="233">
        <v>5968</v>
      </c>
      <c r="D25" s="224"/>
      <c r="E25" s="232"/>
      <c r="F25" s="238">
        <v>5</v>
      </c>
      <c r="G25" s="582" t="s">
        <v>13</v>
      </c>
      <c r="H25" s="237" t="s">
        <v>414</v>
      </c>
      <c r="I25" s="804"/>
      <c r="J25" s="221">
        <f>+'20'!J25</f>
        <v>0</v>
      </c>
      <c r="K25" s="246"/>
      <c r="L25" s="246"/>
      <c r="M25" s="124">
        <f>+K25+'20'!M25+L25</f>
        <v>0</v>
      </c>
      <c r="N25" s="156" t="s">
        <v>408</v>
      </c>
      <c r="O25" s="156">
        <v>1210</v>
      </c>
      <c r="P25" s="156">
        <f>+O25-(O25*0.21)</f>
        <v>955.9</v>
      </c>
      <c r="Q25" s="156">
        <f>60-11+240+48</f>
        <v>337</v>
      </c>
      <c r="R25" s="156">
        <f t="shared" si="2"/>
        <v>407770</v>
      </c>
      <c r="S25" s="156">
        <f t="shared" si="3"/>
        <v>322138.3</v>
      </c>
      <c r="U25" s="156">
        <v>1180</v>
      </c>
      <c r="V25" s="156">
        <f>+U25-(U25*0.21)</f>
        <v>932.2</v>
      </c>
      <c r="W25" s="156">
        <v>480</v>
      </c>
      <c r="X25" s="156">
        <f t="shared" si="4"/>
        <v>566400</v>
      </c>
      <c r="Y25" s="156">
        <f t="shared" si="5"/>
        <v>447456</v>
      </c>
    </row>
    <row r="26" spans="1:25" ht="13.5" thickBot="1">
      <c r="A26" s="811"/>
      <c r="B26" s="222" t="s">
        <v>422</v>
      </c>
      <c r="C26" s="233">
        <v>8915</v>
      </c>
      <c r="D26" s="224"/>
      <c r="E26" s="234"/>
      <c r="F26" s="235">
        <v>5</v>
      </c>
      <c r="G26" s="582" t="s">
        <v>13</v>
      </c>
      <c r="H26" s="240" t="s">
        <v>707</v>
      </c>
      <c r="I26" s="804"/>
      <c r="J26" s="221">
        <f>+'20'!J26</f>
        <v>0</v>
      </c>
      <c r="K26" s="246"/>
      <c r="L26" s="246"/>
      <c r="M26" s="124">
        <f>+K26+'20'!M26+L26</f>
        <v>0</v>
      </c>
      <c r="N26" s="156" t="s">
        <v>704</v>
      </c>
      <c r="O26" s="156">
        <v>1230</v>
      </c>
      <c r="P26" s="156">
        <f>+O26-(O26*0.21)</f>
        <v>971.7</v>
      </c>
      <c r="Q26" s="156">
        <f>60-48+60</f>
        <v>72</v>
      </c>
      <c r="R26" s="156">
        <f t="shared" si="2"/>
        <v>88560</v>
      </c>
      <c r="S26" s="156">
        <f t="shared" si="3"/>
        <v>69962.400000000009</v>
      </c>
      <c r="T26" s="156" t="s">
        <v>584</v>
      </c>
      <c r="U26" s="156">
        <v>1170</v>
      </c>
      <c r="V26" s="156">
        <v>924.3</v>
      </c>
      <c r="W26" s="156">
        <v>71</v>
      </c>
      <c r="X26" s="156">
        <f t="shared" ref="X26" si="6">+U26*W26</f>
        <v>83070</v>
      </c>
      <c r="Y26" s="156">
        <f t="shared" ref="Y26" si="7">+V26*W26</f>
        <v>65625.3</v>
      </c>
    </row>
    <row r="27" spans="1:25" ht="26.25" thickBot="1">
      <c r="A27" s="811"/>
      <c r="B27" s="222" t="s">
        <v>709</v>
      </c>
      <c r="C27" s="223"/>
      <c r="D27" s="224"/>
      <c r="E27" s="232"/>
      <c r="F27" s="235">
        <v>6</v>
      </c>
      <c r="G27" s="244" t="s">
        <v>14</v>
      </c>
      <c r="H27" s="240" t="s">
        <v>701</v>
      </c>
      <c r="I27" s="804"/>
      <c r="J27" s="221">
        <f>+'20'!J27</f>
        <v>0</v>
      </c>
      <c r="K27" s="246"/>
      <c r="L27" s="246"/>
      <c r="M27" s="124">
        <f>+K27+'20'!M27+L27</f>
        <v>0</v>
      </c>
    </row>
    <row r="28" spans="1:25" ht="26.25" thickBot="1">
      <c r="A28" s="811"/>
      <c r="B28" s="222"/>
      <c r="C28" s="223"/>
      <c r="D28" s="224"/>
      <c r="E28" s="232"/>
      <c r="F28" s="238"/>
      <c r="G28" s="239"/>
      <c r="H28" s="240" t="s">
        <v>702</v>
      </c>
      <c r="I28" s="804"/>
      <c r="J28" s="221">
        <f>+'20'!J28</f>
        <v>0</v>
      </c>
      <c r="K28" s="246"/>
      <c r="L28" s="246"/>
      <c r="M28" s="124">
        <f>+K28+'20'!M28+L28</f>
        <v>0</v>
      </c>
    </row>
    <row r="29" spans="1:25" ht="13.5" thickBot="1">
      <c r="A29" s="811"/>
      <c r="B29" s="222"/>
      <c r="C29" s="223"/>
      <c r="D29" s="224"/>
      <c r="E29" s="232"/>
      <c r="F29" s="243"/>
      <c r="G29" s="239"/>
      <c r="H29" s="240"/>
      <c r="I29" s="804"/>
      <c r="J29" s="221">
        <f>+'20'!J29</f>
        <v>0</v>
      </c>
      <c r="K29" s="246"/>
      <c r="L29" s="246"/>
      <c r="M29" s="124">
        <f>+K29+'20'!M29+L29</f>
        <v>0</v>
      </c>
    </row>
    <row r="30" spans="1:25" ht="13.5" thickBot="1">
      <c r="A30" s="811"/>
      <c r="B30" s="222"/>
      <c r="C30" s="233"/>
      <c r="D30" s="224"/>
      <c r="E30" s="232"/>
      <c r="F30" s="243"/>
      <c r="G30" s="239"/>
      <c r="H30" s="240"/>
      <c r="I30" s="804"/>
      <c r="J30" s="221">
        <f>+'20'!J30</f>
        <v>0</v>
      </c>
      <c r="K30" s="246"/>
      <c r="L30" s="246"/>
      <c r="M30" s="124">
        <f>+K30+'20'!M30+L30</f>
        <v>0</v>
      </c>
    </row>
    <row r="31" spans="1:25" ht="13.5" thickBot="1">
      <c r="A31" s="811"/>
      <c r="B31" s="222"/>
      <c r="C31" s="233"/>
      <c r="D31" s="224"/>
      <c r="E31" s="232"/>
      <c r="F31" s="243"/>
      <c r="G31" s="244"/>
      <c r="H31" s="241"/>
      <c r="I31" s="805"/>
      <c r="J31" s="221">
        <f>+'20'!J31</f>
        <v>0</v>
      </c>
      <c r="K31" s="246"/>
      <c r="L31" s="246"/>
      <c r="M31" s="124">
        <f>+K31+'20'!M31+L31</f>
        <v>0</v>
      </c>
    </row>
    <row r="32" spans="1:25" ht="13.5" thickBot="1">
      <c r="A32" s="812"/>
      <c r="B32" s="172" t="s">
        <v>3</v>
      </c>
      <c r="C32" s="106">
        <f>SUM(C25:C31)</f>
        <v>14883</v>
      </c>
      <c r="D32" s="107">
        <f>SUM(D25:D31)</f>
        <v>0</v>
      </c>
      <c r="E32" s="108">
        <f>SUM(E25:E31)</f>
        <v>0</v>
      </c>
      <c r="F32" s="109">
        <f>SUM(F24:F31)</f>
        <v>18</v>
      </c>
      <c r="G32" s="178"/>
      <c r="H32" s="179"/>
      <c r="I32" s="176"/>
      <c r="J32" s="221">
        <f>+'20'!J32</f>
        <v>0</v>
      </c>
      <c r="K32" s="248"/>
      <c r="L32" s="250"/>
      <c r="M32" s="124">
        <f>+K32+'20'!M32+L32</f>
        <v>0</v>
      </c>
    </row>
    <row r="33" spans="1:25" ht="13.5" thickBot="1">
      <c r="A33" s="180"/>
      <c r="B33" s="181"/>
      <c r="C33" s="110">
        <f>C32/($C$32+$D$32+$E$32)</f>
        <v>1</v>
      </c>
      <c r="D33" s="111">
        <f>D32/($C$32+$D$32+$E$32)</f>
        <v>0</v>
      </c>
      <c r="E33" s="112">
        <f>E32/($C$32+$D$32+$E$32)</f>
        <v>0</v>
      </c>
      <c r="F33" s="113"/>
      <c r="G33" s="182"/>
      <c r="H33" s="183"/>
      <c r="I33" s="184"/>
      <c r="J33" s="128"/>
      <c r="K33" s="129"/>
      <c r="L33" s="220"/>
      <c r="M33" s="126"/>
    </row>
    <row r="34" spans="1:25" ht="13.5" thickBot="1">
      <c r="A34" s="808" t="s">
        <v>70</v>
      </c>
      <c r="B34" s="809"/>
      <c r="C34" s="114">
        <f>C14+C23+C32</f>
        <v>50986</v>
      </c>
      <c r="D34" s="114">
        <f>D14+D23+D32</f>
        <v>0</v>
      </c>
      <c r="E34" s="114">
        <f>E14+E23+E32</f>
        <v>0</v>
      </c>
      <c r="F34" s="115">
        <f>F14+F23+F32</f>
        <v>48</v>
      </c>
      <c r="H34" s="185"/>
      <c r="I34" s="185"/>
      <c r="J34" s="130" t="s">
        <v>29</v>
      </c>
      <c r="K34" s="131">
        <f>SUM(K7:K32)</f>
        <v>50986</v>
      </c>
      <c r="L34" s="219">
        <f>SUM(L7:L32)</f>
        <v>0</v>
      </c>
      <c r="M34" s="127">
        <f>SUM(M7:M32)</f>
        <v>971705</v>
      </c>
      <c r="Q34" s="183">
        <f>SUM(Q24:Q32)</f>
        <v>480</v>
      </c>
      <c r="R34" s="183">
        <f>SUM(R24:R32)</f>
        <v>579400</v>
      </c>
      <c r="S34" s="183">
        <f>SUM(S24:S32)</f>
        <v>457726</v>
      </c>
      <c r="W34" s="183">
        <f>SUM(W24:W32)</f>
        <v>1031</v>
      </c>
      <c r="X34" s="183">
        <f>SUM(X24:X32)</f>
        <v>1215870</v>
      </c>
      <c r="Y34" s="183">
        <f>SUM(Y24:Y32)</f>
        <v>960537.3</v>
      </c>
    </row>
    <row r="35" spans="1:25" ht="13.5" thickBot="1">
      <c r="A35" s="186"/>
      <c r="B35" s="187"/>
      <c r="C35" s="111">
        <f>C34/($C$34+$D$34+$E$34)</f>
        <v>1</v>
      </c>
      <c r="D35" s="111">
        <f>D34/($C$34+$D$34+$E$34)</f>
        <v>0</v>
      </c>
      <c r="E35" s="116">
        <f>E34/($C$34+$D$34+$E$34)</f>
        <v>0</v>
      </c>
      <c r="K35" s="162"/>
      <c r="L35" s="799" t="s">
        <v>184</v>
      </c>
      <c r="M35" s="799"/>
      <c r="Q35" s="156">
        <f>480-Q34</f>
        <v>0</v>
      </c>
      <c r="R35" s="183">
        <f>+R34/Q34</f>
        <v>1207.0833333333333</v>
      </c>
      <c r="S35" s="183">
        <f>+S34/Q34</f>
        <v>953.5958333333333</v>
      </c>
      <c r="W35" s="156">
        <f>480-W34</f>
        <v>-551</v>
      </c>
      <c r="X35" s="183">
        <f>+X34/W34</f>
        <v>1179.3113482056256</v>
      </c>
      <c r="Y35" s="183">
        <f>+Y34/W34</f>
        <v>931.65596508244425</v>
      </c>
    </row>
    <row r="36" spans="1:25" ht="13.5" thickBot="1">
      <c r="A36" s="185"/>
      <c r="B36" s="185"/>
      <c r="C36" s="162"/>
      <c r="D36" s="162"/>
      <c r="E36" s="162"/>
      <c r="G36" s="162"/>
      <c r="H36" s="188"/>
      <c r="I36" s="169" t="s">
        <v>41</v>
      </c>
      <c r="J36" s="169" t="s">
        <v>42</v>
      </c>
      <c r="K36" s="189"/>
      <c r="L36" s="169" t="s">
        <v>41</v>
      </c>
      <c r="M36" s="169" t="s">
        <v>42</v>
      </c>
    </row>
    <row r="37" spans="1:25" ht="17.45" customHeight="1" thickBot="1">
      <c r="A37" s="797" t="s">
        <v>71</v>
      </c>
      <c r="B37" s="798"/>
      <c r="C37" s="169" t="s">
        <v>72</v>
      </c>
      <c r="D37" s="190" t="s">
        <v>73</v>
      </c>
      <c r="E37" s="191" t="s">
        <v>74</v>
      </c>
      <c r="F37" s="368"/>
      <c r="G37" s="370"/>
      <c r="H37" s="193" t="s">
        <v>75</v>
      </c>
      <c r="I37" s="251">
        <f>(15*1031+13.5*337+72*13)/1440*G42*2.75*1440/1000000</f>
        <v>54.118553230729162</v>
      </c>
      <c r="J37" s="132">
        <f>+I37+'20'!J37</f>
        <v>1058.8787428841192</v>
      </c>
      <c r="K37" s="133" t="s">
        <v>76</v>
      </c>
      <c r="L37" s="429"/>
      <c r="M37" s="430"/>
      <c r="N37" s="552" t="s">
        <v>584</v>
      </c>
      <c r="O37" s="156">
        <v>1179.3113482056256</v>
      </c>
      <c r="P37" s="156">
        <v>931.65596508244425</v>
      </c>
      <c r="Q37" s="156">
        <v>1031</v>
      </c>
    </row>
    <row r="38" spans="1:25" ht="17.45" customHeight="1">
      <c r="A38" s="793" t="s">
        <v>13</v>
      </c>
      <c r="B38" s="794"/>
      <c r="C38" s="171">
        <f>SUMIF($G$7:$G$31,"Process",$F$7:$F$31)</f>
        <v>42</v>
      </c>
      <c r="D38" s="125">
        <f>+C38+'20'!D38</f>
        <v>1071</v>
      </c>
      <c r="E38" s="150">
        <f t="shared" ref="E38:E51" si="8">D38/60</f>
        <v>17.850000000000001</v>
      </c>
      <c r="F38" s="368">
        <v>1180</v>
      </c>
      <c r="G38" s="368">
        <v>932.2</v>
      </c>
      <c r="H38" s="194" t="s">
        <v>77</v>
      </c>
      <c r="I38" s="551">
        <f>18.372+16.974+3.987+11.388+1.945</f>
        <v>52.666000000000004</v>
      </c>
      <c r="J38" s="134">
        <f>+I38+'20'!J38</f>
        <v>1001.074</v>
      </c>
      <c r="K38" s="135" t="s">
        <v>76</v>
      </c>
      <c r="L38" s="431"/>
      <c r="M38" s="432"/>
      <c r="N38" s="156" t="s">
        <v>408</v>
      </c>
      <c r="O38" s="156">
        <v>1210</v>
      </c>
      <c r="P38" s="156">
        <v>955.9</v>
      </c>
      <c r="Q38" s="156">
        <v>337</v>
      </c>
    </row>
    <row r="39" spans="1:25" ht="17.45" customHeight="1">
      <c r="A39" s="789" t="s">
        <v>14</v>
      </c>
      <c r="B39" s="790"/>
      <c r="C39" s="171">
        <f>SUMIF($G$7:$G$31,"Cleaning",$F$7:$F$31)</f>
        <v>6</v>
      </c>
      <c r="D39" s="125">
        <f>+C39+'20'!D39</f>
        <v>186</v>
      </c>
      <c r="E39" s="150">
        <f t="shared" si="8"/>
        <v>3.1</v>
      </c>
      <c r="F39" s="368">
        <v>1180</v>
      </c>
      <c r="G39" s="368">
        <v>932.2</v>
      </c>
      <c r="H39" s="194" t="s">
        <v>78</v>
      </c>
      <c r="I39" s="149"/>
      <c r="J39" s="136">
        <f>J37/G4</f>
        <v>50.42279728019615</v>
      </c>
      <c r="K39" s="137" t="s">
        <v>76</v>
      </c>
      <c r="L39" s="431"/>
      <c r="M39" s="432"/>
      <c r="N39" s="156" t="s">
        <v>704</v>
      </c>
      <c r="O39" s="156">
        <v>1230</v>
      </c>
      <c r="P39" s="156">
        <v>971.7</v>
      </c>
      <c r="Q39" s="156">
        <v>72</v>
      </c>
    </row>
    <row r="40" spans="1:25" ht="17.45" customHeight="1">
      <c r="A40" s="789" t="s">
        <v>79</v>
      </c>
      <c r="B40" s="790"/>
      <c r="C40" s="171">
        <f>SUMIF($G$7:$G$31,"Mechanical",$F$7:$F$31)</f>
        <v>0</v>
      </c>
      <c r="D40" s="125">
        <f>+C40+'20'!D40</f>
        <v>22</v>
      </c>
      <c r="E40" s="150">
        <f t="shared" si="8"/>
        <v>0.36666666666666664</v>
      </c>
      <c r="F40" s="368">
        <v>1207.0833333333333</v>
      </c>
      <c r="G40" s="368">
        <v>953.5958333333333</v>
      </c>
      <c r="H40" s="194" t="s">
        <v>80</v>
      </c>
      <c r="I40" s="125">
        <f>(K34+L34)/1000</f>
        <v>50.985999999999997</v>
      </c>
      <c r="J40" s="138">
        <f>+I40+'20'!J40</f>
        <v>971.70500000000004</v>
      </c>
      <c r="K40" s="137" t="s">
        <v>76</v>
      </c>
      <c r="L40" s="431"/>
      <c r="M40" s="432"/>
      <c r="Q40" s="156">
        <f>SUM(Q37:Q39)</f>
        <v>1440</v>
      </c>
    </row>
    <row r="41" spans="1:25" ht="17.45" customHeight="1">
      <c r="A41" s="789" t="s">
        <v>81</v>
      </c>
      <c r="B41" s="790"/>
      <c r="C41" s="171">
        <f>SUMIF($G$7:$G$31,"Electrical",$F$7:$F$31)</f>
        <v>0</v>
      </c>
      <c r="D41" s="125">
        <f>+C41+'20'!D41</f>
        <v>539</v>
      </c>
      <c r="E41" s="150">
        <f t="shared" si="8"/>
        <v>8.9833333333333325</v>
      </c>
      <c r="F41" s="368"/>
      <c r="G41" s="368"/>
      <c r="H41" s="194" t="s">
        <v>82</v>
      </c>
      <c r="I41" s="149"/>
      <c r="J41" s="136">
        <f>J40/G4</f>
        <v>46.271666666666668</v>
      </c>
      <c r="K41" s="137" t="s">
        <v>76</v>
      </c>
      <c r="L41" s="431"/>
      <c r="M41" s="432"/>
    </row>
    <row r="42" spans="1:25" ht="17.45" customHeight="1">
      <c r="A42" s="789" t="s">
        <v>17</v>
      </c>
      <c r="B42" s="790"/>
      <c r="C42" s="171">
        <f>SUMIF($G$7:$G$31,"Instrument",$F$7:$F$31)</f>
        <v>0</v>
      </c>
      <c r="D42" s="125">
        <f>+C42+'20'!D42</f>
        <v>0</v>
      </c>
      <c r="E42" s="150">
        <f t="shared" si="8"/>
        <v>0</v>
      </c>
      <c r="F42" s="368">
        <f>+(480*F38+480*F39+480*F40)/1440</f>
        <v>1189.0277777777778</v>
      </c>
      <c r="G42" s="368">
        <f>+(480*G38+480*G39+480*G40)/1440</f>
        <v>939.33194444444439</v>
      </c>
      <c r="H42" s="194" t="s">
        <v>83</v>
      </c>
      <c r="I42" s="253" t="s">
        <v>706</v>
      </c>
      <c r="J42" s="139"/>
      <c r="K42" s="137" t="s">
        <v>84</v>
      </c>
      <c r="L42" s="431"/>
      <c r="M42" s="432"/>
    </row>
    <row r="43" spans="1:25" ht="17.45" customHeight="1">
      <c r="A43" s="789" t="s">
        <v>85</v>
      </c>
      <c r="B43" s="790"/>
      <c r="C43" s="171">
        <f>SUMIF($G$7:$G$31,"Water",$F$7:$F$31)</f>
        <v>0</v>
      </c>
      <c r="D43" s="125">
        <f>+C43+'20'!D43</f>
        <v>0</v>
      </c>
      <c r="E43" s="150">
        <f t="shared" si="8"/>
        <v>0</v>
      </c>
      <c r="F43" s="368"/>
      <c r="G43" s="369"/>
      <c r="H43" s="195" t="s">
        <v>86</v>
      </c>
      <c r="I43" s="125">
        <f>+Report1!AH29</f>
        <v>67.8</v>
      </c>
      <c r="J43" s="140">
        <f>+I43+'20'!J43</f>
        <v>1335.8</v>
      </c>
      <c r="K43" s="137" t="s">
        <v>76</v>
      </c>
      <c r="L43" s="433">
        <f>+Report1!AN29</f>
        <v>0</v>
      </c>
      <c r="M43" s="434">
        <f>+L43+'20'!M43</f>
        <v>9</v>
      </c>
    </row>
    <row r="44" spans="1:25" ht="17.45" customHeight="1">
      <c r="A44" s="789" t="s">
        <v>18</v>
      </c>
      <c r="B44" s="790"/>
      <c r="C44" s="171">
        <f>SUMIF($G$7:$G$31,"PLN",$F$7:$F$31)</f>
        <v>0</v>
      </c>
      <c r="D44" s="125">
        <f>+C44+'20'!D44</f>
        <v>0</v>
      </c>
      <c r="E44" s="150">
        <f t="shared" si="8"/>
        <v>0</v>
      </c>
      <c r="F44" s="368"/>
      <c r="G44" s="369"/>
      <c r="H44" s="195" t="s">
        <v>87</v>
      </c>
      <c r="I44" s="125">
        <f>I43/I38</f>
        <v>1.2873580678236431</v>
      </c>
      <c r="J44" s="141">
        <f>J43/J38</f>
        <v>1.3343668899601828</v>
      </c>
      <c r="K44" s="137" t="s">
        <v>76</v>
      </c>
      <c r="L44" s="435">
        <f>+L43/I38</f>
        <v>0</v>
      </c>
      <c r="M44" s="436">
        <f>+M43/J38</f>
        <v>8.9903443701464629E-3</v>
      </c>
    </row>
    <row r="45" spans="1:25" ht="17.45" customHeight="1">
      <c r="A45" s="789" t="s">
        <v>19</v>
      </c>
      <c r="B45" s="790"/>
      <c r="C45" s="171">
        <f>SUMIF($G$7:$G$31,"Boiler",$F$7:$F$31)</f>
        <v>0</v>
      </c>
      <c r="D45" s="125">
        <f>+C45+'20'!D45</f>
        <v>0</v>
      </c>
      <c r="E45" s="150">
        <f t="shared" si="8"/>
        <v>0</v>
      </c>
      <c r="F45" s="368"/>
      <c r="G45" s="371"/>
      <c r="H45" s="195" t="s">
        <v>88</v>
      </c>
      <c r="I45" s="125">
        <f>I43/I40</f>
        <v>1.3297768014749147</v>
      </c>
      <c r="J45" s="141">
        <f>J43/J40</f>
        <v>1.374697053117973</v>
      </c>
      <c r="K45" s="137" t="s">
        <v>76</v>
      </c>
      <c r="L45" s="435">
        <f>+L43/I40</f>
        <v>0</v>
      </c>
      <c r="M45" s="436">
        <f>+M43/J40</f>
        <v>9.2620702785310358E-3</v>
      </c>
    </row>
    <row r="46" spans="1:25" ht="17.45" customHeight="1">
      <c r="A46" s="789" t="s">
        <v>89</v>
      </c>
      <c r="B46" s="790"/>
      <c r="C46" s="171">
        <f>SUMIF($G$7:$G$31,"Gas",$F$7:$F$31)</f>
        <v>0</v>
      </c>
      <c r="D46" s="125">
        <f>+C46+'20'!D46</f>
        <v>408</v>
      </c>
      <c r="E46" s="150">
        <f t="shared" si="8"/>
        <v>6.8</v>
      </c>
      <c r="F46" s="368"/>
      <c r="G46" s="369"/>
      <c r="H46" s="195" t="s">
        <v>90</v>
      </c>
      <c r="I46" s="147">
        <f>+SUMIF(Listrik!P28,"&gt;0")</f>
        <v>42495.37999999999</v>
      </c>
      <c r="J46" s="142">
        <f>+I46+'20'!J46</f>
        <v>845606.9</v>
      </c>
      <c r="K46" s="137" t="s">
        <v>91</v>
      </c>
      <c r="L46" s="435">
        <f>+Listrik!AF28</f>
        <v>0</v>
      </c>
      <c r="M46" s="437">
        <f>+L46+'20'!M46</f>
        <v>0</v>
      </c>
    </row>
    <row r="47" spans="1:25" ht="17.45" customHeight="1">
      <c r="A47" s="789" t="s">
        <v>92</v>
      </c>
      <c r="B47" s="790"/>
      <c r="C47" s="171">
        <f>SUMIF($G$7:$G$31,"Gas",$F$7:$F$31)</f>
        <v>0</v>
      </c>
      <c r="D47" s="125">
        <f>+C47+'20'!D47</f>
        <v>0</v>
      </c>
      <c r="E47" s="150">
        <f t="shared" si="8"/>
        <v>0</v>
      </c>
      <c r="F47" s="368"/>
      <c r="G47" s="369"/>
      <c r="H47" s="195" t="s">
        <v>93</v>
      </c>
      <c r="I47" s="125">
        <f>I46/I38</f>
        <v>806.88451752553806</v>
      </c>
      <c r="J47" s="142">
        <f>J46/J38</f>
        <v>844.69969253022259</v>
      </c>
      <c r="K47" s="137" t="s">
        <v>25</v>
      </c>
      <c r="L47" s="435">
        <f>+L46/I38</f>
        <v>0</v>
      </c>
      <c r="M47" s="436">
        <f>+M46/J38</f>
        <v>0</v>
      </c>
    </row>
    <row r="48" spans="1:25" ht="17.45" customHeight="1">
      <c r="A48" s="789" t="s">
        <v>15</v>
      </c>
      <c r="B48" s="790"/>
      <c r="C48" s="171">
        <f>SUMIF($G$7:$G$31,"Start Up",$F$7:$F$31)</f>
        <v>0</v>
      </c>
      <c r="D48" s="125">
        <f>+C48+'20'!D48</f>
        <v>0</v>
      </c>
      <c r="E48" s="150">
        <f t="shared" si="8"/>
        <v>0</v>
      </c>
      <c r="F48" s="368"/>
      <c r="G48" s="369"/>
      <c r="H48" s="195" t="s">
        <v>94</v>
      </c>
      <c r="I48" s="125">
        <f>I46/I40</f>
        <v>833.47154120739015</v>
      </c>
      <c r="J48" s="142">
        <f>J46/J40</f>
        <v>870.23005953452946</v>
      </c>
      <c r="K48" s="137" t="s">
        <v>25</v>
      </c>
      <c r="L48" s="435">
        <f>+L46/I38</f>
        <v>0</v>
      </c>
      <c r="M48" s="436">
        <f>+M46/J40</f>
        <v>0</v>
      </c>
    </row>
    <row r="49" spans="1:13" ht="17.45" customHeight="1">
      <c r="A49" s="810" t="s">
        <v>21</v>
      </c>
      <c r="B49" s="790"/>
      <c r="C49" s="171">
        <f>SUMIF($G$7:$G$31,"Others",$F$7:$F$31)</f>
        <v>0</v>
      </c>
      <c r="D49" s="125">
        <f>+C49+'20'!D49</f>
        <v>480</v>
      </c>
      <c r="E49" s="150">
        <f t="shared" si="8"/>
        <v>8</v>
      </c>
      <c r="F49" s="192"/>
      <c r="H49" s="195" t="s">
        <v>95</v>
      </c>
      <c r="I49" s="125">
        <f>+Report1!AB29</f>
        <v>5439.9797719945491</v>
      </c>
      <c r="J49" s="142">
        <f>+I49+'20'!J49</f>
        <v>102120.96287417776</v>
      </c>
      <c r="K49" s="137" t="s">
        <v>96</v>
      </c>
      <c r="L49" s="431"/>
      <c r="M49" s="432"/>
    </row>
    <row r="50" spans="1:13" ht="17.45" customHeight="1">
      <c r="A50" s="789" t="s">
        <v>20</v>
      </c>
      <c r="B50" s="790"/>
      <c r="C50" s="171">
        <f>SUMIF($G$7:$G$31,"Steam",$F$7:$F$31)</f>
        <v>0</v>
      </c>
      <c r="D50" s="125">
        <f>+C50+'20'!D50</f>
        <v>0</v>
      </c>
      <c r="E50" s="150">
        <f t="shared" si="8"/>
        <v>0</v>
      </c>
      <c r="F50" s="192"/>
      <c r="H50" s="195" t="s">
        <v>97</v>
      </c>
      <c r="I50" s="147">
        <f>I49/I38</f>
        <v>103.29206265891749</v>
      </c>
      <c r="J50" s="140">
        <f>J49/J38</f>
        <v>102.01140262775556</v>
      </c>
      <c r="K50" s="137" t="s">
        <v>96</v>
      </c>
      <c r="L50" s="431"/>
      <c r="M50" s="432"/>
    </row>
    <row r="51" spans="1:13" ht="17.45" customHeight="1" thickBot="1">
      <c r="A51" s="791" t="s">
        <v>98</v>
      </c>
      <c r="B51" s="792"/>
      <c r="C51" s="171">
        <f>SUMIF($G$7:$G$31,"Planned shut",$F$7:$F$31)</f>
        <v>0</v>
      </c>
      <c r="D51" s="125">
        <f>+C51+'20'!D51</f>
        <v>394</v>
      </c>
      <c r="E51" s="150">
        <f t="shared" si="8"/>
        <v>6.5666666666666664</v>
      </c>
      <c r="F51" s="192"/>
      <c r="H51" s="197" t="s">
        <v>99</v>
      </c>
      <c r="I51" s="148">
        <f>I49/I40</f>
        <v>106.69555901609363</v>
      </c>
      <c r="J51" s="143">
        <f>J49/J40</f>
        <v>105.0946150057659</v>
      </c>
      <c r="K51" s="144" t="s">
        <v>96</v>
      </c>
      <c r="L51" s="431"/>
      <c r="M51" s="432"/>
    </row>
    <row r="52" spans="1:13" ht="13.5" thickBot="1">
      <c r="A52" s="793" t="s">
        <v>29</v>
      </c>
      <c r="B52" s="794"/>
      <c r="C52" s="151">
        <f>SUM(C38:C51)</f>
        <v>48</v>
      </c>
      <c r="D52" s="151">
        <f>SUM(D38:D51)</f>
        <v>3100</v>
      </c>
      <c r="E52" s="152">
        <f>SUM(E38:E51)</f>
        <v>51.666666666666671</v>
      </c>
      <c r="F52" s="192"/>
      <c r="H52" s="198"/>
      <c r="I52" s="199"/>
      <c r="J52" s="145"/>
      <c r="K52" s="146"/>
      <c r="L52" s="438"/>
      <c r="M52" s="439"/>
    </row>
    <row r="53" spans="1:13" ht="13.5" thickBot="1">
      <c r="A53" s="795"/>
      <c r="B53" s="796"/>
      <c r="C53" s="153">
        <f>C52/(24*60)</f>
        <v>3.3333333333333333E-2</v>
      </c>
      <c r="D53" s="153">
        <f>D52/(24*60*G4)</f>
        <v>0.10251322751322751</v>
      </c>
      <c r="E53" s="154">
        <f>E52/(G4*24)</f>
        <v>0.10251322751322753</v>
      </c>
      <c r="F53" s="192"/>
    </row>
    <row r="54" spans="1:13">
      <c r="E54" s="200"/>
      <c r="F54" s="192"/>
    </row>
    <row r="55" spans="1:13">
      <c r="E55" s="200"/>
    </row>
    <row r="56" spans="1:13">
      <c r="A56" s="201" t="s">
        <v>100</v>
      </c>
      <c r="B56" s="202"/>
      <c r="C56" s="203"/>
      <c r="D56" s="203"/>
      <c r="E56" s="203"/>
      <c r="F56" s="204"/>
      <c r="G56" s="203"/>
      <c r="H56" s="205"/>
      <c r="I56" s="206" t="s">
        <v>101</v>
      </c>
      <c r="J56" s="207">
        <f>+D34+'20'!J56</f>
        <v>5317</v>
      </c>
      <c r="K56" s="208">
        <f>J56/(J40+J56/1000)/1000</f>
        <v>5.4420473643377529E-3</v>
      </c>
    </row>
    <row r="57" spans="1:13">
      <c r="A57" s="183"/>
      <c r="I57" s="206" t="s">
        <v>102</v>
      </c>
      <c r="J57" s="207">
        <f>+E34+'20'!J57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S61"/>
  <sheetViews>
    <sheetView view="pageBreakPreview" zoomScale="80" zoomScaleNormal="80" zoomScaleSheetLayoutView="80" workbookViewId="0">
      <selection activeCell="C46" sqref="C46"/>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0.140625" style="156" customWidth="1"/>
    <col min="11" max="11" width="12.5703125" style="156" bestFit="1" customWidth="1"/>
    <col min="12" max="12" width="10" style="156" customWidth="1"/>
    <col min="13" max="13" width="14.140625" style="156" customWidth="1"/>
    <col min="14" max="16384" width="9.140625" style="156"/>
  </cols>
  <sheetData>
    <row r="1" spans="1:19" ht="15.75">
      <c r="A1" s="155"/>
    </row>
    <row r="2" spans="1:19" ht="15.75">
      <c r="A2" s="155" t="s">
        <v>183</v>
      </c>
    </row>
    <row r="3" spans="1:19" ht="15">
      <c r="A3" s="157"/>
    </row>
    <row r="4" spans="1:19" ht="20.25">
      <c r="A4" s="158" t="s">
        <v>5</v>
      </c>
      <c r="B4" s="159"/>
      <c r="F4" s="160" t="s">
        <v>30</v>
      </c>
      <c r="G4" s="161">
        <v>20</v>
      </c>
      <c r="H4" s="161" t="str">
        <f>+'1'!H4</f>
        <v>.01.26</v>
      </c>
      <c r="J4" s="156">
        <f>1125.9+1113.1+1179.6</f>
        <v>3418.6</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584</v>
      </c>
      <c r="O6" s="156">
        <v>1180</v>
      </c>
      <c r="P6" s="156">
        <f>+O6-(O6*0.21)</f>
        <v>932.2</v>
      </c>
      <c r="Q6" s="156">
        <v>480</v>
      </c>
      <c r="R6" s="156">
        <f t="shared" ref="R6:R8" si="0">+O6*Q6</f>
        <v>566400</v>
      </c>
      <c r="S6" s="156">
        <f t="shared" ref="S6:S8" si="1">+P6*Q6</f>
        <v>447456</v>
      </c>
    </row>
    <row r="7" spans="1:19" ht="13.5" customHeight="1" thickBot="1">
      <c r="A7" s="800" t="s">
        <v>440</v>
      </c>
      <c r="B7" s="222" t="s">
        <v>604</v>
      </c>
      <c r="C7" s="223">
        <v>18326</v>
      </c>
      <c r="D7" s="224"/>
      <c r="E7" s="225"/>
      <c r="F7" s="235"/>
      <c r="G7" s="236" t="s">
        <v>13</v>
      </c>
      <c r="H7" s="237" t="s">
        <v>386</v>
      </c>
      <c r="I7" s="803" t="s">
        <v>697</v>
      </c>
      <c r="J7" s="221" t="str">
        <f>+'19'!J7</f>
        <v>T 13,5 RC HW</v>
      </c>
      <c r="K7" s="245"/>
      <c r="L7" s="249"/>
      <c r="M7" s="124">
        <f>+K7+'19'!M7+L7</f>
        <v>221342</v>
      </c>
      <c r="O7" s="156">
        <v>1200</v>
      </c>
      <c r="P7" s="156">
        <f t="shared" ref="P7:P8" si="2">+O7-(O7*0.21)</f>
        <v>948</v>
      </c>
      <c r="Q7" s="156">
        <v>480</v>
      </c>
      <c r="R7" s="156">
        <f t="shared" si="0"/>
        <v>576000</v>
      </c>
      <c r="S7" s="156">
        <f t="shared" si="1"/>
        <v>455040</v>
      </c>
    </row>
    <row r="8" spans="1:19" ht="13.5" thickBot="1">
      <c r="A8" s="801"/>
      <c r="B8" s="222"/>
      <c r="C8" s="223"/>
      <c r="D8" s="224"/>
      <c r="E8" s="226"/>
      <c r="F8" s="238">
        <v>8</v>
      </c>
      <c r="G8" s="582" t="s">
        <v>13</v>
      </c>
      <c r="H8" s="237" t="s">
        <v>415</v>
      </c>
      <c r="I8" s="804"/>
      <c r="J8" s="221" t="str">
        <f>+'19'!J8</f>
        <v>T 14,5 RC HW</v>
      </c>
      <c r="K8" s="246"/>
      <c r="L8" s="246"/>
      <c r="M8" s="124">
        <f>+K8+'19'!M8+L8</f>
        <v>57466</v>
      </c>
      <c r="O8" s="156">
        <v>1170</v>
      </c>
      <c r="P8" s="156">
        <f t="shared" si="2"/>
        <v>924.3</v>
      </c>
      <c r="Q8" s="156">
        <v>480</v>
      </c>
      <c r="R8" s="156">
        <f t="shared" si="0"/>
        <v>561600</v>
      </c>
      <c r="S8" s="156">
        <f t="shared" si="1"/>
        <v>443664</v>
      </c>
    </row>
    <row r="9" spans="1:19" ht="13.5" thickBot="1">
      <c r="A9" s="801"/>
      <c r="B9" s="222"/>
      <c r="C9" s="223"/>
      <c r="D9" s="224"/>
      <c r="E9" s="227"/>
      <c r="F9" s="235">
        <v>12</v>
      </c>
      <c r="G9" s="582" t="s">
        <v>13</v>
      </c>
      <c r="H9" s="240" t="s">
        <v>413</v>
      </c>
      <c r="I9" s="804"/>
      <c r="J9" s="221" t="str">
        <f>+'19'!J9</f>
        <v>TW 17 RC HW</v>
      </c>
      <c r="K9" s="246"/>
      <c r="L9" s="246"/>
      <c r="M9" s="124">
        <f>+K9+'19'!M9+L9</f>
        <v>24830</v>
      </c>
    </row>
    <row r="10" spans="1:19" ht="26.25" thickBot="1">
      <c r="A10" s="801"/>
      <c r="B10" s="222"/>
      <c r="C10" s="223"/>
      <c r="D10" s="224"/>
      <c r="E10" s="226"/>
      <c r="F10" s="235"/>
      <c r="G10" s="244" t="s">
        <v>14</v>
      </c>
      <c r="H10" s="240" t="s">
        <v>695</v>
      </c>
      <c r="I10" s="804"/>
      <c r="J10" s="221" t="str">
        <f>+'19'!J10</f>
        <v>TW 22 RC HW</v>
      </c>
      <c r="K10" s="246"/>
      <c r="L10" s="246"/>
      <c r="M10" s="124">
        <f>+K10+'19'!M10+L10</f>
        <v>24459</v>
      </c>
    </row>
    <row r="11" spans="1:19" ht="13.5" thickBot="1">
      <c r="A11" s="801"/>
      <c r="B11" s="222"/>
      <c r="C11" s="223"/>
      <c r="D11" s="224"/>
      <c r="E11" s="226"/>
      <c r="F11" s="235"/>
      <c r="G11" s="239"/>
      <c r="H11" s="240" t="s">
        <v>696</v>
      </c>
      <c r="I11" s="804"/>
      <c r="J11" s="221" t="str">
        <f>+'19'!J11</f>
        <v>TW 14 RC HW</v>
      </c>
      <c r="K11" s="246"/>
      <c r="L11" s="246"/>
      <c r="M11" s="124">
        <f>+K11+'19'!M11+L11</f>
        <v>8043</v>
      </c>
    </row>
    <row r="12" spans="1:19" ht="13.5" thickBot="1">
      <c r="A12" s="801"/>
      <c r="B12" s="222"/>
      <c r="C12" s="223"/>
      <c r="D12" s="224"/>
      <c r="E12" s="226"/>
      <c r="F12" s="235"/>
      <c r="G12" s="239"/>
      <c r="H12" s="240"/>
      <c r="I12" s="804"/>
      <c r="J12" s="221" t="str">
        <f>+'19'!J12</f>
        <v>TW 29 RC HW</v>
      </c>
      <c r="K12" s="246"/>
      <c r="L12" s="246"/>
      <c r="M12" s="124">
        <f>+K12+'19'!M12+L12</f>
        <v>21439</v>
      </c>
    </row>
    <row r="13" spans="1:19" ht="13.5" thickBot="1">
      <c r="A13" s="801"/>
      <c r="B13" s="222"/>
      <c r="C13" s="223"/>
      <c r="D13" s="223"/>
      <c r="E13" s="226"/>
      <c r="F13" s="235"/>
      <c r="G13" s="239"/>
      <c r="H13" s="240"/>
      <c r="I13" s="805"/>
      <c r="J13" s="221" t="str">
        <f>+'19'!J13</f>
        <v>TW 35,5 RC HW</v>
      </c>
      <c r="K13" s="246"/>
      <c r="L13" s="246"/>
      <c r="M13" s="124">
        <f>+K13+'19'!M13+L13</f>
        <v>2193</v>
      </c>
    </row>
    <row r="14" spans="1:19" ht="13.5" thickBot="1">
      <c r="A14" s="802"/>
      <c r="B14" s="172" t="s">
        <v>3</v>
      </c>
      <c r="C14" s="106">
        <f>SUM(C7:C13)</f>
        <v>18326</v>
      </c>
      <c r="D14" s="118">
        <f>SUM(D7:D13)</f>
        <v>0</v>
      </c>
      <c r="E14" s="119">
        <f>SUM(E5:E13)</f>
        <v>0</v>
      </c>
      <c r="F14" s="109">
        <f>SUM(F6:F13)</f>
        <v>20</v>
      </c>
      <c r="G14" s="166"/>
      <c r="H14" s="173"/>
      <c r="I14" s="174"/>
      <c r="J14" s="221" t="str">
        <f>+'19'!J14</f>
        <v>N 15,5 RC HW</v>
      </c>
      <c r="K14" s="246"/>
      <c r="L14" s="246"/>
      <c r="M14" s="124">
        <f>+K14+'19'!M14+L14</f>
        <v>46927</v>
      </c>
    </row>
    <row r="15" spans="1:19" ht="13.5" customHeight="1" thickBot="1">
      <c r="A15" s="800" t="s">
        <v>423</v>
      </c>
      <c r="B15" s="172"/>
      <c r="C15" s="120">
        <f>C14/($C$23+$D$23+$E$23)</f>
        <v>0.93926502998308647</v>
      </c>
      <c r="D15" s="121">
        <f>D14/($C$23+$D$23+$E$23)</f>
        <v>0</v>
      </c>
      <c r="E15" s="122">
        <f>E14/($C$23+$D$23+$E$23)</f>
        <v>0</v>
      </c>
      <c r="F15" s="235"/>
      <c r="G15" s="236" t="s">
        <v>13</v>
      </c>
      <c r="H15" s="237" t="s">
        <v>386</v>
      </c>
      <c r="I15" s="803" t="s">
        <v>698</v>
      </c>
      <c r="J15" s="221" t="str">
        <f>+'19'!J15</f>
        <v>F 14 RC HW</v>
      </c>
      <c r="K15" s="246"/>
      <c r="L15" s="246"/>
      <c r="M15" s="124">
        <f>+K15+'19'!M15+L15</f>
        <v>4620</v>
      </c>
    </row>
    <row r="16" spans="1:19" ht="13.5" thickBot="1">
      <c r="A16" s="811"/>
      <c r="B16" s="222" t="s">
        <v>604</v>
      </c>
      <c r="C16" s="229">
        <v>19511</v>
      </c>
      <c r="D16" s="230"/>
      <c r="E16" s="231"/>
      <c r="F16" s="238">
        <v>3</v>
      </c>
      <c r="G16" s="582" t="s">
        <v>13</v>
      </c>
      <c r="H16" s="237" t="s">
        <v>415</v>
      </c>
      <c r="I16" s="804"/>
      <c r="J16" s="221" t="str">
        <f>+'19'!J16</f>
        <v>T 15 RC HW</v>
      </c>
      <c r="K16" s="236">
        <f>+C34</f>
        <v>54661</v>
      </c>
      <c r="L16" s="236"/>
      <c r="M16" s="124">
        <f>+K16+'19'!M16+L16</f>
        <v>328045</v>
      </c>
      <c r="Q16" s="183">
        <f>SUM(Q6:Q14)</f>
        <v>1440</v>
      </c>
      <c r="R16" s="183">
        <f>SUM(R6:R14)</f>
        <v>1704000</v>
      </c>
      <c r="S16" s="183">
        <f>SUM(S6:S14)</f>
        <v>1346160</v>
      </c>
    </row>
    <row r="17" spans="1:19" ht="13.5" thickBot="1">
      <c r="A17" s="811"/>
      <c r="B17" s="222"/>
      <c r="C17" s="223"/>
      <c r="D17" s="224"/>
      <c r="E17" s="232"/>
      <c r="F17" s="235">
        <v>4</v>
      </c>
      <c r="G17" s="582" t="s">
        <v>13</v>
      </c>
      <c r="H17" s="240" t="s">
        <v>395</v>
      </c>
      <c r="I17" s="804"/>
      <c r="J17" s="221" t="str">
        <f>+'19'!J17</f>
        <v>T 14 RC HW</v>
      </c>
      <c r="K17" s="236"/>
      <c r="L17" s="236"/>
      <c r="M17" s="124">
        <f>+K17+'19'!M17+L17</f>
        <v>118045</v>
      </c>
      <c r="Q17" s="156">
        <f>480-Q16</f>
        <v>-960</v>
      </c>
      <c r="R17" s="183">
        <f>+R16/Q16</f>
        <v>1183.3333333333333</v>
      </c>
      <c r="S17" s="183">
        <f>+S16/Q16</f>
        <v>934.83333333333337</v>
      </c>
    </row>
    <row r="18" spans="1:19" ht="26.25" thickBot="1">
      <c r="A18" s="811"/>
      <c r="B18" s="222"/>
      <c r="C18" s="223"/>
      <c r="D18" s="224"/>
      <c r="E18" s="232"/>
      <c r="F18" s="235"/>
      <c r="G18" s="244" t="s">
        <v>14</v>
      </c>
      <c r="H18" s="240" t="s">
        <v>694</v>
      </c>
      <c r="I18" s="804"/>
      <c r="J18" s="221" t="str">
        <f>+'19'!J18</f>
        <v>T 16 RC HW</v>
      </c>
      <c r="K18" s="246"/>
      <c r="L18" s="246"/>
      <c r="M18" s="124">
        <f>+K18+'19'!M18+L18</f>
        <v>17950</v>
      </c>
    </row>
    <row r="19" spans="1:19" ht="13.5" thickBot="1">
      <c r="A19" s="811"/>
      <c r="B19" s="222"/>
      <c r="C19" s="223"/>
      <c r="D19" s="224"/>
      <c r="E19" s="232"/>
      <c r="F19" s="242"/>
      <c r="G19" s="239"/>
      <c r="H19" s="240"/>
      <c r="I19" s="804"/>
      <c r="J19" s="221" t="str">
        <f>+'19'!J19</f>
        <v>T 18 RC HW</v>
      </c>
      <c r="K19" s="246"/>
      <c r="L19" s="246"/>
      <c r="M19" s="124">
        <f>+K19+'19'!M19+L19</f>
        <v>32713</v>
      </c>
    </row>
    <row r="20" spans="1:19" ht="13.5" thickBot="1">
      <c r="A20" s="811"/>
      <c r="B20" s="222"/>
      <c r="C20" s="223"/>
      <c r="D20" s="224"/>
      <c r="E20" s="232"/>
      <c r="F20" s="235"/>
      <c r="G20" s="239"/>
      <c r="H20" s="240"/>
      <c r="I20" s="804"/>
      <c r="J20" s="221" t="str">
        <f>+'19'!J20</f>
        <v>T 20 RC HW</v>
      </c>
      <c r="K20" s="247"/>
      <c r="L20" s="247"/>
      <c r="M20" s="124">
        <f>+K20+'19'!M20+L20</f>
        <v>12647</v>
      </c>
    </row>
    <row r="21" spans="1:19" ht="13.5" thickBot="1">
      <c r="A21" s="811"/>
      <c r="B21" s="222"/>
      <c r="C21" s="223"/>
      <c r="D21" s="224"/>
      <c r="E21" s="232"/>
      <c r="F21" s="238"/>
      <c r="G21" s="239"/>
      <c r="H21" s="240"/>
      <c r="I21" s="804"/>
      <c r="J21" s="221">
        <f>+'19'!J21</f>
        <v>0</v>
      </c>
      <c r="K21" s="247"/>
      <c r="L21" s="247"/>
      <c r="M21" s="124">
        <f>+K21+'19'!M21+L21</f>
        <v>0</v>
      </c>
    </row>
    <row r="22" spans="1:19" ht="13.5" thickBot="1">
      <c r="A22" s="811"/>
      <c r="B22" s="222"/>
      <c r="C22" s="223"/>
      <c r="D22" s="224"/>
      <c r="E22" s="232"/>
      <c r="F22" s="243"/>
      <c r="G22" s="239"/>
      <c r="H22" s="240"/>
      <c r="I22" s="805"/>
      <c r="J22" s="221">
        <f>+'19'!J22</f>
        <v>0</v>
      </c>
      <c r="K22" s="247"/>
      <c r="L22" s="247"/>
      <c r="M22" s="124">
        <f>+K22+'19'!M22+L22</f>
        <v>0</v>
      </c>
    </row>
    <row r="23" spans="1:19" ht="13.5" thickBot="1">
      <c r="A23" s="812"/>
      <c r="B23" s="172" t="s">
        <v>3</v>
      </c>
      <c r="C23" s="107">
        <f>SUM(C16:C22)</f>
        <v>19511</v>
      </c>
      <c r="D23" s="118">
        <f>SUM(D16:D22)</f>
        <v>0</v>
      </c>
      <c r="E23" s="119">
        <f>SUM(E18:E22)</f>
        <v>0</v>
      </c>
      <c r="F23" s="109">
        <f>SUM(F15:F22)</f>
        <v>7</v>
      </c>
      <c r="G23" s="166"/>
      <c r="H23" s="173"/>
      <c r="I23" s="176"/>
      <c r="J23" s="221">
        <f>+'19'!J23</f>
        <v>0</v>
      </c>
      <c r="K23" s="247"/>
      <c r="L23" s="247"/>
      <c r="M23" s="124">
        <f>+K23+'19'!M23+L23</f>
        <v>0</v>
      </c>
    </row>
    <row r="24" spans="1:19" ht="13.5" customHeight="1" thickBot="1">
      <c r="A24" s="800" t="s">
        <v>425</v>
      </c>
      <c r="B24" s="177"/>
      <c r="C24" s="120">
        <f>C23/($C$23+$D$23+$E$23)</f>
        <v>1</v>
      </c>
      <c r="D24" s="121">
        <f>D23/($C$23+$D$23+$E$23)</f>
        <v>0</v>
      </c>
      <c r="E24" s="122">
        <f>E23/($C$23+$D$23+$E$23)</f>
        <v>0</v>
      </c>
      <c r="F24" s="235"/>
      <c r="G24" s="236" t="s">
        <v>13</v>
      </c>
      <c r="H24" s="237" t="s">
        <v>386</v>
      </c>
      <c r="I24" s="803" t="s">
        <v>699</v>
      </c>
      <c r="J24" s="221">
        <f>+'19'!J24</f>
        <v>0</v>
      </c>
      <c r="K24" s="247"/>
      <c r="L24" s="247"/>
      <c r="M24" s="124">
        <f>+K24+'19'!M24+L24</f>
        <v>0</v>
      </c>
    </row>
    <row r="25" spans="1:19" ht="13.5" thickBot="1">
      <c r="A25" s="811"/>
      <c r="B25" s="222" t="s">
        <v>604</v>
      </c>
      <c r="C25" s="233">
        <v>16824</v>
      </c>
      <c r="D25" s="224"/>
      <c r="E25" s="232"/>
      <c r="F25" s="238">
        <v>4</v>
      </c>
      <c r="G25" s="582" t="s">
        <v>13</v>
      </c>
      <c r="H25" s="237" t="s">
        <v>415</v>
      </c>
      <c r="I25" s="804"/>
      <c r="J25" s="221">
        <f>+'19'!J25</f>
        <v>0</v>
      </c>
      <c r="K25" s="247"/>
      <c r="L25" s="247"/>
      <c r="M25" s="124">
        <f>+K25+'19'!M25+L25</f>
        <v>0</v>
      </c>
    </row>
    <row r="26" spans="1:19" ht="13.5" thickBot="1">
      <c r="A26" s="811"/>
      <c r="B26" s="222"/>
      <c r="C26" s="233"/>
      <c r="D26" s="224"/>
      <c r="E26" s="234"/>
      <c r="F26" s="235">
        <v>5</v>
      </c>
      <c r="G26" s="582" t="s">
        <v>13</v>
      </c>
      <c r="H26" s="240" t="s">
        <v>395</v>
      </c>
      <c r="I26" s="804"/>
      <c r="J26" s="221">
        <f>+'19'!J26</f>
        <v>0</v>
      </c>
      <c r="K26" s="247"/>
      <c r="L26" s="247"/>
      <c r="M26" s="124">
        <f>+K26+'19'!M26+L26</f>
        <v>0</v>
      </c>
    </row>
    <row r="27" spans="1:19" ht="26.25" thickBot="1">
      <c r="A27" s="811"/>
      <c r="B27" s="222"/>
      <c r="C27" s="223"/>
      <c r="D27" s="224"/>
      <c r="E27" s="232"/>
      <c r="F27" s="235">
        <v>6</v>
      </c>
      <c r="G27" s="244" t="s">
        <v>14</v>
      </c>
      <c r="H27" s="240" t="s">
        <v>692</v>
      </c>
      <c r="I27" s="804"/>
      <c r="J27" s="221">
        <f>+'19'!J27</f>
        <v>0</v>
      </c>
      <c r="K27" s="247"/>
      <c r="L27" s="247"/>
      <c r="M27" s="124">
        <f>+K27+'19'!M27+L27</f>
        <v>0</v>
      </c>
    </row>
    <row r="28" spans="1:19" ht="64.5" thickBot="1">
      <c r="A28" s="811"/>
      <c r="B28" s="222"/>
      <c r="C28" s="223"/>
      <c r="D28" s="224"/>
      <c r="E28" s="232"/>
      <c r="F28" s="238"/>
      <c r="G28" s="239"/>
      <c r="H28" s="240" t="s">
        <v>693</v>
      </c>
      <c r="I28" s="804"/>
      <c r="J28" s="221">
        <f>+'19'!J28</f>
        <v>0</v>
      </c>
      <c r="K28" s="247"/>
      <c r="L28" s="247"/>
      <c r="M28" s="124">
        <f>+K28+'19'!M28+L28</f>
        <v>0</v>
      </c>
    </row>
    <row r="29" spans="1:19" ht="13.5" thickBot="1">
      <c r="A29" s="811"/>
      <c r="B29" s="222"/>
      <c r="C29" s="223"/>
      <c r="D29" s="224"/>
      <c r="E29" s="232"/>
      <c r="F29" s="243"/>
      <c r="G29" s="239"/>
      <c r="H29" s="240"/>
      <c r="I29" s="804"/>
      <c r="J29" s="221">
        <f>+'19'!J29</f>
        <v>0</v>
      </c>
      <c r="K29" s="247"/>
      <c r="L29" s="247"/>
      <c r="M29" s="124">
        <f>+K29+'19'!M29+L29</f>
        <v>0</v>
      </c>
    </row>
    <row r="30" spans="1:19" ht="13.5" thickBot="1">
      <c r="A30" s="811"/>
      <c r="B30" s="222"/>
      <c r="C30" s="233"/>
      <c r="D30" s="224"/>
      <c r="E30" s="232"/>
      <c r="F30" s="243"/>
      <c r="G30" s="239"/>
      <c r="H30" s="240"/>
      <c r="I30" s="804"/>
      <c r="J30" s="221">
        <f>+'19'!J30</f>
        <v>0</v>
      </c>
      <c r="K30" s="246"/>
      <c r="L30" s="246"/>
      <c r="M30" s="124">
        <f>+K30+'19'!M30+L30</f>
        <v>0</v>
      </c>
      <c r="N30" s="162"/>
    </row>
    <row r="31" spans="1:19" ht="13.5" thickBot="1">
      <c r="A31" s="811"/>
      <c r="B31" s="222"/>
      <c r="C31" s="233"/>
      <c r="D31" s="224"/>
      <c r="E31" s="232"/>
      <c r="F31" s="243"/>
      <c r="G31" s="244"/>
      <c r="H31" s="241"/>
      <c r="I31" s="805"/>
      <c r="J31" s="221">
        <f>+'19'!J31</f>
        <v>0</v>
      </c>
      <c r="K31" s="246"/>
      <c r="L31" s="246"/>
      <c r="M31" s="124">
        <f>+K31+'19'!M31+L31</f>
        <v>0</v>
      </c>
    </row>
    <row r="32" spans="1:19" ht="13.5" thickBot="1">
      <c r="A32" s="812"/>
      <c r="B32" s="172" t="s">
        <v>3</v>
      </c>
      <c r="C32" s="106">
        <f>SUM(C25:C31)</f>
        <v>16824</v>
      </c>
      <c r="D32" s="107">
        <f>SUM(D25:D31)</f>
        <v>0</v>
      </c>
      <c r="E32" s="108">
        <f>SUM(E25:E31)</f>
        <v>0</v>
      </c>
      <c r="F32" s="109">
        <f>SUM(F24:F31)</f>
        <v>15</v>
      </c>
      <c r="G32" s="178"/>
      <c r="H32" s="179"/>
      <c r="I32" s="176"/>
      <c r="J32" s="221">
        <f>+'19'!J32</f>
        <v>0</v>
      </c>
      <c r="K32" s="248"/>
      <c r="L32" s="250"/>
      <c r="M32" s="124">
        <f>+K32+'19'!M32+L32</f>
        <v>0</v>
      </c>
    </row>
    <row r="33" spans="1:13" ht="13.5" thickBot="1">
      <c r="A33" s="180"/>
      <c r="B33" s="181"/>
      <c r="C33" s="110">
        <f>C32/($C$32+$D$32+$E$32)</f>
        <v>1</v>
      </c>
      <c r="D33" s="111">
        <f>D32/($C$32+$D$32+$E$32)</f>
        <v>0</v>
      </c>
      <c r="E33" s="112">
        <f>E32/($C$32+$D$32+$E$32)</f>
        <v>0</v>
      </c>
      <c r="F33" s="113"/>
      <c r="G33" s="182"/>
      <c r="H33" s="183"/>
      <c r="I33" s="184"/>
      <c r="J33" s="128"/>
      <c r="K33" s="129"/>
      <c r="L33" s="220"/>
      <c r="M33" s="126"/>
    </row>
    <row r="34" spans="1:13" ht="13.5" thickBot="1">
      <c r="A34" s="808" t="s">
        <v>70</v>
      </c>
      <c r="B34" s="809"/>
      <c r="C34" s="114">
        <f>C14+C23+C32</f>
        <v>54661</v>
      </c>
      <c r="D34" s="114">
        <f>D14+D23+D32</f>
        <v>0</v>
      </c>
      <c r="E34" s="114">
        <f>E14+E23+E32</f>
        <v>0</v>
      </c>
      <c r="F34" s="115">
        <f>F14+F23+F32</f>
        <v>42</v>
      </c>
      <c r="H34" s="185"/>
      <c r="I34" s="185"/>
      <c r="J34" s="130" t="s">
        <v>29</v>
      </c>
      <c r="K34" s="131">
        <f>SUM(K7:K32)</f>
        <v>54661</v>
      </c>
      <c r="L34" s="219">
        <f>SUM(L7:L32)</f>
        <v>0</v>
      </c>
      <c r="M34" s="127">
        <f>SUM(M7:M32)</f>
        <v>920719</v>
      </c>
    </row>
    <row r="35" spans="1:13" ht="13.5" thickBot="1">
      <c r="A35" s="186"/>
      <c r="B35" s="187"/>
      <c r="C35" s="111">
        <f>C34/($C$34+$D$34+$E$34)</f>
        <v>1</v>
      </c>
      <c r="D35" s="111">
        <f>D34/($C$34+$D$34+$E$34)</f>
        <v>0</v>
      </c>
      <c r="E35" s="116">
        <f>E34/($C$34+$D$34+$E$34)</f>
        <v>0</v>
      </c>
      <c r="K35" s="162"/>
      <c r="L35" s="799" t="s">
        <v>184</v>
      </c>
      <c r="M35" s="799"/>
    </row>
    <row r="36" spans="1:13" ht="13.5" thickBot="1">
      <c r="A36" s="185"/>
      <c r="B36" s="185"/>
      <c r="C36" s="162"/>
      <c r="D36" s="162"/>
      <c r="E36" s="162"/>
      <c r="G36" s="162"/>
      <c r="H36" s="188"/>
      <c r="I36" s="169" t="s">
        <v>41</v>
      </c>
      <c r="J36" s="169" t="s">
        <v>42</v>
      </c>
      <c r="K36" s="189"/>
      <c r="L36" s="169" t="s">
        <v>41</v>
      </c>
      <c r="M36" s="169" t="s">
        <v>42</v>
      </c>
    </row>
    <row r="37" spans="1:13" ht="17.45" customHeight="1" thickBot="1">
      <c r="A37" s="797" t="s">
        <v>71</v>
      </c>
      <c r="B37" s="798"/>
      <c r="C37" s="169" t="s">
        <v>72</v>
      </c>
      <c r="D37" s="190" t="s">
        <v>73</v>
      </c>
      <c r="E37" s="191" t="s">
        <v>74</v>
      </c>
      <c r="F37" s="368"/>
      <c r="G37" s="370"/>
      <c r="H37" s="193" t="s">
        <v>75</v>
      </c>
      <c r="I37" s="251">
        <f>(15*1440)/1440*G42*2.75*1440/1000000</f>
        <v>55.5291</v>
      </c>
      <c r="J37" s="132">
        <f>+I37+'19'!J37</f>
        <v>1004.7601896533899</v>
      </c>
      <c r="K37" s="133" t="s">
        <v>76</v>
      </c>
      <c r="L37" s="429"/>
      <c r="M37" s="430"/>
    </row>
    <row r="38" spans="1:13" ht="17.45" customHeight="1">
      <c r="A38" s="793" t="s">
        <v>13</v>
      </c>
      <c r="B38" s="794"/>
      <c r="C38" s="171">
        <f>SUMIF($G$7:$G$31,"Process",$F$7:$F$31)</f>
        <v>36</v>
      </c>
      <c r="D38" s="125">
        <f>+C38+'19'!D38</f>
        <v>1029</v>
      </c>
      <c r="E38" s="150">
        <f t="shared" ref="E38:E51" si="3">D38/60</f>
        <v>17.149999999999999</v>
      </c>
      <c r="F38" s="368">
        <v>1180</v>
      </c>
      <c r="G38" s="368">
        <v>932.2</v>
      </c>
      <c r="H38" s="194" t="s">
        <v>77</v>
      </c>
      <c r="I38" s="551">
        <f>17.349+19.816+17.961</f>
        <v>55.125999999999998</v>
      </c>
      <c r="J38" s="134">
        <f>+I38+'19'!J38</f>
        <v>948.4079999999999</v>
      </c>
      <c r="K38" s="135" t="s">
        <v>76</v>
      </c>
      <c r="L38" s="431"/>
      <c r="M38" s="432"/>
    </row>
    <row r="39" spans="1:13" ht="17.45" customHeight="1">
      <c r="A39" s="789" t="s">
        <v>14</v>
      </c>
      <c r="B39" s="790"/>
      <c r="C39" s="171">
        <f>SUMIF($G$7:$G$31,"Cleaning",$F$7:$F$31)</f>
        <v>6</v>
      </c>
      <c r="D39" s="125">
        <f>+C39+'19'!D39</f>
        <v>180</v>
      </c>
      <c r="E39" s="150">
        <f t="shared" si="3"/>
        <v>3</v>
      </c>
      <c r="F39" s="368">
        <v>1200</v>
      </c>
      <c r="G39" s="368">
        <v>948</v>
      </c>
      <c r="H39" s="194" t="s">
        <v>78</v>
      </c>
      <c r="I39" s="149"/>
      <c r="J39" s="136">
        <f>J37/G4</f>
        <v>50.238009482669497</v>
      </c>
      <c r="K39" s="137" t="s">
        <v>76</v>
      </c>
      <c r="L39" s="431"/>
      <c r="M39" s="432"/>
    </row>
    <row r="40" spans="1:13" ht="17.45" customHeight="1">
      <c r="A40" s="789" t="s">
        <v>79</v>
      </c>
      <c r="B40" s="790"/>
      <c r="C40" s="171">
        <f>SUMIF($G$7:$G$31,"Mechanical",$F$7:$F$31)</f>
        <v>0</v>
      </c>
      <c r="D40" s="125">
        <f>+C40+'19'!D40</f>
        <v>22</v>
      </c>
      <c r="E40" s="150">
        <f t="shared" si="3"/>
        <v>0.36666666666666664</v>
      </c>
      <c r="F40" s="368">
        <v>1170</v>
      </c>
      <c r="G40" s="368">
        <v>924.3</v>
      </c>
      <c r="H40" s="194" t="s">
        <v>80</v>
      </c>
      <c r="I40" s="125">
        <f>(K34+L34)/1000</f>
        <v>54.661000000000001</v>
      </c>
      <c r="J40" s="138">
        <f>+I40+'19'!J40</f>
        <v>920.71900000000005</v>
      </c>
      <c r="K40" s="137" t="s">
        <v>76</v>
      </c>
      <c r="L40" s="431"/>
      <c r="M40" s="432"/>
    </row>
    <row r="41" spans="1:13" ht="17.45" customHeight="1">
      <c r="A41" s="789" t="s">
        <v>81</v>
      </c>
      <c r="B41" s="790"/>
      <c r="C41" s="171">
        <f>SUMIF($G$7:$G$31,"Electrical",$F$7:$F$31)</f>
        <v>0</v>
      </c>
      <c r="D41" s="125">
        <f>+C41+'19'!D41</f>
        <v>539</v>
      </c>
      <c r="E41" s="150">
        <f t="shared" si="3"/>
        <v>8.9833333333333325</v>
      </c>
      <c r="F41" s="368"/>
      <c r="G41" s="368"/>
      <c r="H41" s="194" t="s">
        <v>82</v>
      </c>
      <c r="I41" s="149"/>
      <c r="J41" s="136">
        <f>J40/G4</f>
        <v>46.03595</v>
      </c>
      <c r="K41" s="137" t="s">
        <v>76</v>
      </c>
      <c r="L41" s="431"/>
      <c r="M41" s="432"/>
    </row>
    <row r="42" spans="1:13" ht="17.45" customHeight="1">
      <c r="A42" s="789" t="s">
        <v>17</v>
      </c>
      <c r="B42" s="790"/>
      <c r="C42" s="171">
        <f>SUMIF($G$7:$G$31,"Instrument",$F$7:$F$31)</f>
        <v>0</v>
      </c>
      <c r="D42" s="125">
        <f>+C42+'19'!D42</f>
        <v>0</v>
      </c>
      <c r="E42" s="150">
        <f t="shared" si="3"/>
        <v>0</v>
      </c>
      <c r="F42" s="368">
        <f>+(F38*480+F39*480+F40*480)/1440</f>
        <v>1183.3333333333333</v>
      </c>
      <c r="G42" s="368">
        <f>+(G38*480+G39*480+G40*480)/1440</f>
        <v>934.83333333333337</v>
      </c>
      <c r="H42" s="194" t="s">
        <v>83</v>
      </c>
      <c r="I42" s="253" t="s">
        <v>700</v>
      </c>
      <c r="J42" s="139"/>
      <c r="K42" s="137" t="s">
        <v>84</v>
      </c>
      <c r="L42" s="431"/>
      <c r="M42" s="432"/>
    </row>
    <row r="43" spans="1:13" ht="17.45" customHeight="1">
      <c r="A43" s="789" t="s">
        <v>85</v>
      </c>
      <c r="B43" s="790"/>
      <c r="C43" s="171">
        <f>SUMIF($G$7:$G$31,"Water",$F$7:$F$31)</f>
        <v>0</v>
      </c>
      <c r="D43" s="125">
        <f>+C43+'19'!D43</f>
        <v>0</v>
      </c>
      <c r="E43" s="150">
        <f t="shared" si="3"/>
        <v>0</v>
      </c>
      <c r="F43" s="368"/>
      <c r="G43" s="369"/>
      <c r="H43" s="195" t="s">
        <v>86</v>
      </c>
      <c r="I43" s="125">
        <f>+Report1!AH28</f>
        <v>67.099999999999994</v>
      </c>
      <c r="J43" s="140">
        <f>+I43+'19'!J43</f>
        <v>1268</v>
      </c>
      <c r="K43" s="137" t="s">
        <v>76</v>
      </c>
      <c r="L43" s="433">
        <f>+Report1!AN28</f>
        <v>0</v>
      </c>
      <c r="M43" s="434">
        <f>+L43+'19'!M43</f>
        <v>9</v>
      </c>
    </row>
    <row r="44" spans="1:13" ht="17.45" customHeight="1">
      <c r="A44" s="789" t="s">
        <v>18</v>
      </c>
      <c r="B44" s="790"/>
      <c r="C44" s="171">
        <f>SUMIF($G$7:$G$31,"PLN",$F$7:$F$31)</f>
        <v>0</v>
      </c>
      <c r="D44" s="125">
        <f>+C44+'19'!D44</f>
        <v>0</v>
      </c>
      <c r="E44" s="150">
        <f t="shared" si="3"/>
        <v>0</v>
      </c>
      <c r="F44" s="368"/>
      <c r="G44" s="369"/>
      <c r="H44" s="195" t="s">
        <v>87</v>
      </c>
      <c r="I44" s="125">
        <f>I43/I38</f>
        <v>1.2172114791568407</v>
      </c>
      <c r="J44" s="141">
        <f>J43/J38</f>
        <v>1.3369773346492229</v>
      </c>
      <c r="K44" s="137" t="s">
        <v>76</v>
      </c>
      <c r="L44" s="435">
        <f>+L43/I38</f>
        <v>0</v>
      </c>
      <c r="M44" s="436">
        <f>+M43/J38</f>
        <v>9.4895867601285534E-3</v>
      </c>
    </row>
    <row r="45" spans="1:13" ht="17.45" customHeight="1">
      <c r="A45" s="789" t="s">
        <v>19</v>
      </c>
      <c r="B45" s="790"/>
      <c r="C45" s="171">
        <f>SUMIF($G$7:$G$31,"Boiler",$F$7:$F$31)</f>
        <v>0</v>
      </c>
      <c r="D45" s="125">
        <f>+C45+'19'!D45</f>
        <v>0</v>
      </c>
      <c r="E45" s="150">
        <f t="shared" si="3"/>
        <v>0</v>
      </c>
      <c r="F45" s="368"/>
      <c r="G45" s="371"/>
      <c r="H45" s="195" t="s">
        <v>88</v>
      </c>
      <c r="I45" s="125">
        <f>I43/I40</f>
        <v>1.2275662721135727</v>
      </c>
      <c r="J45" s="141">
        <f>J43/J40</f>
        <v>1.3771845698850571</v>
      </c>
      <c r="K45" s="137" t="s">
        <v>76</v>
      </c>
      <c r="L45" s="435">
        <f>+L43/I40</f>
        <v>0</v>
      </c>
      <c r="M45" s="436">
        <f>+M43/J40</f>
        <v>9.7749693446100277E-3</v>
      </c>
    </row>
    <row r="46" spans="1:13" ht="17.45" customHeight="1">
      <c r="A46" s="789" t="s">
        <v>89</v>
      </c>
      <c r="B46" s="790"/>
      <c r="C46" s="171">
        <f>SUMIF($G$7:$G$31,"Gas",$F$7:$F$31)</f>
        <v>0</v>
      </c>
      <c r="D46" s="125">
        <f>+C46+'19'!D46</f>
        <v>408</v>
      </c>
      <c r="E46" s="150">
        <f t="shared" si="3"/>
        <v>6.8</v>
      </c>
      <c r="F46" s="368"/>
      <c r="G46" s="369"/>
      <c r="H46" s="195" t="s">
        <v>90</v>
      </c>
      <c r="I46" s="147">
        <f>+SUMIF(Listrik!P27,"&gt;0")</f>
        <v>44065.320000000036</v>
      </c>
      <c r="J46" s="142">
        <f>+I46+'19'!J46</f>
        <v>803111.52</v>
      </c>
      <c r="K46" s="137" t="s">
        <v>91</v>
      </c>
      <c r="L46" s="435">
        <f>+Listrik!AF27</f>
        <v>0</v>
      </c>
      <c r="M46" s="437">
        <f>+L46+'19'!M46</f>
        <v>0</v>
      </c>
    </row>
    <row r="47" spans="1:13" ht="17.45" customHeight="1">
      <c r="A47" s="789" t="s">
        <v>92</v>
      </c>
      <c r="B47" s="790"/>
      <c r="C47" s="171">
        <f>SUMIF($G$7:$G$31,"Gas",$F$7:$F$31)</f>
        <v>0</v>
      </c>
      <c r="D47" s="125">
        <f>+C47+'19'!D47</f>
        <v>0</v>
      </c>
      <c r="E47" s="150">
        <f t="shared" si="3"/>
        <v>0</v>
      </c>
      <c r="F47" s="368"/>
      <c r="G47" s="369"/>
      <c r="H47" s="195" t="s">
        <v>93</v>
      </c>
      <c r="I47" s="125">
        <f>I46/I38</f>
        <v>799.35638355766855</v>
      </c>
      <c r="J47" s="142">
        <f>J46/J38</f>
        <v>846.79960523319085</v>
      </c>
      <c r="K47" s="137" t="s">
        <v>25</v>
      </c>
      <c r="L47" s="435">
        <f>+L46/I38</f>
        <v>0</v>
      </c>
      <c r="M47" s="436">
        <f>+M46/J38</f>
        <v>0</v>
      </c>
    </row>
    <row r="48" spans="1:13" ht="17.45" customHeight="1">
      <c r="A48" s="789" t="s">
        <v>15</v>
      </c>
      <c r="B48" s="790"/>
      <c r="C48" s="171">
        <f>SUMIF($G$7:$G$31,"Start Up",$F$7:$F$31)</f>
        <v>0</v>
      </c>
      <c r="D48" s="125">
        <f>+C48+'19'!D48</f>
        <v>0</v>
      </c>
      <c r="E48" s="150">
        <f t="shared" si="3"/>
        <v>0</v>
      </c>
      <c r="F48" s="368"/>
      <c r="G48" s="369"/>
      <c r="H48" s="195" t="s">
        <v>94</v>
      </c>
      <c r="I48" s="125">
        <f>I46/I40</f>
        <v>806.15649183147093</v>
      </c>
      <c r="J48" s="142">
        <f>J46/J40</f>
        <v>872.26560981146258</v>
      </c>
      <c r="K48" s="137" t="s">
        <v>25</v>
      </c>
      <c r="L48" s="435">
        <f>+L46/I38</f>
        <v>0</v>
      </c>
      <c r="M48" s="436">
        <f>+M46/J40</f>
        <v>0</v>
      </c>
    </row>
    <row r="49" spans="1:13" ht="17.45" customHeight="1">
      <c r="A49" s="789" t="s">
        <v>21</v>
      </c>
      <c r="B49" s="790"/>
      <c r="C49" s="171">
        <f>SUMIF($G$7:$G$31,"Others",$F$7:$F$31)</f>
        <v>0</v>
      </c>
      <c r="D49" s="125">
        <f>+C49+'19'!D49</f>
        <v>480</v>
      </c>
      <c r="E49" s="150">
        <f t="shared" si="3"/>
        <v>8</v>
      </c>
      <c r="F49" s="192"/>
      <c r="H49" s="195" t="s">
        <v>95</v>
      </c>
      <c r="I49" s="125">
        <f>+Report1!AB28</f>
        <v>5792.7104294867731</v>
      </c>
      <c r="J49" s="142">
        <f>+I49+'19'!J49</f>
        <v>96680.983102183207</v>
      </c>
      <c r="K49" s="137" t="s">
        <v>96</v>
      </c>
      <c r="L49" s="431"/>
      <c r="M49" s="432"/>
    </row>
    <row r="50" spans="1:13" ht="17.45" customHeight="1">
      <c r="A50" s="789" t="s">
        <v>20</v>
      </c>
      <c r="B50" s="790"/>
      <c r="C50" s="171">
        <f>SUMIF($G$7:$G$31,"Steam",$F$7:$F$31)</f>
        <v>0</v>
      </c>
      <c r="D50" s="125">
        <f>+C50+'19'!D50</f>
        <v>0</v>
      </c>
      <c r="E50" s="150">
        <f t="shared" si="3"/>
        <v>0</v>
      </c>
      <c r="F50" s="192"/>
      <c r="H50" s="195" t="s">
        <v>97</v>
      </c>
      <c r="I50" s="147">
        <f>I49/I38</f>
        <v>105.0812761580157</v>
      </c>
      <c r="J50" s="140">
        <f>J49/J38</f>
        <v>101.94028635585445</v>
      </c>
      <c r="K50" s="137" t="s">
        <v>96</v>
      </c>
      <c r="L50" s="431"/>
      <c r="M50" s="432"/>
    </row>
    <row r="51" spans="1:13" ht="17.45" customHeight="1" thickBot="1">
      <c r="A51" s="791" t="s">
        <v>98</v>
      </c>
      <c r="B51" s="792"/>
      <c r="C51" s="171">
        <f>SUMIF($G$7:$G$31,"Planned shut",$F$7:$F$31)</f>
        <v>0</v>
      </c>
      <c r="D51" s="125">
        <f>+C51+'19'!D51</f>
        <v>394</v>
      </c>
      <c r="E51" s="150">
        <f t="shared" si="3"/>
        <v>6.5666666666666664</v>
      </c>
      <c r="F51" s="192"/>
      <c r="H51" s="197" t="s">
        <v>99</v>
      </c>
      <c r="I51" s="148">
        <f>I49/I40</f>
        <v>105.97520040772713</v>
      </c>
      <c r="J51" s="143">
        <f>J49/J40</f>
        <v>105.00596067006677</v>
      </c>
      <c r="K51" s="144" t="s">
        <v>96</v>
      </c>
      <c r="L51" s="431"/>
      <c r="M51" s="432"/>
    </row>
    <row r="52" spans="1:13" ht="13.5" thickBot="1">
      <c r="A52" s="793" t="s">
        <v>29</v>
      </c>
      <c r="B52" s="794"/>
      <c r="C52" s="151">
        <f>SUM(C38:C51)</f>
        <v>42</v>
      </c>
      <c r="D52" s="151">
        <f>SUM(D38:D51)</f>
        <v>3052</v>
      </c>
      <c r="E52" s="152">
        <f>SUM(E38:E51)</f>
        <v>50.86666666666666</v>
      </c>
      <c r="F52" s="192"/>
      <c r="H52" s="198"/>
      <c r="I52" s="199"/>
      <c r="J52" s="145"/>
      <c r="K52" s="146"/>
      <c r="L52" s="438"/>
      <c r="M52" s="439"/>
    </row>
    <row r="53" spans="1:13" ht="13.5" thickBot="1">
      <c r="A53" s="795"/>
      <c r="B53" s="796"/>
      <c r="C53" s="153">
        <f>C52/(24*60)</f>
        <v>2.9166666666666667E-2</v>
      </c>
      <c r="D53" s="153">
        <f>D52/(24*60*G4)</f>
        <v>0.10597222222222222</v>
      </c>
      <c r="E53" s="154">
        <f>E52/(G4*24)</f>
        <v>0.1059722222222222</v>
      </c>
      <c r="F53" s="192"/>
    </row>
    <row r="54" spans="1:13">
      <c r="E54" s="200"/>
      <c r="F54" s="192"/>
    </row>
    <row r="55" spans="1:13">
      <c r="E55" s="200"/>
    </row>
    <row r="56" spans="1:13">
      <c r="A56" s="201" t="s">
        <v>100</v>
      </c>
      <c r="B56" s="202"/>
      <c r="C56" s="203"/>
      <c r="D56" s="203"/>
      <c r="E56" s="203"/>
      <c r="F56" s="204"/>
      <c r="G56" s="203"/>
      <c r="H56" s="205"/>
      <c r="I56" s="206" t="s">
        <v>101</v>
      </c>
      <c r="J56" s="207">
        <f>+D34+'19'!J56</f>
        <v>5317</v>
      </c>
      <c r="K56" s="208">
        <f>J56/(J40+J56/1000)/1000</f>
        <v>5.7416774293871948E-3</v>
      </c>
    </row>
    <row r="57" spans="1:13">
      <c r="A57" s="183"/>
      <c r="I57" s="206" t="s">
        <v>102</v>
      </c>
      <c r="J57" s="207">
        <f>+E34+'19'!J57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59027777777777779" header="0" footer="0"/>
  <pageSetup paperSize="9" scale="52"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AA61"/>
  <sheetViews>
    <sheetView view="pageBreakPreview" zoomScale="80" zoomScaleNormal="80" zoomScaleSheetLayoutView="80" workbookViewId="0">
      <selection activeCell="C48" sqref="C48"/>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1.7109375" style="156" bestFit="1" customWidth="1"/>
    <col min="11" max="11" width="12.5703125" style="156" bestFit="1" customWidth="1"/>
    <col min="12" max="12" width="8.28515625" style="156" customWidth="1"/>
    <col min="13" max="13" width="14.7109375" style="156" customWidth="1"/>
    <col min="14" max="16384" width="9.140625" style="156"/>
  </cols>
  <sheetData>
    <row r="1" spans="1:27" ht="15.75">
      <c r="A1" s="155"/>
    </row>
    <row r="2" spans="1:27" ht="15.75">
      <c r="A2" s="155" t="s">
        <v>183</v>
      </c>
    </row>
    <row r="3" spans="1:27" ht="15">
      <c r="A3" s="157"/>
    </row>
    <row r="4" spans="1:27" ht="20.25">
      <c r="A4" s="158" t="s">
        <v>5</v>
      </c>
      <c r="B4" s="159"/>
      <c r="F4" s="160" t="s">
        <v>30</v>
      </c>
      <c r="G4" s="161">
        <v>19</v>
      </c>
      <c r="H4" s="161" t="str">
        <f>+'1'!H4</f>
        <v>.01.26</v>
      </c>
      <c r="J4" s="156">
        <f>1009+1061.3+1129.8</f>
        <v>3200.1000000000004</v>
      </c>
    </row>
    <row r="5" spans="1:27" ht="13.5" thickBot="1">
      <c r="C5" s="162"/>
      <c r="D5" s="162"/>
    </row>
    <row r="6" spans="1:27"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615</v>
      </c>
      <c r="O6" s="156">
        <v>1150</v>
      </c>
      <c r="P6" s="156">
        <f>+O6-(O6*0.2)</f>
        <v>920</v>
      </c>
      <c r="Q6" s="156">
        <f>60*4+30</f>
        <v>270</v>
      </c>
      <c r="R6" s="156">
        <f t="shared" ref="R6:R7" si="0">+O6*Q6</f>
        <v>310500</v>
      </c>
      <c r="S6" s="156">
        <f t="shared" ref="S6:S7" si="1">+P6*Q6</f>
        <v>248400</v>
      </c>
      <c r="V6" s="156" t="s">
        <v>615</v>
      </c>
      <c r="W6" s="156">
        <v>1150</v>
      </c>
      <c r="X6" s="156">
        <f>+W6-(W6*0.2)</f>
        <v>920</v>
      </c>
      <c r="Y6" s="156">
        <f>60*4+30</f>
        <v>270</v>
      </c>
      <c r="Z6" s="156">
        <f t="shared" ref="Z6" si="2">+W6*Y6</f>
        <v>310500</v>
      </c>
      <c r="AA6" s="156">
        <f t="shared" ref="AA6" si="3">+X6*Y6</f>
        <v>248400</v>
      </c>
    </row>
    <row r="7" spans="1:27" ht="13.5" customHeight="1" thickBot="1">
      <c r="A7" s="800" t="s">
        <v>440</v>
      </c>
      <c r="B7" s="222" t="s">
        <v>623</v>
      </c>
      <c r="C7" s="223">
        <v>16396</v>
      </c>
      <c r="D7" s="224"/>
      <c r="E7" s="225"/>
      <c r="F7" s="235"/>
      <c r="G7" s="236" t="s">
        <v>13</v>
      </c>
      <c r="H7" s="237" t="s">
        <v>386</v>
      </c>
      <c r="I7" s="803" t="s">
        <v>690</v>
      </c>
      <c r="J7" s="221" t="str">
        <f>+'18'!J7</f>
        <v>T 13,5 RC HW</v>
      </c>
      <c r="K7" s="245"/>
      <c r="L7" s="249"/>
      <c r="M7" s="124">
        <f>+K7+'18'!M7+L7</f>
        <v>221342</v>
      </c>
      <c r="O7" s="156">
        <v>1180</v>
      </c>
      <c r="P7" s="156">
        <f>+O7-(O7*0.2)</f>
        <v>944</v>
      </c>
      <c r="Q7" s="156">
        <f>480-Q6</f>
        <v>210</v>
      </c>
      <c r="R7" s="156">
        <f t="shared" si="0"/>
        <v>247800</v>
      </c>
      <c r="S7" s="156">
        <f t="shared" si="1"/>
        <v>198240</v>
      </c>
      <c r="W7" s="156">
        <v>1180</v>
      </c>
      <c r="X7" s="156">
        <f>+W7-(W7*0.2)</f>
        <v>944</v>
      </c>
      <c r="Y7" s="156">
        <f>480-Y6</f>
        <v>210</v>
      </c>
      <c r="Z7" s="156">
        <f t="shared" ref="Z7:Z11" si="4">+W7*Y7</f>
        <v>247800</v>
      </c>
      <c r="AA7" s="156">
        <f t="shared" ref="AA7:AA11" si="5">+X7*Y7</f>
        <v>198240</v>
      </c>
    </row>
    <row r="8" spans="1:27" ht="13.5" thickBot="1">
      <c r="A8" s="801"/>
      <c r="B8" s="222"/>
      <c r="C8" s="223"/>
      <c r="D8" s="224"/>
      <c r="E8" s="226"/>
      <c r="F8" s="238">
        <v>6</v>
      </c>
      <c r="G8" s="582" t="s">
        <v>13</v>
      </c>
      <c r="H8" s="237" t="s">
        <v>414</v>
      </c>
      <c r="I8" s="804"/>
      <c r="J8" s="221" t="str">
        <f>+'18'!J8</f>
        <v>T 14,5 RC HW</v>
      </c>
      <c r="K8" s="246"/>
      <c r="L8" s="246"/>
      <c r="M8" s="124">
        <f>+K8+'18'!M8+L8</f>
        <v>57466</v>
      </c>
      <c r="V8" s="156" t="s">
        <v>615</v>
      </c>
      <c r="W8" s="156">
        <v>1180</v>
      </c>
      <c r="X8" s="156">
        <v>944</v>
      </c>
      <c r="Y8" s="156">
        <v>40</v>
      </c>
      <c r="Z8" s="156">
        <f t="shared" si="4"/>
        <v>47200</v>
      </c>
      <c r="AA8" s="156">
        <f t="shared" si="5"/>
        <v>37760</v>
      </c>
    </row>
    <row r="9" spans="1:27" ht="13.5" thickBot="1">
      <c r="A9" s="801"/>
      <c r="B9" s="222"/>
      <c r="C9" s="223"/>
      <c r="D9" s="224"/>
      <c r="E9" s="227"/>
      <c r="F9" s="235">
        <v>12</v>
      </c>
      <c r="G9" s="582" t="s">
        <v>13</v>
      </c>
      <c r="H9" s="240" t="s">
        <v>413</v>
      </c>
      <c r="I9" s="804"/>
      <c r="J9" s="221" t="str">
        <f>+'18'!J9</f>
        <v>TW 17 RC HW</v>
      </c>
      <c r="K9" s="246"/>
      <c r="L9" s="246"/>
      <c r="M9" s="124">
        <f>+K9+'18'!M9+L9</f>
        <v>24830</v>
      </c>
      <c r="W9" s="156">
        <v>1200</v>
      </c>
      <c r="X9" s="156">
        <v>960</v>
      </c>
      <c r="Y9" s="156">
        <v>56</v>
      </c>
      <c r="Z9" s="156">
        <f t="shared" si="4"/>
        <v>67200</v>
      </c>
      <c r="AA9" s="156">
        <f t="shared" si="5"/>
        <v>53760</v>
      </c>
    </row>
    <row r="10" spans="1:27" ht="26.25" thickBot="1">
      <c r="A10" s="801"/>
      <c r="B10" s="222"/>
      <c r="C10" s="223"/>
      <c r="D10" s="224"/>
      <c r="E10" s="226"/>
      <c r="F10" s="235"/>
      <c r="G10" s="244" t="s">
        <v>14</v>
      </c>
      <c r="H10" s="240" t="s">
        <v>687</v>
      </c>
      <c r="I10" s="804"/>
      <c r="J10" s="221" t="str">
        <f>+'18'!J10</f>
        <v>TW 22 RC HW</v>
      </c>
      <c r="K10" s="246"/>
      <c r="L10" s="246"/>
      <c r="M10" s="124">
        <f>+K10+'18'!M10+L10</f>
        <v>24459</v>
      </c>
      <c r="W10" s="156">
        <v>1210</v>
      </c>
      <c r="X10" s="156">
        <v>968</v>
      </c>
      <c r="Y10" s="156">
        <v>384</v>
      </c>
      <c r="Z10" s="156">
        <f t="shared" si="4"/>
        <v>464640</v>
      </c>
      <c r="AA10" s="156">
        <f t="shared" si="5"/>
        <v>371712</v>
      </c>
    </row>
    <row r="11" spans="1:27" ht="39" thickBot="1">
      <c r="A11" s="801"/>
      <c r="B11" s="222"/>
      <c r="C11" s="223"/>
      <c r="D11" s="224"/>
      <c r="E11" s="226"/>
      <c r="F11" s="235"/>
      <c r="G11" s="239"/>
      <c r="H11" s="240" t="s">
        <v>686</v>
      </c>
      <c r="I11" s="804"/>
      <c r="J11" s="221" t="str">
        <f>+'18'!J11</f>
        <v>TW 14 RC HW</v>
      </c>
      <c r="K11" s="246"/>
      <c r="L11" s="246"/>
      <c r="M11" s="124">
        <f>+K11+'18'!M11+L11</f>
        <v>8043</v>
      </c>
      <c r="V11" s="156" t="s">
        <v>615</v>
      </c>
      <c r="W11" s="156">
        <v>1210</v>
      </c>
      <c r="X11" s="156">
        <v>968</v>
      </c>
      <c r="Y11" s="156">
        <v>192</v>
      </c>
      <c r="Z11" s="156">
        <f t="shared" si="4"/>
        <v>232320</v>
      </c>
      <c r="AA11" s="156">
        <f t="shared" si="5"/>
        <v>185856</v>
      </c>
    </row>
    <row r="12" spans="1:27" ht="13.5" thickBot="1">
      <c r="A12" s="801"/>
      <c r="B12" s="222"/>
      <c r="C12" s="223"/>
      <c r="D12" s="224"/>
      <c r="E12" s="226"/>
      <c r="F12" s="235"/>
      <c r="G12" s="239"/>
      <c r="H12" s="240"/>
      <c r="I12" s="804"/>
      <c r="J12" s="221" t="str">
        <f>+'18'!J12</f>
        <v>TW 29 RC HW</v>
      </c>
      <c r="K12" s="246"/>
      <c r="L12" s="246"/>
      <c r="M12" s="124">
        <f>+K12+'18'!M12+L12</f>
        <v>21439</v>
      </c>
    </row>
    <row r="13" spans="1:27" ht="13.5" thickBot="1">
      <c r="A13" s="801"/>
      <c r="B13" s="222"/>
      <c r="C13" s="223"/>
      <c r="D13" s="223"/>
      <c r="E13" s="226"/>
      <c r="F13" s="235"/>
      <c r="G13" s="239"/>
      <c r="H13" s="240"/>
      <c r="I13" s="805"/>
      <c r="J13" s="221" t="str">
        <f>+'18'!J13</f>
        <v>TW 35,5 RC HW</v>
      </c>
      <c r="K13" s="246"/>
      <c r="L13" s="246"/>
      <c r="M13" s="124">
        <f>+K13+'18'!M13+L13</f>
        <v>2193</v>
      </c>
    </row>
    <row r="14" spans="1:27" ht="13.5" thickBot="1">
      <c r="A14" s="802"/>
      <c r="B14" s="172" t="s">
        <v>3</v>
      </c>
      <c r="C14" s="106">
        <f>SUM(C7:C13)</f>
        <v>16396</v>
      </c>
      <c r="D14" s="118">
        <f>SUM(D7:D13)</f>
        <v>0</v>
      </c>
      <c r="E14" s="119">
        <f>SUM(E5:E13)</f>
        <v>0</v>
      </c>
      <c r="F14" s="109">
        <f>SUM(F6:F13)</f>
        <v>18</v>
      </c>
      <c r="G14" s="166"/>
      <c r="H14" s="173"/>
      <c r="I14" s="174"/>
      <c r="J14" s="221" t="str">
        <f>+'18'!J14</f>
        <v>N 15,5 RC HW</v>
      </c>
      <c r="K14" s="246"/>
      <c r="L14" s="246"/>
      <c r="M14" s="124">
        <f>+K14+'18'!M14+L14</f>
        <v>46927</v>
      </c>
    </row>
    <row r="15" spans="1:27" ht="13.5" customHeight="1" thickBot="1">
      <c r="A15" s="800" t="s">
        <v>423</v>
      </c>
      <c r="B15" s="172"/>
      <c r="C15" s="120">
        <f>C14/($C$23+$D$23+$E$23)</f>
        <v>0.98836578455603108</v>
      </c>
      <c r="D15" s="121">
        <f>D14/($C$23+$D$23+$E$23)</f>
        <v>0</v>
      </c>
      <c r="E15" s="122">
        <f>E14/($C$23+$D$23+$E$23)</f>
        <v>0</v>
      </c>
      <c r="F15" s="235"/>
      <c r="G15" s="236" t="s">
        <v>13</v>
      </c>
      <c r="H15" s="237" t="s">
        <v>386</v>
      </c>
      <c r="I15" s="803" t="s">
        <v>689</v>
      </c>
      <c r="J15" s="221" t="str">
        <f>+'18'!J15</f>
        <v>F 14 RC HW</v>
      </c>
      <c r="K15" s="246"/>
      <c r="L15" s="246"/>
      <c r="M15" s="124">
        <f>+K15+'18'!M15+L15</f>
        <v>4620</v>
      </c>
    </row>
    <row r="16" spans="1:27" ht="13.5" thickBot="1">
      <c r="A16" s="811"/>
      <c r="B16" s="222" t="s">
        <v>623</v>
      </c>
      <c r="C16" s="229">
        <v>16589</v>
      </c>
      <c r="D16" s="230"/>
      <c r="E16" s="231"/>
      <c r="F16" s="238">
        <v>4</v>
      </c>
      <c r="G16" s="582" t="s">
        <v>13</v>
      </c>
      <c r="H16" s="237" t="s">
        <v>415</v>
      </c>
      <c r="I16" s="804"/>
      <c r="J16" s="221" t="str">
        <f>+'18'!J16</f>
        <v>T 15 RC HW</v>
      </c>
      <c r="K16" s="246">
        <f>+C26</f>
        <v>5890</v>
      </c>
      <c r="L16" s="246"/>
      <c r="M16" s="124">
        <f>+K16+'18'!M16+L16</f>
        <v>273384</v>
      </c>
      <c r="Q16" s="183">
        <f>SUM(Q6:Q14)</f>
        <v>480</v>
      </c>
      <c r="R16" s="183">
        <f>SUM(R6:R14)</f>
        <v>558300</v>
      </c>
      <c r="S16" s="183">
        <f>SUM(S6:S14)</f>
        <v>446640</v>
      </c>
      <c r="Y16" s="183">
        <f>SUM(Y6:Y14)</f>
        <v>1152</v>
      </c>
      <c r="Z16" s="183">
        <f>SUM(Z6:Z14)</f>
        <v>1369660</v>
      </c>
      <c r="AA16" s="183">
        <f>SUM(AA6:AA14)</f>
        <v>1095728</v>
      </c>
    </row>
    <row r="17" spans="1:27" ht="13.5" thickBot="1">
      <c r="A17" s="811"/>
      <c r="B17" s="222"/>
      <c r="C17" s="223"/>
      <c r="D17" s="224"/>
      <c r="E17" s="232"/>
      <c r="F17" s="235">
        <v>4</v>
      </c>
      <c r="G17" s="582" t="s">
        <v>13</v>
      </c>
      <c r="H17" s="240" t="s">
        <v>523</v>
      </c>
      <c r="I17" s="804"/>
      <c r="J17" s="221" t="str">
        <f>+'18'!J17</f>
        <v>T 14 RC HW</v>
      </c>
      <c r="K17" s="246">
        <f>+C7+C16+C25</f>
        <v>44626</v>
      </c>
      <c r="L17" s="246"/>
      <c r="M17" s="124">
        <f>+K17+'18'!M17+L17</f>
        <v>118045</v>
      </c>
      <c r="Q17" s="156">
        <f>480-Q16</f>
        <v>0</v>
      </c>
      <c r="R17" s="183">
        <f>+R16/Q16</f>
        <v>1163.125</v>
      </c>
      <c r="S17" s="183">
        <f>+S16/Q16</f>
        <v>930.5</v>
      </c>
      <c r="Y17" s="156">
        <f>480-Y16</f>
        <v>-672</v>
      </c>
      <c r="Z17" s="183">
        <f>+Z16/Y16</f>
        <v>1188.9409722222222</v>
      </c>
      <c r="AA17" s="183">
        <f>+AA16/Y16</f>
        <v>951.15277777777783</v>
      </c>
    </row>
    <row r="18" spans="1:27" ht="26.25" thickBot="1">
      <c r="A18" s="811"/>
      <c r="B18" s="222"/>
      <c r="C18" s="223"/>
      <c r="D18" s="224"/>
      <c r="E18" s="232"/>
      <c r="F18" s="235"/>
      <c r="G18" s="244" t="s">
        <v>14</v>
      </c>
      <c r="H18" s="240" t="s">
        <v>684</v>
      </c>
      <c r="I18" s="804"/>
      <c r="J18" s="221" t="str">
        <f>+'18'!J18</f>
        <v>T 16 RC HW</v>
      </c>
      <c r="K18" s="246"/>
      <c r="L18" s="246"/>
      <c r="M18" s="124">
        <f>+K18+'18'!M18+L18</f>
        <v>17950</v>
      </c>
      <c r="N18" s="156" t="s">
        <v>615</v>
      </c>
      <c r="O18" s="156">
        <v>1180</v>
      </c>
      <c r="P18" s="156">
        <f>+O18-(O18*0.2)</f>
        <v>944</v>
      </c>
      <c r="Q18" s="156">
        <v>40</v>
      </c>
      <c r="R18" s="156">
        <f t="shared" ref="R18:R20" si="6">+O18*Q18</f>
        <v>47200</v>
      </c>
      <c r="S18" s="156">
        <f t="shared" ref="S18:S20" si="7">+P18*Q18</f>
        <v>37760</v>
      </c>
    </row>
    <row r="19" spans="1:27" ht="39" thickBot="1">
      <c r="A19" s="811"/>
      <c r="B19" s="222"/>
      <c r="C19" s="223"/>
      <c r="D19" s="224"/>
      <c r="E19" s="232"/>
      <c r="F19" s="242"/>
      <c r="G19" s="239"/>
      <c r="H19" s="240" t="s">
        <v>685</v>
      </c>
      <c r="I19" s="804"/>
      <c r="J19" s="221" t="str">
        <f>+'18'!J19</f>
        <v>T 18 RC HW</v>
      </c>
      <c r="K19" s="246"/>
      <c r="L19" s="246"/>
      <c r="M19" s="124">
        <f>+K19+'18'!M19+L19</f>
        <v>32713</v>
      </c>
      <c r="O19" s="156">
        <v>1200</v>
      </c>
      <c r="P19" s="156">
        <f t="shared" ref="P19:P20" si="8">+O19-(O19*0.2)</f>
        <v>960</v>
      </c>
      <c r="Q19" s="156">
        <f>60-40+36</f>
        <v>56</v>
      </c>
      <c r="R19" s="156">
        <f t="shared" si="6"/>
        <v>67200</v>
      </c>
      <c r="S19" s="156">
        <f t="shared" si="7"/>
        <v>53760</v>
      </c>
      <c r="V19" s="156" t="s">
        <v>584</v>
      </c>
      <c r="W19" s="156">
        <v>1160</v>
      </c>
      <c r="X19" s="156">
        <f t="shared" ref="X19:X20" si="9">+W19-(W19*0.2)</f>
        <v>928</v>
      </c>
      <c r="Y19" s="156">
        <f>288/2</f>
        <v>144</v>
      </c>
      <c r="Z19" s="156">
        <f t="shared" ref="Z19:Z20" si="10">+W19*Y19</f>
        <v>167040</v>
      </c>
      <c r="AA19" s="156">
        <f t="shared" ref="AA19:AA20" si="11">+X19*Y19</f>
        <v>133632</v>
      </c>
    </row>
    <row r="20" spans="1:27" ht="13.5" thickBot="1">
      <c r="A20" s="811"/>
      <c r="B20" s="222"/>
      <c r="C20" s="223"/>
      <c r="D20" s="224"/>
      <c r="E20" s="232"/>
      <c r="F20" s="235"/>
      <c r="G20" s="239"/>
      <c r="H20" s="240"/>
      <c r="I20" s="804"/>
      <c r="J20" s="221" t="str">
        <f>+'18'!J20</f>
        <v>T 20 RC HW</v>
      </c>
      <c r="K20" s="246"/>
      <c r="L20" s="246"/>
      <c r="M20" s="124">
        <f>+K20+'18'!M20+L20</f>
        <v>12647</v>
      </c>
      <c r="O20" s="156">
        <v>1210</v>
      </c>
      <c r="P20" s="156">
        <f t="shared" si="8"/>
        <v>968</v>
      </c>
      <c r="Q20" s="156">
        <f>60-36+360</f>
        <v>384</v>
      </c>
      <c r="R20" s="156">
        <f t="shared" si="6"/>
        <v>464640</v>
      </c>
      <c r="S20" s="156">
        <f t="shared" si="7"/>
        <v>371712</v>
      </c>
      <c r="W20" s="156">
        <v>1180</v>
      </c>
      <c r="X20" s="156">
        <f t="shared" si="9"/>
        <v>944</v>
      </c>
      <c r="Y20" s="156">
        <v>144</v>
      </c>
      <c r="Z20" s="156">
        <f t="shared" si="10"/>
        <v>169920</v>
      </c>
      <c r="AA20" s="156">
        <f t="shared" si="11"/>
        <v>135936</v>
      </c>
    </row>
    <row r="21" spans="1:27" ht="13.5" thickBot="1">
      <c r="A21" s="811"/>
      <c r="B21" s="222"/>
      <c r="C21" s="223"/>
      <c r="D21" s="224"/>
      <c r="E21" s="232"/>
      <c r="F21" s="238"/>
      <c r="G21" s="239"/>
      <c r="H21" s="240"/>
      <c r="I21" s="804"/>
      <c r="J21" s="221">
        <f>+'18'!J21</f>
        <v>0</v>
      </c>
      <c r="K21" s="246"/>
      <c r="L21" s="246"/>
      <c r="M21" s="124">
        <f>+K21+'18'!M21+L21</f>
        <v>0</v>
      </c>
    </row>
    <row r="22" spans="1:27" ht="13.5" thickBot="1">
      <c r="A22" s="811"/>
      <c r="B22" s="222"/>
      <c r="C22" s="223"/>
      <c r="D22" s="224"/>
      <c r="E22" s="232"/>
      <c r="F22" s="238"/>
      <c r="G22" s="239"/>
      <c r="H22" s="240"/>
      <c r="I22" s="805"/>
      <c r="J22" s="221">
        <f>+'18'!J22</f>
        <v>0</v>
      </c>
      <c r="K22" s="246"/>
      <c r="L22" s="246"/>
      <c r="M22" s="124">
        <f>+K22+'18'!M22+L22</f>
        <v>0</v>
      </c>
    </row>
    <row r="23" spans="1:27" ht="13.5" thickBot="1">
      <c r="A23" s="812"/>
      <c r="B23" s="172" t="s">
        <v>3</v>
      </c>
      <c r="C23" s="107">
        <f>SUM(C16:C22)</f>
        <v>16589</v>
      </c>
      <c r="D23" s="118">
        <f>SUM(D16:D22)</f>
        <v>0</v>
      </c>
      <c r="E23" s="119">
        <f>SUM(E18:E22)</f>
        <v>0</v>
      </c>
      <c r="F23" s="109">
        <f>SUM(F15:F22)</f>
        <v>8</v>
      </c>
      <c r="G23" s="166"/>
      <c r="H23" s="173"/>
      <c r="I23" s="176"/>
      <c r="J23" s="221">
        <f>+'18'!J23</f>
        <v>0</v>
      </c>
      <c r="K23" s="246"/>
      <c r="L23" s="246"/>
      <c r="M23" s="124">
        <f>+K23+'18'!M23+L23</f>
        <v>0</v>
      </c>
    </row>
    <row r="24" spans="1:27" ht="13.5" customHeight="1" thickBot="1">
      <c r="A24" s="800" t="s">
        <v>424</v>
      </c>
      <c r="B24" s="177"/>
      <c r="C24" s="120">
        <f>C23/($C$23+$D$23+$E$23)</f>
        <v>1</v>
      </c>
      <c r="D24" s="121">
        <f>D23/($C$23+$D$23+$E$23)</f>
        <v>0</v>
      </c>
      <c r="E24" s="122">
        <f>E23/($C$23+$D$23+$E$23)</f>
        <v>0</v>
      </c>
      <c r="F24" s="235"/>
      <c r="G24" s="236" t="s">
        <v>13</v>
      </c>
      <c r="H24" s="237" t="s">
        <v>386</v>
      </c>
      <c r="I24" s="803" t="s">
        <v>688</v>
      </c>
      <c r="J24" s="221">
        <f>+'18'!J24</f>
        <v>0</v>
      </c>
      <c r="K24" s="246"/>
      <c r="L24" s="246"/>
      <c r="M24" s="124">
        <f>+K24+'18'!M24+L24</f>
        <v>0</v>
      </c>
    </row>
    <row r="25" spans="1:27" ht="13.5" thickBot="1">
      <c r="A25" s="811"/>
      <c r="B25" s="222" t="s">
        <v>623</v>
      </c>
      <c r="C25" s="233">
        <v>11641</v>
      </c>
      <c r="D25" s="224"/>
      <c r="E25" s="232"/>
      <c r="F25" s="238">
        <v>3</v>
      </c>
      <c r="G25" s="582" t="s">
        <v>13</v>
      </c>
      <c r="H25" s="237" t="s">
        <v>414</v>
      </c>
      <c r="I25" s="804"/>
      <c r="J25" s="221">
        <f>+'18'!J25</f>
        <v>0</v>
      </c>
      <c r="K25" s="246"/>
      <c r="L25" s="246"/>
      <c r="M25" s="124">
        <f>+K25+'18'!M25+L25</f>
        <v>0</v>
      </c>
    </row>
    <row r="26" spans="1:27" ht="13.5" thickBot="1">
      <c r="A26" s="811"/>
      <c r="B26" s="222" t="s">
        <v>604</v>
      </c>
      <c r="C26" s="233">
        <f>502+5388</f>
        <v>5890</v>
      </c>
      <c r="D26" s="224"/>
      <c r="E26" s="234"/>
      <c r="F26" s="235">
        <v>10</v>
      </c>
      <c r="G26" s="582" t="s">
        <v>13</v>
      </c>
      <c r="H26" s="240" t="s">
        <v>395</v>
      </c>
      <c r="I26" s="804"/>
      <c r="J26" s="221">
        <f>+'18'!J26</f>
        <v>0</v>
      </c>
      <c r="K26" s="246"/>
      <c r="L26" s="246"/>
      <c r="M26" s="124">
        <f>+K26+'18'!M26+L26</f>
        <v>0</v>
      </c>
    </row>
    <row r="27" spans="1:27" ht="26.25" thickBot="1">
      <c r="A27" s="811"/>
      <c r="B27" s="222"/>
      <c r="C27" s="223"/>
      <c r="D27" s="224"/>
      <c r="E27" s="232"/>
      <c r="F27" s="235">
        <v>8</v>
      </c>
      <c r="G27" s="244" t="s">
        <v>14</v>
      </c>
      <c r="H27" s="240" t="s">
        <v>682</v>
      </c>
      <c r="I27" s="804"/>
      <c r="J27" s="221">
        <f>+'18'!J27</f>
        <v>0</v>
      </c>
      <c r="K27" s="246"/>
      <c r="L27" s="246"/>
      <c r="M27" s="124">
        <f>+K27+'18'!M27+L27</f>
        <v>0</v>
      </c>
    </row>
    <row r="28" spans="1:27" ht="39" thickBot="1">
      <c r="A28" s="811"/>
      <c r="B28" s="222"/>
      <c r="C28" s="223"/>
      <c r="D28" s="224"/>
      <c r="E28" s="232"/>
      <c r="F28" s="238"/>
      <c r="G28" s="239"/>
      <c r="H28" s="240" t="s">
        <v>683</v>
      </c>
      <c r="I28" s="804"/>
      <c r="J28" s="221">
        <f>+'18'!J28</f>
        <v>0</v>
      </c>
      <c r="K28" s="246"/>
      <c r="L28" s="246"/>
      <c r="M28" s="124">
        <f>+K28+'18'!M28+L28</f>
        <v>0</v>
      </c>
      <c r="Q28" s="183">
        <f>SUM(Q18:Q26)</f>
        <v>480</v>
      </c>
      <c r="R28" s="183">
        <f>SUM(R18:R26)</f>
        <v>579040</v>
      </c>
      <c r="S28" s="183">
        <f>SUM(S18:S26)</f>
        <v>463232</v>
      </c>
      <c r="Y28" s="183">
        <f>SUM(Y18:Y26)</f>
        <v>288</v>
      </c>
      <c r="Z28" s="183">
        <f>SUM(Z18:Z26)</f>
        <v>336960</v>
      </c>
      <c r="AA28" s="183">
        <f>SUM(AA18:AA26)</f>
        <v>269568</v>
      </c>
    </row>
    <row r="29" spans="1:27" ht="13.5" thickBot="1">
      <c r="A29" s="811"/>
      <c r="B29" s="222"/>
      <c r="C29" s="223"/>
      <c r="D29" s="224"/>
      <c r="E29" s="232"/>
      <c r="F29" s="243"/>
      <c r="G29" s="239"/>
      <c r="H29" s="240"/>
      <c r="I29" s="804"/>
      <c r="J29" s="221">
        <f>+'18'!J29</f>
        <v>0</v>
      </c>
      <c r="K29" s="246"/>
      <c r="L29" s="246"/>
      <c r="M29" s="124">
        <f>+K29+'18'!M29+L29</f>
        <v>0</v>
      </c>
      <c r="Q29" s="156">
        <f>480-Q28</f>
        <v>0</v>
      </c>
      <c r="R29" s="183">
        <f>+R28/Q28</f>
        <v>1206.3333333333333</v>
      </c>
      <c r="S29" s="183">
        <f>+S28/Q28</f>
        <v>965.06666666666672</v>
      </c>
      <c r="Y29" s="156">
        <f>480-Y28</f>
        <v>192</v>
      </c>
      <c r="Z29" s="183">
        <f>+Z28/Y28</f>
        <v>1170</v>
      </c>
      <c r="AA29" s="183">
        <f>+AA28/Y28</f>
        <v>936</v>
      </c>
    </row>
    <row r="30" spans="1:27" ht="13.5" thickBot="1">
      <c r="A30" s="811"/>
      <c r="B30" s="222"/>
      <c r="C30" s="233"/>
      <c r="D30" s="224"/>
      <c r="E30" s="232"/>
      <c r="F30" s="243"/>
      <c r="G30" s="239"/>
      <c r="H30" s="240"/>
      <c r="I30" s="804"/>
      <c r="J30" s="221">
        <f>+'18'!J30</f>
        <v>0</v>
      </c>
      <c r="K30" s="246"/>
      <c r="L30" s="246"/>
      <c r="M30" s="124">
        <f>+K30+'18'!M30+L30</f>
        <v>0</v>
      </c>
      <c r="N30" s="156" t="s">
        <v>615</v>
      </c>
      <c r="O30" s="156">
        <v>1210</v>
      </c>
      <c r="P30" s="156">
        <f>+O30-(O30*0.2)</f>
        <v>968</v>
      </c>
      <c r="Q30" s="156">
        <f>60*3+12</f>
        <v>192</v>
      </c>
      <c r="R30" s="156">
        <f t="shared" ref="R30:R32" si="12">+O30*Q30</f>
        <v>232320</v>
      </c>
      <c r="S30" s="156">
        <f t="shared" ref="S30:S32" si="13">+P30*Q30</f>
        <v>185856</v>
      </c>
    </row>
    <row r="31" spans="1:27" ht="13.5" thickBot="1">
      <c r="A31" s="811"/>
      <c r="B31" s="222"/>
      <c r="C31" s="233"/>
      <c r="D31" s="224"/>
      <c r="E31" s="232"/>
      <c r="F31" s="243"/>
      <c r="G31" s="244"/>
      <c r="H31" s="241"/>
      <c r="I31" s="805"/>
      <c r="J31" s="221">
        <f>+'18'!J31</f>
        <v>0</v>
      </c>
      <c r="K31" s="246"/>
      <c r="L31" s="246"/>
      <c r="M31" s="124">
        <f>+K31+'18'!M31+L31</f>
        <v>0</v>
      </c>
      <c r="N31" s="156" t="s">
        <v>584</v>
      </c>
      <c r="O31" s="156">
        <v>1160</v>
      </c>
      <c r="P31" s="156">
        <f t="shared" ref="P31:P32" si="14">+O31-(O31*0.2)</f>
        <v>928</v>
      </c>
      <c r="Q31" s="156">
        <f>288/2</f>
        <v>144</v>
      </c>
      <c r="R31" s="156">
        <f t="shared" si="12"/>
        <v>167040</v>
      </c>
      <c r="S31" s="156">
        <f t="shared" si="13"/>
        <v>133632</v>
      </c>
    </row>
    <row r="32" spans="1:27" ht="13.5" thickBot="1">
      <c r="A32" s="812"/>
      <c r="B32" s="172" t="s">
        <v>3</v>
      </c>
      <c r="C32" s="106">
        <f>SUM(C25:C31)</f>
        <v>17531</v>
      </c>
      <c r="D32" s="107">
        <f>SUM(D25:D31)</f>
        <v>0</v>
      </c>
      <c r="E32" s="108">
        <f>SUM(E25:E31)</f>
        <v>0</v>
      </c>
      <c r="F32" s="109">
        <f>SUM(F24:F31)</f>
        <v>21</v>
      </c>
      <c r="G32" s="178"/>
      <c r="H32" s="179"/>
      <c r="I32" s="176"/>
      <c r="J32" s="221">
        <f>+'18'!J32</f>
        <v>0</v>
      </c>
      <c r="K32" s="248"/>
      <c r="L32" s="250"/>
      <c r="M32" s="124">
        <f>+K32+'18'!M32+L32</f>
        <v>0</v>
      </c>
      <c r="O32" s="156">
        <v>1180</v>
      </c>
      <c r="P32" s="156">
        <f t="shared" si="14"/>
        <v>944</v>
      </c>
      <c r="Q32" s="156">
        <v>144</v>
      </c>
      <c r="R32" s="156">
        <f t="shared" si="12"/>
        <v>169920</v>
      </c>
      <c r="S32" s="156">
        <f t="shared" si="13"/>
        <v>135936</v>
      </c>
    </row>
    <row r="33" spans="1:19" ht="13.5" thickBot="1">
      <c r="A33" s="180"/>
      <c r="B33" s="181"/>
      <c r="C33" s="110">
        <f>C32/($C$32+$D$32+$E$32)</f>
        <v>1</v>
      </c>
      <c r="D33" s="111">
        <f>D32/($C$32+$D$32+$E$32)</f>
        <v>0</v>
      </c>
      <c r="E33" s="112">
        <f>E32/($C$32+$D$32+$E$32)</f>
        <v>0</v>
      </c>
      <c r="F33" s="113"/>
      <c r="G33" s="182"/>
      <c r="H33" s="183"/>
      <c r="I33" s="184"/>
      <c r="J33" s="128"/>
      <c r="K33" s="129"/>
      <c r="L33" s="220"/>
      <c r="M33" s="126"/>
    </row>
    <row r="34" spans="1:19" ht="13.5" thickBot="1">
      <c r="A34" s="808" t="s">
        <v>70</v>
      </c>
      <c r="B34" s="809"/>
      <c r="C34" s="114">
        <f>C14+C23+C32</f>
        <v>50516</v>
      </c>
      <c r="D34" s="114">
        <f>D14+D23+D32</f>
        <v>0</v>
      </c>
      <c r="E34" s="114">
        <f>E14+E23+E32</f>
        <v>0</v>
      </c>
      <c r="F34" s="115">
        <f>F14+F23+F32</f>
        <v>47</v>
      </c>
      <c r="H34" s="185"/>
      <c r="I34" s="185"/>
      <c r="J34" s="130" t="s">
        <v>29</v>
      </c>
      <c r="K34" s="131">
        <f>SUM(K7:K32)</f>
        <v>50516</v>
      </c>
      <c r="L34" s="219">
        <f>SUM(L7:L32)</f>
        <v>0</v>
      </c>
      <c r="M34" s="127">
        <f>SUM(M7:M32)</f>
        <v>866058</v>
      </c>
    </row>
    <row r="35" spans="1:19" ht="13.5" thickBot="1">
      <c r="A35" s="186"/>
      <c r="B35" s="187"/>
      <c r="C35" s="111">
        <f>C34/($C$34+$D$34+$E$34)</f>
        <v>1</v>
      </c>
      <c r="D35" s="111">
        <f>D34/($C$34+$D$34+$E$34)</f>
        <v>0</v>
      </c>
      <c r="E35" s="116">
        <f>E34/($C$34+$D$34+$E$34)</f>
        <v>0</v>
      </c>
      <c r="K35" s="162"/>
      <c r="L35" s="799" t="s">
        <v>184</v>
      </c>
      <c r="M35" s="799"/>
    </row>
    <row r="36" spans="1:19" ht="13.5" thickBot="1">
      <c r="A36" s="185"/>
      <c r="B36" s="185"/>
      <c r="C36" s="162"/>
      <c r="D36" s="162"/>
      <c r="E36" s="162"/>
      <c r="G36" s="162"/>
      <c r="H36" s="188"/>
      <c r="I36" s="169" t="s">
        <v>41</v>
      </c>
      <c r="J36" s="169" t="s">
        <v>42</v>
      </c>
      <c r="K36" s="189"/>
      <c r="L36" s="169" t="s">
        <v>41</v>
      </c>
      <c r="M36" s="169" t="s">
        <v>42</v>
      </c>
    </row>
    <row r="37" spans="1:19" ht="17.45" customHeight="1" thickBot="1">
      <c r="A37" s="797" t="s">
        <v>71</v>
      </c>
      <c r="B37" s="798"/>
      <c r="C37" s="169" t="s">
        <v>72</v>
      </c>
      <c r="D37" s="190" t="s">
        <v>73</v>
      </c>
      <c r="E37" s="191" t="s">
        <v>74</v>
      </c>
      <c r="F37" s="368"/>
      <c r="G37" s="370"/>
      <c r="H37" s="193" t="s">
        <v>75</v>
      </c>
      <c r="I37" s="251">
        <f>(14*1152+288*15)/1440*G42*2.75*1440/1000000</f>
        <v>53.314808799999994</v>
      </c>
      <c r="J37" s="132">
        <f>+I37+'18'!J37</f>
        <v>949.23108965338997</v>
      </c>
      <c r="K37" s="133" t="s">
        <v>76</v>
      </c>
      <c r="L37" s="429"/>
      <c r="M37" s="430"/>
    </row>
    <row r="38" spans="1:19" ht="17.45" customHeight="1">
      <c r="A38" s="793" t="s">
        <v>13</v>
      </c>
      <c r="B38" s="794"/>
      <c r="C38" s="171">
        <f>SUMIF($G$7:$G$31,"Process",$F$7:$F$31)</f>
        <v>39</v>
      </c>
      <c r="D38" s="125">
        <f>+C38+'18'!D38</f>
        <v>993</v>
      </c>
      <c r="E38" s="150">
        <f t="shared" ref="E38:E51" si="15">D38/60</f>
        <v>16.55</v>
      </c>
      <c r="F38" s="368">
        <v>1163.125</v>
      </c>
      <c r="G38" s="368">
        <v>930.5</v>
      </c>
      <c r="H38" s="194" t="s">
        <v>77</v>
      </c>
      <c r="I38" s="551">
        <f>16.61+16.687+17.878</f>
        <v>51.174999999999997</v>
      </c>
      <c r="J38" s="134">
        <f>+I38+'18'!J38</f>
        <v>893.28199999999993</v>
      </c>
      <c r="K38" s="135" t="s">
        <v>76</v>
      </c>
      <c r="L38" s="431"/>
      <c r="M38" s="432"/>
    </row>
    <row r="39" spans="1:19" ht="17.45" customHeight="1">
      <c r="A39" s="789" t="s">
        <v>14</v>
      </c>
      <c r="B39" s="790"/>
      <c r="C39" s="171">
        <f>SUMIF($G$7:$G$31,"Cleaning",$F$7:$F$31)</f>
        <v>8</v>
      </c>
      <c r="D39" s="125">
        <f>+C39+'18'!D39</f>
        <v>174</v>
      </c>
      <c r="E39" s="150">
        <f t="shared" si="15"/>
        <v>2.9</v>
      </c>
      <c r="F39" s="368">
        <v>1206.3333333333333</v>
      </c>
      <c r="G39" s="368">
        <v>965.06666666666672</v>
      </c>
      <c r="H39" s="194" t="s">
        <v>78</v>
      </c>
      <c r="I39" s="149"/>
      <c r="J39" s="136">
        <f>J37/G4</f>
        <v>49.959531034388945</v>
      </c>
      <c r="K39" s="137" t="s">
        <v>76</v>
      </c>
      <c r="L39" s="431"/>
      <c r="M39" s="432"/>
    </row>
    <row r="40" spans="1:19" ht="17.45" customHeight="1">
      <c r="A40" s="789" t="s">
        <v>79</v>
      </c>
      <c r="B40" s="790"/>
      <c r="C40" s="171">
        <f>SUMIF($G$7:$G$31,"Mechanical",$F$7:$F$31)</f>
        <v>0</v>
      </c>
      <c r="D40" s="125">
        <f>+C40+'18'!D40</f>
        <v>22</v>
      </c>
      <c r="E40" s="150">
        <f t="shared" si="15"/>
        <v>0.36666666666666664</v>
      </c>
      <c r="F40" s="368">
        <v>1186</v>
      </c>
      <c r="G40" s="368">
        <v>948.8</v>
      </c>
      <c r="H40" s="194" t="s">
        <v>80</v>
      </c>
      <c r="I40" s="125">
        <f>(K34+L34)/1000</f>
        <v>50.515999999999998</v>
      </c>
      <c r="J40" s="138">
        <f>+I40+'18'!J40</f>
        <v>866.05799999999999</v>
      </c>
      <c r="K40" s="137" t="s">
        <v>76</v>
      </c>
      <c r="L40" s="431"/>
      <c r="M40" s="432"/>
      <c r="Q40" s="183">
        <f>SUM(Q30:Q38)</f>
        <v>480</v>
      </c>
      <c r="R40" s="183">
        <f>SUM(R30:R38)</f>
        <v>569280</v>
      </c>
      <c r="S40" s="183">
        <f>SUM(S30:S38)</f>
        <v>455424</v>
      </c>
    </row>
    <row r="41" spans="1:19" ht="17.45" customHeight="1">
      <c r="A41" s="789" t="s">
        <v>81</v>
      </c>
      <c r="B41" s="790"/>
      <c r="C41" s="171">
        <f>SUMIF($G$7:$G$31,"Electrical",$F$7:$F$31)</f>
        <v>0</v>
      </c>
      <c r="D41" s="125">
        <f>+C41+'18'!D41</f>
        <v>539</v>
      </c>
      <c r="E41" s="150">
        <f t="shared" si="15"/>
        <v>8.9833333333333325</v>
      </c>
      <c r="F41" s="368"/>
      <c r="G41" s="368"/>
      <c r="H41" s="194" t="s">
        <v>82</v>
      </c>
      <c r="I41" s="149"/>
      <c r="J41" s="136">
        <f>J40/G4</f>
        <v>45.582000000000001</v>
      </c>
      <c r="K41" s="137" t="s">
        <v>76</v>
      </c>
      <c r="L41" s="431"/>
      <c r="M41" s="432"/>
      <c r="Q41" s="156">
        <f>480-Q40</f>
        <v>0</v>
      </c>
      <c r="R41" s="183">
        <f>+R40/Q40</f>
        <v>1186</v>
      </c>
      <c r="S41" s="183">
        <f>+S40/Q40</f>
        <v>948.8</v>
      </c>
    </row>
    <row r="42" spans="1:19" ht="17.45" customHeight="1">
      <c r="A42" s="789" t="s">
        <v>17</v>
      </c>
      <c r="B42" s="790"/>
      <c r="C42" s="171">
        <f>SUMIF($G$7:$G$31,"Instrument",$F$7:$F$31)</f>
        <v>0</v>
      </c>
      <c r="D42" s="125">
        <f>+C42+'18'!D42</f>
        <v>0</v>
      </c>
      <c r="E42" s="150">
        <f t="shared" si="15"/>
        <v>0</v>
      </c>
      <c r="F42" s="368">
        <f>+(F38*480+F39*480+F40*480)/1440</f>
        <v>1185.1527777777778</v>
      </c>
      <c r="G42" s="368">
        <f>+(G38*480+G39*480+G40*480)/1440</f>
        <v>948.12222222222226</v>
      </c>
      <c r="H42" s="194" t="s">
        <v>83</v>
      </c>
      <c r="I42" s="253" t="s">
        <v>691</v>
      </c>
      <c r="J42" s="139"/>
      <c r="K42" s="137" t="s">
        <v>84</v>
      </c>
      <c r="L42" s="431"/>
      <c r="M42" s="432"/>
    </row>
    <row r="43" spans="1:19" ht="17.45" customHeight="1">
      <c r="A43" s="789" t="s">
        <v>199</v>
      </c>
      <c r="B43" s="790"/>
      <c r="C43" s="171">
        <f>SUMIF($G$7:$G$31,"Change Grade",$F$7:$F$31)</f>
        <v>0</v>
      </c>
      <c r="D43" s="125">
        <f>+C43+'18'!D43</f>
        <v>0</v>
      </c>
      <c r="E43" s="150">
        <f t="shared" si="15"/>
        <v>0</v>
      </c>
      <c r="F43" s="368"/>
      <c r="G43" s="369"/>
      <c r="H43" s="195" t="s">
        <v>86</v>
      </c>
      <c r="I43" s="125">
        <f>+Report1!AH27</f>
        <v>65.099999999999994</v>
      </c>
      <c r="J43" s="140">
        <f>+I43+'18'!J43</f>
        <v>1200.9000000000001</v>
      </c>
      <c r="K43" s="137" t="s">
        <v>76</v>
      </c>
      <c r="L43" s="433">
        <f>+Report1!AN27</f>
        <v>0</v>
      </c>
      <c r="M43" s="434">
        <f>+L43+'18'!M43</f>
        <v>9</v>
      </c>
    </row>
    <row r="44" spans="1:19" ht="17.45" customHeight="1">
      <c r="A44" s="789" t="s">
        <v>18</v>
      </c>
      <c r="B44" s="790"/>
      <c r="C44" s="171">
        <f>SUMIF($G$7:$G$31,"PLN",$F$7:$F$31)</f>
        <v>0</v>
      </c>
      <c r="D44" s="125">
        <f>+C44+'18'!D44</f>
        <v>0</v>
      </c>
      <c r="E44" s="150">
        <f t="shared" si="15"/>
        <v>0</v>
      </c>
      <c r="F44" s="368"/>
      <c r="G44" s="369"/>
      <c r="H44" s="195" t="s">
        <v>87</v>
      </c>
      <c r="I44" s="125">
        <f>I43/I38</f>
        <v>1.2721055202735709</v>
      </c>
      <c r="J44" s="141">
        <f>J43/J38</f>
        <v>1.3443682957901315</v>
      </c>
      <c r="K44" s="137" t="s">
        <v>76</v>
      </c>
      <c r="L44" s="435">
        <f>+L43/I38</f>
        <v>0</v>
      </c>
      <c r="M44" s="436">
        <f>+M43/J38</f>
        <v>1.0075205814065435E-2</v>
      </c>
      <c r="N44" s="156" t="s">
        <v>615</v>
      </c>
      <c r="O44" s="156">
        <v>1188.9409722222222</v>
      </c>
      <c r="P44" s="156">
        <v>951.15277777777783</v>
      </c>
      <c r="Q44" s="156">
        <v>1152</v>
      </c>
    </row>
    <row r="45" spans="1:19" ht="17.45" customHeight="1">
      <c r="A45" s="789" t="s">
        <v>19</v>
      </c>
      <c r="B45" s="790"/>
      <c r="C45" s="171">
        <f>SUMIF($G$7:$G$31,"Boiler",$F$7:$F$31)</f>
        <v>0</v>
      </c>
      <c r="D45" s="125">
        <f>+C45+'18'!D45</f>
        <v>0</v>
      </c>
      <c r="E45" s="150">
        <f t="shared" si="15"/>
        <v>0</v>
      </c>
      <c r="F45" s="368"/>
      <c r="G45" s="371"/>
      <c r="H45" s="195" t="s">
        <v>88</v>
      </c>
      <c r="I45" s="125">
        <f>I43/I40</f>
        <v>1.2887006097078153</v>
      </c>
      <c r="J45" s="141">
        <f>J43/J40</f>
        <v>1.3866276854437003</v>
      </c>
      <c r="K45" s="137" t="s">
        <v>76</v>
      </c>
      <c r="L45" s="435">
        <f>+L43/I40</f>
        <v>0</v>
      </c>
      <c r="M45" s="436">
        <f>+M43/J40</f>
        <v>1.0391913705548589E-2</v>
      </c>
      <c r="N45" s="156" t="s">
        <v>584</v>
      </c>
      <c r="O45" s="156">
        <v>1170</v>
      </c>
      <c r="P45" s="156">
        <v>936</v>
      </c>
      <c r="Q45" s="156">
        <v>288</v>
      </c>
    </row>
    <row r="46" spans="1:19" ht="17.45" customHeight="1">
      <c r="A46" s="789" t="s">
        <v>89</v>
      </c>
      <c r="B46" s="790"/>
      <c r="C46" s="171">
        <f>SUMIF($G$7:$G$31,"Gas",$F$7:$F$31)</f>
        <v>0</v>
      </c>
      <c r="D46" s="125">
        <f>+C46+'18'!D46</f>
        <v>408</v>
      </c>
      <c r="E46" s="150">
        <f t="shared" si="15"/>
        <v>6.8</v>
      </c>
      <c r="F46" s="368"/>
      <c r="G46" s="369"/>
      <c r="H46" s="195" t="s">
        <v>90</v>
      </c>
      <c r="I46" s="147">
        <f>+SUMIF(Listrik!P26,"&gt;0")</f>
        <v>42202.979999999996</v>
      </c>
      <c r="J46" s="142">
        <f>+I46+'18'!J46</f>
        <v>759046.2</v>
      </c>
      <c r="K46" s="137" t="s">
        <v>91</v>
      </c>
      <c r="L46" s="435">
        <f>+Listrik!AF26</f>
        <v>0</v>
      </c>
      <c r="M46" s="437">
        <f>+L46+'18'!M46</f>
        <v>0</v>
      </c>
      <c r="Q46" s="156">
        <f>+Q44+Q45</f>
        <v>1440</v>
      </c>
    </row>
    <row r="47" spans="1:19" ht="17.45" customHeight="1">
      <c r="A47" s="789" t="s">
        <v>92</v>
      </c>
      <c r="B47" s="790"/>
      <c r="C47" s="171">
        <f>SUMIF($G$7:$G$31,"Gas",$F$7:$F$31)</f>
        <v>0</v>
      </c>
      <c r="D47" s="125">
        <f>+C47+'18'!D47</f>
        <v>0</v>
      </c>
      <c r="E47" s="150">
        <f t="shared" si="15"/>
        <v>0</v>
      </c>
      <c r="F47" s="368"/>
      <c r="G47" s="369"/>
      <c r="H47" s="195" t="s">
        <v>93</v>
      </c>
      <c r="I47" s="125">
        <f>I46/I38</f>
        <v>824.67962872496332</v>
      </c>
      <c r="J47" s="142">
        <f>J46/J38</f>
        <v>849.72740970936388</v>
      </c>
      <c r="K47" s="137" t="s">
        <v>25</v>
      </c>
      <c r="L47" s="435">
        <f>+L46/I38</f>
        <v>0</v>
      </c>
      <c r="M47" s="436">
        <f>+M46/J38</f>
        <v>0</v>
      </c>
    </row>
    <row r="48" spans="1:19" ht="17.45" customHeight="1">
      <c r="A48" s="789" t="s">
        <v>15</v>
      </c>
      <c r="B48" s="790"/>
      <c r="C48" s="171">
        <f>SUMIF($G$7:$G$31,"Start Up",$F$7:$F$31)</f>
        <v>0</v>
      </c>
      <c r="D48" s="125">
        <f>+C48+'18'!D48</f>
        <v>0</v>
      </c>
      <c r="E48" s="150">
        <f t="shared" si="15"/>
        <v>0</v>
      </c>
      <c r="F48" s="368"/>
      <c r="G48" s="369"/>
      <c r="H48" s="195" t="s">
        <v>94</v>
      </c>
      <c r="I48" s="125">
        <f>I46/I40</f>
        <v>835.43788106738452</v>
      </c>
      <c r="J48" s="142">
        <f>J46/J40</f>
        <v>876.43806765828617</v>
      </c>
      <c r="K48" s="137" t="s">
        <v>25</v>
      </c>
      <c r="L48" s="435">
        <f>+L46/I38</f>
        <v>0</v>
      </c>
      <c r="M48" s="436">
        <f>+M46/J40</f>
        <v>0</v>
      </c>
    </row>
    <row r="49" spans="1:13" ht="17.45" customHeight="1">
      <c r="A49" s="789" t="s">
        <v>21</v>
      </c>
      <c r="B49" s="790"/>
      <c r="C49" s="171">
        <f>SUMIF($G$7:$G$31,"Others",$F$7:$F$31)</f>
        <v>0</v>
      </c>
      <c r="D49" s="125">
        <f>+C49+'18'!D49</f>
        <v>480</v>
      </c>
      <c r="E49" s="150">
        <f t="shared" si="15"/>
        <v>8</v>
      </c>
      <c r="F49" s="192"/>
      <c r="H49" s="195" t="s">
        <v>95</v>
      </c>
      <c r="I49" s="125">
        <f>+Report1!AB27</f>
        <v>5813.3922723056248</v>
      </c>
      <c r="J49" s="142">
        <f>+I49+'18'!J49</f>
        <v>90888.272672696432</v>
      </c>
      <c r="K49" s="137" t="s">
        <v>96</v>
      </c>
      <c r="L49" s="431"/>
      <c r="M49" s="432"/>
    </row>
    <row r="50" spans="1:13" ht="17.45" customHeight="1">
      <c r="A50" s="789" t="s">
        <v>20</v>
      </c>
      <c r="B50" s="790"/>
      <c r="C50" s="171">
        <f>SUMIF($G$7:$G$31,"Steam",$F$7:$F$31)</f>
        <v>0</v>
      </c>
      <c r="D50" s="125">
        <f>+C50+'18'!D50</f>
        <v>0</v>
      </c>
      <c r="E50" s="150">
        <f t="shared" si="15"/>
        <v>0</v>
      </c>
      <c r="F50" s="192"/>
      <c r="H50" s="195" t="s">
        <v>97</v>
      </c>
      <c r="I50" s="147">
        <f>I49/I38</f>
        <v>113.59828573142404</v>
      </c>
      <c r="J50" s="140">
        <f>J49/J38</f>
        <v>101.74645036247954</v>
      </c>
      <c r="K50" s="137" t="s">
        <v>96</v>
      </c>
      <c r="L50" s="431"/>
      <c r="M50" s="432"/>
    </row>
    <row r="51" spans="1:13" ht="17.45" customHeight="1" thickBot="1">
      <c r="A51" s="791" t="s">
        <v>98</v>
      </c>
      <c r="B51" s="792"/>
      <c r="C51" s="171">
        <f>SUMIF($G$7:$G$31,"Planned shut",$F$7:$F$31)</f>
        <v>0</v>
      </c>
      <c r="D51" s="125">
        <f>+C51+'18'!D51</f>
        <v>394</v>
      </c>
      <c r="E51" s="150">
        <f t="shared" si="15"/>
        <v>6.5666666666666664</v>
      </c>
      <c r="F51" s="192"/>
      <c r="H51" s="197" t="s">
        <v>99</v>
      </c>
      <c r="I51" s="148">
        <f>I49/I40</f>
        <v>115.08021760047559</v>
      </c>
      <c r="J51" s="143">
        <f>J49/J40</f>
        <v>104.94478738455904</v>
      </c>
      <c r="K51" s="144" t="s">
        <v>96</v>
      </c>
      <c r="L51" s="431"/>
      <c r="M51" s="432"/>
    </row>
    <row r="52" spans="1:13" ht="13.5" thickBot="1">
      <c r="A52" s="793" t="s">
        <v>29</v>
      </c>
      <c r="B52" s="794"/>
      <c r="C52" s="151">
        <f>SUM(C38:C51)</f>
        <v>47</v>
      </c>
      <c r="D52" s="151">
        <f>SUM(D38:D51)</f>
        <v>3010</v>
      </c>
      <c r="E52" s="152">
        <f>SUM(E38:E51)</f>
        <v>50.166666666666657</v>
      </c>
      <c r="F52" s="192"/>
      <c r="H52" s="198"/>
      <c r="I52" s="199"/>
      <c r="J52" s="145"/>
      <c r="K52" s="146"/>
      <c r="L52" s="438"/>
      <c r="M52" s="439"/>
    </row>
    <row r="53" spans="1:13" ht="13.5" thickBot="1">
      <c r="A53" s="795"/>
      <c r="B53" s="796"/>
      <c r="C53" s="153">
        <f>C52/(24*60)</f>
        <v>3.2638888888888891E-2</v>
      </c>
      <c r="D53" s="153">
        <f>D52/(24*60*G4)</f>
        <v>0.11001461988304094</v>
      </c>
      <c r="E53" s="154">
        <f>E52/(G4*24)</f>
        <v>0.11001461988304091</v>
      </c>
      <c r="F53" s="192"/>
    </row>
    <row r="54" spans="1:13">
      <c r="E54" s="200"/>
      <c r="F54" s="192"/>
    </row>
    <row r="55" spans="1:13">
      <c r="E55" s="200"/>
    </row>
    <row r="56" spans="1:13">
      <c r="A56" s="201" t="s">
        <v>100</v>
      </c>
      <c r="B56" s="202"/>
      <c r="C56" s="203"/>
      <c r="D56" s="203"/>
      <c r="E56" s="203"/>
      <c r="F56" s="204"/>
      <c r="G56" s="203"/>
      <c r="H56" s="205"/>
      <c r="I56" s="206" t="s">
        <v>101</v>
      </c>
      <c r="J56" s="207">
        <f>+D34+'18'!J56</f>
        <v>5317</v>
      </c>
      <c r="K56" s="208">
        <f>J56/(J40+J56/1000)/1000</f>
        <v>6.1018505235977622E-3</v>
      </c>
    </row>
    <row r="57" spans="1:13">
      <c r="A57" s="183"/>
      <c r="I57" s="206" t="s">
        <v>102</v>
      </c>
      <c r="J57" s="207">
        <f>+E34+'18'!J57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I24:I31"/>
    <mergeCell ref="A7:A14"/>
    <mergeCell ref="A41:B41"/>
    <mergeCell ref="I7:I13"/>
    <mergeCell ref="A15:A23"/>
    <mergeCell ref="I15:I22"/>
    <mergeCell ref="A24:A32"/>
    <mergeCell ref="A34:B34"/>
    <mergeCell ref="A37:B37"/>
    <mergeCell ref="A38:B38"/>
    <mergeCell ref="A39:B39"/>
    <mergeCell ref="A40:B40"/>
    <mergeCell ref="L35:M35"/>
    <mergeCell ref="A46:B46"/>
    <mergeCell ref="A52:B52"/>
    <mergeCell ref="A53:B53"/>
    <mergeCell ref="A47:B47"/>
    <mergeCell ref="A48:B48"/>
    <mergeCell ref="A49:B49"/>
    <mergeCell ref="A50:B50"/>
    <mergeCell ref="A51:B51"/>
    <mergeCell ref="A43:B43"/>
    <mergeCell ref="A44:B44"/>
    <mergeCell ref="A45:B45"/>
    <mergeCell ref="A42:B42"/>
  </mergeCells>
  <phoneticPr fontId="30" type="noConversion"/>
  <printOptions horizontalCentered="1"/>
  <pageMargins left="0.74791666666666667" right="0.74791666666666667" top="0.39027777777777778" bottom="0.39027777777777778" header="0" footer="0"/>
  <pageSetup paperSize="9" scale="57"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Z105"/>
  <sheetViews>
    <sheetView view="pageBreakPreview" zoomScale="80" zoomScaleNormal="80" zoomScaleSheetLayoutView="80" workbookViewId="0">
      <selection activeCell="H38" sqref="A38:H38"/>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7109375" style="117" bestFit="1" customWidth="1"/>
    <col min="7" max="7" width="11.42578125" style="156" bestFit="1" customWidth="1"/>
    <col min="8" max="8" width="64.85546875" style="156" customWidth="1"/>
    <col min="9" max="9" width="14.7109375" style="156" bestFit="1" customWidth="1"/>
    <col min="10" max="10" width="20.85546875" style="156" customWidth="1"/>
    <col min="11" max="11" width="12.5703125" style="156" bestFit="1" customWidth="1"/>
    <col min="12" max="12" width="8.28515625" style="156" customWidth="1"/>
    <col min="13" max="13" width="13.85546875" style="156" bestFit="1" customWidth="1"/>
    <col min="14" max="16384" width="9.140625" style="156"/>
  </cols>
  <sheetData>
    <row r="1" spans="1:19" ht="15.75">
      <c r="A1" s="155"/>
    </row>
    <row r="2" spans="1:19" ht="15.75">
      <c r="A2" s="155" t="s">
        <v>183</v>
      </c>
    </row>
    <row r="3" spans="1:19" ht="15">
      <c r="A3" s="157"/>
    </row>
    <row r="4" spans="1:19" ht="20.25">
      <c r="A4" s="158" t="s">
        <v>5</v>
      </c>
      <c r="B4" s="159"/>
      <c r="F4" s="160" t="s">
        <v>30</v>
      </c>
      <c r="G4" s="161">
        <v>18</v>
      </c>
      <c r="H4" s="161" t="str">
        <f>+'1'!H4</f>
        <v>.01.26</v>
      </c>
      <c r="J4" s="156">
        <f>339.9+422.3+537</f>
        <v>1299.2</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662</v>
      </c>
      <c r="O6" s="156">
        <v>1080</v>
      </c>
      <c r="P6" s="156">
        <f>+O6-(O6*0.18)</f>
        <v>885.6</v>
      </c>
      <c r="Q6" s="156">
        <f>60*5+50</f>
        <v>350</v>
      </c>
      <c r="R6" s="156">
        <f t="shared" ref="R6:R7" si="0">+O6*Q6</f>
        <v>378000</v>
      </c>
      <c r="S6" s="156">
        <f t="shared" ref="S6:S7" si="1">+P6*Q6</f>
        <v>309960</v>
      </c>
    </row>
    <row r="7" spans="1:19" ht="13.5" customHeight="1" thickBot="1">
      <c r="A7" s="800" t="s">
        <v>440</v>
      </c>
      <c r="B7" s="222" t="s">
        <v>676</v>
      </c>
      <c r="C7" s="223">
        <v>14770</v>
      </c>
      <c r="D7" s="224"/>
      <c r="E7" s="225"/>
      <c r="F7" s="235"/>
      <c r="G7" s="236" t="s">
        <v>13</v>
      </c>
      <c r="H7" s="237" t="s">
        <v>386</v>
      </c>
      <c r="I7" s="803" t="s">
        <v>669</v>
      </c>
      <c r="J7" s="221" t="str">
        <f>+'17'!J7</f>
        <v>T 13,5 RC HW</v>
      </c>
      <c r="K7" s="245"/>
      <c r="L7" s="249"/>
      <c r="M7" s="124">
        <f>+K7+'17'!M7+L7</f>
        <v>221342</v>
      </c>
      <c r="N7" s="156" t="s">
        <v>667</v>
      </c>
      <c r="O7" s="156">
        <v>950</v>
      </c>
      <c r="P7" s="156">
        <f>+O7-(O7*0.2)</f>
        <v>760</v>
      </c>
      <c r="Q7" s="156">
        <f>480-Q6</f>
        <v>130</v>
      </c>
      <c r="R7" s="156">
        <f t="shared" si="0"/>
        <v>123500</v>
      </c>
      <c r="S7" s="156">
        <f t="shared" si="1"/>
        <v>98800</v>
      </c>
    </row>
    <row r="8" spans="1:19" ht="13.5" thickBot="1">
      <c r="A8" s="801"/>
      <c r="B8" s="222"/>
      <c r="C8" s="223"/>
      <c r="D8" s="224"/>
      <c r="E8" s="226"/>
      <c r="F8" s="238"/>
      <c r="G8" s="582" t="s">
        <v>13</v>
      </c>
      <c r="H8" s="237" t="s">
        <v>387</v>
      </c>
      <c r="I8" s="804"/>
      <c r="J8" s="221" t="str">
        <f>+'17'!J8</f>
        <v>T 14,5 RC HW</v>
      </c>
      <c r="K8" s="246"/>
      <c r="L8" s="246"/>
      <c r="M8" s="124">
        <f>+K8+'17'!M8+L8</f>
        <v>57466</v>
      </c>
    </row>
    <row r="9" spans="1:19" ht="13.5" thickBot="1">
      <c r="A9" s="801"/>
      <c r="B9" s="222"/>
      <c r="C9" s="223"/>
      <c r="D9" s="224"/>
      <c r="E9" s="227"/>
      <c r="F9" s="235">
        <v>19</v>
      </c>
      <c r="G9" s="582" t="s">
        <v>13</v>
      </c>
      <c r="H9" s="240" t="s">
        <v>523</v>
      </c>
      <c r="I9" s="804"/>
      <c r="J9" s="221" t="str">
        <f>+'17'!J9</f>
        <v>TW 17 RC HW</v>
      </c>
      <c r="K9" s="246"/>
      <c r="L9" s="246"/>
      <c r="M9" s="124">
        <f>+K9+'17'!M9+L9</f>
        <v>24830</v>
      </c>
    </row>
    <row r="10" spans="1:19" ht="26.25" thickBot="1">
      <c r="A10" s="801"/>
      <c r="B10" s="222"/>
      <c r="C10" s="223"/>
      <c r="D10" s="224"/>
      <c r="E10" s="226"/>
      <c r="F10" s="235"/>
      <c r="G10" s="244" t="s">
        <v>14</v>
      </c>
      <c r="H10" s="240" t="s">
        <v>655</v>
      </c>
      <c r="I10" s="804"/>
      <c r="J10" s="221" t="str">
        <f>+'17'!J10</f>
        <v>TW 22 RC HW</v>
      </c>
      <c r="K10" s="246"/>
      <c r="L10" s="246"/>
      <c r="M10" s="124">
        <f>+K10+'17'!M10+L10</f>
        <v>24459</v>
      </c>
    </row>
    <row r="11" spans="1:19" ht="39" thickBot="1">
      <c r="A11" s="801"/>
      <c r="B11" s="222"/>
      <c r="C11" s="223"/>
      <c r="D11" s="224"/>
      <c r="E11" s="226"/>
      <c r="F11" s="235"/>
      <c r="G11" s="239"/>
      <c r="H11" s="240" t="s">
        <v>656</v>
      </c>
      <c r="I11" s="804"/>
      <c r="J11" s="221" t="str">
        <f>+'17'!J11</f>
        <v>TW 14 RC HW</v>
      </c>
      <c r="K11" s="246"/>
      <c r="L11" s="246"/>
      <c r="M11" s="124">
        <f>+K11+'17'!M11+L11</f>
        <v>8043</v>
      </c>
    </row>
    <row r="12" spans="1:19" ht="13.5" thickBot="1">
      <c r="A12" s="801"/>
      <c r="B12" s="222"/>
      <c r="C12" s="223"/>
      <c r="D12" s="224"/>
      <c r="E12" s="226"/>
      <c r="F12" s="235"/>
      <c r="G12" s="239"/>
      <c r="H12" s="240"/>
      <c r="I12" s="804"/>
      <c r="J12" s="221" t="str">
        <f>+'17'!J12</f>
        <v>TW 29 RC HW</v>
      </c>
      <c r="K12" s="246"/>
      <c r="L12" s="246"/>
      <c r="M12" s="124">
        <f>+K12+'17'!M12+L12</f>
        <v>21439</v>
      </c>
    </row>
    <row r="13" spans="1:19" ht="13.5" thickBot="1">
      <c r="A13" s="801"/>
      <c r="B13" s="222"/>
      <c r="C13" s="223"/>
      <c r="D13" s="223"/>
      <c r="E13" s="226"/>
      <c r="F13" s="235"/>
      <c r="G13" s="239"/>
      <c r="H13" s="240"/>
      <c r="I13" s="805"/>
      <c r="J13" s="221" t="str">
        <f>+'17'!J13</f>
        <v>TW 35,5 RC HW</v>
      </c>
      <c r="K13" s="246"/>
      <c r="L13" s="246"/>
      <c r="M13" s="124">
        <f>+K13+'17'!M13+L13</f>
        <v>2193</v>
      </c>
    </row>
    <row r="14" spans="1:19" ht="13.5" thickBot="1">
      <c r="A14" s="802"/>
      <c r="B14" s="172" t="s">
        <v>3</v>
      </c>
      <c r="C14" s="106">
        <f>SUM(C7:C13)</f>
        <v>14770</v>
      </c>
      <c r="D14" s="118">
        <f>SUM(D7:D13)</f>
        <v>0</v>
      </c>
      <c r="E14" s="119">
        <f>SUM(E5:E13)</f>
        <v>0</v>
      </c>
      <c r="F14" s="109">
        <f>SUM(F6:F13)</f>
        <v>19</v>
      </c>
      <c r="G14" s="166"/>
      <c r="H14" s="173"/>
      <c r="I14" s="174"/>
      <c r="J14" s="221" t="str">
        <f>+'17'!J14</f>
        <v>N 15,5 RC HW</v>
      </c>
      <c r="K14" s="246"/>
      <c r="L14" s="246"/>
      <c r="M14" s="124">
        <f>+K14+'17'!M14+L14</f>
        <v>46927</v>
      </c>
    </row>
    <row r="15" spans="1:19" ht="13.5" customHeight="1" thickBot="1">
      <c r="A15" s="800" t="s">
        <v>423</v>
      </c>
      <c r="B15" s="172"/>
      <c r="C15" s="120">
        <f>C14/($C$23+$D$23+$E$23)</f>
        <v>0.7128722428688643</v>
      </c>
      <c r="D15" s="121">
        <f>D14/($C$23+$D$23+$E$23)</f>
        <v>0</v>
      </c>
      <c r="E15" s="122">
        <f>E14/($C$23+$D$23+$E$23)</f>
        <v>0</v>
      </c>
      <c r="F15" s="235"/>
      <c r="G15" s="236" t="s">
        <v>13</v>
      </c>
      <c r="H15" s="237" t="s">
        <v>386</v>
      </c>
      <c r="I15" s="803" t="s">
        <v>668</v>
      </c>
      <c r="J15" s="221" t="str">
        <f>+'17'!J15</f>
        <v>F 14 RC HW</v>
      </c>
      <c r="K15" s="246"/>
      <c r="L15" s="246"/>
      <c r="M15" s="124">
        <f>+K15+'17'!M15+L15</f>
        <v>4620</v>
      </c>
    </row>
    <row r="16" spans="1:19" ht="13.5" thickBot="1">
      <c r="A16" s="811"/>
      <c r="B16" s="222" t="s">
        <v>676</v>
      </c>
      <c r="C16" s="229">
        <v>2361</v>
      </c>
      <c r="D16" s="230"/>
      <c r="E16" s="231"/>
      <c r="F16" s="238">
        <v>4</v>
      </c>
      <c r="G16" s="582" t="s">
        <v>13</v>
      </c>
      <c r="H16" s="237" t="s">
        <v>415</v>
      </c>
      <c r="I16" s="804"/>
      <c r="J16" s="221" t="str">
        <f>+'17'!J16</f>
        <v>T 15 RC HW</v>
      </c>
      <c r="K16" s="246"/>
      <c r="L16" s="236"/>
      <c r="M16" s="124">
        <f>+K16+'17'!M16+L16</f>
        <v>267494</v>
      </c>
      <c r="Q16" s="183">
        <f>SUM(Q6:Q14)</f>
        <v>480</v>
      </c>
      <c r="R16" s="183">
        <f>SUM(R6:R14)</f>
        <v>501500</v>
      </c>
      <c r="S16" s="183">
        <f>SUM(S6:S14)</f>
        <v>408760</v>
      </c>
    </row>
    <row r="17" spans="1:26" ht="13.5" thickBot="1">
      <c r="A17" s="811"/>
      <c r="B17" s="222" t="s">
        <v>677</v>
      </c>
      <c r="C17" s="223">
        <v>12647</v>
      </c>
      <c r="D17" s="224"/>
      <c r="E17" s="232"/>
      <c r="F17" s="235">
        <v>5</v>
      </c>
      <c r="G17" s="582" t="s">
        <v>13</v>
      </c>
      <c r="H17" s="240" t="s">
        <v>395</v>
      </c>
      <c r="I17" s="804"/>
      <c r="J17" s="221" t="str">
        <f>+'17'!J17</f>
        <v>T 14 RC HW</v>
      </c>
      <c r="K17" s="246">
        <f>+C18+C25</f>
        <v>20587</v>
      </c>
      <c r="L17" s="236"/>
      <c r="M17" s="124">
        <f>+K17+'17'!M17+L17</f>
        <v>73419</v>
      </c>
      <c r="Q17" s="156">
        <f>480-Q16</f>
        <v>0</v>
      </c>
      <c r="R17" s="183">
        <f>+R16/Q16</f>
        <v>1044.7916666666667</v>
      </c>
      <c r="S17" s="183">
        <f>+S16/Q16</f>
        <v>851.58333333333337</v>
      </c>
    </row>
    <row r="18" spans="1:26" ht="39" thickBot="1">
      <c r="A18" s="811"/>
      <c r="B18" s="222" t="s">
        <v>623</v>
      </c>
      <c r="C18" s="223">
        <v>5711</v>
      </c>
      <c r="D18" s="224"/>
      <c r="E18" s="232"/>
      <c r="F18" s="235"/>
      <c r="G18" s="244" t="s">
        <v>14</v>
      </c>
      <c r="H18" s="240" t="s">
        <v>653</v>
      </c>
      <c r="I18" s="804"/>
      <c r="J18" s="221" t="str">
        <f>+'17'!J18</f>
        <v>T 16 RC HW</v>
      </c>
      <c r="K18" s="246">
        <f>+C7+C16</f>
        <v>17131</v>
      </c>
      <c r="L18" s="246"/>
      <c r="M18" s="124">
        <f>+K18+'17'!M18+L18</f>
        <v>17950</v>
      </c>
      <c r="N18" s="156" t="s">
        <v>667</v>
      </c>
      <c r="O18" s="156">
        <v>950</v>
      </c>
      <c r="P18" s="156">
        <f>+O18-(O18*0.2)</f>
        <v>760</v>
      </c>
      <c r="Q18" s="156">
        <f>60*3+22</f>
        <v>202</v>
      </c>
      <c r="R18" s="156">
        <f t="shared" ref="R18:R19" si="2">+O18*Q18</f>
        <v>191900</v>
      </c>
      <c r="S18" s="156">
        <f t="shared" ref="S18:S19" si="3">+P18*Q18</f>
        <v>153520</v>
      </c>
    </row>
    <row r="19" spans="1:26" ht="13.5" thickBot="1">
      <c r="A19" s="811"/>
      <c r="B19" s="222"/>
      <c r="C19" s="223"/>
      <c r="D19" s="224"/>
      <c r="E19" s="232"/>
      <c r="F19" s="242"/>
      <c r="G19" s="239"/>
      <c r="H19" s="240" t="s">
        <v>654</v>
      </c>
      <c r="I19" s="804"/>
      <c r="J19" s="221" t="str">
        <f>+'17'!J19</f>
        <v>T 18 RC HW</v>
      </c>
      <c r="K19" s="246"/>
      <c r="L19" s="246"/>
      <c r="M19" s="124">
        <f>+K19+'17'!M19+L19</f>
        <v>32713</v>
      </c>
      <c r="N19" s="156" t="s">
        <v>615</v>
      </c>
      <c r="O19" s="156">
        <v>1140</v>
      </c>
      <c r="P19" s="156">
        <f>+O19-(O19*0.18)</f>
        <v>934.8</v>
      </c>
      <c r="Q19" s="156">
        <f>480-Q18</f>
        <v>278</v>
      </c>
      <c r="R19" s="156">
        <f t="shared" si="2"/>
        <v>316920</v>
      </c>
      <c r="S19" s="156">
        <f t="shared" si="3"/>
        <v>259874.4</v>
      </c>
    </row>
    <row r="20" spans="1:26" ht="13.5" thickBot="1">
      <c r="A20" s="811"/>
      <c r="B20" s="222"/>
      <c r="C20" s="223"/>
      <c r="D20" s="224"/>
      <c r="E20" s="232"/>
      <c r="F20" s="235"/>
      <c r="G20" s="239"/>
      <c r="H20" s="240"/>
      <c r="I20" s="804"/>
      <c r="J20" s="221" t="s">
        <v>677</v>
      </c>
      <c r="K20" s="246">
        <f>+C17</f>
        <v>12647</v>
      </c>
      <c r="L20" s="246"/>
      <c r="M20" s="124">
        <f>+K20+'17'!M20+L20</f>
        <v>12647</v>
      </c>
    </row>
    <row r="21" spans="1:26" ht="13.5" thickBot="1">
      <c r="A21" s="811"/>
      <c r="B21" s="222"/>
      <c r="C21" s="223"/>
      <c r="D21" s="224"/>
      <c r="E21" s="232"/>
      <c r="F21" s="238"/>
      <c r="G21" s="239"/>
      <c r="H21" s="240"/>
      <c r="I21" s="804"/>
      <c r="J21" s="221">
        <f>+'17'!J21</f>
        <v>0</v>
      </c>
      <c r="K21" s="246"/>
      <c r="L21" s="246"/>
      <c r="M21" s="124">
        <f>+K21+'17'!M21+L21</f>
        <v>0</v>
      </c>
    </row>
    <row r="22" spans="1:26" ht="13.5" thickBot="1">
      <c r="A22" s="811"/>
      <c r="B22" s="222"/>
      <c r="C22" s="223"/>
      <c r="D22" s="224"/>
      <c r="E22" s="232"/>
      <c r="F22" s="243"/>
      <c r="G22" s="239"/>
      <c r="H22" s="240"/>
      <c r="I22" s="805"/>
      <c r="J22" s="221">
        <f>+'17'!J22</f>
        <v>0</v>
      </c>
      <c r="K22" s="246"/>
      <c r="L22" s="246"/>
      <c r="M22" s="124">
        <f>+K22+'17'!M22+L22</f>
        <v>0</v>
      </c>
    </row>
    <row r="23" spans="1:26" ht="13.5" thickBot="1">
      <c r="A23" s="812"/>
      <c r="B23" s="172" t="s">
        <v>3</v>
      </c>
      <c r="C23" s="107">
        <f>SUM(C16:C22)</f>
        <v>20719</v>
      </c>
      <c r="D23" s="118">
        <f>SUM(D16:D22)</f>
        <v>0</v>
      </c>
      <c r="E23" s="119">
        <f>SUM(E18:E22)</f>
        <v>0</v>
      </c>
      <c r="F23" s="109">
        <f>SUM(F15:F22)</f>
        <v>9</v>
      </c>
      <c r="G23" s="166"/>
      <c r="H23" s="173"/>
      <c r="I23" s="176"/>
      <c r="J23" s="221">
        <f>+'17'!J23</f>
        <v>0</v>
      </c>
      <c r="K23" s="246"/>
      <c r="L23" s="246"/>
      <c r="M23" s="124">
        <f>+K23+'17'!M23+L23</f>
        <v>0</v>
      </c>
    </row>
    <row r="24" spans="1:26" ht="13.5" customHeight="1" thickBot="1">
      <c r="A24" s="800" t="s">
        <v>424</v>
      </c>
      <c r="B24" s="177"/>
      <c r="C24" s="120">
        <f>C23/($C$23+$D$23+$E$23)</f>
        <v>1</v>
      </c>
      <c r="D24" s="121">
        <f>D23/($C$23+$D$23+$E$23)</f>
        <v>0</v>
      </c>
      <c r="E24" s="122">
        <f>E23/($C$23+$D$23+$E$23)</f>
        <v>0</v>
      </c>
      <c r="F24" s="235"/>
      <c r="G24" s="236" t="s">
        <v>13</v>
      </c>
      <c r="H24" s="237" t="s">
        <v>386</v>
      </c>
      <c r="I24" s="803" t="s">
        <v>498</v>
      </c>
      <c r="J24" s="221">
        <f>+'17'!J24</f>
        <v>0</v>
      </c>
      <c r="K24" s="246"/>
      <c r="L24" s="246"/>
      <c r="M24" s="124">
        <f>+K24+'17'!M24+L24</f>
        <v>0</v>
      </c>
    </row>
    <row r="25" spans="1:26" ht="13.5" thickBot="1">
      <c r="A25" s="811"/>
      <c r="B25" s="222" t="s">
        <v>623</v>
      </c>
      <c r="C25" s="233">
        <v>14876</v>
      </c>
      <c r="D25" s="224"/>
      <c r="E25" s="232"/>
      <c r="F25" s="238">
        <v>4</v>
      </c>
      <c r="G25" s="582" t="s">
        <v>13</v>
      </c>
      <c r="H25" s="237" t="s">
        <v>415</v>
      </c>
      <c r="I25" s="804"/>
      <c r="J25" s="221">
        <f>+'17'!J25</f>
        <v>0</v>
      </c>
      <c r="K25" s="246"/>
      <c r="L25" s="246"/>
      <c r="M25" s="124">
        <f>+K25+'17'!M25+L25</f>
        <v>0</v>
      </c>
    </row>
    <row r="26" spans="1:26" ht="13.5" thickBot="1">
      <c r="A26" s="811"/>
      <c r="B26" s="222"/>
      <c r="C26" s="233"/>
      <c r="D26" s="224"/>
      <c r="E26" s="234"/>
      <c r="F26" s="235">
        <v>7</v>
      </c>
      <c r="G26" s="582" t="s">
        <v>13</v>
      </c>
      <c r="H26" s="240" t="s">
        <v>450</v>
      </c>
      <c r="I26" s="804"/>
      <c r="J26" s="221">
        <f>+'17'!J26</f>
        <v>0</v>
      </c>
      <c r="K26" s="246"/>
      <c r="L26" s="246"/>
      <c r="M26" s="124">
        <f>+K26+'17'!M26+L26</f>
        <v>0</v>
      </c>
    </row>
    <row r="27" spans="1:26" ht="26.25" thickBot="1">
      <c r="A27" s="811"/>
      <c r="B27" s="222"/>
      <c r="C27" s="223"/>
      <c r="D27" s="224"/>
      <c r="E27" s="232"/>
      <c r="F27" s="235">
        <v>25</v>
      </c>
      <c r="G27" s="244" t="s">
        <v>14</v>
      </c>
      <c r="H27" s="240" t="s">
        <v>652</v>
      </c>
      <c r="I27" s="804"/>
      <c r="J27" s="221">
        <f>+'17'!J27</f>
        <v>0</v>
      </c>
      <c r="K27" s="246"/>
      <c r="L27" s="246"/>
      <c r="M27" s="124">
        <f>+K27+'17'!M27+L27</f>
        <v>0</v>
      </c>
    </row>
    <row r="28" spans="1:26" ht="13.5" thickBot="1">
      <c r="A28" s="811"/>
      <c r="B28" s="222"/>
      <c r="C28" s="223"/>
      <c r="D28" s="224"/>
      <c r="E28" s="232"/>
      <c r="F28" s="238"/>
      <c r="G28" s="239"/>
      <c r="H28" s="240"/>
      <c r="I28" s="804"/>
      <c r="J28" s="221">
        <f>+'17'!J28</f>
        <v>0</v>
      </c>
      <c r="K28" s="236"/>
      <c r="L28" s="246"/>
      <c r="M28" s="124">
        <f>+K28+'17'!M28+L28</f>
        <v>0</v>
      </c>
      <c r="Q28" s="183">
        <f>SUM(Q18:Q26)</f>
        <v>480</v>
      </c>
      <c r="R28" s="183">
        <f>SUM(R18:R26)</f>
        <v>508820</v>
      </c>
      <c r="S28" s="183">
        <f>SUM(S18:S26)</f>
        <v>413394.4</v>
      </c>
    </row>
    <row r="29" spans="1:26" ht="13.5" thickBot="1">
      <c r="A29" s="811"/>
      <c r="B29" s="222"/>
      <c r="C29" s="223"/>
      <c r="D29" s="224"/>
      <c r="E29" s="232"/>
      <c r="F29" s="243"/>
      <c r="G29" s="239"/>
      <c r="H29" s="240"/>
      <c r="I29" s="804"/>
      <c r="J29" s="221">
        <f>+'17'!J29</f>
        <v>0</v>
      </c>
      <c r="K29" s="236"/>
      <c r="L29" s="246"/>
      <c r="M29" s="124">
        <f>+K29+'17'!M29+L29</f>
        <v>0</v>
      </c>
      <c r="Q29" s="156">
        <f>480-Q28</f>
        <v>0</v>
      </c>
      <c r="R29" s="183">
        <f>+R28/Q28</f>
        <v>1060.0416666666667</v>
      </c>
      <c r="S29" s="183">
        <f>+S28/Q28</f>
        <v>861.23833333333334</v>
      </c>
    </row>
    <row r="30" spans="1:26" ht="13.5" thickBot="1">
      <c r="A30" s="811"/>
      <c r="B30" s="222"/>
      <c r="C30" s="233"/>
      <c r="D30" s="224"/>
      <c r="E30" s="232"/>
      <c r="F30" s="243"/>
      <c r="G30" s="239"/>
      <c r="H30" s="240"/>
      <c r="I30" s="804"/>
      <c r="J30" s="221">
        <f>+'17'!J30</f>
        <v>0</v>
      </c>
      <c r="K30" s="246"/>
      <c r="L30" s="246"/>
      <c r="M30" s="124">
        <f>+K30+'17'!M30+L30</f>
        <v>0</v>
      </c>
      <c r="N30" s="156" t="s">
        <v>615</v>
      </c>
      <c r="O30" s="156">
        <v>1140</v>
      </c>
      <c r="P30" s="156">
        <f>+O30-(O30*0.18)</f>
        <v>934.8</v>
      </c>
      <c r="Q30" s="156">
        <v>480</v>
      </c>
      <c r="R30" s="156">
        <f t="shared" ref="R30" si="4">+O30*Q30</f>
        <v>547200</v>
      </c>
      <c r="S30" s="156">
        <f t="shared" ref="S30" si="5">+P30*Q30</f>
        <v>448704</v>
      </c>
      <c r="U30" s="156" t="s">
        <v>667</v>
      </c>
      <c r="V30" s="156">
        <v>950</v>
      </c>
      <c r="W30" s="156">
        <v>760</v>
      </c>
      <c r="X30" s="156">
        <v>130</v>
      </c>
      <c r="Y30" s="156">
        <f t="shared" ref="Y30" si="6">+V30*X30</f>
        <v>123500</v>
      </c>
      <c r="Z30" s="156">
        <f t="shared" ref="Z30" si="7">+W30*X30</f>
        <v>98800</v>
      </c>
    </row>
    <row r="31" spans="1:26" ht="13.5" thickBot="1">
      <c r="A31" s="811"/>
      <c r="B31" s="222"/>
      <c r="C31" s="233"/>
      <c r="D31" s="224"/>
      <c r="E31" s="232"/>
      <c r="F31" s="243"/>
      <c r="G31" s="244"/>
      <c r="H31" s="241"/>
      <c r="I31" s="805"/>
      <c r="J31" s="221">
        <f>+'17'!J31</f>
        <v>0</v>
      </c>
      <c r="K31" s="246"/>
      <c r="L31" s="246"/>
      <c r="M31" s="124">
        <f>+K31+'17'!M31+L31</f>
        <v>0</v>
      </c>
      <c r="U31" s="156" t="s">
        <v>667</v>
      </c>
      <c r="V31" s="156">
        <v>950</v>
      </c>
      <c r="W31" s="156">
        <v>760</v>
      </c>
      <c r="X31" s="156">
        <v>202</v>
      </c>
      <c r="Y31" s="156">
        <f t="shared" ref="Y31" si="8">+V31*X31</f>
        <v>191900</v>
      </c>
      <c r="Z31" s="156">
        <f t="shared" ref="Z31" si="9">+W31*X31</f>
        <v>153520</v>
      </c>
    </row>
    <row r="32" spans="1:26" ht="13.5" thickBot="1">
      <c r="A32" s="812"/>
      <c r="B32" s="172" t="s">
        <v>3</v>
      </c>
      <c r="C32" s="106">
        <f>SUM(C25:C31)</f>
        <v>14876</v>
      </c>
      <c r="D32" s="107">
        <f>SUM(D25:D31)</f>
        <v>0</v>
      </c>
      <c r="E32" s="108">
        <f>SUM(E25:E31)</f>
        <v>0</v>
      </c>
      <c r="F32" s="109">
        <f>SUM(F24:F31)</f>
        <v>36</v>
      </c>
      <c r="G32" s="178"/>
      <c r="H32" s="179"/>
      <c r="I32" s="176"/>
      <c r="J32" s="221">
        <f>+'17'!J32</f>
        <v>0</v>
      </c>
      <c r="K32" s="248"/>
      <c r="L32" s="250"/>
      <c r="M32" s="124">
        <f>+K32+'17'!M32+L32</f>
        <v>0</v>
      </c>
    </row>
    <row r="33" spans="1:26" ht="13.5" thickBot="1">
      <c r="A33" s="180"/>
      <c r="B33" s="181"/>
      <c r="C33" s="110">
        <f>C32/($C$32+$D$32+$E$32)</f>
        <v>1</v>
      </c>
      <c r="D33" s="111">
        <f>D32/($C$32+$D$32+$E$32)</f>
        <v>0</v>
      </c>
      <c r="E33" s="112">
        <f>E32/($C$32+$D$32+$E$32)</f>
        <v>0</v>
      </c>
      <c r="F33" s="113"/>
      <c r="G33" s="182"/>
      <c r="H33" s="183"/>
      <c r="I33" s="184"/>
      <c r="J33" s="128"/>
      <c r="K33" s="129"/>
      <c r="L33" s="220"/>
      <c r="M33" s="126"/>
    </row>
    <row r="34" spans="1:26" ht="13.5" thickBot="1">
      <c r="A34" s="808" t="s">
        <v>70</v>
      </c>
      <c r="B34" s="809"/>
      <c r="C34" s="114">
        <f>C14+C23+C32</f>
        <v>50365</v>
      </c>
      <c r="D34" s="114">
        <f>D14+D23+D32</f>
        <v>0</v>
      </c>
      <c r="E34" s="114">
        <f>E14+E23+E32</f>
        <v>0</v>
      </c>
      <c r="F34" s="115">
        <f>F14+F23+F32</f>
        <v>64</v>
      </c>
      <c r="H34" s="185"/>
      <c r="I34" s="185"/>
      <c r="J34" s="130" t="s">
        <v>29</v>
      </c>
      <c r="K34" s="131">
        <f>SUM(K7:K32)</f>
        <v>50365</v>
      </c>
      <c r="L34" s="219">
        <f>SUM(L7:L32)</f>
        <v>0</v>
      </c>
      <c r="M34" s="127">
        <f>SUM(M7:M32)</f>
        <v>815542</v>
      </c>
    </row>
    <row r="35" spans="1:26" ht="13.5" thickBot="1">
      <c r="A35" s="186"/>
      <c r="B35" s="187"/>
      <c r="C35" s="111">
        <f>C34/($C$34+$D$34+$E$34)</f>
        <v>1</v>
      </c>
      <c r="D35" s="111">
        <f>D34/($C$34+$D$34+$E$34)</f>
        <v>0</v>
      </c>
      <c r="E35" s="116">
        <f>E34/($C$34+$D$34+$E$34)</f>
        <v>0</v>
      </c>
      <c r="K35" s="162"/>
      <c r="L35" s="799" t="s">
        <v>184</v>
      </c>
      <c r="M35" s="799"/>
    </row>
    <row r="36" spans="1:26" ht="13.5" thickBot="1">
      <c r="A36" s="185"/>
      <c r="B36" s="185"/>
      <c r="C36" s="162"/>
      <c r="D36" s="162"/>
      <c r="E36" s="162"/>
      <c r="G36" s="162"/>
      <c r="H36" s="188"/>
      <c r="I36" s="169" t="s">
        <v>41</v>
      </c>
      <c r="J36" s="169" t="s">
        <v>42</v>
      </c>
      <c r="K36" s="189"/>
      <c r="L36" s="169" t="s">
        <v>41</v>
      </c>
      <c r="M36" s="169" t="s">
        <v>42</v>
      </c>
    </row>
    <row r="37" spans="1:26" ht="17.45" customHeight="1" thickBot="1">
      <c r="A37" s="797" t="s">
        <v>71</v>
      </c>
      <c r="B37" s="798"/>
      <c r="C37" s="169" t="s">
        <v>72</v>
      </c>
      <c r="D37" s="190" t="s">
        <v>73</v>
      </c>
      <c r="E37" s="191" t="s">
        <v>74</v>
      </c>
      <c r="F37" s="368"/>
      <c r="G37" s="370"/>
      <c r="H37" s="193" t="s">
        <v>75</v>
      </c>
      <c r="I37" s="251">
        <f>(16*350+20*332+14*758)/1440*G42*2.75*1440/1000000</f>
        <v>55.461496132777768</v>
      </c>
      <c r="J37" s="132">
        <f>+I37+'17'!J37</f>
        <v>895.91628085338994</v>
      </c>
      <c r="K37" s="133" t="s">
        <v>76</v>
      </c>
      <c r="L37" s="429"/>
      <c r="M37" s="430"/>
    </row>
    <row r="38" spans="1:26" ht="17.45" customHeight="1">
      <c r="A38" s="793" t="s">
        <v>13</v>
      </c>
      <c r="B38" s="794"/>
      <c r="C38" s="171">
        <f>SUMIF($G$7:$G$31,"Process",$F$7:$F$31)</f>
        <v>39</v>
      </c>
      <c r="D38" s="125">
        <f>+C38+'17'!D38</f>
        <v>954</v>
      </c>
      <c r="E38" s="150">
        <f t="shared" ref="E38:E51" si="10">D38/60</f>
        <v>15.9</v>
      </c>
      <c r="F38" s="368">
        <v>1044.7916666666667</v>
      </c>
      <c r="G38" s="368">
        <v>851.58333333333337</v>
      </c>
      <c r="H38" s="194" t="s">
        <v>77</v>
      </c>
      <c r="I38" s="551">
        <f>15.437+3.665+9.918+8.746+14.911</f>
        <v>52.677</v>
      </c>
      <c r="J38" s="134">
        <f>+I38+'17'!J38</f>
        <v>842.10699999999997</v>
      </c>
      <c r="K38" s="135" t="s">
        <v>76</v>
      </c>
      <c r="L38" s="431"/>
      <c r="M38" s="432"/>
    </row>
    <row r="39" spans="1:26" ht="17.45" customHeight="1">
      <c r="A39" s="789" t="s">
        <v>14</v>
      </c>
      <c r="B39" s="790"/>
      <c r="C39" s="171">
        <f>SUMIF($G$7:$G$31,"Cleaning",$F$7:$F$31)</f>
        <v>25</v>
      </c>
      <c r="D39" s="125">
        <f>+C39+'17'!D39</f>
        <v>166</v>
      </c>
      <c r="E39" s="150">
        <f t="shared" si="10"/>
        <v>2.7666666666666666</v>
      </c>
      <c r="F39" s="368">
        <v>1060.0416666666667</v>
      </c>
      <c r="G39" s="368">
        <v>861.23833333333334</v>
      </c>
      <c r="H39" s="194" t="s">
        <v>78</v>
      </c>
      <c r="I39" s="149"/>
      <c r="J39" s="136">
        <f>J37/G4</f>
        <v>49.773126714077222</v>
      </c>
      <c r="K39" s="137" t="s">
        <v>76</v>
      </c>
      <c r="L39" s="431"/>
      <c r="M39" s="432"/>
    </row>
    <row r="40" spans="1:26" ht="17.45" customHeight="1">
      <c r="A40" s="789" t="s">
        <v>79</v>
      </c>
      <c r="B40" s="790"/>
      <c r="C40" s="171">
        <f>SUMIF($G$7:$G$31,"Mechanical",$F$7:$F$31)</f>
        <v>0</v>
      </c>
      <c r="D40" s="125">
        <f>+C40+'17'!D40</f>
        <v>22</v>
      </c>
      <c r="E40" s="150">
        <f t="shared" si="10"/>
        <v>0.36666666666666664</v>
      </c>
      <c r="F40" s="368">
        <v>1140</v>
      </c>
      <c r="G40" s="368">
        <v>934.8</v>
      </c>
      <c r="H40" s="194" t="s">
        <v>80</v>
      </c>
      <c r="I40" s="125">
        <f>(K34+L34)/1000</f>
        <v>50.365000000000002</v>
      </c>
      <c r="J40" s="138">
        <f>+I40+'17'!J40</f>
        <v>815.54200000000003</v>
      </c>
      <c r="K40" s="137" t="s">
        <v>76</v>
      </c>
      <c r="L40" s="431"/>
      <c r="M40" s="432"/>
      <c r="Q40" s="183">
        <f>SUM(Q30:Q38)</f>
        <v>480</v>
      </c>
      <c r="R40" s="183">
        <f>SUM(R30:R38)</f>
        <v>547200</v>
      </c>
      <c r="S40" s="183">
        <f>SUM(S30:S38)</f>
        <v>448704</v>
      </c>
      <c r="X40" s="183">
        <f>SUM(X30:X38)</f>
        <v>332</v>
      </c>
      <c r="Y40" s="183">
        <f>SUM(Y30:Y38)</f>
        <v>315400</v>
      </c>
      <c r="Z40" s="183">
        <f>SUM(Z30:Z38)</f>
        <v>252320</v>
      </c>
    </row>
    <row r="41" spans="1:26" ht="17.45" customHeight="1">
      <c r="A41" s="789" t="s">
        <v>81</v>
      </c>
      <c r="B41" s="790"/>
      <c r="C41" s="171">
        <f>SUMIF($G$7:$G$31,"Electrical",$F$7:$F$31)</f>
        <v>0</v>
      </c>
      <c r="D41" s="125">
        <f>+C41+'17'!D41</f>
        <v>539</v>
      </c>
      <c r="E41" s="150">
        <f t="shared" si="10"/>
        <v>8.9833333333333325</v>
      </c>
      <c r="F41" s="368"/>
      <c r="G41" s="368"/>
      <c r="H41" s="194" t="s">
        <v>82</v>
      </c>
      <c r="I41" s="149"/>
      <c r="J41" s="136">
        <f>J40/G4</f>
        <v>45.30788888888889</v>
      </c>
      <c r="K41" s="137" t="s">
        <v>76</v>
      </c>
      <c r="L41" s="431"/>
      <c r="M41" s="432"/>
      <c r="Q41" s="156">
        <f>480-Q40</f>
        <v>0</v>
      </c>
      <c r="R41" s="183">
        <f>+R40/Q40</f>
        <v>1140</v>
      </c>
      <c r="S41" s="183">
        <f>+S40/Q40</f>
        <v>934.8</v>
      </c>
      <c r="X41" s="156">
        <f>480-X40</f>
        <v>148</v>
      </c>
      <c r="Y41" s="183">
        <f>+Y40/X40</f>
        <v>950</v>
      </c>
      <c r="Z41" s="183">
        <f>+Z40/X40</f>
        <v>760</v>
      </c>
    </row>
    <row r="42" spans="1:26" ht="17.45" customHeight="1">
      <c r="A42" s="789" t="s">
        <v>17</v>
      </c>
      <c r="B42" s="790"/>
      <c r="C42" s="171">
        <f>SUMIF($G$7:$G$31,"Instrument",$F$7:$F$31)</f>
        <v>0</v>
      </c>
      <c r="D42" s="125">
        <f>+C42+'17'!D42</f>
        <v>0</v>
      </c>
      <c r="E42" s="150">
        <f t="shared" si="10"/>
        <v>0</v>
      </c>
      <c r="F42" s="368">
        <f>+(480*F38+480*F39+480*F40)/1440</f>
        <v>1081.6111111111111</v>
      </c>
      <c r="G42" s="368">
        <f>+(480*G38+480*G39+480*G40)/1440</f>
        <v>882.54055555555544</v>
      </c>
      <c r="H42" s="194" t="s">
        <v>83</v>
      </c>
      <c r="I42" s="253" t="s">
        <v>670</v>
      </c>
      <c r="J42" s="139"/>
      <c r="K42" s="137" t="s">
        <v>84</v>
      </c>
      <c r="L42" s="431"/>
      <c r="M42" s="432"/>
      <c r="N42" s="156" t="s">
        <v>662</v>
      </c>
      <c r="O42" s="156">
        <v>1080</v>
      </c>
      <c r="P42" s="156">
        <v>885.6</v>
      </c>
      <c r="Q42" s="156">
        <v>350</v>
      </c>
    </row>
    <row r="43" spans="1:26" ht="17.45" customHeight="1">
      <c r="A43" s="789" t="s">
        <v>85</v>
      </c>
      <c r="B43" s="790"/>
      <c r="C43" s="171">
        <f>SUMIF($G$7:$G$31,"Water",$F$7:$F$31)</f>
        <v>0</v>
      </c>
      <c r="D43" s="125">
        <f>+C43+'17'!D43</f>
        <v>0</v>
      </c>
      <c r="E43" s="150">
        <f t="shared" si="10"/>
        <v>0</v>
      </c>
      <c r="F43" s="368"/>
      <c r="G43" s="369"/>
      <c r="H43" s="195" t="s">
        <v>86</v>
      </c>
      <c r="I43" s="125">
        <f>+Report1!AH26</f>
        <v>65.7</v>
      </c>
      <c r="J43" s="140">
        <f>+I43+'17'!J43</f>
        <v>1135.8000000000002</v>
      </c>
      <c r="K43" s="137" t="s">
        <v>76</v>
      </c>
      <c r="L43" s="433">
        <f>+Report1!AN26</f>
        <v>0</v>
      </c>
      <c r="M43" s="434">
        <f>+L43+'17'!M43</f>
        <v>9</v>
      </c>
      <c r="N43" s="156" t="s">
        <v>667</v>
      </c>
      <c r="O43" s="156">
        <v>950</v>
      </c>
      <c r="P43" s="156">
        <v>760</v>
      </c>
      <c r="Q43" s="156">
        <v>332</v>
      </c>
    </row>
    <row r="44" spans="1:26" ht="17.45" customHeight="1">
      <c r="A44" s="789" t="s">
        <v>18</v>
      </c>
      <c r="B44" s="790"/>
      <c r="C44" s="171">
        <f>SUMIF($G$7:$G$31,"PLN",$F$7:$F$31)</f>
        <v>0</v>
      </c>
      <c r="D44" s="125">
        <f>+C44+'17'!D44</f>
        <v>0</v>
      </c>
      <c r="E44" s="150">
        <f t="shared" si="10"/>
        <v>0</v>
      </c>
      <c r="F44" s="368"/>
      <c r="G44" s="369"/>
      <c r="H44" s="195" t="s">
        <v>87</v>
      </c>
      <c r="I44" s="125">
        <f>I43/I38</f>
        <v>1.2472236459935078</v>
      </c>
      <c r="J44" s="141">
        <f>J43/J38</f>
        <v>1.3487597181830815</v>
      </c>
      <c r="K44" s="137" t="s">
        <v>76</v>
      </c>
      <c r="L44" s="435">
        <f>+L43/I38</f>
        <v>0</v>
      </c>
      <c r="M44" s="436">
        <f>+M43/J38</f>
        <v>1.0687477957076714E-2</v>
      </c>
      <c r="N44" s="156" t="s">
        <v>615</v>
      </c>
      <c r="O44" s="156">
        <v>1140</v>
      </c>
      <c r="P44" s="156">
        <v>934.8</v>
      </c>
      <c r="Q44" s="156">
        <f>278+480</f>
        <v>758</v>
      </c>
    </row>
    <row r="45" spans="1:26" ht="17.45" customHeight="1">
      <c r="A45" s="789" t="s">
        <v>19</v>
      </c>
      <c r="B45" s="790"/>
      <c r="C45" s="171">
        <f>SUMIF($G$7:$G$31,"Boiler",$F$7:$F$31)</f>
        <v>0</v>
      </c>
      <c r="D45" s="125">
        <f>+C45+'17'!D45</f>
        <v>0</v>
      </c>
      <c r="E45" s="150">
        <f t="shared" si="10"/>
        <v>0</v>
      </c>
      <c r="F45" s="368"/>
      <c r="G45" s="371"/>
      <c r="H45" s="195" t="s">
        <v>88</v>
      </c>
      <c r="I45" s="125">
        <f>I43/I40</f>
        <v>1.3044773155961482</v>
      </c>
      <c r="J45" s="141">
        <f>J43/J40</f>
        <v>1.3926934480382374</v>
      </c>
      <c r="K45" s="137" t="s">
        <v>76</v>
      </c>
      <c r="L45" s="435">
        <f>+L43/I40</f>
        <v>0</v>
      </c>
      <c r="M45" s="436">
        <f>+M43/J40</f>
        <v>1.1035605768924225E-2</v>
      </c>
      <c r="Q45" s="156">
        <f>+Q42+Q43+Q44</f>
        <v>1440</v>
      </c>
    </row>
    <row r="46" spans="1:26" ht="17.45" customHeight="1">
      <c r="A46" s="789" t="s">
        <v>89</v>
      </c>
      <c r="B46" s="790"/>
      <c r="C46" s="171">
        <f>SUMIF($G$7:$G$31,"Gas",$F$7:$F$31)</f>
        <v>0</v>
      </c>
      <c r="D46" s="125">
        <f>+C46+'17'!D46</f>
        <v>408</v>
      </c>
      <c r="E46" s="150">
        <f t="shared" si="10"/>
        <v>6.8</v>
      </c>
      <c r="F46" s="368"/>
      <c r="G46" s="369"/>
      <c r="H46" s="195" t="s">
        <v>90</v>
      </c>
      <c r="I46" s="147">
        <f>+SUMIF(Listrik!P25,"&gt;0")</f>
        <v>41512.020000000004</v>
      </c>
      <c r="J46" s="142">
        <f>+I46+'17'!J46</f>
        <v>716843.22</v>
      </c>
      <c r="K46" s="137" t="s">
        <v>91</v>
      </c>
      <c r="L46" s="435">
        <f>+Listrik!AF25</f>
        <v>0</v>
      </c>
      <c r="M46" s="437">
        <f>+L46+'17'!M46</f>
        <v>0</v>
      </c>
    </row>
    <row r="47" spans="1:26" ht="17.45" customHeight="1">
      <c r="A47" s="789" t="s">
        <v>92</v>
      </c>
      <c r="B47" s="790"/>
      <c r="C47" s="171">
        <f>SUMIF($G$7:$G$31,"Gas",$F$7:$F$31)</f>
        <v>0</v>
      </c>
      <c r="D47" s="125">
        <f>+C47+'17'!D47</f>
        <v>0</v>
      </c>
      <c r="E47" s="150">
        <f t="shared" si="10"/>
        <v>0</v>
      </c>
      <c r="F47" s="368"/>
      <c r="G47" s="369"/>
      <c r="H47" s="195" t="s">
        <v>93</v>
      </c>
      <c r="I47" s="125">
        <f>I46/I38</f>
        <v>788.04829432200017</v>
      </c>
      <c r="J47" s="142">
        <f>J46/J38</f>
        <v>851.24956804776593</v>
      </c>
      <c r="K47" s="137" t="s">
        <v>25</v>
      </c>
      <c r="L47" s="435">
        <f>+L46/I38</f>
        <v>0</v>
      </c>
      <c r="M47" s="436">
        <f>+M46/J38</f>
        <v>0</v>
      </c>
    </row>
    <row r="48" spans="1:26" ht="17.45" customHeight="1">
      <c r="A48" s="789" t="s">
        <v>15</v>
      </c>
      <c r="B48" s="790"/>
      <c r="C48" s="171">
        <f>SUMIF($G$7:$G$31,"Start Up",$F$7:$F$31)</f>
        <v>0</v>
      </c>
      <c r="D48" s="125">
        <f>+C48+'17'!D48</f>
        <v>0</v>
      </c>
      <c r="E48" s="150">
        <f t="shared" si="10"/>
        <v>0</v>
      </c>
      <c r="F48" s="368"/>
      <c r="G48" s="369"/>
      <c r="H48" s="195" t="s">
        <v>94</v>
      </c>
      <c r="I48" s="125">
        <f>I46/I40</f>
        <v>824.22356795393637</v>
      </c>
      <c r="J48" s="142">
        <f>J46/J40</f>
        <v>878.97768600513518</v>
      </c>
      <c r="K48" s="137" t="s">
        <v>25</v>
      </c>
      <c r="L48" s="435">
        <f>+L46/I38</f>
        <v>0</v>
      </c>
      <c r="M48" s="436">
        <f>+M46/J40</f>
        <v>0</v>
      </c>
    </row>
    <row r="49" spans="1:13" ht="17.45" customHeight="1">
      <c r="A49" s="789" t="s">
        <v>21</v>
      </c>
      <c r="B49" s="790"/>
      <c r="C49" s="171">
        <f>SUMIF($G$7:$G$31,"Others",$F$7:$F$31)</f>
        <v>0</v>
      </c>
      <c r="D49" s="125">
        <f>+C49+'17'!D49</f>
        <v>480</v>
      </c>
      <c r="E49" s="150">
        <f t="shared" si="10"/>
        <v>8</v>
      </c>
      <c r="F49" s="192"/>
      <c r="H49" s="195" t="s">
        <v>95</v>
      </c>
      <c r="I49" s="125">
        <f>+Report1!AB26</f>
        <v>5381.9622978592333</v>
      </c>
      <c r="J49" s="142">
        <f>+I49+'17'!J49</f>
        <v>85074.880400390801</v>
      </c>
      <c r="K49" s="137" t="s">
        <v>96</v>
      </c>
      <c r="L49" s="431"/>
      <c r="M49" s="432"/>
    </row>
    <row r="50" spans="1:13" ht="17.45" customHeight="1">
      <c r="A50" s="789" t="s">
        <v>20</v>
      </c>
      <c r="B50" s="790"/>
      <c r="C50" s="171">
        <f>SUMIF($G$7:$G$31,"Steam",$F$7:$F$31)</f>
        <v>0</v>
      </c>
      <c r="D50" s="125">
        <f>+C50+'17'!D50</f>
        <v>0</v>
      </c>
      <c r="E50" s="150">
        <f t="shared" si="10"/>
        <v>0</v>
      </c>
      <c r="F50" s="192"/>
      <c r="H50" s="195" t="s">
        <v>97</v>
      </c>
      <c r="I50" s="147">
        <f>I49/I38</f>
        <v>102.1691117159146</v>
      </c>
      <c r="J50" s="140">
        <f>J49/J38</f>
        <v>101.0262121089016</v>
      </c>
      <c r="K50" s="137" t="s">
        <v>96</v>
      </c>
      <c r="L50" s="431"/>
      <c r="M50" s="432"/>
    </row>
    <row r="51" spans="1:13" ht="17.45" customHeight="1" thickBot="1">
      <c r="A51" s="791" t="s">
        <v>98</v>
      </c>
      <c r="B51" s="792"/>
      <c r="C51" s="171">
        <f>SUMIF($G$7:$G$31,"Planned shut",$F$7:$F$31)</f>
        <v>0</v>
      </c>
      <c r="D51" s="125">
        <f>+C51+'17'!D51</f>
        <v>394</v>
      </c>
      <c r="E51" s="150">
        <f t="shared" si="10"/>
        <v>6.5666666666666664</v>
      </c>
      <c r="F51" s="192"/>
      <c r="H51" s="197" t="s">
        <v>99</v>
      </c>
      <c r="I51" s="148">
        <f>I49/I40</f>
        <v>106.85917398707899</v>
      </c>
      <c r="J51" s="143">
        <f>J49/J40</f>
        <v>104.31698232634346</v>
      </c>
      <c r="K51" s="144" t="s">
        <v>96</v>
      </c>
      <c r="L51" s="431"/>
      <c r="M51" s="432"/>
    </row>
    <row r="52" spans="1:13" ht="13.5" thickBot="1">
      <c r="A52" s="793" t="s">
        <v>29</v>
      </c>
      <c r="B52" s="794"/>
      <c r="C52" s="151">
        <f>SUM(C38:C51)</f>
        <v>64</v>
      </c>
      <c r="D52" s="151">
        <f>SUM(D38:D51)</f>
        <v>2963</v>
      </c>
      <c r="E52" s="152">
        <f>SUM(E38:E51)</f>
        <v>49.383333333333326</v>
      </c>
      <c r="F52" s="192"/>
      <c r="H52" s="198"/>
      <c r="I52" s="199"/>
      <c r="J52" s="145"/>
      <c r="K52" s="146"/>
      <c r="L52" s="438"/>
      <c r="M52" s="439"/>
    </row>
    <row r="53" spans="1:13" ht="13.5" thickBot="1">
      <c r="A53" s="795"/>
      <c r="B53" s="796"/>
      <c r="C53" s="153">
        <f>C52/(24*60)</f>
        <v>4.4444444444444446E-2</v>
      </c>
      <c r="D53" s="153">
        <f>D52/(24*60*G4)</f>
        <v>0.11431327160493827</v>
      </c>
      <c r="E53" s="154">
        <f>E52/(G4*24)</f>
        <v>0.11431327160493826</v>
      </c>
      <c r="F53" s="192"/>
    </row>
    <row r="54" spans="1:13">
      <c r="E54" s="200"/>
      <c r="F54" s="192"/>
    </row>
    <row r="55" spans="1:13">
      <c r="E55" s="200"/>
    </row>
    <row r="56" spans="1:13">
      <c r="A56" s="201" t="s">
        <v>100</v>
      </c>
      <c r="B56" s="202"/>
      <c r="C56" s="203"/>
      <c r="D56" s="203"/>
      <c r="E56" s="203"/>
      <c r="F56" s="204"/>
      <c r="G56" s="203"/>
      <c r="H56" s="205"/>
      <c r="I56" s="206" t="s">
        <v>101</v>
      </c>
      <c r="J56" s="207">
        <f>+D34+'17'!J56</f>
        <v>5317</v>
      </c>
      <c r="K56" s="208">
        <f>J56/(J40+J56/1000)/1000</f>
        <v>6.4773609109481647E-3</v>
      </c>
    </row>
    <row r="57" spans="1:13">
      <c r="A57" s="183"/>
      <c r="I57" s="206" t="s">
        <v>102</v>
      </c>
      <c r="J57" s="207">
        <f>+E34+'17'!J57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row r="105" spans="23:23">
      <c r="W105" s="162">
        <f>+'18'!K17</f>
        <v>20587</v>
      </c>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Z61"/>
  <sheetViews>
    <sheetView view="pageBreakPreview" zoomScale="80" zoomScaleNormal="80" zoomScaleSheetLayoutView="80" workbookViewId="0">
      <selection activeCell="J20" sqref="J20"/>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0.28515625" style="156" bestFit="1" customWidth="1"/>
    <col min="11" max="11" width="12.5703125" style="156" bestFit="1" customWidth="1"/>
    <col min="12" max="12" width="12.140625" style="156" customWidth="1"/>
    <col min="13" max="13" width="13.85546875" style="156" bestFit="1" customWidth="1"/>
    <col min="14" max="16384" width="9.140625" style="156"/>
  </cols>
  <sheetData>
    <row r="1" spans="1:26" ht="15.75">
      <c r="A1" s="155"/>
    </row>
    <row r="2" spans="1:26" ht="15.75">
      <c r="A2" s="155" t="s">
        <v>183</v>
      </c>
    </row>
    <row r="3" spans="1:26" ht="15">
      <c r="A3" s="157"/>
    </row>
    <row r="4" spans="1:26" ht="20.25">
      <c r="A4" s="158" t="s">
        <v>5</v>
      </c>
      <c r="B4" s="159"/>
      <c r="F4" s="160" t="s">
        <v>30</v>
      </c>
      <c r="G4" s="161">
        <v>17</v>
      </c>
      <c r="H4" s="161" t="str">
        <f>+'1'!H4</f>
        <v>.01.26</v>
      </c>
      <c r="J4" s="156">
        <f>553+624.8+552.2</f>
        <v>1730</v>
      </c>
    </row>
    <row r="5" spans="1:26" ht="13.5" thickBot="1">
      <c r="C5" s="162"/>
      <c r="D5" s="162"/>
    </row>
    <row r="6" spans="1:26"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584</v>
      </c>
      <c r="O6" s="156">
        <v>1170</v>
      </c>
      <c r="P6" s="156">
        <f>+O6-(O6*0.2)</f>
        <v>936</v>
      </c>
      <c r="Q6" s="156">
        <f>60*4+18</f>
        <v>258</v>
      </c>
      <c r="R6" s="156">
        <f t="shared" ref="R6:R8" si="0">+O6*Q6</f>
        <v>301860</v>
      </c>
      <c r="S6" s="156">
        <f t="shared" ref="S6:S8" si="1">+P6*Q6</f>
        <v>241488</v>
      </c>
      <c r="U6" s="156" t="s">
        <v>584</v>
      </c>
      <c r="V6" s="156">
        <v>1170</v>
      </c>
      <c r="W6" s="156">
        <v>936</v>
      </c>
      <c r="X6" s="156">
        <v>258</v>
      </c>
      <c r="Y6" s="156">
        <v>301860</v>
      </c>
      <c r="Z6" s="156">
        <v>241488</v>
      </c>
    </row>
    <row r="7" spans="1:26" ht="13.5" customHeight="1" thickBot="1">
      <c r="A7" s="800" t="s">
        <v>425</v>
      </c>
      <c r="B7" s="222" t="s">
        <v>604</v>
      </c>
      <c r="C7" s="223">
        <v>14344</v>
      </c>
      <c r="D7" s="224"/>
      <c r="E7" s="225"/>
      <c r="F7" s="235">
        <v>4</v>
      </c>
      <c r="G7" s="236" t="s">
        <v>13</v>
      </c>
      <c r="H7" s="237" t="s">
        <v>394</v>
      </c>
      <c r="I7" s="803" t="s">
        <v>665</v>
      </c>
      <c r="J7" s="221" t="str">
        <f>+'16'!J7</f>
        <v>T 13,5 RC HW</v>
      </c>
      <c r="K7" s="245"/>
      <c r="L7" s="249"/>
      <c r="M7" s="124">
        <f>+K7+'16'!M7+L7</f>
        <v>221342</v>
      </c>
      <c r="O7" s="156">
        <v>1170</v>
      </c>
      <c r="P7" s="156">
        <f>+O7-(O7*0.2)</f>
        <v>936</v>
      </c>
      <c r="Q7" s="156">
        <f>60-15+30</f>
        <v>75</v>
      </c>
      <c r="R7" s="156">
        <f t="shared" si="0"/>
        <v>87750</v>
      </c>
      <c r="S7" s="156">
        <f t="shared" si="1"/>
        <v>70200</v>
      </c>
      <c r="V7" s="156">
        <v>1170</v>
      </c>
      <c r="W7" s="156">
        <v>936</v>
      </c>
      <c r="X7" s="156">
        <v>75</v>
      </c>
      <c r="Y7" s="156">
        <v>87750</v>
      </c>
      <c r="Z7" s="156">
        <v>70200</v>
      </c>
    </row>
    <row r="8" spans="1:26" ht="13.5" thickBot="1">
      <c r="A8" s="801"/>
      <c r="B8" s="222" t="s">
        <v>459</v>
      </c>
      <c r="C8" s="223">
        <v>1278</v>
      </c>
      <c r="D8" s="224"/>
      <c r="E8" s="226"/>
      <c r="F8" s="238">
        <v>8</v>
      </c>
      <c r="G8" s="582" t="s">
        <v>13</v>
      </c>
      <c r="H8" s="237" t="s">
        <v>501</v>
      </c>
      <c r="I8" s="804"/>
      <c r="J8" s="221" t="str">
        <f>+'16'!J8</f>
        <v>T 14,5 RC HW</v>
      </c>
      <c r="K8" s="246"/>
      <c r="L8" s="246"/>
      <c r="M8" s="124">
        <f>+K8+'16'!M8+L8</f>
        <v>57466</v>
      </c>
      <c r="N8" s="156" t="s">
        <v>661</v>
      </c>
      <c r="O8" s="156">
        <v>930</v>
      </c>
      <c r="P8" s="156">
        <f>+O8-(O8*0.16)</f>
        <v>781.2</v>
      </c>
      <c r="Q8" s="156">
        <f>60-30</f>
        <v>30</v>
      </c>
      <c r="R8" s="156">
        <f t="shared" si="0"/>
        <v>27900</v>
      </c>
      <c r="S8" s="156">
        <f t="shared" si="1"/>
        <v>23436</v>
      </c>
    </row>
    <row r="9" spans="1:26" ht="13.5" thickBot="1">
      <c r="A9" s="801"/>
      <c r="B9" s="222"/>
      <c r="C9" s="223"/>
      <c r="D9" s="224"/>
      <c r="E9" s="227"/>
      <c r="F9" s="235">
        <v>4</v>
      </c>
      <c r="G9" s="582" t="s">
        <v>13</v>
      </c>
      <c r="H9" s="240" t="s">
        <v>416</v>
      </c>
      <c r="I9" s="804"/>
      <c r="J9" s="221" t="str">
        <f>+'16'!J9</f>
        <v>TW 17 RC HW</v>
      </c>
      <c r="K9" s="246"/>
      <c r="L9" s="246"/>
      <c r="M9" s="124">
        <f>+K9+'16'!M9+L9</f>
        <v>24830</v>
      </c>
    </row>
    <row r="10" spans="1:26" ht="26.25" thickBot="1">
      <c r="A10" s="801"/>
      <c r="B10" s="222"/>
      <c r="C10" s="223"/>
      <c r="D10" s="224"/>
      <c r="E10" s="226"/>
      <c r="F10" s="235">
        <v>8</v>
      </c>
      <c r="G10" s="244" t="s">
        <v>14</v>
      </c>
      <c r="H10" s="240" t="s">
        <v>613</v>
      </c>
      <c r="I10" s="804"/>
      <c r="J10" s="221" t="str">
        <f>+'16'!J10</f>
        <v>TW 22 RC HW</v>
      </c>
      <c r="K10" s="246"/>
      <c r="L10" s="246"/>
      <c r="M10" s="124">
        <f>+K10+'16'!M10+L10</f>
        <v>24459</v>
      </c>
    </row>
    <row r="11" spans="1:26" ht="144" customHeight="1" thickBot="1">
      <c r="A11" s="801"/>
      <c r="B11" s="222"/>
      <c r="C11" s="223"/>
      <c r="D11" s="224"/>
      <c r="E11" s="226"/>
      <c r="F11" s="235">
        <f>60-18+60+15</f>
        <v>117</v>
      </c>
      <c r="G11" s="239" t="s">
        <v>81</v>
      </c>
      <c r="H11" s="240" t="s">
        <v>660</v>
      </c>
      <c r="I11" s="804"/>
      <c r="J11" s="221" t="str">
        <f>+'16'!J11</f>
        <v>TW 14 RC HW</v>
      </c>
      <c r="K11" s="246"/>
      <c r="L11" s="246"/>
      <c r="M11" s="124">
        <f>+K11+'16'!M11+L11</f>
        <v>8043</v>
      </c>
    </row>
    <row r="12" spans="1:26" ht="13.5" thickBot="1">
      <c r="A12" s="801"/>
      <c r="B12" s="222"/>
      <c r="C12" s="223"/>
      <c r="D12" s="224"/>
      <c r="E12" s="226"/>
      <c r="F12" s="235"/>
      <c r="G12" s="239"/>
      <c r="H12" s="240"/>
      <c r="I12" s="804"/>
      <c r="J12" s="221" t="str">
        <f>+'16'!J12</f>
        <v>TW 29 RC HW</v>
      </c>
      <c r="K12" s="246"/>
      <c r="L12" s="246"/>
      <c r="M12" s="124">
        <f>+K12+'16'!M12+L12</f>
        <v>21439</v>
      </c>
    </row>
    <row r="13" spans="1:26" ht="13.5" thickBot="1">
      <c r="A13" s="801"/>
      <c r="B13" s="222"/>
      <c r="C13" s="223"/>
      <c r="D13" s="223"/>
      <c r="E13" s="226"/>
      <c r="F13" s="235"/>
      <c r="G13" s="239"/>
      <c r="H13" s="240"/>
      <c r="I13" s="805"/>
      <c r="J13" s="221" t="str">
        <f>+'16'!J13</f>
        <v>TW 35,5 RC HW</v>
      </c>
      <c r="K13" s="246"/>
      <c r="L13" s="246"/>
      <c r="M13" s="124">
        <f>+K13+'16'!M13+L13</f>
        <v>2193</v>
      </c>
    </row>
    <row r="14" spans="1:26" ht="13.5" thickBot="1">
      <c r="A14" s="802"/>
      <c r="B14" s="172" t="s">
        <v>3</v>
      </c>
      <c r="C14" s="106">
        <f>SUM(C7:C13)</f>
        <v>15622</v>
      </c>
      <c r="D14" s="118">
        <f>SUM(D7:D13)</f>
        <v>0</v>
      </c>
      <c r="E14" s="119">
        <f>SUM(E5:E13)</f>
        <v>0</v>
      </c>
      <c r="F14" s="109">
        <f>SUM(F6:F13)</f>
        <v>141</v>
      </c>
      <c r="G14" s="166"/>
      <c r="H14" s="173"/>
      <c r="I14" s="174"/>
      <c r="J14" s="221" t="str">
        <f>+'16'!J14</f>
        <v>N 15,5 RC HW</v>
      </c>
      <c r="K14" s="246"/>
      <c r="L14" s="246"/>
      <c r="M14" s="124">
        <f>+K14+'16'!M14+L14</f>
        <v>46927</v>
      </c>
    </row>
    <row r="15" spans="1:26" ht="13.5" customHeight="1" thickBot="1">
      <c r="A15" s="800" t="s">
        <v>423</v>
      </c>
      <c r="B15" s="172"/>
      <c r="C15" s="120">
        <f>C14/($C$23+$D$23+$E$23)</f>
        <v>0.83660900765811597</v>
      </c>
      <c r="D15" s="121">
        <f>D14/($C$23+$D$23+$E$23)</f>
        <v>0</v>
      </c>
      <c r="E15" s="122">
        <f>E14/($C$23+$D$23+$E$23)</f>
        <v>0</v>
      </c>
      <c r="F15" s="235"/>
      <c r="G15" s="236" t="s">
        <v>13</v>
      </c>
      <c r="H15" s="237" t="s">
        <v>386</v>
      </c>
      <c r="I15" s="803" t="s">
        <v>664</v>
      </c>
      <c r="J15" s="221" t="str">
        <f>+'16'!J15</f>
        <v>F 14 RC HW</v>
      </c>
      <c r="K15" s="246"/>
      <c r="L15" s="246"/>
      <c r="M15" s="124">
        <f>+K15+'16'!M15+L15</f>
        <v>4620</v>
      </c>
    </row>
    <row r="16" spans="1:26" ht="13.5" thickBot="1">
      <c r="A16" s="811"/>
      <c r="B16" s="222" t="s">
        <v>675</v>
      </c>
      <c r="C16" s="229">
        <v>15618</v>
      </c>
      <c r="D16" s="230"/>
      <c r="E16" s="231"/>
      <c r="F16" s="238">
        <v>3</v>
      </c>
      <c r="G16" s="582" t="s">
        <v>13</v>
      </c>
      <c r="H16" s="237" t="s">
        <v>414</v>
      </c>
      <c r="I16" s="804"/>
      <c r="J16" s="221" t="str">
        <f>+'16'!J16</f>
        <v>T 15 RC HW</v>
      </c>
      <c r="K16" s="246">
        <f>+C7+C8+C18+C19</f>
        <v>17858</v>
      </c>
      <c r="L16" s="236"/>
      <c r="M16" s="124">
        <f>+K16+'16'!M16+L16</f>
        <v>267494</v>
      </c>
      <c r="Q16" s="183">
        <f>SUM(Q6:Q14)</f>
        <v>363</v>
      </c>
      <c r="R16" s="183">
        <f>SUM(R6:R14)</f>
        <v>417510</v>
      </c>
      <c r="S16" s="183">
        <f>SUM(S6:S14)</f>
        <v>335124</v>
      </c>
      <c r="X16" s="183">
        <f>SUM(X6:X14)</f>
        <v>333</v>
      </c>
      <c r="Y16" s="183">
        <f>SUM(Y6:Y14)</f>
        <v>389610</v>
      </c>
      <c r="Z16" s="183">
        <f>SUM(Z6:Z14)</f>
        <v>311688</v>
      </c>
    </row>
    <row r="17" spans="1:26" ht="13.5" thickBot="1">
      <c r="A17" s="811"/>
      <c r="B17" s="222" t="s">
        <v>676</v>
      </c>
      <c r="C17" s="223">
        <v>819</v>
      </c>
      <c r="D17" s="224"/>
      <c r="E17" s="232"/>
      <c r="F17" s="235">
        <v>8</v>
      </c>
      <c r="G17" s="582" t="s">
        <v>13</v>
      </c>
      <c r="H17" s="240" t="s">
        <v>523</v>
      </c>
      <c r="I17" s="804"/>
      <c r="J17" s="221" t="str">
        <f>+'16'!J17</f>
        <v>T 14 RC HW</v>
      </c>
      <c r="K17" s="246"/>
      <c r="L17" s="236"/>
      <c r="M17" s="124">
        <f>+K17+'16'!M17+L17</f>
        <v>52832</v>
      </c>
      <c r="Q17" s="156">
        <f>480-Q16</f>
        <v>117</v>
      </c>
      <c r="R17" s="183">
        <f>+R16/Q16</f>
        <v>1150.1652892561983</v>
      </c>
      <c r="S17" s="183">
        <f>+S16/Q16</f>
        <v>923.2066115702479</v>
      </c>
      <c r="X17" s="156">
        <f>480-X16</f>
        <v>147</v>
      </c>
      <c r="Y17" s="183">
        <f>+Y16/X16</f>
        <v>1170</v>
      </c>
      <c r="Z17" s="183">
        <f>+Z16/X16</f>
        <v>936</v>
      </c>
    </row>
    <row r="18" spans="1:26" ht="26.25" thickBot="1">
      <c r="A18" s="811"/>
      <c r="B18" s="222" t="s">
        <v>604</v>
      </c>
      <c r="C18" s="223">
        <v>732</v>
      </c>
      <c r="D18" s="224"/>
      <c r="E18" s="232"/>
      <c r="F18" s="235"/>
      <c r="G18" s="244" t="s">
        <v>14</v>
      </c>
      <c r="H18" s="240" t="s">
        <v>658</v>
      </c>
      <c r="I18" s="804"/>
      <c r="J18" s="221" t="s">
        <v>676</v>
      </c>
      <c r="K18" s="246">
        <f>+C17</f>
        <v>819</v>
      </c>
      <c r="L18" s="246"/>
      <c r="M18" s="124">
        <f>+K18+'16'!M18+L18</f>
        <v>819</v>
      </c>
      <c r="N18" s="156" t="s">
        <v>661</v>
      </c>
      <c r="O18" s="156">
        <v>950</v>
      </c>
      <c r="P18" s="156">
        <f>+O18-(O18*0.17)</f>
        <v>788.5</v>
      </c>
      <c r="Q18" s="156">
        <f>60*6+24</f>
        <v>384</v>
      </c>
      <c r="R18" s="156">
        <f t="shared" ref="R18:R20" si="2">+O18*Q18</f>
        <v>364800</v>
      </c>
      <c r="S18" s="156">
        <f t="shared" ref="S18:S20" si="3">+P18*Q18</f>
        <v>302784</v>
      </c>
      <c r="U18" s="156" t="s">
        <v>661</v>
      </c>
      <c r="V18" s="156">
        <v>950</v>
      </c>
      <c r="W18" s="156">
        <v>788.5</v>
      </c>
      <c r="X18" s="156">
        <v>384</v>
      </c>
      <c r="Y18" s="156">
        <f t="shared" ref="Y18" si="4">+V18*X18</f>
        <v>364800</v>
      </c>
      <c r="Z18" s="156">
        <f t="shared" ref="Z18" si="5">+W18*X18</f>
        <v>302784</v>
      </c>
    </row>
    <row r="19" spans="1:26" ht="26.25" thickBot="1">
      <c r="A19" s="811"/>
      <c r="B19" s="222" t="s">
        <v>459</v>
      </c>
      <c r="C19" s="223">
        <v>1504</v>
      </c>
      <c r="D19" s="224"/>
      <c r="E19" s="232"/>
      <c r="F19" s="242"/>
      <c r="G19" s="239"/>
      <c r="H19" s="240" t="s">
        <v>659</v>
      </c>
      <c r="I19" s="804"/>
      <c r="J19" s="221" t="s">
        <v>675</v>
      </c>
      <c r="K19" s="246">
        <f>+C16+C25</f>
        <v>32713</v>
      </c>
      <c r="L19" s="246"/>
      <c r="M19" s="124">
        <f>+K19+'16'!M19+L19</f>
        <v>32713</v>
      </c>
      <c r="N19" s="156" t="s">
        <v>662</v>
      </c>
      <c r="O19" s="156">
        <v>1070</v>
      </c>
      <c r="P19" s="156">
        <f>+O19-(O19*0.17)</f>
        <v>888.1</v>
      </c>
      <c r="Q19" s="156">
        <f>49-24</f>
        <v>25</v>
      </c>
      <c r="R19" s="156">
        <f t="shared" si="2"/>
        <v>26750</v>
      </c>
      <c r="S19" s="156">
        <f t="shared" si="3"/>
        <v>22202.5</v>
      </c>
      <c r="U19" s="156" t="s">
        <v>661</v>
      </c>
      <c r="V19" s="156">
        <v>930</v>
      </c>
      <c r="W19" s="156">
        <v>781.2</v>
      </c>
      <c r="X19" s="156">
        <v>30</v>
      </c>
      <c r="Y19" s="156">
        <f t="shared" ref="Y19" si="6">+V19*X19</f>
        <v>27900</v>
      </c>
      <c r="Z19" s="156">
        <f t="shared" ref="Z19" si="7">+W19*X19</f>
        <v>23436</v>
      </c>
    </row>
    <row r="20" spans="1:26" ht="13.5" thickBot="1">
      <c r="A20" s="811"/>
      <c r="B20" s="222"/>
      <c r="C20" s="223"/>
      <c r="D20" s="224"/>
      <c r="E20" s="232"/>
      <c r="F20" s="235"/>
      <c r="G20" s="239"/>
      <c r="H20" s="240"/>
      <c r="I20" s="804"/>
      <c r="J20" s="221">
        <f>+'16'!J20</f>
        <v>0</v>
      </c>
      <c r="K20" s="246"/>
      <c r="L20" s="247"/>
      <c r="M20" s="124">
        <f>+K20+'16'!M20+L20</f>
        <v>0</v>
      </c>
      <c r="O20" s="156">
        <v>1090</v>
      </c>
      <c r="P20" s="156">
        <f>+O20-(O20*0.17)</f>
        <v>904.7</v>
      </c>
      <c r="Q20" s="156">
        <f>60-49+60</f>
        <v>71</v>
      </c>
      <c r="R20" s="156">
        <f t="shared" si="2"/>
        <v>77390</v>
      </c>
      <c r="S20" s="156">
        <f t="shared" si="3"/>
        <v>64233.700000000004</v>
      </c>
    </row>
    <row r="21" spans="1:26" ht="13.5" thickBot="1">
      <c r="A21" s="811"/>
      <c r="B21" s="222"/>
      <c r="C21" s="223"/>
      <c r="D21" s="224"/>
      <c r="E21" s="232"/>
      <c r="F21" s="238"/>
      <c r="G21" s="239"/>
      <c r="H21" s="240"/>
      <c r="I21" s="804"/>
      <c r="J21" s="221">
        <f>+'16'!J21</f>
        <v>0</v>
      </c>
      <c r="K21" s="246"/>
      <c r="L21" s="246"/>
      <c r="M21" s="124">
        <f>+K21+'16'!M21+L21</f>
        <v>0</v>
      </c>
    </row>
    <row r="22" spans="1:26" ht="13.5" thickBot="1">
      <c r="A22" s="811"/>
      <c r="B22" s="222"/>
      <c r="C22" s="223"/>
      <c r="D22" s="224"/>
      <c r="E22" s="232"/>
      <c r="F22" s="243"/>
      <c r="G22" s="239"/>
      <c r="H22" s="240"/>
      <c r="I22" s="805"/>
      <c r="J22" s="221">
        <f>+'16'!J22</f>
        <v>0</v>
      </c>
      <c r="K22" s="246"/>
      <c r="L22" s="246"/>
      <c r="M22" s="124">
        <f>+K22+'16'!M22+L22</f>
        <v>0</v>
      </c>
    </row>
    <row r="23" spans="1:26" ht="13.5" thickBot="1">
      <c r="A23" s="812"/>
      <c r="B23" s="172" t="s">
        <v>3</v>
      </c>
      <c r="C23" s="107">
        <f>SUM(C16:C22)</f>
        <v>18673</v>
      </c>
      <c r="D23" s="118">
        <f>SUM(D16:D22)</f>
        <v>0</v>
      </c>
      <c r="E23" s="119">
        <f>SUM(E18:E22)</f>
        <v>0</v>
      </c>
      <c r="F23" s="109">
        <f>SUM(F15:F22)</f>
        <v>11</v>
      </c>
      <c r="G23" s="166"/>
      <c r="H23" s="173"/>
      <c r="I23" s="176"/>
      <c r="J23" s="221">
        <f>+'16'!J23</f>
        <v>0</v>
      </c>
      <c r="K23" s="246"/>
      <c r="L23" s="246"/>
      <c r="M23" s="124">
        <f>+K23+'16'!M23+L23</f>
        <v>0</v>
      </c>
    </row>
    <row r="24" spans="1:26" ht="13.5" customHeight="1" thickBot="1">
      <c r="A24" s="800" t="s">
        <v>424</v>
      </c>
      <c r="B24" s="177"/>
      <c r="C24" s="120">
        <f>C23/($C$23+$D$23+$E$23)</f>
        <v>1</v>
      </c>
      <c r="D24" s="121">
        <f>D23/($C$23+$D$23+$E$23)</f>
        <v>0</v>
      </c>
      <c r="E24" s="122">
        <f>E23/($C$23+$D$23+$E$23)</f>
        <v>0</v>
      </c>
      <c r="F24" s="235"/>
      <c r="G24" s="236" t="s">
        <v>13</v>
      </c>
      <c r="H24" s="237" t="s">
        <v>386</v>
      </c>
      <c r="I24" s="803" t="s">
        <v>663</v>
      </c>
      <c r="J24" s="221">
        <f>+'16'!J24</f>
        <v>0</v>
      </c>
      <c r="K24" s="246"/>
      <c r="L24" s="246"/>
      <c r="M24" s="124">
        <f>+K24+'16'!M24+L24</f>
        <v>0</v>
      </c>
    </row>
    <row r="25" spans="1:26" ht="13.5" thickBot="1">
      <c r="A25" s="811"/>
      <c r="B25" s="222" t="s">
        <v>676</v>
      </c>
      <c r="C25" s="233">
        <v>17095</v>
      </c>
      <c r="D25" s="224"/>
      <c r="E25" s="232"/>
      <c r="F25" s="238">
        <v>3</v>
      </c>
      <c r="G25" s="582" t="s">
        <v>13</v>
      </c>
      <c r="H25" s="237" t="s">
        <v>414</v>
      </c>
      <c r="I25" s="804"/>
      <c r="J25" s="221">
        <f>+'16'!J25</f>
        <v>0</v>
      </c>
      <c r="K25" s="246"/>
      <c r="L25" s="246"/>
      <c r="M25" s="124">
        <f>+K25+'16'!M25+L25</f>
        <v>0</v>
      </c>
    </row>
    <row r="26" spans="1:26" ht="13.5" thickBot="1">
      <c r="A26" s="811"/>
      <c r="B26" s="222"/>
      <c r="C26" s="233"/>
      <c r="D26" s="224"/>
      <c r="E26" s="234"/>
      <c r="F26" s="235">
        <v>7</v>
      </c>
      <c r="G26" s="582" t="s">
        <v>13</v>
      </c>
      <c r="H26" s="240" t="s">
        <v>450</v>
      </c>
      <c r="I26" s="804"/>
      <c r="J26" s="221">
        <f>+'16'!J26</f>
        <v>0</v>
      </c>
      <c r="K26" s="246"/>
      <c r="L26" s="246"/>
      <c r="M26" s="124">
        <f>+K26+'16'!M26+L26</f>
        <v>0</v>
      </c>
    </row>
    <row r="27" spans="1:26" ht="26.25" thickBot="1">
      <c r="A27" s="811"/>
      <c r="B27" s="222"/>
      <c r="C27" s="223"/>
      <c r="D27" s="224"/>
      <c r="E27" s="232"/>
      <c r="F27" s="235"/>
      <c r="G27" s="244" t="s">
        <v>14</v>
      </c>
      <c r="H27" s="240" t="s">
        <v>657</v>
      </c>
      <c r="I27" s="804"/>
      <c r="J27" s="221">
        <f>+'16'!J27</f>
        <v>0</v>
      </c>
      <c r="K27" s="246"/>
      <c r="L27" s="246"/>
      <c r="M27" s="124">
        <f>+K27+'16'!M27+L27</f>
        <v>0</v>
      </c>
    </row>
    <row r="28" spans="1:26" ht="13.5" thickBot="1">
      <c r="A28" s="811"/>
      <c r="B28" s="222"/>
      <c r="C28" s="223"/>
      <c r="D28" s="224"/>
      <c r="E28" s="232"/>
      <c r="F28" s="238"/>
      <c r="G28" s="239"/>
      <c r="H28" s="240"/>
      <c r="I28" s="804"/>
      <c r="J28" s="221">
        <f>+'16'!J28</f>
        <v>0</v>
      </c>
      <c r="K28" s="246"/>
      <c r="L28" s="246"/>
      <c r="M28" s="124">
        <f>+K28+'16'!M28+L28</f>
        <v>0</v>
      </c>
      <c r="Q28" s="183">
        <f>SUM(Q18:Q26)</f>
        <v>480</v>
      </c>
      <c r="R28" s="183">
        <f>SUM(R18:R26)</f>
        <v>468940</v>
      </c>
      <c r="S28" s="183">
        <f>SUM(S18:S26)</f>
        <v>389220.2</v>
      </c>
      <c r="X28" s="183">
        <f>SUM(X18:X26)</f>
        <v>414</v>
      </c>
      <c r="Y28" s="183">
        <f>SUM(Y18:Y26)</f>
        <v>392700</v>
      </c>
      <c r="Z28" s="183">
        <f>SUM(Z18:Z26)</f>
        <v>326220</v>
      </c>
    </row>
    <row r="29" spans="1:26" ht="13.5" thickBot="1">
      <c r="A29" s="811"/>
      <c r="B29" s="222"/>
      <c r="C29" s="223"/>
      <c r="D29" s="224"/>
      <c r="E29" s="232"/>
      <c r="F29" s="243"/>
      <c r="G29" s="239"/>
      <c r="H29" s="240"/>
      <c r="I29" s="804"/>
      <c r="J29" s="221">
        <f>+'16'!J29</f>
        <v>0</v>
      </c>
      <c r="K29" s="246"/>
      <c r="L29" s="246"/>
      <c r="M29" s="124">
        <f>+K29+'16'!M29+L29</f>
        <v>0</v>
      </c>
      <c r="Q29" s="156">
        <f>480-Q28</f>
        <v>0</v>
      </c>
      <c r="R29" s="183">
        <f>+R28/Q28</f>
        <v>976.95833333333337</v>
      </c>
      <c r="S29" s="183">
        <f>+S28/Q28</f>
        <v>810.87541666666664</v>
      </c>
      <c r="X29" s="156">
        <f>480-X28</f>
        <v>66</v>
      </c>
      <c r="Y29" s="183">
        <f>+Y28/X28</f>
        <v>948.55072463768113</v>
      </c>
      <c r="Z29" s="183">
        <f>+Z28/X28</f>
        <v>787.97101449275362</v>
      </c>
    </row>
    <row r="30" spans="1:26" ht="13.5" thickBot="1">
      <c r="A30" s="811"/>
      <c r="B30" s="222"/>
      <c r="C30" s="233"/>
      <c r="D30" s="224"/>
      <c r="E30" s="232"/>
      <c r="F30" s="243"/>
      <c r="G30" s="239"/>
      <c r="H30" s="240"/>
      <c r="I30" s="804"/>
      <c r="J30" s="221">
        <f>+'16'!J30</f>
        <v>0</v>
      </c>
      <c r="K30" s="246"/>
      <c r="L30" s="246"/>
      <c r="M30" s="124">
        <f>+K30+'16'!M30+L30</f>
        <v>0</v>
      </c>
      <c r="N30" s="156" t="s">
        <v>662</v>
      </c>
      <c r="O30" s="156">
        <v>1080</v>
      </c>
      <c r="P30" s="156">
        <f>+O30-(O30*0.16)</f>
        <v>907.2</v>
      </c>
      <c r="Q30" s="156">
        <v>480</v>
      </c>
      <c r="R30" s="156">
        <f t="shared" ref="R30" si="8">+O30*Q30</f>
        <v>518400</v>
      </c>
      <c r="S30" s="156">
        <f t="shared" ref="S30" si="9">+P30*Q30</f>
        <v>435456</v>
      </c>
      <c r="U30" s="156" t="s">
        <v>662</v>
      </c>
      <c r="V30" s="156">
        <v>1070</v>
      </c>
      <c r="W30" s="156">
        <v>888.1</v>
      </c>
      <c r="X30" s="156">
        <v>25</v>
      </c>
      <c r="Y30" s="156">
        <f t="shared" ref="Y30" si="10">+V30*X30</f>
        <v>26750</v>
      </c>
      <c r="Z30" s="156">
        <f t="shared" ref="Z30" si="11">+W30*X30</f>
        <v>22202.5</v>
      </c>
    </row>
    <row r="31" spans="1:26" ht="13.5" thickBot="1">
      <c r="A31" s="811"/>
      <c r="B31" s="222"/>
      <c r="C31" s="233"/>
      <c r="D31" s="224"/>
      <c r="E31" s="232"/>
      <c r="F31" s="243"/>
      <c r="G31" s="244"/>
      <c r="H31" s="241"/>
      <c r="I31" s="805"/>
      <c r="J31" s="221">
        <f>+'16'!J31</f>
        <v>0</v>
      </c>
      <c r="K31" s="246"/>
      <c r="L31" s="246"/>
      <c r="M31" s="124">
        <f>+K31+'16'!M31+L31</f>
        <v>0</v>
      </c>
      <c r="V31" s="156">
        <v>1090</v>
      </c>
      <c r="W31" s="156">
        <v>904.7</v>
      </c>
      <c r="X31" s="156">
        <v>71</v>
      </c>
      <c r="Y31" s="156">
        <f t="shared" ref="Y31:Y32" si="12">+V31*X31</f>
        <v>77390</v>
      </c>
      <c r="Z31" s="156">
        <f t="shared" ref="Z31:Z32" si="13">+W31*X31</f>
        <v>64233.700000000004</v>
      </c>
    </row>
    <row r="32" spans="1:26" ht="13.5" thickBot="1">
      <c r="A32" s="812"/>
      <c r="B32" s="172" t="s">
        <v>3</v>
      </c>
      <c r="C32" s="106">
        <f>SUM(C25:C31)</f>
        <v>17095</v>
      </c>
      <c r="D32" s="107">
        <f>SUM(D25:D31)</f>
        <v>0</v>
      </c>
      <c r="E32" s="108">
        <f>SUM(E25:E31)</f>
        <v>0</v>
      </c>
      <c r="F32" s="109">
        <f>SUM(F24:F31)</f>
        <v>10</v>
      </c>
      <c r="G32" s="178"/>
      <c r="H32" s="179"/>
      <c r="I32" s="176"/>
      <c r="J32" s="221">
        <f>+'16'!J32</f>
        <v>0</v>
      </c>
      <c r="K32" s="248"/>
      <c r="L32" s="250"/>
      <c r="M32" s="124">
        <f>+K32+'16'!M32+L32</f>
        <v>0</v>
      </c>
      <c r="U32" s="156" t="s">
        <v>662</v>
      </c>
      <c r="V32" s="156">
        <v>1080</v>
      </c>
      <c r="W32" s="156">
        <v>907.2</v>
      </c>
      <c r="X32" s="156">
        <v>480</v>
      </c>
      <c r="Y32" s="156">
        <f t="shared" si="12"/>
        <v>518400</v>
      </c>
      <c r="Z32" s="156">
        <f t="shared" si="13"/>
        <v>435456</v>
      </c>
    </row>
    <row r="33" spans="1:26" ht="13.5" thickBot="1">
      <c r="A33" s="180"/>
      <c r="B33" s="181"/>
      <c r="C33" s="110">
        <f>C32/($C$32+$D$32+$E$32)</f>
        <v>1</v>
      </c>
      <c r="D33" s="111">
        <f>D32/($C$32+$D$32+$E$32)</f>
        <v>0</v>
      </c>
      <c r="E33" s="112">
        <f>E32/($C$32+$D$32+$E$32)</f>
        <v>0</v>
      </c>
      <c r="F33" s="113"/>
      <c r="G33" s="182"/>
      <c r="H33" s="183"/>
      <c r="I33" s="184"/>
      <c r="J33" s="128"/>
      <c r="K33" s="129"/>
      <c r="L33" s="220"/>
      <c r="M33" s="126"/>
    </row>
    <row r="34" spans="1:26" ht="13.5" thickBot="1">
      <c r="A34" s="808" t="s">
        <v>70</v>
      </c>
      <c r="B34" s="809"/>
      <c r="C34" s="114">
        <f>C14+C23+C32</f>
        <v>51390</v>
      </c>
      <c r="D34" s="114">
        <f>D14+D23+D32</f>
        <v>0</v>
      </c>
      <c r="E34" s="114">
        <f>E14+E23+E32</f>
        <v>0</v>
      </c>
      <c r="F34" s="115">
        <f>F14+F23+F32</f>
        <v>162</v>
      </c>
      <c r="H34" s="185"/>
      <c r="I34" s="185"/>
      <c r="J34" s="130" t="s">
        <v>29</v>
      </c>
      <c r="K34" s="131">
        <f>SUM(K7:K32)</f>
        <v>51390</v>
      </c>
      <c r="L34" s="219">
        <f>SUM(L7:L32)</f>
        <v>0</v>
      </c>
      <c r="M34" s="127">
        <f>SUM(M7:M32)</f>
        <v>765177</v>
      </c>
    </row>
    <row r="35" spans="1:26" ht="13.5" thickBot="1">
      <c r="A35" s="186"/>
      <c r="B35" s="187"/>
      <c r="C35" s="111">
        <f>C34/($C$34+$D$34+$E$34)</f>
        <v>1</v>
      </c>
      <c r="D35" s="111">
        <f>D34/($C$34+$D$34+$E$34)</f>
        <v>0</v>
      </c>
      <c r="E35" s="116">
        <f>E34/($C$34+$D$34+$E$34)</f>
        <v>0</v>
      </c>
      <c r="K35" s="162"/>
      <c r="L35" s="799" t="s">
        <v>184</v>
      </c>
      <c r="M35" s="799"/>
    </row>
    <row r="36" spans="1:26" ht="13.5" thickBot="1">
      <c r="A36" s="185"/>
      <c r="B36" s="185"/>
      <c r="C36" s="162"/>
      <c r="D36" s="162"/>
      <c r="E36" s="162"/>
      <c r="G36" s="162"/>
      <c r="H36" s="188"/>
      <c r="I36" s="169" t="s">
        <v>41</v>
      </c>
      <c r="J36" s="169" t="s">
        <v>42</v>
      </c>
      <c r="K36" s="189"/>
      <c r="L36" s="169" t="s">
        <v>41</v>
      </c>
      <c r="M36" s="169" t="s">
        <v>42</v>
      </c>
    </row>
    <row r="37" spans="1:26" ht="17.45" customHeight="1" thickBot="1">
      <c r="A37" s="797" t="s">
        <v>71</v>
      </c>
      <c r="B37" s="798"/>
      <c r="C37" s="169" t="s">
        <v>72</v>
      </c>
      <c r="D37" s="190" t="s">
        <v>73</v>
      </c>
      <c r="E37" s="191" t="s">
        <v>74</v>
      </c>
      <c r="F37" s="368"/>
      <c r="G37" s="370"/>
      <c r="H37" s="193" t="s">
        <v>75</v>
      </c>
      <c r="I37" s="251">
        <f>(15*333+18*414+576*16)/1323*G42*2.75*1323/1000000</f>
        <v>52.449918196221589</v>
      </c>
      <c r="J37" s="132">
        <f>+I37+'16'!J37</f>
        <v>840.45478472061222</v>
      </c>
      <c r="K37" s="133" t="s">
        <v>76</v>
      </c>
      <c r="L37" s="429"/>
      <c r="M37" s="430"/>
    </row>
    <row r="38" spans="1:26" ht="17.45" customHeight="1">
      <c r="A38" s="793" t="s">
        <v>13</v>
      </c>
      <c r="B38" s="794"/>
      <c r="C38" s="171">
        <f>SUMIF($G$7:$G$31,"Process",$F$7:$F$31)</f>
        <v>37</v>
      </c>
      <c r="D38" s="125">
        <f>+C38+'16'!D38</f>
        <v>915</v>
      </c>
      <c r="E38" s="150">
        <f t="shared" ref="E38:E51" si="14">D38/60</f>
        <v>15.25</v>
      </c>
      <c r="F38" s="368">
        <v>1150.1652892561983</v>
      </c>
      <c r="G38" s="368">
        <v>923.2066115702479</v>
      </c>
      <c r="H38" s="194" t="s">
        <v>77</v>
      </c>
      <c r="I38" s="551">
        <f>15.601+2.487+17.324+12.529</f>
        <v>47.941000000000003</v>
      </c>
      <c r="J38" s="134">
        <f>+I38+'16'!J38</f>
        <v>789.43</v>
      </c>
      <c r="K38" s="135" t="s">
        <v>76</v>
      </c>
      <c r="L38" s="431"/>
      <c r="M38" s="432"/>
    </row>
    <row r="39" spans="1:26" ht="17.45" customHeight="1">
      <c r="A39" s="789" t="s">
        <v>14</v>
      </c>
      <c r="B39" s="790"/>
      <c r="C39" s="171">
        <f>SUMIF($G$7:$G$31,"Cleaning",$F$7:$F$31)</f>
        <v>8</v>
      </c>
      <c r="D39" s="125">
        <f>+C39+'16'!D39</f>
        <v>141</v>
      </c>
      <c r="E39" s="150">
        <f t="shared" si="14"/>
        <v>2.35</v>
      </c>
      <c r="F39" s="368">
        <v>976.95833333333337</v>
      </c>
      <c r="G39" s="368">
        <v>810.87541666666664</v>
      </c>
      <c r="H39" s="194" t="s">
        <v>78</v>
      </c>
      <c r="I39" s="149"/>
      <c r="J39" s="136">
        <f>J37/G4</f>
        <v>49.438516748271304</v>
      </c>
      <c r="K39" s="137" t="s">
        <v>76</v>
      </c>
      <c r="L39" s="431"/>
      <c r="M39" s="432"/>
    </row>
    <row r="40" spans="1:26" ht="17.45" customHeight="1">
      <c r="A40" s="789" t="s">
        <v>79</v>
      </c>
      <c r="B40" s="790"/>
      <c r="C40" s="171">
        <f>SUMIF($G$7:$G$31,"Mechanical",$F$7:$F$31)</f>
        <v>0</v>
      </c>
      <c r="D40" s="125">
        <f>+C40+'16'!D40</f>
        <v>22</v>
      </c>
      <c r="E40" s="150">
        <f t="shared" si="14"/>
        <v>0.36666666666666664</v>
      </c>
      <c r="F40" s="368">
        <v>1080</v>
      </c>
      <c r="G40" s="368">
        <v>907.2</v>
      </c>
      <c r="H40" s="194" t="s">
        <v>80</v>
      </c>
      <c r="I40" s="125">
        <f>(K34+L34)/1000</f>
        <v>51.39</v>
      </c>
      <c r="J40" s="138">
        <f>+I40+'16'!J40</f>
        <v>765.17700000000002</v>
      </c>
      <c r="K40" s="137" t="s">
        <v>76</v>
      </c>
      <c r="L40" s="431"/>
      <c r="M40" s="432"/>
      <c r="Q40" s="183">
        <f>SUM(Q30:Q38)</f>
        <v>480</v>
      </c>
      <c r="R40" s="183">
        <f>SUM(R30:R38)</f>
        <v>518400</v>
      </c>
      <c r="S40" s="183">
        <f>SUM(S30:S38)</f>
        <v>435456</v>
      </c>
      <c r="X40" s="183">
        <f>SUM(X30:X38)</f>
        <v>576</v>
      </c>
      <c r="Y40" s="183">
        <f>SUM(Y30:Y38)</f>
        <v>622540</v>
      </c>
      <c r="Z40" s="183">
        <f>SUM(Z30:Z38)</f>
        <v>521892.2</v>
      </c>
    </row>
    <row r="41" spans="1:26" ht="17.45" customHeight="1">
      <c r="A41" s="789" t="s">
        <v>81</v>
      </c>
      <c r="B41" s="790"/>
      <c r="C41" s="171">
        <f>SUMIF($G$7:$G$31,"Electrical",$F$7:$F$31)</f>
        <v>117</v>
      </c>
      <c r="D41" s="125">
        <f>+C41+'16'!D41</f>
        <v>539</v>
      </c>
      <c r="E41" s="150">
        <f t="shared" si="14"/>
        <v>8.9833333333333325</v>
      </c>
      <c r="F41" s="368"/>
      <c r="G41" s="368"/>
      <c r="H41" s="194" t="s">
        <v>82</v>
      </c>
      <c r="I41" s="149"/>
      <c r="J41" s="136">
        <f>J40/G4</f>
        <v>45.010411764705886</v>
      </c>
      <c r="K41" s="137" t="s">
        <v>76</v>
      </c>
      <c r="L41" s="431"/>
      <c r="M41" s="432"/>
      <c r="Q41" s="156">
        <f>480-Q40</f>
        <v>0</v>
      </c>
      <c r="R41" s="183">
        <f>+R40/Q40</f>
        <v>1080</v>
      </c>
      <c r="S41" s="183">
        <f>+S40/Q40</f>
        <v>907.2</v>
      </c>
      <c r="X41" s="156">
        <f>480-X40</f>
        <v>-96</v>
      </c>
      <c r="Y41" s="183">
        <f>+Y40/X40</f>
        <v>1080.7986111111111</v>
      </c>
      <c r="Z41" s="183">
        <f>+Z40/X40</f>
        <v>906.06284722222222</v>
      </c>
    </row>
    <row r="42" spans="1:26" ht="17.45" customHeight="1">
      <c r="A42" s="789" t="s">
        <v>17</v>
      </c>
      <c r="B42" s="790"/>
      <c r="C42" s="171">
        <f>SUMIF($G$7:$G$31,"Instrument",$F$7:$F$31)</f>
        <v>0</v>
      </c>
      <c r="D42" s="125">
        <f>+C42+'16'!D42</f>
        <v>0</v>
      </c>
      <c r="E42" s="150">
        <f t="shared" si="14"/>
        <v>0</v>
      </c>
      <c r="F42" s="368">
        <f>+(F38*480+F39*480+F40*480)/1440</f>
        <v>1069.0412075298439</v>
      </c>
      <c r="G42" s="368">
        <f>+(G38*480+G39*480+G40*480)/1440</f>
        <v>880.42734274563816</v>
      </c>
      <c r="H42" s="194" t="s">
        <v>83</v>
      </c>
      <c r="I42" s="253" t="s">
        <v>666</v>
      </c>
      <c r="J42" s="139"/>
      <c r="K42" s="137" t="s">
        <v>84</v>
      </c>
      <c r="L42" s="431"/>
      <c r="M42" s="432"/>
      <c r="N42" s="162"/>
    </row>
    <row r="43" spans="1:26" ht="17.45" customHeight="1">
      <c r="A43" s="789" t="s">
        <v>85</v>
      </c>
      <c r="B43" s="790"/>
      <c r="C43" s="171">
        <f>SUMIF($G$7:$G$31,"Water",$F$7:$F$31)</f>
        <v>0</v>
      </c>
      <c r="D43" s="125">
        <f>+C43+'16'!D43</f>
        <v>0</v>
      </c>
      <c r="E43" s="150">
        <f t="shared" si="14"/>
        <v>0</v>
      </c>
      <c r="F43" s="368"/>
      <c r="G43" s="369"/>
      <c r="H43" s="195" t="s">
        <v>86</v>
      </c>
      <c r="I43" s="125">
        <f>+Report1!AH25</f>
        <v>63.8</v>
      </c>
      <c r="J43" s="140">
        <f>+I43+'16'!J43</f>
        <v>1070.1000000000001</v>
      </c>
      <c r="K43" s="137" t="s">
        <v>76</v>
      </c>
      <c r="L43" s="433">
        <f>+Report1!AN25</f>
        <v>0</v>
      </c>
      <c r="M43" s="434">
        <f>+L43+'16'!M43</f>
        <v>9</v>
      </c>
      <c r="N43" s="162" t="s">
        <v>584</v>
      </c>
      <c r="O43" s="156">
        <v>1170</v>
      </c>
      <c r="P43" s="156">
        <v>936</v>
      </c>
      <c r="Q43" s="156">
        <v>333</v>
      </c>
    </row>
    <row r="44" spans="1:26" ht="17.45" customHeight="1">
      <c r="A44" s="789" t="s">
        <v>18</v>
      </c>
      <c r="B44" s="790"/>
      <c r="C44" s="171">
        <f>SUMIF($G$7:$G$31,"PLN",$F$7:$F$31)</f>
        <v>0</v>
      </c>
      <c r="D44" s="125">
        <f>+C44+'16'!D44</f>
        <v>0</v>
      </c>
      <c r="E44" s="150">
        <f t="shared" si="14"/>
        <v>0</v>
      </c>
      <c r="F44" s="368"/>
      <c r="G44" s="369"/>
      <c r="H44" s="195" t="s">
        <v>87</v>
      </c>
      <c r="I44" s="125">
        <f>I43/I38</f>
        <v>1.3308024446715754</v>
      </c>
      <c r="J44" s="141">
        <f>J43/J38</f>
        <v>1.3555350062703473</v>
      </c>
      <c r="K44" s="137" t="s">
        <v>76</v>
      </c>
      <c r="L44" s="435">
        <f>+L43/I38</f>
        <v>0</v>
      </c>
      <c r="M44" s="436">
        <f>+M43/J38</f>
        <v>1.1400630834906198E-2</v>
      </c>
      <c r="N44" s="162" t="s">
        <v>661</v>
      </c>
      <c r="O44" s="156">
        <v>948.55072463768113</v>
      </c>
      <c r="P44" s="156">
        <v>787.97101449275362</v>
      </c>
      <c r="Q44" s="156">
        <v>414</v>
      </c>
    </row>
    <row r="45" spans="1:26" ht="17.45" customHeight="1">
      <c r="A45" s="789" t="s">
        <v>19</v>
      </c>
      <c r="B45" s="790"/>
      <c r="C45" s="171">
        <f>SUMIF($G$7:$G$31,"Boiler",$F$7:$F$31)</f>
        <v>0</v>
      </c>
      <c r="D45" s="125">
        <f>+C45+'16'!D45</f>
        <v>0</v>
      </c>
      <c r="E45" s="150">
        <f t="shared" si="14"/>
        <v>0</v>
      </c>
      <c r="F45" s="368"/>
      <c r="G45" s="371"/>
      <c r="H45" s="195" t="s">
        <v>88</v>
      </c>
      <c r="I45" s="125">
        <f>I43/I40</f>
        <v>1.2414866705584744</v>
      </c>
      <c r="J45" s="141">
        <f>J43/J40</f>
        <v>1.3984999549123929</v>
      </c>
      <c r="K45" s="137" t="s">
        <v>76</v>
      </c>
      <c r="L45" s="435">
        <f>+L43/I40</f>
        <v>0</v>
      </c>
      <c r="M45" s="436">
        <f>+M43/J40</f>
        <v>1.1761984482021806E-2</v>
      </c>
      <c r="N45" s="162" t="s">
        <v>662</v>
      </c>
      <c r="O45" s="156">
        <v>1080.7986111111111</v>
      </c>
      <c r="P45" s="156">
        <v>906.06284722222222</v>
      </c>
      <c r="Q45" s="156">
        <v>576</v>
      </c>
    </row>
    <row r="46" spans="1:26" ht="17.45" customHeight="1">
      <c r="A46" s="789" t="s">
        <v>89</v>
      </c>
      <c r="B46" s="790"/>
      <c r="C46" s="171">
        <f>SUMIF($G$7:$G$31,"Gas",$F$7:$F$31)</f>
        <v>0</v>
      </c>
      <c r="D46" s="125">
        <f>+C46+'16'!D46</f>
        <v>408</v>
      </c>
      <c r="E46" s="150">
        <f t="shared" si="14"/>
        <v>6.8</v>
      </c>
      <c r="F46" s="368"/>
      <c r="G46" s="369"/>
      <c r="H46" s="195" t="s">
        <v>90</v>
      </c>
      <c r="I46" s="147">
        <f>+SUMIF(Listrik!P24,"&gt;0")</f>
        <v>37880.239999999969</v>
      </c>
      <c r="J46" s="142">
        <f>+I46+'16'!J46</f>
        <v>675331.2</v>
      </c>
      <c r="K46" s="137" t="s">
        <v>91</v>
      </c>
      <c r="L46" s="435">
        <f>+Listrik!AF24</f>
        <v>0</v>
      </c>
      <c r="M46" s="437">
        <f>+L46+'16'!M46</f>
        <v>0</v>
      </c>
      <c r="N46" s="162"/>
      <c r="Q46" s="156">
        <f>+Q43+Q44+Q45</f>
        <v>1323</v>
      </c>
    </row>
    <row r="47" spans="1:26" ht="17.45" customHeight="1">
      <c r="A47" s="789" t="s">
        <v>92</v>
      </c>
      <c r="B47" s="790"/>
      <c r="C47" s="171">
        <f>SUMIF($G$7:$G$31,"Gas",$F$7:$F$31)</f>
        <v>0</v>
      </c>
      <c r="D47" s="125">
        <f>+C47+'16'!D47</f>
        <v>0</v>
      </c>
      <c r="E47" s="150">
        <f t="shared" si="14"/>
        <v>0</v>
      </c>
      <c r="F47" s="368"/>
      <c r="G47" s="369"/>
      <c r="H47" s="195" t="s">
        <v>93</v>
      </c>
      <c r="I47" s="125">
        <f>I46/I38</f>
        <v>790.1428839615354</v>
      </c>
      <c r="J47" s="142">
        <f>J46/J38</f>
        <v>855.46685583268936</v>
      </c>
      <c r="K47" s="137" t="s">
        <v>25</v>
      </c>
      <c r="L47" s="435">
        <f>+L46/I38</f>
        <v>0</v>
      </c>
      <c r="M47" s="436">
        <f>+M46/J38</f>
        <v>0</v>
      </c>
    </row>
    <row r="48" spans="1:26" ht="17.45" customHeight="1">
      <c r="A48" s="789" t="s">
        <v>15</v>
      </c>
      <c r="B48" s="790"/>
      <c r="C48" s="171">
        <f>SUMIF($G$7:$G$31,"Start Up",$F$7:$F$31)</f>
        <v>0</v>
      </c>
      <c r="D48" s="125">
        <f>+C48+'16'!D48</f>
        <v>0</v>
      </c>
      <c r="E48" s="150">
        <f t="shared" si="14"/>
        <v>0</v>
      </c>
      <c r="F48" s="368"/>
      <c r="G48" s="369"/>
      <c r="H48" s="195" t="s">
        <v>94</v>
      </c>
      <c r="I48" s="125">
        <f>I46/I40</f>
        <v>737.11305701498281</v>
      </c>
      <c r="J48" s="142">
        <f>J46/J40</f>
        <v>882.58167718057382</v>
      </c>
      <c r="K48" s="137" t="s">
        <v>25</v>
      </c>
      <c r="L48" s="435">
        <f>+L46/I38</f>
        <v>0</v>
      </c>
      <c r="M48" s="436">
        <f>+M46/J40</f>
        <v>0</v>
      </c>
      <c r="N48" s="156">
        <v>363</v>
      </c>
    </row>
    <row r="49" spans="1:14" ht="17.45" customHeight="1">
      <c r="A49" s="789" t="s">
        <v>21</v>
      </c>
      <c r="B49" s="790"/>
      <c r="C49" s="171">
        <f>SUMIF($G$7:$G$31,"Others",$F$7:$F$31)</f>
        <v>0</v>
      </c>
      <c r="D49" s="125">
        <f>+C49+'16'!D49</f>
        <v>480</v>
      </c>
      <c r="E49" s="150">
        <f t="shared" si="14"/>
        <v>8</v>
      </c>
      <c r="F49" s="192"/>
      <c r="H49" s="195" t="s">
        <v>95</v>
      </c>
      <c r="I49" s="125">
        <f>+Report1!AB25</f>
        <v>5210.2065198914606</v>
      </c>
      <c r="J49" s="142">
        <f>+I49+'16'!J49</f>
        <v>79692.918102531563</v>
      </c>
      <c r="K49" s="137" t="s">
        <v>96</v>
      </c>
      <c r="L49" s="431"/>
      <c r="M49" s="432"/>
      <c r="N49" s="156">
        <v>480</v>
      </c>
    </row>
    <row r="50" spans="1:14" ht="17.45" customHeight="1">
      <c r="A50" s="789" t="s">
        <v>20</v>
      </c>
      <c r="B50" s="790"/>
      <c r="C50" s="171">
        <f>SUMIF($G$7:$G$31,"Steam",$F$7:$F$31)</f>
        <v>0</v>
      </c>
      <c r="D50" s="125">
        <f>+C50+'16'!D50</f>
        <v>0</v>
      </c>
      <c r="E50" s="150">
        <f t="shared" si="14"/>
        <v>0</v>
      </c>
      <c r="F50" s="192"/>
      <c r="H50" s="195" t="s">
        <v>97</v>
      </c>
      <c r="I50" s="147">
        <f>I49/I38</f>
        <v>108.67955445008366</v>
      </c>
      <c r="J50" s="140">
        <f>J49/J38</f>
        <v>100.94994882704175</v>
      </c>
      <c r="K50" s="137" t="s">
        <v>96</v>
      </c>
      <c r="L50" s="431"/>
      <c r="M50" s="432"/>
      <c r="N50" s="156">
        <v>480</v>
      </c>
    </row>
    <row r="51" spans="1:14" ht="17.45" customHeight="1" thickBot="1">
      <c r="A51" s="791" t="s">
        <v>98</v>
      </c>
      <c r="B51" s="792"/>
      <c r="C51" s="171">
        <f>SUMIF($G$7:$G$31,"Planned shut",$F$7:$F$31)</f>
        <v>0</v>
      </c>
      <c r="D51" s="125">
        <f>+C51+'16'!D51</f>
        <v>394</v>
      </c>
      <c r="E51" s="150">
        <f t="shared" si="14"/>
        <v>6.5666666666666664</v>
      </c>
      <c r="F51" s="192"/>
      <c r="H51" s="197" t="s">
        <v>99</v>
      </c>
      <c r="I51" s="148">
        <f>I49/I40</f>
        <v>101.38561042793269</v>
      </c>
      <c r="J51" s="143">
        <f>J49/J40</f>
        <v>104.14965178322343</v>
      </c>
      <c r="K51" s="144" t="s">
        <v>96</v>
      </c>
      <c r="L51" s="431"/>
      <c r="M51" s="432"/>
      <c r="N51" s="156">
        <f>SUM(N48:N50)</f>
        <v>1323</v>
      </c>
    </row>
    <row r="52" spans="1:14" ht="13.5" thickBot="1">
      <c r="A52" s="793" t="s">
        <v>29</v>
      </c>
      <c r="B52" s="794"/>
      <c r="C52" s="151">
        <f>SUM(C38:C51)</f>
        <v>162</v>
      </c>
      <c r="D52" s="151">
        <f>SUM(D38:D51)</f>
        <v>2899</v>
      </c>
      <c r="E52" s="152">
        <f>SUM(E38:E51)</f>
        <v>48.316666666666663</v>
      </c>
      <c r="F52" s="192"/>
      <c r="H52" s="198"/>
      <c r="I52" s="199"/>
      <c r="J52" s="145"/>
      <c r="K52" s="146"/>
      <c r="L52" s="438"/>
      <c r="M52" s="439"/>
    </row>
    <row r="53" spans="1:14" ht="13.5" thickBot="1">
      <c r="A53" s="795"/>
      <c r="B53" s="796"/>
      <c r="C53" s="153">
        <f>C52/(24*60)</f>
        <v>0.1125</v>
      </c>
      <c r="D53" s="153">
        <f>D52/(24*60*G4)</f>
        <v>0.11842320261437908</v>
      </c>
      <c r="E53" s="154">
        <f>E52/(G4*24)</f>
        <v>0.11842320261437908</v>
      </c>
      <c r="F53" s="192"/>
    </row>
    <row r="54" spans="1:14">
      <c r="E54" s="200"/>
      <c r="F54" s="192"/>
    </row>
    <row r="55" spans="1:14">
      <c r="E55" s="200"/>
    </row>
    <row r="56" spans="1:14">
      <c r="A56" s="201" t="s">
        <v>100</v>
      </c>
      <c r="B56" s="202"/>
      <c r="C56" s="203"/>
      <c r="D56" s="203"/>
      <c r="E56" s="203"/>
      <c r="F56" s="204"/>
      <c r="G56" s="203"/>
      <c r="H56" s="205"/>
      <c r="I56" s="206" t="s">
        <v>101</v>
      </c>
      <c r="J56" s="207">
        <f>+D34+'16'!J56</f>
        <v>5317</v>
      </c>
      <c r="K56" s="208">
        <f>J56/(J40+J56/1000)/1000</f>
        <v>6.9007675595137664E-3</v>
      </c>
    </row>
    <row r="57" spans="1:14">
      <c r="A57" s="183"/>
      <c r="I57" s="206" t="s">
        <v>102</v>
      </c>
      <c r="J57" s="207">
        <f>+E34+'16'!J57</f>
        <v>0</v>
      </c>
      <c r="K57" s="208">
        <f>J57/(J40+J57/1000)/1000</f>
        <v>0</v>
      </c>
    </row>
    <row r="58" spans="1:14">
      <c r="A58" s="209"/>
      <c r="B58" s="210"/>
      <c r="F58" s="192"/>
      <c r="H58" s="211"/>
    </row>
    <row r="59" spans="1:14">
      <c r="A59" s="212"/>
      <c r="B59" s="183"/>
      <c r="C59" s="183"/>
      <c r="D59" s="183"/>
      <c r="E59" s="183"/>
      <c r="F59" s="196"/>
      <c r="G59" s="183"/>
      <c r="H59" s="211"/>
      <c r="J59" s="162"/>
    </row>
    <row r="60" spans="1:14">
      <c r="H60" s="211"/>
    </row>
    <row r="61" spans="1:14">
      <c r="A61" s="213"/>
      <c r="B61" s="214"/>
      <c r="C61" s="214"/>
      <c r="D61" s="214"/>
      <c r="E61" s="214"/>
      <c r="F61" s="215"/>
      <c r="G61" s="214"/>
      <c r="H61" s="216"/>
    </row>
  </sheetData>
  <mergeCells count="25">
    <mergeCell ref="A7:A14"/>
    <mergeCell ref="I7:I13"/>
    <mergeCell ref="A15:A23"/>
    <mergeCell ref="I15:I22"/>
    <mergeCell ref="A34:B34"/>
    <mergeCell ref="I24:I31"/>
    <mergeCell ref="A24:A32"/>
    <mergeCell ref="A39:B39"/>
    <mergeCell ref="A40:B40"/>
    <mergeCell ref="A41:B41"/>
    <mergeCell ref="A37:B37"/>
    <mergeCell ref="L35:M35"/>
    <mergeCell ref="A38:B38"/>
    <mergeCell ref="A52:B52"/>
    <mergeCell ref="A53:B53"/>
    <mergeCell ref="A47:B47"/>
    <mergeCell ref="A48:B48"/>
    <mergeCell ref="A49:B49"/>
    <mergeCell ref="A50:B50"/>
    <mergeCell ref="A51:B51"/>
    <mergeCell ref="A42:B42"/>
    <mergeCell ref="A43:B43"/>
    <mergeCell ref="A44:B44"/>
    <mergeCell ref="A45:B45"/>
    <mergeCell ref="A46:B46"/>
  </mergeCells>
  <phoneticPr fontId="30" type="noConversion"/>
  <printOptions horizontalCentered="1"/>
  <pageMargins left="0.74791666666666667" right="0.74791666666666667" top="0.39027777777777778" bottom="0.39027777777777778" header="0" footer="0"/>
  <pageSetup paperSize="9" scale="59"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S61"/>
  <sheetViews>
    <sheetView view="pageBreakPreview" zoomScale="80" zoomScaleNormal="80" zoomScaleSheetLayoutView="80" workbookViewId="0">
      <selection activeCell="A7" sqref="A7:A32"/>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19.42578125" style="156" customWidth="1"/>
    <col min="11" max="11" width="12.5703125" style="156" bestFit="1" customWidth="1"/>
    <col min="12" max="12" width="8.28515625" style="156" customWidth="1"/>
    <col min="13" max="13" width="12.140625" style="156" customWidth="1"/>
    <col min="14" max="14" width="12.28515625" style="156" bestFit="1" customWidth="1"/>
    <col min="15" max="16384" width="9.140625" style="156"/>
  </cols>
  <sheetData>
    <row r="1" spans="1:19" ht="15.75">
      <c r="A1" s="155"/>
    </row>
    <row r="2" spans="1:19" ht="15.75">
      <c r="A2" s="155" t="s">
        <v>183</v>
      </c>
    </row>
    <row r="3" spans="1:19" ht="15">
      <c r="A3" s="157"/>
    </row>
    <row r="4" spans="1:19" ht="20.25">
      <c r="A4" s="158" t="s">
        <v>5</v>
      </c>
      <c r="B4" s="159"/>
      <c r="F4" s="160" t="s">
        <v>30</v>
      </c>
      <c r="G4" s="161">
        <v>16</v>
      </c>
      <c r="H4" s="161" t="str">
        <f>+'1'!H4</f>
        <v>.01.26</v>
      </c>
      <c r="J4" s="156">
        <f>445+492.7+606</f>
        <v>1543.7</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584</v>
      </c>
      <c r="O6" s="156">
        <v>1170</v>
      </c>
      <c r="P6" s="156">
        <f>+O6-(O6*0.2)</f>
        <v>936</v>
      </c>
      <c r="Q6" s="156">
        <v>480</v>
      </c>
      <c r="R6" s="156">
        <f t="shared" ref="R6:R8" si="0">+O6*Q6</f>
        <v>561600</v>
      </c>
      <c r="S6" s="156">
        <f t="shared" ref="S6:S8" si="1">+P6*Q6</f>
        <v>449280</v>
      </c>
    </row>
    <row r="7" spans="1:19" ht="13.5" customHeight="1" thickBot="1">
      <c r="A7" s="800" t="s">
        <v>425</v>
      </c>
      <c r="B7" s="222" t="s">
        <v>604</v>
      </c>
      <c r="C7" s="223">
        <v>16867</v>
      </c>
      <c r="D7" s="224"/>
      <c r="E7" s="225"/>
      <c r="F7" s="235">
        <v>4</v>
      </c>
      <c r="G7" s="236" t="s">
        <v>13</v>
      </c>
      <c r="H7" s="237" t="s">
        <v>394</v>
      </c>
      <c r="I7" s="803" t="s">
        <v>590</v>
      </c>
      <c r="J7" s="221" t="str">
        <f>+'15'!J7</f>
        <v>T 13,5 RC HW</v>
      </c>
      <c r="K7" s="245"/>
      <c r="L7" s="249"/>
      <c r="M7" s="124">
        <f>+K7+'15'!M7+L7</f>
        <v>221342</v>
      </c>
      <c r="O7" s="156">
        <v>1170</v>
      </c>
      <c r="P7" s="156">
        <f>+O7-(O7*0.2)</f>
        <v>936</v>
      </c>
      <c r="Q7" s="156">
        <v>480</v>
      </c>
      <c r="R7" s="156">
        <f t="shared" si="0"/>
        <v>561600</v>
      </c>
      <c r="S7" s="156">
        <f t="shared" si="1"/>
        <v>449280</v>
      </c>
    </row>
    <row r="8" spans="1:19" ht="13.5" thickBot="1">
      <c r="A8" s="801"/>
      <c r="B8" s="222"/>
      <c r="C8" s="223"/>
      <c r="D8" s="224"/>
      <c r="E8" s="226"/>
      <c r="F8" s="238">
        <v>3</v>
      </c>
      <c r="G8" s="582" t="s">
        <v>13</v>
      </c>
      <c r="H8" s="237" t="s">
        <v>501</v>
      </c>
      <c r="I8" s="804"/>
      <c r="J8" s="221" t="str">
        <f>+'15'!J8</f>
        <v>T 14,5 RC HW</v>
      </c>
      <c r="K8" s="246"/>
      <c r="L8" s="246"/>
      <c r="M8" s="124">
        <f>+K8+'15'!M8+L8</f>
        <v>57466</v>
      </c>
      <c r="O8" s="156">
        <v>1170</v>
      </c>
      <c r="P8" s="156">
        <f>+O8-(O8*0.2)</f>
        <v>936</v>
      </c>
      <c r="Q8" s="156">
        <v>480</v>
      </c>
      <c r="R8" s="156">
        <f t="shared" si="0"/>
        <v>561600</v>
      </c>
      <c r="S8" s="156">
        <f t="shared" si="1"/>
        <v>449280</v>
      </c>
    </row>
    <row r="9" spans="1:19" ht="13.5" thickBot="1">
      <c r="A9" s="801"/>
      <c r="B9" s="222"/>
      <c r="C9" s="223"/>
      <c r="D9" s="224"/>
      <c r="E9" s="227"/>
      <c r="F9" s="235">
        <v>5</v>
      </c>
      <c r="G9" s="582" t="s">
        <v>13</v>
      </c>
      <c r="H9" s="240" t="s">
        <v>416</v>
      </c>
      <c r="I9" s="804"/>
      <c r="J9" s="221" t="str">
        <f>+'15'!J9</f>
        <v>TW 17 RC HW</v>
      </c>
      <c r="K9" s="246"/>
      <c r="L9" s="246"/>
      <c r="M9" s="124">
        <f>+K9+'15'!M9+L9</f>
        <v>24830</v>
      </c>
    </row>
    <row r="10" spans="1:19" ht="39" thickBot="1">
      <c r="A10" s="801"/>
      <c r="B10" s="222"/>
      <c r="C10" s="223"/>
      <c r="D10" s="224"/>
      <c r="E10" s="226"/>
      <c r="F10" s="235">
        <v>6</v>
      </c>
      <c r="G10" s="244" t="s">
        <v>14</v>
      </c>
      <c r="H10" s="240" t="s">
        <v>645</v>
      </c>
      <c r="I10" s="804"/>
      <c r="J10" s="221" t="str">
        <f>+'15'!J10</f>
        <v>TW 22 RC HW</v>
      </c>
      <c r="K10" s="246"/>
      <c r="L10" s="246"/>
      <c r="M10" s="124">
        <f>+K10+'15'!M10+L10</f>
        <v>24459</v>
      </c>
    </row>
    <row r="11" spans="1:19" ht="13.5" thickBot="1">
      <c r="A11" s="801"/>
      <c r="B11" s="222"/>
      <c r="C11" s="223"/>
      <c r="D11" s="224"/>
      <c r="E11" s="226"/>
      <c r="F11" s="235"/>
      <c r="G11" s="239"/>
      <c r="H11" s="240"/>
      <c r="I11" s="804"/>
      <c r="J11" s="221" t="str">
        <f>+'15'!J11</f>
        <v>TW 14 RC HW</v>
      </c>
      <c r="K11" s="246"/>
      <c r="L11" s="246"/>
      <c r="M11" s="124">
        <f>+K11+'15'!M11+L11</f>
        <v>8043</v>
      </c>
    </row>
    <row r="12" spans="1:19" ht="13.5" thickBot="1">
      <c r="A12" s="801"/>
      <c r="B12" s="222"/>
      <c r="C12" s="223"/>
      <c r="D12" s="224"/>
      <c r="E12" s="226"/>
      <c r="F12" s="235"/>
      <c r="G12" s="239"/>
      <c r="H12" s="240"/>
      <c r="I12" s="804"/>
      <c r="J12" s="221" t="str">
        <f>+'15'!J12</f>
        <v>TW 29 RC HW</v>
      </c>
      <c r="K12" s="246"/>
      <c r="L12" s="246"/>
      <c r="M12" s="124">
        <f>+K12+'15'!M12+L12</f>
        <v>21439</v>
      </c>
    </row>
    <row r="13" spans="1:19" ht="13.5" thickBot="1">
      <c r="A13" s="801"/>
      <c r="B13" s="222"/>
      <c r="C13" s="223"/>
      <c r="D13" s="223"/>
      <c r="E13" s="226"/>
      <c r="F13" s="235"/>
      <c r="G13" s="239"/>
      <c r="H13" s="240"/>
      <c r="I13" s="805"/>
      <c r="J13" s="221" t="str">
        <f>+'15'!J13</f>
        <v>TW 35,5 RC HW</v>
      </c>
      <c r="K13" s="246"/>
      <c r="L13" s="246"/>
      <c r="M13" s="124">
        <f>+K13+'15'!M13+L13</f>
        <v>2193</v>
      </c>
    </row>
    <row r="14" spans="1:19" ht="13.5" thickBot="1">
      <c r="A14" s="802"/>
      <c r="B14" s="172" t="s">
        <v>3</v>
      </c>
      <c r="C14" s="106">
        <f>SUM(C7:C13)</f>
        <v>16867</v>
      </c>
      <c r="D14" s="118">
        <f>SUM(D7:D13)</f>
        <v>0</v>
      </c>
      <c r="E14" s="119">
        <f>SUM(E5:E13)</f>
        <v>0</v>
      </c>
      <c r="F14" s="109">
        <f>SUM(F6:F13)</f>
        <v>18</v>
      </c>
      <c r="G14" s="166"/>
      <c r="H14" s="173"/>
      <c r="I14" s="174"/>
      <c r="J14" s="221" t="str">
        <f>+'15'!J14</f>
        <v>N 15,5 RC HW</v>
      </c>
      <c r="K14" s="246"/>
      <c r="L14" s="246"/>
      <c r="M14" s="124">
        <f>+K14+'15'!M14+L14</f>
        <v>46927</v>
      </c>
    </row>
    <row r="15" spans="1:19" ht="13.5" customHeight="1" thickBot="1">
      <c r="A15" s="800" t="s">
        <v>423</v>
      </c>
      <c r="B15" s="172"/>
      <c r="C15" s="120">
        <f>C14/($C$23+$D$23+$E$23)</f>
        <v>0.95347654041831542</v>
      </c>
      <c r="D15" s="121">
        <f>D14/($C$23+$D$23+$E$23)</f>
        <v>0</v>
      </c>
      <c r="E15" s="122">
        <f>E14/($C$23+$D$23+$E$23)</f>
        <v>0</v>
      </c>
      <c r="F15" s="235"/>
      <c r="G15" s="236" t="s">
        <v>13</v>
      </c>
      <c r="H15" s="237" t="s">
        <v>386</v>
      </c>
      <c r="I15" s="803" t="s">
        <v>590</v>
      </c>
      <c r="J15" s="221" t="str">
        <f>+'15'!J15</f>
        <v>F 14 RC HW</v>
      </c>
      <c r="K15" s="246"/>
      <c r="L15" s="246"/>
      <c r="M15" s="124">
        <f>+K15+'15'!M15+L15</f>
        <v>4620</v>
      </c>
    </row>
    <row r="16" spans="1:19" ht="13.5" thickBot="1">
      <c r="A16" s="811"/>
      <c r="B16" s="222" t="s">
        <v>604</v>
      </c>
      <c r="C16" s="229">
        <v>17690</v>
      </c>
      <c r="D16" s="230"/>
      <c r="E16" s="231"/>
      <c r="F16" s="238">
        <v>4</v>
      </c>
      <c r="G16" s="582" t="s">
        <v>13</v>
      </c>
      <c r="H16" s="237" t="s">
        <v>415</v>
      </c>
      <c r="I16" s="804"/>
      <c r="J16" s="221" t="str">
        <f>+'15'!J16</f>
        <v>T 15 RC HW</v>
      </c>
      <c r="K16" s="246">
        <f>+C34</f>
        <v>49744</v>
      </c>
      <c r="L16" s="246"/>
      <c r="M16" s="124">
        <f>+K16+'15'!M16+L16</f>
        <v>249636</v>
      </c>
      <c r="Q16" s="183">
        <f>SUM(Q6:Q14)</f>
        <v>1440</v>
      </c>
      <c r="R16" s="183">
        <f>SUM(R6:R14)</f>
        <v>1684800</v>
      </c>
      <c r="S16" s="183">
        <f>SUM(S6:S14)</f>
        <v>1347840</v>
      </c>
    </row>
    <row r="17" spans="1:19" ht="13.5" thickBot="1">
      <c r="A17" s="811"/>
      <c r="B17" s="222"/>
      <c r="C17" s="223"/>
      <c r="D17" s="224"/>
      <c r="E17" s="232"/>
      <c r="F17" s="235">
        <v>7</v>
      </c>
      <c r="G17" s="582" t="s">
        <v>13</v>
      </c>
      <c r="H17" s="240" t="s">
        <v>413</v>
      </c>
      <c r="I17" s="804"/>
      <c r="J17" s="221" t="str">
        <f>+'15'!J17</f>
        <v>T 14 RC HW</v>
      </c>
      <c r="K17" s="246"/>
      <c r="L17" s="246"/>
      <c r="M17" s="124">
        <f>+K17+'15'!M17+L17</f>
        <v>52832</v>
      </c>
      <c r="Q17" s="156">
        <f>480-Q16</f>
        <v>-960</v>
      </c>
      <c r="R17" s="183">
        <f>+R16/Q16</f>
        <v>1170</v>
      </c>
      <c r="S17" s="183">
        <f>+S16/Q16</f>
        <v>936</v>
      </c>
    </row>
    <row r="18" spans="1:19" ht="26.25" thickBot="1">
      <c r="A18" s="811"/>
      <c r="B18" s="222"/>
      <c r="C18" s="223"/>
      <c r="D18" s="224"/>
      <c r="E18" s="232"/>
      <c r="F18" s="235"/>
      <c r="G18" s="244" t="s">
        <v>14</v>
      </c>
      <c r="H18" s="240" t="s">
        <v>644</v>
      </c>
      <c r="I18" s="804"/>
      <c r="J18" s="221">
        <f>+'15'!J18</f>
        <v>0</v>
      </c>
      <c r="K18" s="246"/>
      <c r="L18" s="246"/>
      <c r="M18" s="124">
        <f>+K18+'15'!M18+L18</f>
        <v>0</v>
      </c>
    </row>
    <row r="19" spans="1:19" ht="13.5" thickBot="1">
      <c r="A19" s="811"/>
      <c r="B19" s="222"/>
      <c r="C19" s="223"/>
      <c r="D19" s="224"/>
      <c r="E19" s="232"/>
      <c r="F19" s="242"/>
      <c r="G19" s="239"/>
      <c r="H19" s="240"/>
      <c r="I19" s="804"/>
      <c r="J19" s="221">
        <f>+'15'!J19</f>
        <v>0</v>
      </c>
      <c r="K19" s="246"/>
      <c r="L19" s="246"/>
      <c r="M19" s="124">
        <f>+K19+'15'!M19+L19</f>
        <v>0</v>
      </c>
    </row>
    <row r="20" spans="1:19" ht="13.5" thickBot="1">
      <c r="A20" s="811"/>
      <c r="B20" s="222"/>
      <c r="C20" s="223"/>
      <c r="D20" s="224"/>
      <c r="E20" s="232"/>
      <c r="F20" s="235"/>
      <c r="G20" s="239"/>
      <c r="H20" s="240"/>
      <c r="I20" s="804"/>
      <c r="J20" s="221">
        <f>+'15'!J20</f>
        <v>0</v>
      </c>
      <c r="K20" s="246"/>
      <c r="L20" s="246"/>
      <c r="M20" s="124">
        <f>+K20+'15'!M20+L20</f>
        <v>0</v>
      </c>
    </row>
    <row r="21" spans="1:19" ht="13.5" thickBot="1">
      <c r="A21" s="811"/>
      <c r="B21" s="222"/>
      <c r="C21" s="223"/>
      <c r="D21" s="224"/>
      <c r="E21" s="232"/>
      <c r="F21" s="238"/>
      <c r="G21" s="239"/>
      <c r="H21" s="240"/>
      <c r="I21" s="804"/>
      <c r="J21" s="221">
        <f>+'15'!J21</f>
        <v>0</v>
      </c>
      <c r="K21" s="246"/>
      <c r="L21" s="246"/>
      <c r="M21" s="124">
        <f>+K21+'15'!M21+L21</f>
        <v>0</v>
      </c>
    </row>
    <row r="22" spans="1:19" ht="13.5" thickBot="1">
      <c r="A22" s="811"/>
      <c r="B22" s="222"/>
      <c r="C22" s="223"/>
      <c r="D22" s="224"/>
      <c r="E22" s="232"/>
      <c r="F22" s="243"/>
      <c r="G22" s="239"/>
      <c r="H22" s="240"/>
      <c r="I22" s="805"/>
      <c r="J22" s="221">
        <f>+'15'!J22</f>
        <v>0</v>
      </c>
      <c r="K22" s="246"/>
      <c r="L22" s="246"/>
      <c r="M22" s="124">
        <f>+K22+'15'!M22+L22</f>
        <v>0</v>
      </c>
    </row>
    <row r="23" spans="1:19" ht="13.5" thickBot="1">
      <c r="A23" s="812"/>
      <c r="B23" s="172" t="s">
        <v>3</v>
      </c>
      <c r="C23" s="107">
        <f>SUM(C16:C22)</f>
        <v>17690</v>
      </c>
      <c r="D23" s="118">
        <f>SUM(D16:D22)</f>
        <v>0</v>
      </c>
      <c r="E23" s="119">
        <f>SUM(E18:E22)</f>
        <v>0</v>
      </c>
      <c r="F23" s="109">
        <f>SUM(F15:F22)</f>
        <v>11</v>
      </c>
      <c r="G23" s="166"/>
      <c r="H23" s="173"/>
      <c r="I23" s="176"/>
      <c r="J23" s="221">
        <f>+'15'!J23</f>
        <v>0</v>
      </c>
      <c r="K23" s="246"/>
      <c r="L23" s="246"/>
      <c r="M23" s="124">
        <f>+K23+'15'!M23+L23</f>
        <v>0</v>
      </c>
    </row>
    <row r="24" spans="1:19" ht="13.5" customHeight="1" thickBot="1">
      <c r="A24" s="800" t="s">
        <v>424</v>
      </c>
      <c r="B24" s="177"/>
      <c r="C24" s="120">
        <f>C23/($C$23+$D$23+$E$23)</f>
        <v>1</v>
      </c>
      <c r="D24" s="121">
        <f>D23/($C$23+$D$23+$E$23)</f>
        <v>0</v>
      </c>
      <c r="E24" s="122">
        <f>E23/($C$23+$D$23+$E$23)</f>
        <v>0</v>
      </c>
      <c r="F24" s="235"/>
      <c r="G24" s="236" t="s">
        <v>13</v>
      </c>
      <c r="H24" s="237" t="s">
        <v>386</v>
      </c>
      <c r="I24" s="803" t="s">
        <v>590</v>
      </c>
      <c r="J24" s="221">
        <f>+'15'!J24</f>
        <v>0</v>
      </c>
      <c r="K24" s="246"/>
      <c r="L24" s="246"/>
      <c r="M24" s="124">
        <f>+K24+'15'!M24+L24</f>
        <v>0</v>
      </c>
    </row>
    <row r="25" spans="1:19" ht="13.5" thickBot="1">
      <c r="A25" s="811"/>
      <c r="B25" s="222" t="s">
        <v>604</v>
      </c>
      <c r="C25" s="233">
        <v>15187</v>
      </c>
      <c r="D25" s="224">
        <v>390</v>
      </c>
      <c r="E25" s="232"/>
      <c r="F25" s="238">
        <v>4</v>
      </c>
      <c r="G25" s="582" t="s">
        <v>13</v>
      </c>
      <c r="H25" s="237" t="s">
        <v>414</v>
      </c>
      <c r="I25" s="804"/>
      <c r="J25" s="221">
        <f>+'15'!J25</f>
        <v>0</v>
      </c>
      <c r="K25" s="246"/>
      <c r="L25" s="246"/>
      <c r="M25" s="124">
        <f>+K25+'15'!M25+L25</f>
        <v>0</v>
      </c>
    </row>
    <row r="26" spans="1:19" ht="13.5" thickBot="1">
      <c r="A26" s="811"/>
      <c r="B26" s="222"/>
      <c r="C26" s="233"/>
      <c r="D26" s="224"/>
      <c r="E26" s="234"/>
      <c r="F26" s="235">
        <v>8</v>
      </c>
      <c r="G26" s="582" t="s">
        <v>13</v>
      </c>
      <c r="H26" s="240" t="s">
        <v>413</v>
      </c>
      <c r="I26" s="804"/>
      <c r="J26" s="221">
        <f>+'15'!J26</f>
        <v>0</v>
      </c>
      <c r="K26" s="246"/>
      <c r="L26" s="246"/>
      <c r="M26" s="124">
        <f>+K26+'15'!M26+L26</f>
        <v>0</v>
      </c>
    </row>
    <row r="27" spans="1:19" ht="26.25" thickBot="1">
      <c r="A27" s="811"/>
      <c r="B27" s="222"/>
      <c r="C27" s="223"/>
      <c r="D27" s="224"/>
      <c r="E27" s="232"/>
      <c r="F27" s="235">
        <v>8</v>
      </c>
      <c r="G27" s="244" t="s">
        <v>14</v>
      </c>
      <c r="H27" s="240" t="s">
        <v>642</v>
      </c>
      <c r="I27" s="804"/>
      <c r="J27" s="221">
        <f>+'15'!J27</f>
        <v>0</v>
      </c>
      <c r="K27" s="246"/>
      <c r="L27" s="246"/>
      <c r="M27" s="124">
        <f>+K27+'15'!M27+L27</f>
        <v>0</v>
      </c>
    </row>
    <row r="28" spans="1:19" ht="26.25" thickBot="1">
      <c r="A28" s="811"/>
      <c r="B28" s="222"/>
      <c r="C28" s="223"/>
      <c r="D28" s="224"/>
      <c r="E28" s="232"/>
      <c r="F28" s="238"/>
      <c r="G28" s="239"/>
      <c r="H28" s="240" t="s">
        <v>643</v>
      </c>
      <c r="I28" s="804"/>
      <c r="J28" s="221">
        <f>+'15'!J28</f>
        <v>0</v>
      </c>
      <c r="K28" s="246"/>
      <c r="L28" s="246"/>
      <c r="M28" s="124">
        <f>+K28+'15'!M28+L28</f>
        <v>0</v>
      </c>
    </row>
    <row r="29" spans="1:19" ht="13.5" thickBot="1">
      <c r="A29" s="811"/>
      <c r="B29" s="222"/>
      <c r="C29" s="223"/>
      <c r="D29" s="224"/>
      <c r="E29" s="232"/>
      <c r="F29" s="243"/>
      <c r="G29" s="239"/>
      <c r="H29" s="240"/>
      <c r="I29" s="804"/>
      <c r="J29" s="221">
        <f>+'15'!J29</f>
        <v>0</v>
      </c>
      <c r="K29" s="246"/>
      <c r="L29" s="246"/>
      <c r="M29" s="124">
        <f>+K29+'15'!M29+L29</f>
        <v>0</v>
      </c>
    </row>
    <row r="30" spans="1:19" ht="13.5" thickBot="1">
      <c r="A30" s="811"/>
      <c r="B30" s="222"/>
      <c r="C30" s="233"/>
      <c r="D30" s="224"/>
      <c r="E30" s="232"/>
      <c r="F30" s="243"/>
      <c r="G30" s="239"/>
      <c r="H30" s="240"/>
      <c r="I30" s="804"/>
      <c r="J30" s="221">
        <f>+'15'!J30</f>
        <v>0</v>
      </c>
      <c r="K30" s="246"/>
      <c r="L30" s="246"/>
      <c r="M30" s="124">
        <f>+K30+'15'!M30+L30</f>
        <v>0</v>
      </c>
      <c r="N30" s="162"/>
    </row>
    <row r="31" spans="1:19" ht="13.5" thickBot="1">
      <c r="A31" s="811"/>
      <c r="B31" s="222"/>
      <c r="C31" s="233"/>
      <c r="D31" s="224"/>
      <c r="E31" s="232"/>
      <c r="F31" s="243"/>
      <c r="G31" s="244"/>
      <c r="H31" s="241"/>
      <c r="I31" s="805"/>
      <c r="J31" s="221">
        <f>+'15'!J31</f>
        <v>0</v>
      </c>
      <c r="K31" s="246"/>
      <c r="L31" s="246"/>
      <c r="M31" s="124">
        <f>+K31+'15'!M31+L31</f>
        <v>0</v>
      </c>
    </row>
    <row r="32" spans="1:19" ht="13.5" thickBot="1">
      <c r="A32" s="812"/>
      <c r="B32" s="172" t="s">
        <v>3</v>
      </c>
      <c r="C32" s="106">
        <f>SUM(C25:C31)</f>
        <v>15187</v>
      </c>
      <c r="D32" s="107">
        <f>SUM(D25:D31)</f>
        <v>390</v>
      </c>
      <c r="E32" s="108">
        <f>SUM(E25:E31)</f>
        <v>0</v>
      </c>
      <c r="F32" s="109">
        <f>SUM(F24:F31)</f>
        <v>20</v>
      </c>
      <c r="G32" s="178"/>
      <c r="H32" s="179"/>
      <c r="I32" s="176"/>
      <c r="J32" s="221">
        <f>+'15'!J32</f>
        <v>0</v>
      </c>
      <c r="K32" s="248"/>
      <c r="L32" s="250"/>
      <c r="M32" s="124">
        <f>+K32+'15'!M32+L32</f>
        <v>0</v>
      </c>
    </row>
    <row r="33" spans="1:14" ht="13.5" thickBot="1">
      <c r="A33" s="180"/>
      <c r="B33" s="181"/>
      <c r="C33" s="110">
        <f>C32/($C$32+$D$32+$E$32)</f>
        <v>0.97496308660204145</v>
      </c>
      <c r="D33" s="111">
        <f>D32/($C$32+$D$32+$E$32)</f>
        <v>2.5036913397958528E-2</v>
      </c>
      <c r="E33" s="112">
        <f>E32/($C$32+$D$32+$E$32)</f>
        <v>0</v>
      </c>
      <c r="F33" s="113"/>
      <c r="G33" s="182"/>
      <c r="H33" s="183"/>
      <c r="I33" s="184"/>
      <c r="J33" s="128"/>
      <c r="K33" s="129"/>
      <c r="L33" s="220"/>
      <c r="M33" s="126"/>
    </row>
    <row r="34" spans="1:14" ht="13.5" thickBot="1">
      <c r="A34" s="808" t="s">
        <v>70</v>
      </c>
      <c r="B34" s="809"/>
      <c r="C34" s="114">
        <f>C14+C23+C32</f>
        <v>49744</v>
      </c>
      <c r="D34" s="114">
        <f>D14+D23+D32</f>
        <v>390</v>
      </c>
      <c r="E34" s="114">
        <f>E14+E23+E32</f>
        <v>0</v>
      </c>
      <c r="F34" s="115">
        <f>F14+F23+F32</f>
        <v>49</v>
      </c>
      <c r="H34" s="185"/>
      <c r="I34" s="185"/>
      <c r="J34" s="130" t="s">
        <v>29</v>
      </c>
      <c r="K34" s="131">
        <f>SUM(K7:K32)</f>
        <v>49744</v>
      </c>
      <c r="L34" s="219">
        <f>SUM(L7:L32)</f>
        <v>0</v>
      </c>
      <c r="M34" s="127">
        <f>SUM(M7:M32)</f>
        <v>713787</v>
      </c>
      <c r="N34" s="162"/>
    </row>
    <row r="35" spans="1:14" ht="13.5" thickBot="1">
      <c r="A35" s="186"/>
      <c r="B35" s="187"/>
      <c r="C35" s="111">
        <f>C34/($C$34+$D$34+$E$34)</f>
        <v>0.99222084812701961</v>
      </c>
      <c r="D35" s="111">
        <f>D34/($C$34+$D$34+$E$34)</f>
        <v>7.7791518729804126E-3</v>
      </c>
      <c r="E35" s="116">
        <f>E34/($C$34+$D$34+$E$34)</f>
        <v>0</v>
      </c>
      <c r="K35" s="162"/>
      <c r="L35" s="799" t="s">
        <v>184</v>
      </c>
      <c r="M35" s="799"/>
    </row>
    <row r="36" spans="1:14" ht="13.5" thickBot="1">
      <c r="A36" s="185"/>
      <c r="B36" s="185"/>
      <c r="C36" s="162"/>
      <c r="D36" s="162"/>
      <c r="E36" s="162"/>
      <c r="G36" s="162"/>
      <c r="H36" s="188"/>
      <c r="I36" s="169" t="s">
        <v>41</v>
      </c>
      <c r="J36" s="169" t="s">
        <v>42</v>
      </c>
      <c r="K36" s="189"/>
      <c r="L36" s="169" t="s">
        <v>41</v>
      </c>
      <c r="M36" s="169" t="s">
        <v>42</v>
      </c>
    </row>
    <row r="37" spans="1:14" ht="17.45" customHeight="1" thickBot="1">
      <c r="A37" s="797" t="s">
        <v>71</v>
      </c>
      <c r="B37" s="798"/>
      <c r="C37" s="169" t="s">
        <v>72</v>
      </c>
      <c r="D37" s="190" t="s">
        <v>73</v>
      </c>
      <c r="E37" s="191" t="s">
        <v>74</v>
      </c>
      <c r="F37" s="368"/>
      <c r="G37" s="370"/>
      <c r="H37" s="193" t="s">
        <v>75</v>
      </c>
      <c r="I37" s="251">
        <f>(15*1440)/1440*G42*2.75*1440/1000000</f>
        <v>55.598399999999998</v>
      </c>
      <c r="J37" s="132">
        <f>+I37+'15'!J37</f>
        <v>788.00486652439065</v>
      </c>
      <c r="K37" s="133" t="s">
        <v>76</v>
      </c>
      <c r="L37" s="429"/>
      <c r="M37" s="430"/>
    </row>
    <row r="38" spans="1:14" ht="17.45" customHeight="1">
      <c r="A38" s="793" t="s">
        <v>13</v>
      </c>
      <c r="B38" s="794"/>
      <c r="C38" s="171">
        <f>SUMIF($G$7:$G$31,"Process",$F$7:$F$31)</f>
        <v>35</v>
      </c>
      <c r="D38" s="125">
        <f>+C38+'15'!D38</f>
        <v>878</v>
      </c>
      <c r="E38" s="150">
        <f t="shared" ref="E38:E51" si="2">D38/60</f>
        <v>14.633333333333333</v>
      </c>
      <c r="F38" s="368">
        <v>1170</v>
      </c>
      <c r="G38" s="368">
        <v>936</v>
      </c>
      <c r="H38" s="194" t="s">
        <v>77</v>
      </c>
      <c r="I38" s="551">
        <f>19.329+16.481+18.618</f>
        <v>54.427999999999997</v>
      </c>
      <c r="J38" s="134">
        <f>+I38+'15'!J38</f>
        <v>741.48899999999992</v>
      </c>
      <c r="K38" s="135" t="s">
        <v>76</v>
      </c>
      <c r="L38" s="431"/>
      <c r="M38" s="432"/>
    </row>
    <row r="39" spans="1:14" ht="17.45" customHeight="1">
      <c r="A39" s="789" t="s">
        <v>14</v>
      </c>
      <c r="B39" s="790"/>
      <c r="C39" s="171">
        <f>SUMIF($G$7:$G$31,"Cleaning",$F$7:$F$31)</f>
        <v>14</v>
      </c>
      <c r="D39" s="125">
        <f>+C39+'15'!D39</f>
        <v>133</v>
      </c>
      <c r="E39" s="150">
        <f t="shared" si="2"/>
        <v>2.2166666666666668</v>
      </c>
      <c r="F39" s="368">
        <v>1170</v>
      </c>
      <c r="G39" s="368">
        <v>936</v>
      </c>
      <c r="H39" s="194" t="s">
        <v>78</v>
      </c>
      <c r="I39" s="149"/>
      <c r="J39" s="136">
        <f>J37/G4</f>
        <v>49.250304157774416</v>
      </c>
      <c r="K39" s="137" t="s">
        <v>76</v>
      </c>
      <c r="L39" s="431"/>
      <c r="M39" s="432"/>
    </row>
    <row r="40" spans="1:14" ht="17.45" customHeight="1">
      <c r="A40" s="789" t="s">
        <v>79</v>
      </c>
      <c r="B40" s="790"/>
      <c r="C40" s="171">
        <f>SUMIF($G$7:$G$31,"Mechanical",$F$7:$F$31)</f>
        <v>0</v>
      </c>
      <c r="D40" s="125">
        <f>+C40+'15'!D40</f>
        <v>22</v>
      </c>
      <c r="E40" s="150">
        <f t="shared" si="2"/>
        <v>0.36666666666666664</v>
      </c>
      <c r="F40" s="368">
        <v>1170</v>
      </c>
      <c r="G40" s="368">
        <v>936</v>
      </c>
      <c r="H40" s="194" t="s">
        <v>80</v>
      </c>
      <c r="I40" s="125">
        <f>(K34+L34)/1000</f>
        <v>49.744</v>
      </c>
      <c r="J40" s="138">
        <f>+I40+'15'!J40</f>
        <v>713.78700000000003</v>
      </c>
      <c r="K40" s="137" t="s">
        <v>76</v>
      </c>
      <c r="L40" s="431"/>
      <c r="M40" s="432"/>
    </row>
    <row r="41" spans="1:14" ht="17.45" customHeight="1">
      <c r="A41" s="789" t="s">
        <v>81</v>
      </c>
      <c r="B41" s="790"/>
      <c r="C41" s="171">
        <f>SUMIF($G$7:$G$31,"Electrical",$F$7:$F$31)</f>
        <v>0</v>
      </c>
      <c r="D41" s="125">
        <f>+C41+'15'!D41</f>
        <v>422</v>
      </c>
      <c r="E41" s="150">
        <f t="shared" si="2"/>
        <v>7.0333333333333332</v>
      </c>
      <c r="F41" s="368"/>
      <c r="G41" s="368"/>
      <c r="H41" s="194" t="s">
        <v>82</v>
      </c>
      <c r="I41" s="149"/>
      <c r="J41" s="136">
        <f>J40/G4</f>
        <v>44.611687500000002</v>
      </c>
      <c r="K41" s="137" t="s">
        <v>76</v>
      </c>
      <c r="L41" s="431"/>
      <c r="M41" s="432"/>
    </row>
    <row r="42" spans="1:14" ht="17.45" customHeight="1">
      <c r="A42" s="789" t="s">
        <v>17</v>
      </c>
      <c r="B42" s="790"/>
      <c r="C42" s="171">
        <f>SUMIF($G$7:$G$31,"Instrument",$F$7:$F$31)</f>
        <v>0</v>
      </c>
      <c r="D42" s="125">
        <f>+C42+'15'!D42</f>
        <v>0</v>
      </c>
      <c r="E42" s="150">
        <f t="shared" si="2"/>
        <v>0</v>
      </c>
      <c r="F42" s="368">
        <f>+(480*F38+480*F39+480*F40)/1440</f>
        <v>1170</v>
      </c>
      <c r="G42" s="368">
        <f>+(480*G38+480*G39+480*G40)/1440</f>
        <v>936</v>
      </c>
      <c r="H42" s="194" t="s">
        <v>83</v>
      </c>
      <c r="I42" s="253" t="s">
        <v>590</v>
      </c>
      <c r="J42" s="139"/>
      <c r="K42" s="137" t="s">
        <v>84</v>
      </c>
      <c r="L42" s="431"/>
      <c r="M42" s="432"/>
    </row>
    <row r="43" spans="1:14" ht="17.45" customHeight="1">
      <c r="A43" s="789" t="s">
        <v>85</v>
      </c>
      <c r="B43" s="790"/>
      <c r="C43" s="171">
        <f>SUMIF($G$7:$G$31,"Water",$F$7:$F$31)</f>
        <v>0</v>
      </c>
      <c r="D43" s="125">
        <f>+C43+'15'!D43</f>
        <v>0</v>
      </c>
      <c r="E43" s="150">
        <f t="shared" si="2"/>
        <v>0</v>
      </c>
      <c r="F43" s="368"/>
      <c r="G43" s="369"/>
      <c r="H43" s="195" t="s">
        <v>86</v>
      </c>
      <c r="I43" s="125">
        <f>+Report1!AH24</f>
        <v>69</v>
      </c>
      <c r="J43" s="140">
        <f>+I43+'15'!J43</f>
        <v>1006.3000000000001</v>
      </c>
      <c r="K43" s="137" t="s">
        <v>76</v>
      </c>
      <c r="L43" s="433">
        <f>+Report1!AN24</f>
        <v>0</v>
      </c>
      <c r="M43" s="434">
        <f>+L43+'15'!M43</f>
        <v>9</v>
      </c>
    </row>
    <row r="44" spans="1:14" ht="17.45" customHeight="1">
      <c r="A44" s="789" t="s">
        <v>18</v>
      </c>
      <c r="B44" s="790"/>
      <c r="C44" s="171">
        <f>SUMIF($G$7:$G$31,"PLN",$F$7:$F$31)</f>
        <v>0</v>
      </c>
      <c r="D44" s="125">
        <f>+C44+'15'!D44</f>
        <v>0</v>
      </c>
      <c r="E44" s="150">
        <f t="shared" si="2"/>
        <v>0</v>
      </c>
      <c r="F44" s="368"/>
      <c r="G44" s="369"/>
      <c r="H44" s="195" t="s">
        <v>87</v>
      </c>
      <c r="I44" s="125">
        <f>I43/I38</f>
        <v>1.2677298449327552</v>
      </c>
      <c r="J44" s="141">
        <f>J43/J38</f>
        <v>1.3571340909979785</v>
      </c>
      <c r="K44" s="137" t="s">
        <v>76</v>
      </c>
      <c r="L44" s="435">
        <f>+L43/I38</f>
        <v>0</v>
      </c>
      <c r="M44" s="436">
        <f>+M43/J38</f>
        <v>1.2137739062885627E-2</v>
      </c>
    </row>
    <row r="45" spans="1:14" ht="17.45" customHeight="1">
      <c r="A45" s="789" t="s">
        <v>19</v>
      </c>
      <c r="B45" s="790"/>
      <c r="C45" s="171">
        <f>SUMIF($G$7:$G$31,"Boiler",$F$7:$F$31)</f>
        <v>0</v>
      </c>
      <c r="D45" s="125">
        <f>+C45+'15'!D45</f>
        <v>0</v>
      </c>
      <c r="E45" s="150">
        <f t="shared" si="2"/>
        <v>0</v>
      </c>
      <c r="F45" s="368"/>
      <c r="G45" s="371"/>
      <c r="H45" s="195" t="s">
        <v>88</v>
      </c>
      <c r="I45" s="125">
        <f>I43/I40</f>
        <v>1.3871019620456739</v>
      </c>
      <c r="J45" s="141">
        <f>J43/J40</f>
        <v>1.4098043253799803</v>
      </c>
      <c r="K45" s="137" t="s">
        <v>76</v>
      </c>
      <c r="L45" s="435">
        <f>+L43/I40</f>
        <v>0</v>
      </c>
      <c r="M45" s="436">
        <f>+M43/J40</f>
        <v>1.2608803466580366E-2</v>
      </c>
    </row>
    <row r="46" spans="1:14" ht="17.45" customHeight="1">
      <c r="A46" s="789" t="s">
        <v>89</v>
      </c>
      <c r="B46" s="790"/>
      <c r="C46" s="171">
        <f>SUMIF($G$7:$G$31,"Gas",$F$7:$F$31)</f>
        <v>0</v>
      </c>
      <c r="D46" s="125">
        <f>+C46+'15'!D46</f>
        <v>408</v>
      </c>
      <c r="E46" s="150">
        <f t="shared" si="2"/>
        <v>6.8</v>
      </c>
      <c r="F46" s="368"/>
      <c r="G46" s="369"/>
      <c r="H46" s="195" t="s">
        <v>90</v>
      </c>
      <c r="I46" s="147">
        <f>+SUMIF(Listrik!P23,"&gt;0")</f>
        <v>43291.77999999997</v>
      </c>
      <c r="J46" s="142">
        <f>+I46+'15'!J46</f>
        <v>637450.96</v>
      </c>
      <c r="K46" s="137" t="s">
        <v>91</v>
      </c>
      <c r="L46" s="435">
        <f>+Listrik!AF23</f>
        <v>0</v>
      </c>
      <c r="M46" s="437">
        <f>+L46+'15'!M46</f>
        <v>0</v>
      </c>
    </row>
    <row r="47" spans="1:14" ht="17.45" customHeight="1">
      <c r="A47" s="789" t="s">
        <v>92</v>
      </c>
      <c r="B47" s="790"/>
      <c r="C47" s="171">
        <f>SUMIF($G$7:$G$31,"Gas",$F$7:$F$31)</f>
        <v>0</v>
      </c>
      <c r="D47" s="125">
        <f>+C47+'15'!D47</f>
        <v>0</v>
      </c>
      <c r="E47" s="150">
        <f t="shared" si="2"/>
        <v>0</v>
      </c>
      <c r="F47" s="368"/>
      <c r="G47" s="369"/>
      <c r="H47" s="195" t="s">
        <v>93</v>
      </c>
      <c r="I47" s="125">
        <f>I46/I38</f>
        <v>795.39538472844811</v>
      </c>
      <c r="J47" s="142">
        <f>J46/J38</f>
        <v>859.69037976288257</v>
      </c>
      <c r="K47" s="137" t="s">
        <v>25</v>
      </c>
      <c r="L47" s="435">
        <f>+L46/I38</f>
        <v>0</v>
      </c>
      <c r="M47" s="436">
        <f>+M46/J38</f>
        <v>0</v>
      </c>
    </row>
    <row r="48" spans="1:14" ht="17.45" customHeight="1">
      <c r="A48" s="789" t="s">
        <v>15</v>
      </c>
      <c r="B48" s="790"/>
      <c r="C48" s="171">
        <f>SUMIF($G$7:$G$31,"Start Up",$F$7:$F$31)</f>
        <v>0</v>
      </c>
      <c r="D48" s="125">
        <f>+C48+'15'!D48</f>
        <v>0</v>
      </c>
      <c r="E48" s="150">
        <f t="shared" si="2"/>
        <v>0</v>
      </c>
      <c r="F48" s="368"/>
      <c r="G48" s="369"/>
      <c r="H48" s="195" t="s">
        <v>94</v>
      </c>
      <c r="I48" s="125">
        <f>I46/I40</f>
        <v>870.29149244129883</v>
      </c>
      <c r="J48" s="142">
        <f>J46/J40</f>
        <v>893.05487491366466</v>
      </c>
      <c r="K48" s="137" t="s">
        <v>25</v>
      </c>
      <c r="L48" s="435">
        <f>+L46/I38</f>
        <v>0</v>
      </c>
      <c r="M48" s="436">
        <f>+M46/J40</f>
        <v>0</v>
      </c>
    </row>
    <row r="49" spans="1:13" ht="17.45" customHeight="1">
      <c r="A49" s="789" t="s">
        <v>21</v>
      </c>
      <c r="B49" s="790"/>
      <c r="C49" s="171">
        <f>SUMIF($G$7:$G$31,"Others",$F$7:$F$31)</f>
        <v>0</v>
      </c>
      <c r="D49" s="125">
        <f>+C49+'15'!D49</f>
        <v>480</v>
      </c>
      <c r="E49" s="150">
        <f t="shared" si="2"/>
        <v>8</v>
      </c>
      <c r="F49" s="192"/>
      <c r="H49" s="195" t="s">
        <v>95</v>
      </c>
      <c r="I49" s="125">
        <f>+Report1!AB24</f>
        <v>5828.2339932904706</v>
      </c>
      <c r="J49" s="142">
        <f>+I49+'15'!J49</f>
        <v>74482.711582640099</v>
      </c>
      <c r="K49" s="137" t="s">
        <v>96</v>
      </c>
      <c r="L49" s="431"/>
      <c r="M49" s="432"/>
    </row>
    <row r="50" spans="1:13" ht="17.45" customHeight="1">
      <c r="A50" s="789" t="s">
        <v>20</v>
      </c>
      <c r="B50" s="790"/>
      <c r="C50" s="171">
        <f>SUMIF($G$7:$G$31,"Steam",$F$7:$F$31)</f>
        <v>0</v>
      </c>
      <c r="D50" s="125">
        <f>+C50+'15'!D50</f>
        <v>0</v>
      </c>
      <c r="E50" s="150">
        <f t="shared" si="2"/>
        <v>0</v>
      </c>
      <c r="F50" s="192"/>
      <c r="H50" s="195" t="s">
        <v>97</v>
      </c>
      <c r="I50" s="147">
        <f>I49/I38</f>
        <v>107.0815387905209</v>
      </c>
      <c r="J50" s="140">
        <f>J49/J38</f>
        <v>100.4501908762505</v>
      </c>
      <c r="K50" s="137" t="s">
        <v>96</v>
      </c>
      <c r="L50" s="431"/>
      <c r="M50" s="432"/>
    </row>
    <row r="51" spans="1:13" ht="17.45" customHeight="1" thickBot="1">
      <c r="A51" s="791" t="s">
        <v>98</v>
      </c>
      <c r="B51" s="792"/>
      <c r="C51" s="171">
        <f>SUMIF($G$7:$G$31,"Planned shut",$F$7:$F$31)</f>
        <v>0</v>
      </c>
      <c r="D51" s="125">
        <f>+C51+'15'!D51</f>
        <v>394</v>
      </c>
      <c r="E51" s="150">
        <f t="shared" si="2"/>
        <v>6.5666666666666664</v>
      </c>
      <c r="F51" s="192"/>
      <c r="H51" s="197" t="s">
        <v>99</v>
      </c>
      <c r="I51" s="148">
        <f>I49/I40</f>
        <v>117.1645624254276</v>
      </c>
      <c r="J51" s="143">
        <f>J49/J40</f>
        <v>104.34865244483312</v>
      </c>
      <c r="K51" s="144" t="s">
        <v>96</v>
      </c>
      <c r="L51" s="431"/>
      <c r="M51" s="432"/>
    </row>
    <row r="52" spans="1:13" ht="13.5" thickBot="1">
      <c r="A52" s="793" t="s">
        <v>29</v>
      </c>
      <c r="B52" s="794"/>
      <c r="C52" s="151">
        <f>SUM(C38:C51)</f>
        <v>49</v>
      </c>
      <c r="D52" s="151">
        <f>SUM(D38:D51)</f>
        <v>2737</v>
      </c>
      <c r="E52" s="152">
        <f>SUM(E38:E51)</f>
        <v>45.61666666666666</v>
      </c>
      <c r="F52" s="192"/>
      <c r="H52" s="198"/>
      <c r="I52" s="199"/>
      <c r="J52" s="145"/>
      <c r="K52" s="146"/>
      <c r="L52" s="438"/>
      <c r="M52" s="439"/>
    </row>
    <row r="53" spans="1:13" ht="13.5" thickBot="1">
      <c r="A53" s="795"/>
      <c r="B53" s="796"/>
      <c r="C53" s="153">
        <f>C52/(24*60)</f>
        <v>3.4027777777777775E-2</v>
      </c>
      <c r="D53" s="153">
        <f>D52/(24*60*G4)</f>
        <v>0.11879340277777778</v>
      </c>
      <c r="E53" s="154">
        <f>E52/(G4*24)</f>
        <v>0.11879340277777777</v>
      </c>
      <c r="F53" s="192"/>
    </row>
    <row r="54" spans="1:13">
      <c r="E54" s="200"/>
      <c r="F54" s="192"/>
    </row>
    <row r="55" spans="1:13">
      <c r="E55" s="200"/>
    </row>
    <row r="56" spans="1:13">
      <c r="A56" s="201" t="s">
        <v>100</v>
      </c>
      <c r="B56" s="202"/>
      <c r="C56" s="203"/>
      <c r="D56" s="203"/>
      <c r="E56" s="203"/>
      <c r="F56" s="204"/>
      <c r="G56" s="203"/>
      <c r="H56" s="205"/>
      <c r="I56" s="206" t="s">
        <v>101</v>
      </c>
      <c r="J56" s="207">
        <f>+D34+'15'!J56</f>
        <v>5317</v>
      </c>
      <c r="K56" s="208">
        <f>J56/(J40+J56/1000)/1000</f>
        <v>7.3939235493058024E-3</v>
      </c>
    </row>
    <row r="57" spans="1:13">
      <c r="A57" s="183"/>
      <c r="I57" s="206" t="s">
        <v>102</v>
      </c>
      <c r="J57" s="207">
        <f>+E34+'15'!J57</f>
        <v>0</v>
      </c>
      <c r="K57" s="208">
        <f>J57/(J40+J57/1000)/1000</f>
        <v>0</v>
      </c>
    </row>
    <row r="58" spans="1:13">
      <c r="A58" s="209"/>
      <c r="B58" s="210"/>
      <c r="F58" s="192"/>
      <c r="H58" s="211"/>
      <c r="J58" s="156">
        <v>325</v>
      </c>
    </row>
    <row r="59" spans="1:13">
      <c r="A59" s="212"/>
      <c r="B59" s="183"/>
      <c r="C59" s="183"/>
      <c r="D59" s="183"/>
      <c r="E59" s="183"/>
      <c r="F59" s="196"/>
      <c r="G59" s="183"/>
      <c r="H59" s="211"/>
      <c r="J59" s="162">
        <f>+J56+J58</f>
        <v>5642</v>
      </c>
    </row>
    <row r="60" spans="1:13">
      <c r="H60" s="211"/>
    </row>
    <row r="61" spans="1:13">
      <c r="A61" s="213"/>
      <c r="B61" s="214"/>
      <c r="C61" s="214"/>
      <c r="D61" s="214"/>
      <c r="E61" s="214"/>
      <c r="F61" s="215"/>
      <c r="G61" s="214"/>
      <c r="H61" s="216"/>
    </row>
  </sheetData>
  <mergeCells count="25">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 ref="A53:B53"/>
    <mergeCell ref="A48:B48"/>
    <mergeCell ref="A49:B49"/>
    <mergeCell ref="A50:B50"/>
    <mergeCell ref="A51:B51"/>
    <mergeCell ref="A52:B52"/>
    <mergeCell ref="L35:M35"/>
    <mergeCell ref="A24:A32"/>
    <mergeCell ref="A34:B34"/>
    <mergeCell ref="A37:B37"/>
    <mergeCell ref="A38:B38"/>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colBreaks count="1" manualBreakCount="1">
    <brk id="13"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S61"/>
  <sheetViews>
    <sheetView view="pageBreakPreview" zoomScale="80" zoomScaleNormal="75" zoomScaleSheetLayoutView="80" workbookViewId="0">
      <selection activeCell="H23" sqref="H23"/>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0.28515625" style="156" bestFit="1" customWidth="1"/>
    <col min="11" max="11" width="12.5703125" style="156" bestFit="1" customWidth="1"/>
    <col min="12" max="12" width="8.28515625" style="156" customWidth="1"/>
    <col min="13" max="13" width="12.140625" style="156" customWidth="1"/>
    <col min="14" max="16384" width="9.140625" style="156"/>
  </cols>
  <sheetData>
    <row r="1" spans="1:19" ht="15.75">
      <c r="A1" s="155"/>
    </row>
    <row r="2" spans="1:19" ht="15.75">
      <c r="A2" s="155" t="s">
        <v>183</v>
      </c>
    </row>
    <row r="3" spans="1:19" ht="15">
      <c r="A3" s="157"/>
    </row>
    <row r="4" spans="1:19" ht="20.25">
      <c r="A4" s="158" t="s">
        <v>5</v>
      </c>
      <c r="B4" s="159"/>
      <c r="F4" s="160" t="s">
        <v>30</v>
      </c>
      <c r="G4" s="161">
        <v>15</v>
      </c>
      <c r="H4" s="161" t="str">
        <f>+'1'!H4</f>
        <v>.01.26</v>
      </c>
      <c r="J4" s="156">
        <f>556.2+445.6+537.3</f>
        <v>1539.1</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584</v>
      </c>
      <c r="O6" s="156">
        <v>1170</v>
      </c>
      <c r="P6" s="156">
        <f>+O6-(O6*0.2)</f>
        <v>936</v>
      </c>
      <c r="Q6" s="156">
        <v>480</v>
      </c>
      <c r="R6" s="156">
        <f t="shared" ref="R6:R8" si="0">+O6*Q6</f>
        <v>561600</v>
      </c>
      <c r="S6" s="156">
        <f t="shared" ref="S6:S8" si="1">+P6*Q6</f>
        <v>449280</v>
      </c>
    </row>
    <row r="7" spans="1:19" ht="13.5" customHeight="1" thickBot="1">
      <c r="A7" s="800" t="s">
        <v>425</v>
      </c>
      <c r="B7" s="222" t="s">
        <v>604</v>
      </c>
      <c r="C7" s="223">
        <v>18798</v>
      </c>
      <c r="D7" s="224"/>
      <c r="E7" s="225"/>
      <c r="F7" s="235"/>
      <c r="G7" s="236" t="s">
        <v>13</v>
      </c>
      <c r="H7" s="237" t="s">
        <v>386</v>
      </c>
      <c r="I7" s="803" t="s">
        <v>590</v>
      </c>
      <c r="J7" s="221" t="str">
        <f>+'14'!J7</f>
        <v>T 13,5 RC HW</v>
      </c>
      <c r="K7" s="245"/>
      <c r="L7" s="249"/>
      <c r="M7" s="124">
        <f>+K7+'14'!M7+L7</f>
        <v>221342</v>
      </c>
      <c r="O7" s="156">
        <v>1170</v>
      </c>
      <c r="P7" s="156">
        <f>+O7-(O7*0.2)</f>
        <v>936</v>
      </c>
      <c r="Q7" s="156">
        <v>480</v>
      </c>
      <c r="R7" s="156">
        <f t="shared" si="0"/>
        <v>561600</v>
      </c>
      <c r="S7" s="156">
        <f t="shared" si="1"/>
        <v>449280</v>
      </c>
    </row>
    <row r="8" spans="1:19" ht="13.5" thickBot="1">
      <c r="A8" s="801"/>
      <c r="B8" s="222"/>
      <c r="C8" s="223"/>
      <c r="D8" s="224"/>
      <c r="E8" s="226"/>
      <c r="F8" s="238">
        <v>3</v>
      </c>
      <c r="G8" s="582" t="s">
        <v>13</v>
      </c>
      <c r="H8" s="237" t="s">
        <v>414</v>
      </c>
      <c r="I8" s="804"/>
      <c r="J8" s="221" t="str">
        <f>+'14'!J8</f>
        <v>T 14,5 RC HW</v>
      </c>
      <c r="K8" s="246"/>
      <c r="L8" s="246"/>
      <c r="M8" s="124">
        <f>+K8+'14'!M8+L8</f>
        <v>57466</v>
      </c>
      <c r="O8" s="156">
        <v>1170</v>
      </c>
      <c r="P8" s="156">
        <f>+O8-(O8*0.2)</f>
        <v>936</v>
      </c>
      <c r="Q8" s="156">
        <v>480</v>
      </c>
      <c r="R8" s="156">
        <f t="shared" si="0"/>
        <v>561600</v>
      </c>
      <c r="S8" s="156">
        <f t="shared" si="1"/>
        <v>449280</v>
      </c>
    </row>
    <row r="9" spans="1:19" ht="13.5" thickBot="1">
      <c r="A9" s="801"/>
      <c r="B9" s="222"/>
      <c r="C9" s="223"/>
      <c r="D9" s="224"/>
      <c r="E9" s="227"/>
      <c r="F9" s="235">
        <v>5</v>
      </c>
      <c r="G9" s="582" t="s">
        <v>13</v>
      </c>
      <c r="H9" s="240" t="s">
        <v>395</v>
      </c>
      <c r="I9" s="804"/>
      <c r="J9" s="221" t="str">
        <f>+'14'!J9</f>
        <v>TW 17 RC HW</v>
      </c>
      <c r="K9" s="246"/>
      <c r="L9" s="246"/>
      <c r="M9" s="124">
        <f>+K9+'14'!M9+L9</f>
        <v>24830</v>
      </c>
    </row>
    <row r="10" spans="1:19" ht="26.25" thickBot="1">
      <c r="A10" s="801"/>
      <c r="B10" s="222"/>
      <c r="C10" s="223"/>
      <c r="D10" s="224"/>
      <c r="E10" s="226"/>
      <c r="F10" s="235">
        <v>6</v>
      </c>
      <c r="G10" s="244" t="s">
        <v>14</v>
      </c>
      <c r="H10" s="240" t="s">
        <v>649</v>
      </c>
      <c r="I10" s="804"/>
      <c r="J10" s="221" t="str">
        <f>+'14'!J10</f>
        <v>TW 22 RC HW</v>
      </c>
      <c r="K10" s="246"/>
      <c r="L10" s="246"/>
      <c r="M10" s="124">
        <f>+K10+'14'!M10+L10</f>
        <v>24459</v>
      </c>
    </row>
    <row r="11" spans="1:19" ht="13.5" thickBot="1">
      <c r="A11" s="801"/>
      <c r="B11" s="222"/>
      <c r="C11" s="223"/>
      <c r="D11" s="224"/>
      <c r="E11" s="226"/>
      <c r="F11" s="235"/>
      <c r="G11" s="239"/>
      <c r="H11" s="240"/>
      <c r="I11" s="804"/>
      <c r="J11" s="221" t="str">
        <f>+'14'!J11</f>
        <v>TW 14 RC HW</v>
      </c>
      <c r="K11" s="246"/>
      <c r="L11" s="246"/>
      <c r="M11" s="124">
        <f>+K11+'14'!M11+L11</f>
        <v>8043</v>
      </c>
    </row>
    <row r="12" spans="1:19" ht="13.5" thickBot="1">
      <c r="A12" s="801"/>
      <c r="B12" s="222"/>
      <c r="C12" s="223"/>
      <c r="D12" s="224"/>
      <c r="E12" s="226"/>
      <c r="F12" s="235"/>
      <c r="G12" s="239"/>
      <c r="H12" s="240"/>
      <c r="I12" s="804"/>
      <c r="J12" s="221" t="str">
        <f>+'14'!J12</f>
        <v>TW 29 RC HW</v>
      </c>
      <c r="K12" s="246"/>
      <c r="L12" s="246"/>
      <c r="M12" s="124">
        <f>+K12+'14'!M12+L12</f>
        <v>21439</v>
      </c>
    </row>
    <row r="13" spans="1:19" ht="13.5" thickBot="1">
      <c r="A13" s="801"/>
      <c r="B13" s="222"/>
      <c r="C13" s="223"/>
      <c r="D13" s="223"/>
      <c r="E13" s="226"/>
      <c r="F13" s="235"/>
      <c r="G13" s="239"/>
      <c r="H13" s="240"/>
      <c r="I13" s="805"/>
      <c r="J13" s="221" t="str">
        <f>+'14'!J13</f>
        <v>TW 35,5 RC HW</v>
      </c>
      <c r="K13" s="246"/>
      <c r="L13" s="246"/>
      <c r="M13" s="124">
        <f>+K13+'14'!M13+L13</f>
        <v>2193</v>
      </c>
    </row>
    <row r="14" spans="1:19" ht="13.5" thickBot="1">
      <c r="A14" s="802"/>
      <c r="B14" s="172" t="s">
        <v>3</v>
      </c>
      <c r="C14" s="106">
        <f>SUM(C7:C13)</f>
        <v>18798</v>
      </c>
      <c r="D14" s="118">
        <f>SUM(D7:D13)</f>
        <v>0</v>
      </c>
      <c r="E14" s="119">
        <f>SUM(E5:E13)</f>
        <v>0</v>
      </c>
      <c r="F14" s="109">
        <f>SUM(F6:F13)</f>
        <v>14</v>
      </c>
      <c r="G14" s="166"/>
      <c r="H14" s="173"/>
      <c r="I14" s="174"/>
      <c r="J14" s="221" t="str">
        <f>+'14'!J14</f>
        <v>N 15,5 RC HW</v>
      </c>
      <c r="K14" s="246"/>
      <c r="L14" s="246"/>
      <c r="M14" s="124">
        <f>+K14+'14'!M14+L14</f>
        <v>46927</v>
      </c>
    </row>
    <row r="15" spans="1:19" ht="13.5" customHeight="1" thickBot="1">
      <c r="A15" s="800" t="s">
        <v>440</v>
      </c>
      <c r="B15" s="172"/>
      <c r="C15" s="120">
        <f>C14/($C$23+$D$23+$E$23)</f>
        <v>1.0719662408759123</v>
      </c>
      <c r="D15" s="121">
        <f>D14/($C$23+$D$23+$E$23)</f>
        <v>0</v>
      </c>
      <c r="E15" s="122">
        <f>E14/($C$23+$D$23+$E$23)</f>
        <v>0</v>
      </c>
      <c r="F15" s="235"/>
      <c r="G15" s="236" t="s">
        <v>13</v>
      </c>
      <c r="H15" s="237" t="s">
        <v>386</v>
      </c>
      <c r="I15" s="803" t="s">
        <v>590</v>
      </c>
      <c r="J15" s="221" t="str">
        <f>+'14'!J15</f>
        <v>F 14 RC HW</v>
      </c>
      <c r="K15" s="246"/>
      <c r="L15" s="246"/>
      <c r="M15" s="124">
        <f>+K15+'14'!M15+L15</f>
        <v>4620</v>
      </c>
    </row>
    <row r="16" spans="1:19" ht="13.5" thickBot="1">
      <c r="A16" s="811"/>
      <c r="B16" s="222" t="s">
        <v>604</v>
      </c>
      <c r="C16" s="229">
        <v>16846</v>
      </c>
      <c r="D16" s="230">
        <v>690</v>
      </c>
      <c r="E16" s="231"/>
      <c r="F16" s="238">
        <v>5</v>
      </c>
      <c r="G16" s="582" t="s">
        <v>13</v>
      </c>
      <c r="H16" s="237" t="s">
        <v>415</v>
      </c>
      <c r="I16" s="804"/>
      <c r="J16" s="221" t="str">
        <f>+'14'!J16</f>
        <v>T 15 RC HW</v>
      </c>
      <c r="K16" s="246">
        <f>+C34</f>
        <v>53662</v>
      </c>
      <c r="L16" s="236"/>
      <c r="M16" s="124">
        <f>+K16+'14'!M16+L16</f>
        <v>199892</v>
      </c>
      <c r="Q16" s="183">
        <f>SUM(Q6:Q14)</f>
        <v>1440</v>
      </c>
      <c r="R16" s="183">
        <f>SUM(R6:R14)</f>
        <v>1684800</v>
      </c>
      <c r="S16" s="183">
        <f>SUM(S6:S14)</f>
        <v>1347840</v>
      </c>
    </row>
    <row r="17" spans="1:19" ht="13.5" thickBot="1">
      <c r="A17" s="811"/>
      <c r="B17" s="222"/>
      <c r="C17" s="223"/>
      <c r="D17" s="224"/>
      <c r="E17" s="232"/>
      <c r="F17" s="235">
        <v>10</v>
      </c>
      <c r="G17" s="582" t="s">
        <v>13</v>
      </c>
      <c r="H17" s="240" t="s">
        <v>416</v>
      </c>
      <c r="I17" s="804"/>
      <c r="J17" s="221" t="str">
        <f>+'14'!J17</f>
        <v>T 14 RC HW</v>
      </c>
      <c r="K17" s="246"/>
      <c r="L17" s="236"/>
      <c r="M17" s="124">
        <f>+K17+'14'!M17+L17</f>
        <v>52832</v>
      </c>
      <c r="Q17" s="156">
        <f>480-Q16</f>
        <v>-960</v>
      </c>
      <c r="R17" s="183">
        <f>+R16/Q16</f>
        <v>1170</v>
      </c>
      <c r="S17" s="183">
        <f>+S16/Q16</f>
        <v>936</v>
      </c>
    </row>
    <row r="18" spans="1:19" ht="26.25" thickBot="1">
      <c r="A18" s="811"/>
      <c r="B18" s="222"/>
      <c r="C18" s="223"/>
      <c r="D18" s="224"/>
      <c r="E18" s="232"/>
      <c r="F18" s="235"/>
      <c r="G18" s="244" t="s">
        <v>14</v>
      </c>
      <c r="H18" s="240" t="s">
        <v>648</v>
      </c>
      <c r="I18" s="804"/>
      <c r="J18" s="221">
        <f>+'14'!J18</f>
        <v>0</v>
      </c>
      <c r="K18" s="246"/>
      <c r="L18" s="246"/>
      <c r="M18" s="124">
        <f>+K18+'14'!M18+L18</f>
        <v>0</v>
      </c>
    </row>
    <row r="19" spans="1:19" ht="13.5" thickBot="1">
      <c r="A19" s="811"/>
      <c r="B19" s="222"/>
      <c r="C19" s="223"/>
      <c r="D19" s="224"/>
      <c r="E19" s="232"/>
      <c r="F19" s="242"/>
      <c r="G19" s="239"/>
      <c r="H19" s="240"/>
      <c r="I19" s="804"/>
      <c r="J19" s="221">
        <f>+'14'!J19</f>
        <v>0</v>
      </c>
      <c r="K19" s="246"/>
      <c r="L19" s="246"/>
      <c r="M19" s="124">
        <f>+K19+'14'!M19+L19</f>
        <v>0</v>
      </c>
    </row>
    <row r="20" spans="1:19" ht="13.5" thickBot="1">
      <c r="A20" s="811"/>
      <c r="B20" s="222"/>
      <c r="C20" s="223"/>
      <c r="D20" s="224"/>
      <c r="E20" s="232"/>
      <c r="F20" s="235"/>
      <c r="G20" s="239"/>
      <c r="H20" s="240"/>
      <c r="I20" s="804"/>
      <c r="J20" s="221">
        <f>+'14'!J20</f>
        <v>0</v>
      </c>
      <c r="K20" s="246"/>
      <c r="L20" s="247"/>
      <c r="M20" s="124">
        <f>+K20+'14'!M20+L20</f>
        <v>0</v>
      </c>
    </row>
    <row r="21" spans="1:19" ht="13.5" thickBot="1">
      <c r="A21" s="811"/>
      <c r="B21" s="222"/>
      <c r="C21" s="223"/>
      <c r="D21" s="224"/>
      <c r="E21" s="232"/>
      <c r="F21" s="238"/>
      <c r="G21" s="239"/>
      <c r="H21" s="240"/>
      <c r="I21" s="804"/>
      <c r="J21" s="221">
        <f>+'14'!J21</f>
        <v>0</v>
      </c>
      <c r="K21" s="246"/>
      <c r="L21" s="246"/>
      <c r="M21" s="124">
        <f>+K21+'14'!M21+L21</f>
        <v>0</v>
      </c>
    </row>
    <row r="22" spans="1:19" ht="13.5" thickBot="1">
      <c r="A22" s="811"/>
      <c r="B22" s="222"/>
      <c r="C22" s="223"/>
      <c r="D22" s="224"/>
      <c r="E22" s="232"/>
      <c r="F22" s="243"/>
      <c r="G22" s="239"/>
      <c r="H22" s="240"/>
      <c r="I22" s="805"/>
      <c r="J22" s="221">
        <f>+'14'!J22</f>
        <v>0</v>
      </c>
      <c r="K22" s="246"/>
      <c r="L22" s="246"/>
      <c r="M22" s="124">
        <f>+K22+'14'!M22+L22</f>
        <v>0</v>
      </c>
    </row>
    <row r="23" spans="1:19" ht="13.5" thickBot="1">
      <c r="A23" s="812"/>
      <c r="B23" s="172" t="s">
        <v>3</v>
      </c>
      <c r="C23" s="107">
        <f>SUM(C16:C22)</f>
        <v>16846</v>
      </c>
      <c r="D23" s="118">
        <f>SUM(D16:D22)</f>
        <v>690</v>
      </c>
      <c r="E23" s="119">
        <f>SUM(E18:E22)</f>
        <v>0</v>
      </c>
      <c r="F23" s="109">
        <f>SUM(F15:F22)</f>
        <v>15</v>
      </c>
      <c r="G23" s="166"/>
      <c r="H23" s="173"/>
      <c r="I23" s="176"/>
      <c r="J23" s="221">
        <f>+'14'!J23</f>
        <v>0</v>
      </c>
      <c r="K23" s="246"/>
      <c r="L23" s="246"/>
      <c r="M23" s="124">
        <f>+K23+'14'!M23+L23</f>
        <v>0</v>
      </c>
    </row>
    <row r="24" spans="1:19" ht="13.5" customHeight="1" thickBot="1">
      <c r="A24" s="800" t="s">
        <v>424</v>
      </c>
      <c r="B24" s="177"/>
      <c r="C24" s="120">
        <f>C23/($C$23+$D$23+$E$23)</f>
        <v>0.96065237226277367</v>
      </c>
      <c r="D24" s="121">
        <f>D23/($C$23+$D$23+$E$23)</f>
        <v>3.9347627737226276E-2</v>
      </c>
      <c r="E24" s="122">
        <f>E23/($C$23+$D$23+$E$23)</f>
        <v>0</v>
      </c>
      <c r="F24" s="235"/>
      <c r="G24" s="236" t="s">
        <v>13</v>
      </c>
      <c r="H24" s="237" t="s">
        <v>386</v>
      </c>
      <c r="I24" s="803" t="s">
        <v>590</v>
      </c>
      <c r="J24" s="221">
        <f>+'14'!J24</f>
        <v>0</v>
      </c>
      <c r="K24" s="246"/>
      <c r="L24" s="246"/>
      <c r="M24" s="124">
        <f>+K24+'14'!M24+L24</f>
        <v>0</v>
      </c>
    </row>
    <row r="25" spans="1:19" ht="13.5" thickBot="1">
      <c r="A25" s="811"/>
      <c r="B25" s="222" t="s">
        <v>604</v>
      </c>
      <c r="C25" s="233">
        <v>18018</v>
      </c>
      <c r="D25" s="224"/>
      <c r="E25" s="232"/>
      <c r="F25" s="238">
        <v>6</v>
      </c>
      <c r="G25" s="582" t="s">
        <v>13</v>
      </c>
      <c r="H25" s="237" t="s">
        <v>650</v>
      </c>
      <c r="I25" s="804"/>
      <c r="J25" s="221">
        <f>+'14'!J25</f>
        <v>0</v>
      </c>
      <c r="K25" s="246"/>
      <c r="L25" s="246"/>
      <c r="M25" s="124">
        <f>+K25+'14'!M25+L25</f>
        <v>0</v>
      </c>
    </row>
    <row r="26" spans="1:19" ht="13.5" thickBot="1">
      <c r="A26" s="811"/>
      <c r="B26" s="222"/>
      <c r="C26" s="233"/>
      <c r="D26" s="224"/>
      <c r="E26" s="234"/>
      <c r="F26" s="235">
        <v>8</v>
      </c>
      <c r="G26" s="582" t="s">
        <v>13</v>
      </c>
      <c r="H26" s="240" t="s">
        <v>413</v>
      </c>
      <c r="I26" s="804"/>
      <c r="J26" s="221">
        <f>+'14'!J26</f>
        <v>0</v>
      </c>
      <c r="K26" s="246"/>
      <c r="L26" s="246"/>
      <c r="M26" s="124">
        <f>+K26+'14'!M26+L26</f>
        <v>0</v>
      </c>
    </row>
    <row r="27" spans="1:19" ht="26.25" thickBot="1">
      <c r="A27" s="811"/>
      <c r="B27" s="222"/>
      <c r="C27" s="223"/>
      <c r="D27" s="224"/>
      <c r="E27" s="232"/>
      <c r="F27" s="235">
        <v>8</v>
      </c>
      <c r="G27" s="244" t="s">
        <v>14</v>
      </c>
      <c r="H27" s="240" t="s">
        <v>646</v>
      </c>
      <c r="I27" s="804"/>
      <c r="J27" s="221">
        <f>+'14'!J27</f>
        <v>0</v>
      </c>
      <c r="K27" s="246"/>
      <c r="L27" s="246"/>
      <c r="M27" s="124">
        <f>+K27+'14'!M27+L27</f>
        <v>0</v>
      </c>
    </row>
    <row r="28" spans="1:19" ht="39" thickBot="1">
      <c r="A28" s="811"/>
      <c r="B28" s="222"/>
      <c r="C28" s="223"/>
      <c r="D28" s="224"/>
      <c r="E28" s="232"/>
      <c r="F28" s="238"/>
      <c r="G28" s="239"/>
      <c r="H28" s="240" t="s">
        <v>647</v>
      </c>
      <c r="I28" s="804"/>
      <c r="J28" s="221">
        <f>+'14'!J28</f>
        <v>0</v>
      </c>
      <c r="K28" s="246"/>
      <c r="L28" s="246"/>
      <c r="M28" s="124">
        <f>+K28+'14'!M28+L28</f>
        <v>0</v>
      </c>
    </row>
    <row r="29" spans="1:19" ht="13.5" thickBot="1">
      <c r="A29" s="811"/>
      <c r="B29" s="222"/>
      <c r="C29" s="223"/>
      <c r="D29" s="224"/>
      <c r="E29" s="232"/>
      <c r="F29" s="243"/>
      <c r="G29" s="239"/>
      <c r="H29" s="240"/>
      <c r="I29" s="804"/>
      <c r="J29" s="221">
        <f>+'14'!J29</f>
        <v>0</v>
      </c>
      <c r="K29" s="246"/>
      <c r="L29" s="246"/>
      <c r="M29" s="124">
        <f>+K29+'14'!M29+L29</f>
        <v>0</v>
      </c>
    </row>
    <row r="30" spans="1:19" ht="13.5" thickBot="1">
      <c r="A30" s="811"/>
      <c r="B30" s="222"/>
      <c r="C30" s="233"/>
      <c r="D30" s="224"/>
      <c r="E30" s="232"/>
      <c r="F30" s="243"/>
      <c r="G30" s="239"/>
      <c r="H30" s="240"/>
      <c r="I30" s="804"/>
      <c r="J30" s="221">
        <f>+'14'!J30</f>
        <v>0</v>
      </c>
      <c r="K30" s="246"/>
      <c r="L30" s="246"/>
      <c r="M30" s="124">
        <f>+K30+'14'!M30+L30</f>
        <v>0</v>
      </c>
      <c r="N30" s="162"/>
    </row>
    <row r="31" spans="1:19" ht="13.5" thickBot="1">
      <c r="A31" s="811"/>
      <c r="B31" s="222"/>
      <c r="C31" s="233"/>
      <c r="D31" s="224"/>
      <c r="E31" s="232"/>
      <c r="F31" s="243"/>
      <c r="G31" s="244"/>
      <c r="H31" s="241"/>
      <c r="I31" s="805"/>
      <c r="J31" s="221">
        <f>+'14'!J31</f>
        <v>0</v>
      </c>
      <c r="K31" s="246"/>
      <c r="L31" s="246"/>
      <c r="M31" s="124">
        <f>+K31+'14'!M31+L31</f>
        <v>0</v>
      </c>
    </row>
    <row r="32" spans="1:19" ht="13.5" thickBot="1">
      <c r="A32" s="812"/>
      <c r="B32" s="172" t="s">
        <v>3</v>
      </c>
      <c r="C32" s="106">
        <f>SUM(C25:C31)</f>
        <v>18018</v>
      </c>
      <c r="D32" s="107">
        <f>SUM(D25:D31)</f>
        <v>0</v>
      </c>
      <c r="E32" s="108">
        <f>SUM(E25:E31)</f>
        <v>0</v>
      </c>
      <c r="F32" s="109">
        <f>SUM(F24:F31)</f>
        <v>22</v>
      </c>
      <c r="G32" s="178"/>
      <c r="H32" s="179"/>
      <c r="I32" s="176"/>
      <c r="J32" s="221">
        <f>+'14'!J32</f>
        <v>0</v>
      </c>
      <c r="K32" s="248"/>
      <c r="L32" s="250"/>
      <c r="M32" s="124">
        <f>+K32+'14'!M32+L32</f>
        <v>0</v>
      </c>
    </row>
    <row r="33" spans="1:14" ht="13.5" thickBot="1">
      <c r="A33" s="180"/>
      <c r="B33" s="181"/>
      <c r="C33" s="110">
        <f>C32/($C$32+$D$32+$E$32)</f>
        <v>1</v>
      </c>
      <c r="D33" s="111">
        <f>D32/($C$32+$D$32+$E$32)</f>
        <v>0</v>
      </c>
      <c r="E33" s="112">
        <f>E32/($C$32+$D$32+$E$32)</f>
        <v>0</v>
      </c>
      <c r="F33" s="113"/>
      <c r="G33" s="182"/>
      <c r="H33" s="183"/>
      <c r="I33" s="184"/>
      <c r="J33" s="128"/>
      <c r="K33" s="129"/>
      <c r="L33" s="220"/>
      <c r="M33" s="126"/>
    </row>
    <row r="34" spans="1:14" ht="13.5" thickBot="1">
      <c r="A34" s="808" t="s">
        <v>70</v>
      </c>
      <c r="B34" s="809"/>
      <c r="C34" s="114">
        <f>C14+C23+C32</f>
        <v>53662</v>
      </c>
      <c r="D34" s="114">
        <f>D14+D23+D32</f>
        <v>690</v>
      </c>
      <c r="E34" s="114">
        <f>E14+E23+E32</f>
        <v>0</v>
      </c>
      <c r="F34" s="115">
        <f>F14+F23+F32</f>
        <v>51</v>
      </c>
      <c r="H34" s="185"/>
      <c r="I34" s="185"/>
      <c r="J34" s="130" t="s">
        <v>29</v>
      </c>
      <c r="K34" s="131">
        <f>SUM(K7:K32)</f>
        <v>53662</v>
      </c>
      <c r="L34" s="219">
        <f>SUM(L7:L32)</f>
        <v>0</v>
      </c>
      <c r="M34" s="127">
        <f>SUM(M7:M32)</f>
        <v>664043</v>
      </c>
      <c r="N34" s="162"/>
    </row>
    <row r="35" spans="1:14" ht="13.5" thickBot="1">
      <c r="A35" s="186"/>
      <c r="B35" s="187"/>
      <c r="C35" s="111">
        <f>C34/($C$34+$D$34+$E$34)</f>
        <v>0.98730497497792169</v>
      </c>
      <c r="D35" s="111">
        <f>D34/($C$34+$D$34+$E$34)</f>
        <v>1.2695025022078305E-2</v>
      </c>
      <c r="E35" s="116">
        <f>E34/($C$34+$D$34+$E$34)</f>
        <v>0</v>
      </c>
      <c r="K35" s="162"/>
      <c r="L35" s="799" t="s">
        <v>184</v>
      </c>
      <c r="M35" s="799"/>
    </row>
    <row r="36" spans="1:14" ht="13.5" thickBot="1">
      <c r="A36" s="185"/>
      <c r="B36" s="185"/>
      <c r="C36" s="162"/>
      <c r="D36" s="162"/>
      <c r="E36" s="162"/>
      <c r="G36" s="162"/>
      <c r="H36" s="188"/>
      <c r="I36" s="169" t="s">
        <v>41</v>
      </c>
      <c r="J36" s="169" t="s">
        <v>42</v>
      </c>
      <c r="K36" s="189"/>
      <c r="L36" s="169" t="s">
        <v>41</v>
      </c>
      <c r="M36" s="169" t="s">
        <v>42</v>
      </c>
    </row>
    <row r="37" spans="1:14" ht="17.45" customHeight="1" thickBot="1">
      <c r="A37" s="797" t="s">
        <v>71</v>
      </c>
      <c r="B37" s="798"/>
      <c r="C37" s="169" t="s">
        <v>72</v>
      </c>
      <c r="D37" s="190" t="s">
        <v>73</v>
      </c>
      <c r="E37" s="191" t="s">
        <v>74</v>
      </c>
      <c r="F37" s="368"/>
      <c r="G37" s="370"/>
      <c r="H37" s="193" t="s">
        <v>75</v>
      </c>
      <c r="I37" s="251">
        <f>(15*1440)/1440*G42*2.75*1440/1000000</f>
        <v>55.598399999999998</v>
      </c>
      <c r="J37" s="132">
        <f>+I37+'14'!J37</f>
        <v>732.40646652439068</v>
      </c>
      <c r="K37" s="133" t="s">
        <v>76</v>
      </c>
      <c r="L37" s="429"/>
      <c r="M37" s="430"/>
    </row>
    <row r="38" spans="1:14" ht="17.45" customHeight="1">
      <c r="A38" s="793" t="s">
        <v>13</v>
      </c>
      <c r="B38" s="794"/>
      <c r="C38" s="171">
        <f>SUMIF($G$7:$G$31,"Process",$F$7:$F$31)</f>
        <v>37</v>
      </c>
      <c r="D38" s="125">
        <f>+C38+'14'!D38</f>
        <v>843</v>
      </c>
      <c r="E38" s="150">
        <f t="shared" ref="E38:E51" si="2">D38/60</f>
        <v>14.05</v>
      </c>
      <c r="F38" s="368">
        <v>1170</v>
      </c>
      <c r="G38" s="368">
        <v>936</v>
      </c>
      <c r="H38" s="194" t="s">
        <v>77</v>
      </c>
      <c r="I38" s="252">
        <f>19.551+18.577+15.717</f>
        <v>53.844999999999999</v>
      </c>
      <c r="J38" s="134">
        <f>+I38+'14'!J38</f>
        <v>687.06099999999992</v>
      </c>
      <c r="K38" s="135" t="s">
        <v>76</v>
      </c>
      <c r="L38" s="431"/>
      <c r="M38" s="432"/>
    </row>
    <row r="39" spans="1:14" ht="17.45" customHeight="1">
      <c r="A39" s="789" t="s">
        <v>14</v>
      </c>
      <c r="B39" s="790"/>
      <c r="C39" s="171">
        <f>SUMIF($G$7:$G$31,"Cleaning",$F$7:$F$31)</f>
        <v>14</v>
      </c>
      <c r="D39" s="125">
        <f>+C39+'14'!D39</f>
        <v>119</v>
      </c>
      <c r="E39" s="150">
        <f t="shared" si="2"/>
        <v>1.9833333333333334</v>
      </c>
      <c r="F39" s="368">
        <v>1170</v>
      </c>
      <c r="G39" s="368">
        <v>936</v>
      </c>
      <c r="H39" s="194" t="s">
        <v>78</v>
      </c>
      <c r="I39" s="149"/>
      <c r="J39" s="136">
        <f>J37/G4</f>
        <v>48.82709776829271</v>
      </c>
      <c r="K39" s="137" t="s">
        <v>76</v>
      </c>
      <c r="L39" s="431"/>
      <c r="M39" s="432"/>
    </row>
    <row r="40" spans="1:14" ht="17.45" customHeight="1">
      <c r="A40" s="789" t="s">
        <v>79</v>
      </c>
      <c r="B40" s="790"/>
      <c r="C40" s="171">
        <f>SUMIF($G$7:$G$31,"Mechanical",$F$7:$F$31)</f>
        <v>0</v>
      </c>
      <c r="D40" s="125">
        <f>+C40+'14'!D40</f>
        <v>22</v>
      </c>
      <c r="E40" s="150">
        <f t="shared" si="2"/>
        <v>0.36666666666666664</v>
      </c>
      <c r="F40" s="368">
        <v>1170</v>
      </c>
      <c r="G40" s="368">
        <v>936</v>
      </c>
      <c r="H40" s="194" t="s">
        <v>80</v>
      </c>
      <c r="I40" s="125">
        <f>(K34+L34)/1000</f>
        <v>53.661999999999999</v>
      </c>
      <c r="J40" s="138">
        <f>+I40+'14'!J40</f>
        <v>664.04300000000001</v>
      </c>
      <c r="K40" s="137" t="s">
        <v>76</v>
      </c>
      <c r="L40" s="431"/>
      <c r="M40" s="432"/>
    </row>
    <row r="41" spans="1:14" ht="17.45" customHeight="1">
      <c r="A41" s="789" t="s">
        <v>81</v>
      </c>
      <c r="B41" s="790"/>
      <c r="C41" s="171">
        <f>SUMIF($G$7:$G$31,"Electrical",$F$7:$F$31)</f>
        <v>0</v>
      </c>
      <c r="D41" s="125">
        <f>+C41+'14'!D41</f>
        <v>422</v>
      </c>
      <c r="E41" s="150">
        <f t="shared" si="2"/>
        <v>7.0333333333333332</v>
      </c>
      <c r="F41" s="368"/>
      <c r="G41" s="368"/>
      <c r="H41" s="194" t="s">
        <v>82</v>
      </c>
      <c r="I41" s="149"/>
      <c r="J41" s="136">
        <f>J40/G4</f>
        <v>44.269533333333335</v>
      </c>
      <c r="K41" s="137" t="s">
        <v>76</v>
      </c>
      <c r="L41" s="431"/>
      <c r="M41" s="432"/>
    </row>
    <row r="42" spans="1:14" ht="17.45" customHeight="1">
      <c r="A42" s="789" t="s">
        <v>17</v>
      </c>
      <c r="B42" s="790"/>
      <c r="C42" s="171">
        <f>SUMIF($G$7:$G$31,"Instrument",$F$7:$F$31)</f>
        <v>0</v>
      </c>
      <c r="D42" s="125">
        <f>+C42+'14'!D42</f>
        <v>0</v>
      </c>
      <c r="E42" s="150">
        <f t="shared" si="2"/>
        <v>0</v>
      </c>
      <c r="F42" s="368">
        <f>+(480*F38+480*F39+480*F40)/1440</f>
        <v>1170</v>
      </c>
      <c r="G42" s="368">
        <f>+(480*G38+480*G39+480*G40)/1440</f>
        <v>936</v>
      </c>
      <c r="H42" s="194" t="s">
        <v>83</v>
      </c>
      <c r="I42" s="253" t="s">
        <v>590</v>
      </c>
      <c r="J42" s="139"/>
      <c r="K42" s="137" t="s">
        <v>84</v>
      </c>
      <c r="L42" s="431"/>
      <c r="M42" s="432"/>
    </row>
    <row r="43" spans="1:14" ht="17.45" customHeight="1">
      <c r="A43" s="789" t="s">
        <v>199</v>
      </c>
      <c r="B43" s="790"/>
      <c r="C43" s="171">
        <f>SUMIF($G$7:$G$31,"Change Grade",$F$7:$F$31)</f>
        <v>0</v>
      </c>
      <c r="D43" s="125">
        <f>+C43+'14'!D43</f>
        <v>0</v>
      </c>
      <c r="E43" s="150">
        <f t="shared" si="2"/>
        <v>0</v>
      </c>
      <c r="F43" s="368"/>
      <c r="G43" s="369"/>
      <c r="H43" s="195" t="s">
        <v>86</v>
      </c>
      <c r="I43" s="125">
        <f>+Report1!AH23</f>
        <v>67.7</v>
      </c>
      <c r="J43" s="140">
        <f>+I43+'14'!J43</f>
        <v>937.30000000000007</v>
      </c>
      <c r="K43" s="137" t="s">
        <v>76</v>
      </c>
      <c r="L43" s="433">
        <f>+Report1!AN23</f>
        <v>0</v>
      </c>
      <c r="M43" s="434">
        <f>+L43+'14'!M43</f>
        <v>9</v>
      </c>
    </row>
    <row r="44" spans="1:14" ht="17.45" customHeight="1">
      <c r="A44" s="789" t="s">
        <v>18</v>
      </c>
      <c r="B44" s="790"/>
      <c r="C44" s="171">
        <f>SUMIF($G$7:$G$31,"PLN",$F$7:$F$31)</f>
        <v>0</v>
      </c>
      <c r="D44" s="125">
        <f>+C44+'14'!D44</f>
        <v>0</v>
      </c>
      <c r="E44" s="150">
        <f t="shared" si="2"/>
        <v>0</v>
      </c>
      <c r="F44" s="368"/>
      <c r="G44" s="369"/>
      <c r="H44" s="195" t="s">
        <v>87</v>
      </c>
      <c r="I44" s="125">
        <f>I43/I38</f>
        <v>1.2573126566997865</v>
      </c>
      <c r="J44" s="141">
        <f>J43/J38</f>
        <v>1.3642165688344996</v>
      </c>
      <c r="K44" s="137" t="s">
        <v>76</v>
      </c>
      <c r="L44" s="435">
        <f>+L43/I38</f>
        <v>0</v>
      </c>
      <c r="M44" s="436">
        <f>+M43/J38</f>
        <v>1.3099273572506663E-2</v>
      </c>
    </row>
    <row r="45" spans="1:14" ht="17.45" customHeight="1">
      <c r="A45" s="789" t="s">
        <v>19</v>
      </c>
      <c r="B45" s="790"/>
      <c r="C45" s="171">
        <f>SUMIF($G$7:$G$31,"Boiler",$F$7:$F$31)</f>
        <v>0</v>
      </c>
      <c r="D45" s="125">
        <f>+C45+'14'!D45</f>
        <v>0</v>
      </c>
      <c r="E45" s="150">
        <f t="shared" si="2"/>
        <v>0</v>
      </c>
      <c r="F45" s="368"/>
      <c r="G45" s="371"/>
      <c r="H45" s="195" t="s">
        <v>88</v>
      </c>
      <c r="I45" s="125">
        <f>I43/I40</f>
        <v>1.2616003876113451</v>
      </c>
      <c r="J45" s="141">
        <f>J43/J40</f>
        <v>1.4115049778402906</v>
      </c>
      <c r="K45" s="137" t="s">
        <v>76</v>
      </c>
      <c r="L45" s="435">
        <f>+L43/I40</f>
        <v>0</v>
      </c>
      <c r="M45" s="436">
        <f>+M43/J40</f>
        <v>1.355333916628893E-2</v>
      </c>
    </row>
    <row r="46" spans="1:14" ht="17.45" customHeight="1">
      <c r="A46" s="789" t="s">
        <v>89</v>
      </c>
      <c r="B46" s="790"/>
      <c r="C46" s="171">
        <f>SUMIF($G$7:$G$31,"Gas",$F$7:$F$31)</f>
        <v>0</v>
      </c>
      <c r="D46" s="125">
        <f>+C46+'14'!D46</f>
        <v>408</v>
      </c>
      <c r="E46" s="150">
        <f t="shared" si="2"/>
        <v>6.8</v>
      </c>
      <c r="F46" s="368"/>
      <c r="G46" s="369"/>
      <c r="H46" s="195" t="s">
        <v>90</v>
      </c>
      <c r="I46" s="147">
        <f>+SUMIF(Listrik!P22,"&gt;0")</f>
        <v>44053.520000000099</v>
      </c>
      <c r="J46" s="142">
        <f>+I46+'14'!J46</f>
        <v>594159.18000000005</v>
      </c>
      <c r="K46" s="137" t="s">
        <v>91</v>
      </c>
      <c r="L46" s="435">
        <f>+Listrik!AF22</f>
        <v>0</v>
      </c>
      <c r="M46" s="437">
        <f>+L46+'14'!M46</f>
        <v>0</v>
      </c>
    </row>
    <row r="47" spans="1:14" ht="17.45" customHeight="1">
      <c r="A47" s="789" t="s">
        <v>92</v>
      </c>
      <c r="B47" s="790"/>
      <c r="C47" s="171">
        <f>SUMIF($G$7:$G$31,"Gas",$F$7:$F$31)</f>
        <v>0</v>
      </c>
      <c r="D47" s="125">
        <f>+C47+'14'!D47</f>
        <v>0</v>
      </c>
      <c r="E47" s="150">
        <f t="shared" si="2"/>
        <v>0</v>
      </c>
      <c r="F47" s="368"/>
      <c r="G47" s="369"/>
      <c r="H47" s="195" t="s">
        <v>93</v>
      </c>
      <c r="I47" s="125">
        <f>I46/I38</f>
        <v>818.15433187854205</v>
      </c>
      <c r="J47" s="142">
        <f>J46/J38</f>
        <v>864.78373827069231</v>
      </c>
      <c r="K47" s="137" t="s">
        <v>25</v>
      </c>
      <c r="L47" s="435">
        <f>+L46/I38</f>
        <v>0</v>
      </c>
      <c r="M47" s="436">
        <f>+M46/J38</f>
        <v>0</v>
      </c>
    </row>
    <row r="48" spans="1:14" ht="17.45" customHeight="1">
      <c r="A48" s="789" t="s">
        <v>15</v>
      </c>
      <c r="B48" s="790"/>
      <c r="C48" s="171">
        <f>SUMIF($G$7:$G$31,"Start Up",$F$7:$F$31)</f>
        <v>0</v>
      </c>
      <c r="D48" s="125">
        <f>+C48+'14'!D48</f>
        <v>0</v>
      </c>
      <c r="E48" s="150">
        <f t="shared" si="2"/>
        <v>0</v>
      </c>
      <c r="F48" s="368"/>
      <c r="G48" s="369"/>
      <c r="H48" s="195" t="s">
        <v>94</v>
      </c>
      <c r="I48" s="125">
        <f>I46/I40</f>
        <v>820.94442995043232</v>
      </c>
      <c r="J48" s="142">
        <f>J46/J40</f>
        <v>894.76009836712387</v>
      </c>
      <c r="K48" s="137" t="s">
        <v>25</v>
      </c>
      <c r="L48" s="435">
        <f>+L46/I38</f>
        <v>0</v>
      </c>
      <c r="M48" s="436">
        <f>+M46/J40</f>
        <v>0</v>
      </c>
    </row>
    <row r="49" spans="1:13" ht="17.45" customHeight="1">
      <c r="A49" s="789" t="s">
        <v>21</v>
      </c>
      <c r="B49" s="790"/>
      <c r="C49" s="171">
        <f>SUMIF($G$7:$G$31,"Others",$F$7:$F$31)</f>
        <v>0</v>
      </c>
      <c r="D49" s="125">
        <f>+C49+'14'!D49</f>
        <v>480</v>
      </c>
      <c r="E49" s="150">
        <f t="shared" si="2"/>
        <v>8</v>
      </c>
      <c r="F49" s="192"/>
      <c r="H49" s="195" t="s">
        <v>95</v>
      </c>
      <c r="I49" s="125">
        <f>+Report1!AB23</f>
        <v>5606.3907590350254</v>
      </c>
      <c r="J49" s="142">
        <f>+I49+'14'!J49</f>
        <v>68654.477589349626</v>
      </c>
      <c r="K49" s="137" t="s">
        <v>96</v>
      </c>
      <c r="L49" s="431"/>
      <c r="M49" s="432"/>
    </row>
    <row r="50" spans="1:13" ht="17.45" customHeight="1">
      <c r="A50" s="789" t="s">
        <v>20</v>
      </c>
      <c r="B50" s="790"/>
      <c r="C50" s="171">
        <f>SUMIF($G$7:$G$31,"Steam",$F$7:$F$31)</f>
        <v>0</v>
      </c>
      <c r="D50" s="125">
        <f>+C50+'14'!D50</f>
        <v>0</v>
      </c>
      <c r="E50" s="150">
        <f t="shared" si="2"/>
        <v>0</v>
      </c>
      <c r="F50" s="192"/>
      <c r="H50" s="195" t="s">
        <v>97</v>
      </c>
      <c r="I50" s="147">
        <f>I49/I38</f>
        <v>104.12091668743663</v>
      </c>
      <c r="J50" s="140">
        <f>J49/J38</f>
        <v>99.924864880046513</v>
      </c>
      <c r="K50" s="137" t="s">
        <v>96</v>
      </c>
      <c r="L50" s="431"/>
      <c r="M50" s="432"/>
    </row>
    <row r="51" spans="1:13" ht="17.45" customHeight="1" thickBot="1">
      <c r="A51" s="791" t="s">
        <v>98</v>
      </c>
      <c r="B51" s="792"/>
      <c r="C51" s="171">
        <f>SUMIF($G$7:$G$31,"Planned shut",$F$7:$F$31)</f>
        <v>0</v>
      </c>
      <c r="D51" s="125">
        <f>+C51+'14'!D51</f>
        <v>394</v>
      </c>
      <c r="E51" s="150">
        <f t="shared" si="2"/>
        <v>6.5666666666666664</v>
      </c>
      <c r="F51" s="192"/>
      <c r="H51" s="197" t="s">
        <v>99</v>
      </c>
      <c r="I51" s="148">
        <f>I49/I40</f>
        <v>104.47599342244094</v>
      </c>
      <c r="J51" s="143">
        <f>J49/J40</f>
        <v>103.38860222809309</v>
      </c>
      <c r="K51" s="144" t="s">
        <v>96</v>
      </c>
      <c r="L51" s="431"/>
      <c r="M51" s="432"/>
    </row>
    <row r="52" spans="1:13" ht="13.5" thickBot="1">
      <c r="A52" s="793" t="s">
        <v>29</v>
      </c>
      <c r="B52" s="794"/>
      <c r="C52" s="151">
        <f>SUM(C38:C51)</f>
        <v>51</v>
      </c>
      <c r="D52" s="151">
        <f>SUM(D38:D51)</f>
        <v>2688</v>
      </c>
      <c r="E52" s="152">
        <f>SUM(E38:E51)</f>
        <v>44.8</v>
      </c>
      <c r="F52" s="192"/>
      <c r="H52" s="198"/>
      <c r="I52" s="199"/>
      <c r="J52" s="145"/>
      <c r="K52" s="146"/>
      <c r="L52" s="438"/>
      <c r="M52" s="439"/>
    </row>
    <row r="53" spans="1:13" ht="13.5" thickBot="1">
      <c r="A53" s="795"/>
      <c r="B53" s="796"/>
      <c r="C53" s="153">
        <f>C52/(24*60)</f>
        <v>3.5416666666666666E-2</v>
      </c>
      <c r="D53" s="153">
        <f>D52/(24*60*G4)</f>
        <v>0.12444444444444444</v>
      </c>
      <c r="E53" s="154">
        <f>E52/(G4*24)</f>
        <v>0.12444444444444444</v>
      </c>
      <c r="F53" s="192"/>
    </row>
    <row r="54" spans="1:13">
      <c r="E54" s="200"/>
      <c r="F54" s="192"/>
    </row>
    <row r="55" spans="1:13">
      <c r="E55" s="200"/>
    </row>
    <row r="56" spans="1:13">
      <c r="A56" s="201" t="s">
        <v>100</v>
      </c>
      <c r="B56" s="202"/>
      <c r="C56" s="203"/>
      <c r="D56" s="203"/>
      <c r="E56" s="203"/>
      <c r="F56" s="204"/>
      <c r="G56" s="203"/>
      <c r="H56" s="205"/>
      <c r="I56" s="206" t="s">
        <v>101</v>
      </c>
      <c r="J56" s="207">
        <f>+D34+'14'!J56</f>
        <v>4927</v>
      </c>
      <c r="K56" s="208">
        <f>J56/(J40+J56/1000)/1000</f>
        <v>7.3650537393306122E-3</v>
      </c>
    </row>
    <row r="57" spans="1:13">
      <c r="A57" s="183"/>
      <c r="I57" s="206" t="s">
        <v>102</v>
      </c>
      <c r="J57" s="207">
        <f>+E34+'14'!J57</f>
        <v>0</v>
      </c>
      <c r="K57" s="208">
        <f>J57/(J40+J57/1000)/1000</f>
        <v>0</v>
      </c>
    </row>
    <row r="58" spans="1:13">
      <c r="A58" s="209"/>
      <c r="B58" s="210"/>
      <c r="F58" s="192"/>
      <c r="H58" s="211"/>
      <c r="J58" s="156">
        <v>325</v>
      </c>
    </row>
    <row r="59" spans="1:13">
      <c r="A59" s="212"/>
      <c r="B59" s="183"/>
      <c r="C59" s="183"/>
      <c r="D59" s="183"/>
      <c r="E59" s="183"/>
      <c r="F59" s="196"/>
      <c r="G59" s="183"/>
      <c r="H59" s="211"/>
      <c r="J59" s="162">
        <f>+J56+J58</f>
        <v>5252</v>
      </c>
    </row>
    <row r="60" spans="1:13">
      <c r="H60" s="211"/>
    </row>
    <row r="61" spans="1:13">
      <c r="A61" s="213"/>
      <c r="B61" s="214"/>
      <c r="C61" s="214"/>
      <c r="D61" s="214"/>
      <c r="E61" s="214"/>
      <c r="F61" s="215"/>
      <c r="G61" s="214"/>
      <c r="H61" s="216"/>
    </row>
  </sheetData>
  <mergeCells count="25">
    <mergeCell ref="A39:B39"/>
    <mergeCell ref="L35:M35"/>
    <mergeCell ref="I24:I31"/>
    <mergeCell ref="A24:A32"/>
    <mergeCell ref="I7:I13"/>
    <mergeCell ref="A7:A14"/>
    <mergeCell ref="A34:B34"/>
    <mergeCell ref="A15:A23"/>
    <mergeCell ref="I15:I22"/>
    <mergeCell ref="A47:B47"/>
    <mergeCell ref="A37:B37"/>
    <mergeCell ref="A38:B38"/>
    <mergeCell ref="A53:B53"/>
    <mergeCell ref="A48:B48"/>
    <mergeCell ref="A49:B49"/>
    <mergeCell ref="A50:B50"/>
    <mergeCell ref="A51:B51"/>
    <mergeCell ref="A52:B52"/>
    <mergeCell ref="A44:B44"/>
    <mergeCell ref="A46:B46"/>
    <mergeCell ref="A40:B40"/>
    <mergeCell ref="A41:B41"/>
    <mergeCell ref="A43:B43"/>
    <mergeCell ref="A45:B45"/>
    <mergeCell ref="A42:B4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S61"/>
  <sheetViews>
    <sheetView view="pageBreakPreview" zoomScale="80" zoomScaleNormal="75" zoomScaleSheetLayoutView="80" workbookViewId="0">
      <selection activeCell="C40" sqref="C40"/>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0.28515625" style="156" bestFit="1" customWidth="1"/>
    <col min="11" max="11" width="12.5703125" style="156" bestFit="1" customWidth="1"/>
    <col min="12" max="12" width="8.28515625" style="156" customWidth="1"/>
    <col min="13" max="13" width="12.140625" style="156" customWidth="1"/>
    <col min="14" max="16384" width="9.140625" style="156"/>
  </cols>
  <sheetData>
    <row r="1" spans="1:19" ht="15.75">
      <c r="A1" s="155"/>
    </row>
    <row r="2" spans="1:19" ht="15.75">
      <c r="A2" s="155" t="s">
        <v>183</v>
      </c>
    </row>
    <row r="3" spans="1:19" ht="15">
      <c r="A3" s="157"/>
    </row>
    <row r="4" spans="1:19" ht="20.25">
      <c r="A4" s="158" t="s">
        <v>5</v>
      </c>
      <c r="B4" s="159"/>
      <c r="F4" s="160" t="s">
        <v>30</v>
      </c>
      <c r="G4" s="161">
        <v>14</v>
      </c>
      <c r="H4" s="161" t="str">
        <f>+'1'!H4</f>
        <v>.01.26</v>
      </c>
      <c r="J4" s="156">
        <f>398.6+600.3+625.7</f>
        <v>1624.6</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584</v>
      </c>
      <c r="O6" s="156">
        <v>1160</v>
      </c>
      <c r="P6" s="156">
        <f>+O6-(O6*0.22)</f>
        <v>904.8</v>
      </c>
      <c r="Q6" s="156">
        <v>480</v>
      </c>
      <c r="R6" s="156">
        <f t="shared" ref="R6:R7" si="0">+O6*Q6</f>
        <v>556800</v>
      </c>
      <c r="S6" s="156">
        <f t="shared" ref="S6:S7" si="1">+P6*Q6</f>
        <v>434304</v>
      </c>
    </row>
    <row r="7" spans="1:19" ht="13.5" customHeight="1" thickBot="1">
      <c r="A7" s="800" t="s">
        <v>425</v>
      </c>
      <c r="B7" s="222" t="s">
        <v>604</v>
      </c>
      <c r="C7" s="223">
        <v>15165</v>
      </c>
      <c r="D7" s="224"/>
      <c r="E7" s="225"/>
      <c r="F7" s="235">
        <v>1</v>
      </c>
      <c r="G7" s="236" t="s">
        <v>13</v>
      </c>
      <c r="H7" s="237" t="s">
        <v>619</v>
      </c>
      <c r="I7" s="803" t="s">
        <v>629</v>
      </c>
      <c r="J7" s="221" t="str">
        <f>+'13'!J7</f>
        <v>T 13,5 RC HW</v>
      </c>
      <c r="K7" s="245"/>
      <c r="L7" s="249"/>
      <c r="M7" s="124">
        <f>+K7+'13'!M7+L7</f>
        <v>221342</v>
      </c>
      <c r="O7" s="156">
        <v>1160</v>
      </c>
      <c r="P7" s="156">
        <f>+O7-(O7*0.22)</f>
        <v>904.8</v>
      </c>
      <c r="Q7" s="156">
        <v>480</v>
      </c>
      <c r="R7" s="156">
        <f t="shared" si="0"/>
        <v>556800</v>
      </c>
      <c r="S7" s="156">
        <f t="shared" si="1"/>
        <v>434304</v>
      </c>
    </row>
    <row r="8" spans="1:19" ht="13.5" thickBot="1">
      <c r="A8" s="801"/>
      <c r="B8" s="222"/>
      <c r="C8" s="223"/>
      <c r="D8" s="224"/>
      <c r="E8" s="226"/>
      <c r="F8" s="238">
        <v>3</v>
      </c>
      <c r="G8" s="582" t="s">
        <v>13</v>
      </c>
      <c r="H8" s="237" t="s">
        <v>414</v>
      </c>
      <c r="I8" s="804"/>
      <c r="J8" s="221" t="str">
        <f>+'13'!J8</f>
        <v>T 14,5 RC HW</v>
      </c>
      <c r="K8" s="246"/>
      <c r="L8" s="246"/>
      <c r="M8" s="124">
        <f>+K8+'13'!M8+L8</f>
        <v>57466</v>
      </c>
      <c r="O8" s="156">
        <v>1170</v>
      </c>
      <c r="P8" s="156">
        <f>+O8-(O8*0.22)</f>
        <v>912.6</v>
      </c>
      <c r="Q8" s="156">
        <v>480</v>
      </c>
      <c r="R8" s="156">
        <f t="shared" ref="R8" si="2">+O8*Q8</f>
        <v>561600</v>
      </c>
      <c r="S8" s="156">
        <f t="shared" ref="S8" si="3">+P8*Q8</f>
        <v>438048</v>
      </c>
    </row>
    <row r="9" spans="1:19" ht="13.5" thickBot="1">
      <c r="A9" s="801"/>
      <c r="B9" s="222"/>
      <c r="C9" s="223"/>
      <c r="D9" s="224"/>
      <c r="E9" s="227"/>
      <c r="F9" s="235">
        <v>4</v>
      </c>
      <c r="G9" s="582" t="s">
        <v>13</v>
      </c>
      <c r="H9" s="240" t="s">
        <v>523</v>
      </c>
      <c r="I9" s="804"/>
      <c r="J9" s="221" t="str">
        <f>+'13'!J9</f>
        <v>TW 17 RC HW</v>
      </c>
      <c r="K9" s="246"/>
      <c r="L9" s="246"/>
      <c r="M9" s="124">
        <f>+K9+'13'!M9+L9</f>
        <v>24830</v>
      </c>
    </row>
    <row r="10" spans="1:19" ht="26.25" thickBot="1">
      <c r="A10" s="801"/>
      <c r="B10" s="222"/>
      <c r="C10" s="223"/>
      <c r="D10" s="224"/>
      <c r="E10" s="226"/>
      <c r="F10" s="235">
        <v>8</v>
      </c>
      <c r="G10" s="244" t="s">
        <v>14</v>
      </c>
      <c r="H10" s="240" t="s">
        <v>637</v>
      </c>
      <c r="I10" s="804"/>
      <c r="J10" s="221" t="str">
        <f>+'13'!J10</f>
        <v>TW 22 RC HW</v>
      </c>
      <c r="K10" s="246"/>
      <c r="L10" s="246"/>
      <c r="M10" s="124">
        <f>+K10+'13'!M10+L10</f>
        <v>24459</v>
      </c>
    </row>
    <row r="11" spans="1:19" ht="13.5" thickBot="1">
      <c r="A11" s="801"/>
      <c r="B11" s="222"/>
      <c r="C11" s="223"/>
      <c r="D11" s="224"/>
      <c r="E11" s="226"/>
      <c r="F11" s="235"/>
      <c r="G11" s="239"/>
      <c r="H11" s="240"/>
      <c r="I11" s="804"/>
      <c r="J11" s="221" t="str">
        <f>+'13'!J11</f>
        <v>TW 14 RC HW</v>
      </c>
      <c r="K11" s="246"/>
      <c r="L11" s="246"/>
      <c r="M11" s="124">
        <f>+K11+'13'!M11+L11</f>
        <v>8043</v>
      </c>
    </row>
    <row r="12" spans="1:19" ht="13.5" thickBot="1">
      <c r="A12" s="801"/>
      <c r="B12" s="222"/>
      <c r="C12" s="223"/>
      <c r="D12" s="224"/>
      <c r="E12" s="226"/>
      <c r="F12" s="235"/>
      <c r="G12" s="239"/>
      <c r="H12" s="240"/>
      <c r="I12" s="804"/>
      <c r="J12" s="221" t="str">
        <f>+'13'!J12</f>
        <v>TW 29 RC HW</v>
      </c>
      <c r="K12" s="246"/>
      <c r="L12" s="246"/>
      <c r="M12" s="124">
        <f>+K12+'13'!M12+L12</f>
        <v>21439</v>
      </c>
    </row>
    <row r="13" spans="1:19" ht="13.5" thickBot="1">
      <c r="A13" s="801"/>
      <c r="B13" s="222"/>
      <c r="C13" s="223"/>
      <c r="D13" s="223"/>
      <c r="E13" s="226"/>
      <c r="F13" s="235"/>
      <c r="G13" s="239"/>
      <c r="H13" s="240"/>
      <c r="I13" s="805"/>
      <c r="J13" s="221" t="str">
        <f>+'13'!J13</f>
        <v>TW 35,5 RC HW</v>
      </c>
      <c r="K13" s="246"/>
      <c r="L13" s="246"/>
      <c r="M13" s="124">
        <f>+K13+'13'!M13+L13</f>
        <v>2193</v>
      </c>
    </row>
    <row r="14" spans="1:19" ht="13.5" thickBot="1">
      <c r="A14" s="802"/>
      <c r="B14" s="172" t="s">
        <v>3</v>
      </c>
      <c r="C14" s="106">
        <f>SUM(C7:C13)</f>
        <v>15165</v>
      </c>
      <c r="D14" s="118">
        <f>SUM(D7:D13)</f>
        <v>0</v>
      </c>
      <c r="E14" s="119">
        <f>SUM(E5:E13)</f>
        <v>0</v>
      </c>
      <c r="F14" s="109">
        <f>SUM(F6:F13)</f>
        <v>16</v>
      </c>
      <c r="G14" s="166"/>
      <c r="H14" s="173"/>
      <c r="I14" s="174"/>
      <c r="J14" s="221" t="str">
        <f>+'13'!J14</f>
        <v>N 15,5 RC HW</v>
      </c>
      <c r="K14" s="246"/>
      <c r="L14" s="246"/>
      <c r="M14" s="124">
        <f>+K14+'13'!M14+L14</f>
        <v>46927</v>
      </c>
    </row>
    <row r="15" spans="1:19" ht="13.5" customHeight="1" thickBot="1">
      <c r="A15" s="800" t="s">
        <v>440</v>
      </c>
      <c r="B15" s="172"/>
      <c r="C15" s="120">
        <f>C14/($C$23+$D$23+$E$23)</f>
        <v>0.82342401042515068</v>
      </c>
      <c r="D15" s="121">
        <f>D14/($C$23+$D$23+$E$23)</f>
        <v>0</v>
      </c>
      <c r="E15" s="122">
        <f>E14/($C$23+$D$23+$E$23)</f>
        <v>0</v>
      </c>
      <c r="F15" s="235"/>
      <c r="G15" s="236" t="s">
        <v>13</v>
      </c>
      <c r="H15" s="237" t="s">
        <v>386</v>
      </c>
      <c r="I15" s="803" t="s">
        <v>629</v>
      </c>
      <c r="J15" s="221" t="str">
        <f>+'13'!J15</f>
        <v>F 14 RC HW</v>
      </c>
      <c r="K15" s="246"/>
      <c r="L15" s="246"/>
      <c r="M15" s="124">
        <f>+K15+'13'!M15+L15</f>
        <v>4620</v>
      </c>
    </row>
    <row r="16" spans="1:19" ht="13.5" thickBot="1">
      <c r="A16" s="811"/>
      <c r="B16" s="222" t="s">
        <v>604</v>
      </c>
      <c r="C16" s="229">
        <v>18417</v>
      </c>
      <c r="D16" s="230"/>
      <c r="E16" s="231"/>
      <c r="F16" s="238">
        <v>6</v>
      </c>
      <c r="G16" s="582" t="s">
        <v>13</v>
      </c>
      <c r="H16" s="237" t="s">
        <v>414</v>
      </c>
      <c r="I16" s="804"/>
      <c r="J16" s="221" t="str">
        <f>+'13'!J16</f>
        <v>T 15 RC HW</v>
      </c>
      <c r="K16" s="246">
        <f>+C34</f>
        <v>50981</v>
      </c>
      <c r="L16" s="236"/>
      <c r="M16" s="124">
        <f>+K16+'13'!M16+L16</f>
        <v>146230</v>
      </c>
      <c r="Q16" s="183">
        <f>SUM(Q6:Q14)</f>
        <v>1440</v>
      </c>
      <c r="R16" s="183">
        <f>SUM(R6:R14)</f>
        <v>1675200</v>
      </c>
      <c r="S16" s="183">
        <f>SUM(S6:S14)</f>
        <v>1306656</v>
      </c>
    </row>
    <row r="17" spans="1:19" ht="13.5" thickBot="1">
      <c r="A17" s="811"/>
      <c r="B17" s="222"/>
      <c r="C17" s="223"/>
      <c r="D17" s="224"/>
      <c r="E17" s="232"/>
      <c r="F17" s="235">
        <v>10</v>
      </c>
      <c r="G17" s="582" t="s">
        <v>13</v>
      </c>
      <c r="H17" s="240" t="s">
        <v>395</v>
      </c>
      <c r="I17" s="804"/>
      <c r="J17" s="221" t="str">
        <f>+'13'!J17</f>
        <v>T 14 RC HW</v>
      </c>
      <c r="K17" s="246"/>
      <c r="L17" s="236"/>
      <c r="M17" s="124">
        <f>+K17+'13'!M17+L17</f>
        <v>52832</v>
      </c>
      <c r="Q17" s="156">
        <f>480-Q16</f>
        <v>-960</v>
      </c>
      <c r="R17" s="183">
        <f>+R16/Q16</f>
        <v>1163.3333333333333</v>
      </c>
      <c r="S17" s="183">
        <f>+S16/Q16</f>
        <v>907.4</v>
      </c>
    </row>
    <row r="18" spans="1:19" ht="26.25" thickBot="1">
      <c r="A18" s="811"/>
      <c r="B18" s="222"/>
      <c r="C18" s="223"/>
      <c r="D18" s="224"/>
      <c r="E18" s="232"/>
      <c r="F18" s="235"/>
      <c r="G18" s="244" t="s">
        <v>14</v>
      </c>
      <c r="H18" s="240" t="s">
        <v>636</v>
      </c>
      <c r="I18" s="804"/>
      <c r="J18" s="221">
        <f>+'13'!J18</f>
        <v>0</v>
      </c>
      <c r="K18" s="246"/>
      <c r="L18" s="246"/>
      <c r="M18" s="124">
        <f>+K18+'13'!M18+L18</f>
        <v>0</v>
      </c>
    </row>
    <row r="19" spans="1:19" ht="13.5" thickBot="1">
      <c r="A19" s="811"/>
      <c r="B19" s="222"/>
      <c r="C19" s="223"/>
      <c r="D19" s="224"/>
      <c r="E19" s="232"/>
      <c r="F19" s="242"/>
      <c r="G19" s="239"/>
      <c r="H19" s="240"/>
      <c r="I19" s="804"/>
      <c r="J19" s="221">
        <f>+'13'!J19</f>
        <v>0</v>
      </c>
      <c r="K19" s="246"/>
      <c r="L19" s="246"/>
      <c r="M19" s="124">
        <f>+K19+'13'!M19+L19</f>
        <v>0</v>
      </c>
    </row>
    <row r="20" spans="1:19" ht="13.5" thickBot="1">
      <c r="A20" s="811"/>
      <c r="B20" s="222"/>
      <c r="C20" s="223"/>
      <c r="D20" s="224"/>
      <c r="E20" s="232"/>
      <c r="F20" s="235"/>
      <c r="G20" s="239"/>
      <c r="H20" s="240"/>
      <c r="I20" s="804"/>
      <c r="J20" s="221">
        <f>+'13'!J20</f>
        <v>0</v>
      </c>
      <c r="K20" s="246"/>
      <c r="L20" s="247"/>
      <c r="M20" s="124">
        <f>+K20+'13'!M20+L20</f>
        <v>0</v>
      </c>
    </row>
    <row r="21" spans="1:19" ht="13.5" thickBot="1">
      <c r="A21" s="811"/>
      <c r="B21" s="222"/>
      <c r="C21" s="223"/>
      <c r="D21" s="224"/>
      <c r="E21" s="232"/>
      <c r="F21" s="238"/>
      <c r="G21" s="239"/>
      <c r="H21" s="240"/>
      <c r="I21" s="804"/>
      <c r="J21" s="221">
        <f>+'13'!J21</f>
        <v>0</v>
      </c>
      <c r="K21" s="246"/>
      <c r="L21" s="246"/>
      <c r="M21" s="124">
        <f>+K21+'13'!M21+L21</f>
        <v>0</v>
      </c>
    </row>
    <row r="22" spans="1:19" ht="13.5" thickBot="1">
      <c r="A22" s="811"/>
      <c r="B22" s="222"/>
      <c r="C22" s="223"/>
      <c r="D22" s="224"/>
      <c r="E22" s="232"/>
      <c r="F22" s="243"/>
      <c r="G22" s="239"/>
      <c r="H22" s="240"/>
      <c r="I22" s="805"/>
      <c r="J22" s="221">
        <f>+'13'!J22</f>
        <v>0</v>
      </c>
      <c r="K22" s="246"/>
      <c r="L22" s="246"/>
      <c r="M22" s="124">
        <f>+K22+'13'!M22+L22</f>
        <v>0</v>
      </c>
    </row>
    <row r="23" spans="1:19" ht="13.5" thickBot="1">
      <c r="A23" s="812"/>
      <c r="B23" s="172" t="s">
        <v>3</v>
      </c>
      <c r="C23" s="107">
        <f>SUM(C16:C22)</f>
        <v>18417</v>
      </c>
      <c r="D23" s="118">
        <f>SUM(D16:D22)</f>
        <v>0</v>
      </c>
      <c r="E23" s="119">
        <f>SUM(E18:E22)</f>
        <v>0</v>
      </c>
      <c r="F23" s="109">
        <f>SUM(F15:F22)</f>
        <v>16</v>
      </c>
      <c r="G23" s="166"/>
      <c r="H23" s="173"/>
      <c r="I23" s="176"/>
      <c r="J23" s="221">
        <f>+'13'!J23</f>
        <v>0</v>
      </c>
      <c r="K23" s="246"/>
      <c r="L23" s="246"/>
      <c r="M23" s="124">
        <f>+K23+'13'!M23+L23</f>
        <v>0</v>
      </c>
    </row>
    <row r="24" spans="1:19" ht="13.5" customHeight="1" thickBot="1">
      <c r="A24" s="800" t="s">
        <v>424</v>
      </c>
      <c r="B24" s="177"/>
      <c r="C24" s="120">
        <f>C23/($C$23+$D$23+$E$23)</f>
        <v>1</v>
      </c>
      <c r="D24" s="121">
        <f>D23/($C$23+$D$23+$E$23)</f>
        <v>0</v>
      </c>
      <c r="E24" s="122">
        <f>E23/($C$23+$D$23+$E$23)</f>
        <v>0</v>
      </c>
      <c r="F24" s="235"/>
      <c r="G24" s="236" t="s">
        <v>13</v>
      </c>
      <c r="H24" s="237" t="s">
        <v>386</v>
      </c>
      <c r="I24" s="803" t="s">
        <v>638</v>
      </c>
      <c r="J24" s="221">
        <f>+'13'!J24</f>
        <v>0</v>
      </c>
      <c r="K24" s="246"/>
      <c r="L24" s="246"/>
      <c r="M24" s="124">
        <f>+K24+'13'!M24+L24</f>
        <v>0</v>
      </c>
    </row>
    <row r="25" spans="1:19" ht="13.5" thickBot="1">
      <c r="A25" s="811"/>
      <c r="B25" s="222" t="s">
        <v>604</v>
      </c>
      <c r="C25" s="233">
        <v>17399</v>
      </c>
      <c r="D25" s="224"/>
      <c r="E25" s="232"/>
      <c r="F25" s="238">
        <v>4</v>
      </c>
      <c r="G25" s="582" t="s">
        <v>13</v>
      </c>
      <c r="H25" s="237" t="s">
        <v>415</v>
      </c>
      <c r="I25" s="804"/>
      <c r="J25" s="221">
        <f>+'13'!J25</f>
        <v>0</v>
      </c>
      <c r="K25" s="246"/>
      <c r="L25" s="246"/>
      <c r="M25" s="124">
        <f>+K25+'13'!M25+L25</f>
        <v>0</v>
      </c>
    </row>
    <row r="26" spans="1:19" ht="13.5" thickBot="1">
      <c r="A26" s="811"/>
      <c r="B26" s="222"/>
      <c r="C26" s="233"/>
      <c r="D26" s="224"/>
      <c r="E26" s="234"/>
      <c r="F26" s="235">
        <v>5</v>
      </c>
      <c r="G26" s="582" t="s">
        <v>13</v>
      </c>
      <c r="H26" s="240" t="s">
        <v>413</v>
      </c>
      <c r="I26" s="804"/>
      <c r="J26" s="221">
        <f>+'13'!J26</f>
        <v>0</v>
      </c>
      <c r="K26" s="246"/>
      <c r="L26" s="246"/>
      <c r="M26" s="124">
        <f>+K26+'13'!M26+L26</f>
        <v>0</v>
      </c>
    </row>
    <row r="27" spans="1:19" ht="26.25" thickBot="1">
      <c r="A27" s="811"/>
      <c r="B27" s="222"/>
      <c r="C27" s="223"/>
      <c r="D27" s="224"/>
      <c r="E27" s="232"/>
      <c r="F27" s="235">
        <v>8</v>
      </c>
      <c r="G27" s="244" t="s">
        <v>14</v>
      </c>
      <c r="H27" s="240" t="s">
        <v>635</v>
      </c>
      <c r="I27" s="804"/>
      <c r="J27" s="221">
        <f>+'13'!J27</f>
        <v>0</v>
      </c>
      <c r="K27" s="246"/>
      <c r="L27" s="246"/>
      <c r="M27" s="124">
        <f>+K27+'13'!M27+L27</f>
        <v>0</v>
      </c>
    </row>
    <row r="28" spans="1:19" ht="13.5" thickBot="1">
      <c r="A28" s="811"/>
      <c r="B28" s="222"/>
      <c r="C28" s="223"/>
      <c r="D28" s="224"/>
      <c r="E28" s="232"/>
      <c r="F28" s="238"/>
      <c r="G28" s="239"/>
      <c r="H28" s="240"/>
      <c r="I28" s="804"/>
      <c r="J28" s="221">
        <f>+'13'!J28</f>
        <v>0</v>
      </c>
      <c r="K28" s="246"/>
      <c r="L28" s="246"/>
      <c r="M28" s="124">
        <f>+K28+'13'!M28+L28</f>
        <v>0</v>
      </c>
    </row>
    <row r="29" spans="1:19" ht="13.5" thickBot="1">
      <c r="A29" s="811"/>
      <c r="B29" s="222"/>
      <c r="C29" s="223"/>
      <c r="D29" s="224"/>
      <c r="E29" s="232"/>
      <c r="F29" s="243"/>
      <c r="G29" s="239"/>
      <c r="H29" s="240"/>
      <c r="I29" s="804"/>
      <c r="J29" s="221">
        <f>+'13'!J29</f>
        <v>0</v>
      </c>
      <c r="K29" s="246"/>
      <c r="L29" s="246"/>
      <c r="M29" s="124">
        <f>+K29+'13'!M29+L29</f>
        <v>0</v>
      </c>
    </row>
    <row r="30" spans="1:19" ht="13.5" thickBot="1">
      <c r="A30" s="811"/>
      <c r="B30" s="222"/>
      <c r="C30" s="233"/>
      <c r="D30" s="224"/>
      <c r="E30" s="232"/>
      <c r="F30" s="243"/>
      <c r="G30" s="239"/>
      <c r="H30" s="240"/>
      <c r="I30" s="804"/>
      <c r="J30" s="221">
        <f>+'13'!J30</f>
        <v>0</v>
      </c>
      <c r="K30" s="246"/>
      <c r="L30" s="246"/>
      <c r="M30" s="124">
        <f>+K30+'13'!M30+L30</f>
        <v>0</v>
      </c>
    </row>
    <row r="31" spans="1:19" ht="13.5" thickBot="1">
      <c r="A31" s="811"/>
      <c r="B31" s="222"/>
      <c r="C31" s="233"/>
      <c r="D31" s="224"/>
      <c r="E31" s="232"/>
      <c r="F31" s="243"/>
      <c r="G31" s="244"/>
      <c r="H31" s="241"/>
      <c r="I31" s="805"/>
      <c r="J31" s="221">
        <f>+'13'!J31</f>
        <v>0</v>
      </c>
      <c r="K31" s="246"/>
      <c r="L31" s="246"/>
      <c r="M31" s="124">
        <f>+K31+'13'!M31+L31</f>
        <v>0</v>
      </c>
    </row>
    <row r="32" spans="1:19" ht="13.5" thickBot="1">
      <c r="A32" s="812"/>
      <c r="B32" s="172" t="s">
        <v>3</v>
      </c>
      <c r="C32" s="106">
        <f>SUM(C25:C31)</f>
        <v>17399</v>
      </c>
      <c r="D32" s="107">
        <f>SUM(D25:D31)</f>
        <v>0</v>
      </c>
      <c r="E32" s="108">
        <f>SUM(E25:E31)</f>
        <v>0</v>
      </c>
      <c r="F32" s="109">
        <f>SUM(F24:F31)</f>
        <v>17</v>
      </c>
      <c r="G32" s="178"/>
      <c r="H32" s="179"/>
      <c r="I32" s="176"/>
      <c r="J32" s="221">
        <f>+'13'!J32</f>
        <v>0</v>
      </c>
      <c r="K32" s="248"/>
      <c r="L32" s="250"/>
      <c r="M32" s="124">
        <f>+K32+'13'!M32+L32</f>
        <v>0</v>
      </c>
      <c r="N32" s="162"/>
    </row>
    <row r="33" spans="1:14" ht="13.5" thickBot="1">
      <c r="A33" s="180"/>
      <c r="B33" s="181"/>
      <c r="C33" s="110">
        <f>C32/($C$32+$D$32+$E$32)</f>
        <v>1</v>
      </c>
      <c r="D33" s="111">
        <f>D32/($C$32+$D$32+$E$32)</f>
        <v>0</v>
      </c>
      <c r="E33" s="112">
        <f>E32/($C$32+$D$32+$E$32)</f>
        <v>0</v>
      </c>
      <c r="F33" s="113"/>
      <c r="G33" s="182"/>
      <c r="H33" s="183"/>
      <c r="I33" s="184"/>
      <c r="J33" s="128"/>
      <c r="K33" s="129"/>
      <c r="L33" s="220"/>
      <c r="M33" s="126"/>
    </row>
    <row r="34" spans="1:14" ht="13.5" thickBot="1">
      <c r="A34" s="808" t="s">
        <v>70</v>
      </c>
      <c r="B34" s="809"/>
      <c r="C34" s="114">
        <f>C14+C23+C32</f>
        <v>50981</v>
      </c>
      <c r="D34" s="114">
        <f>D14+D23+D32</f>
        <v>0</v>
      </c>
      <c r="E34" s="114">
        <f>E14+E23+E32</f>
        <v>0</v>
      </c>
      <c r="F34" s="115">
        <f>F14+F23+F32</f>
        <v>49</v>
      </c>
      <c r="H34" s="185"/>
      <c r="I34" s="185"/>
      <c r="J34" s="130" t="s">
        <v>29</v>
      </c>
      <c r="K34" s="131">
        <f>SUM(K7:K32)</f>
        <v>50981</v>
      </c>
      <c r="L34" s="219">
        <f>SUM(L7:L32)</f>
        <v>0</v>
      </c>
      <c r="M34" s="127">
        <f>SUM(M7:M32)</f>
        <v>610381</v>
      </c>
    </row>
    <row r="35" spans="1:14" ht="13.5" thickBot="1">
      <c r="A35" s="186"/>
      <c r="B35" s="187"/>
      <c r="C35" s="111">
        <f>C34/($C$34+$D$34+$E$34)</f>
        <v>1</v>
      </c>
      <c r="D35" s="111">
        <f>D34/($C$34+$D$34+$E$34)</f>
        <v>0</v>
      </c>
      <c r="E35" s="116">
        <f>E34/($C$34+$D$34+$E$34)</f>
        <v>0</v>
      </c>
      <c r="K35" s="162"/>
      <c r="L35" s="799" t="s">
        <v>184</v>
      </c>
      <c r="M35" s="799"/>
    </row>
    <row r="36" spans="1:14" ht="13.5" thickBot="1">
      <c r="A36" s="185"/>
      <c r="B36" s="185"/>
      <c r="C36" s="162"/>
      <c r="D36" s="162"/>
      <c r="E36" s="162"/>
      <c r="G36" s="162"/>
      <c r="H36" s="188"/>
      <c r="I36" s="169" t="s">
        <v>41</v>
      </c>
      <c r="J36" s="169" t="s">
        <v>42</v>
      </c>
      <c r="K36" s="189"/>
      <c r="L36" s="169" t="s">
        <v>41</v>
      </c>
      <c r="M36" s="169" t="s">
        <v>42</v>
      </c>
      <c r="N36" s="162"/>
    </row>
    <row r="37" spans="1:14" ht="17.45" customHeight="1" thickBot="1">
      <c r="A37" s="797" t="s">
        <v>71</v>
      </c>
      <c r="B37" s="798"/>
      <c r="C37" s="169" t="s">
        <v>72</v>
      </c>
      <c r="D37" s="190" t="s">
        <v>73</v>
      </c>
      <c r="E37" s="191" t="s">
        <v>74</v>
      </c>
      <c r="F37" s="368"/>
      <c r="G37" s="370"/>
      <c r="H37" s="193" t="s">
        <v>75</v>
      </c>
      <c r="I37" s="251">
        <f>(15*1440)/1440*G42*2.75*1440/1000000</f>
        <v>53.899560000000001</v>
      </c>
      <c r="J37" s="132">
        <f>+I37+'13'!J37</f>
        <v>676.80806652439071</v>
      </c>
      <c r="K37" s="133" t="s">
        <v>76</v>
      </c>
      <c r="L37" s="429"/>
      <c r="M37" s="430"/>
      <c r="N37" s="557"/>
    </row>
    <row r="38" spans="1:14" ht="17.45" customHeight="1">
      <c r="A38" s="793" t="s">
        <v>13</v>
      </c>
      <c r="B38" s="794"/>
      <c r="C38" s="171">
        <f>SUMIF($G$7:$G$31,"Process",$F$7:$F$31)</f>
        <v>33</v>
      </c>
      <c r="D38" s="125">
        <f>+C38+'13'!D38</f>
        <v>806</v>
      </c>
      <c r="E38" s="150">
        <f t="shared" ref="E38:E51" si="4">D38/60</f>
        <v>13.433333333333334</v>
      </c>
      <c r="F38" s="368">
        <v>1160</v>
      </c>
      <c r="G38" s="368">
        <v>904.8</v>
      </c>
      <c r="H38" s="194" t="s">
        <v>77</v>
      </c>
      <c r="I38" s="551">
        <f>18.084+18.495+17.615</f>
        <v>54.194000000000003</v>
      </c>
      <c r="J38" s="134">
        <f>+I38+'13'!J38</f>
        <v>633.21599999999989</v>
      </c>
      <c r="K38" s="135" t="s">
        <v>76</v>
      </c>
      <c r="L38" s="431"/>
      <c r="M38" s="432"/>
      <c r="N38" s="557"/>
    </row>
    <row r="39" spans="1:14" ht="17.45" customHeight="1">
      <c r="A39" s="789" t="s">
        <v>14</v>
      </c>
      <c r="B39" s="790"/>
      <c r="C39" s="171">
        <f>SUMIF($G$7:$G$31,"Cleaning",$F$7:$F$31)</f>
        <v>16</v>
      </c>
      <c r="D39" s="125">
        <f>+C39+'13'!D39</f>
        <v>105</v>
      </c>
      <c r="E39" s="150">
        <f t="shared" si="4"/>
        <v>1.75</v>
      </c>
      <c r="F39" s="368">
        <v>1160</v>
      </c>
      <c r="G39" s="368">
        <v>904.8</v>
      </c>
      <c r="H39" s="194" t="s">
        <v>78</v>
      </c>
      <c r="I39" s="149"/>
      <c r="J39" s="136">
        <f>J37/G4</f>
        <v>48.343433323170764</v>
      </c>
      <c r="K39" s="137" t="s">
        <v>76</v>
      </c>
      <c r="L39" s="431"/>
      <c r="M39" s="432"/>
    </row>
    <row r="40" spans="1:14" ht="17.45" customHeight="1">
      <c r="A40" s="789" t="s">
        <v>79</v>
      </c>
      <c r="B40" s="790"/>
      <c r="C40" s="171">
        <f>SUMIF($G$7:$G$31,"Mechanical",$F$7:$F$31)</f>
        <v>0</v>
      </c>
      <c r="D40" s="125">
        <f>+C40+'13'!D40</f>
        <v>22</v>
      </c>
      <c r="E40" s="150">
        <f t="shared" si="4"/>
        <v>0.36666666666666664</v>
      </c>
      <c r="F40" s="368">
        <v>1170</v>
      </c>
      <c r="G40" s="368">
        <v>912.6</v>
      </c>
      <c r="H40" s="194" t="s">
        <v>80</v>
      </c>
      <c r="I40" s="125">
        <f>(K34+L34)/1000</f>
        <v>50.981000000000002</v>
      </c>
      <c r="J40" s="138">
        <f>+I40+'13'!J40</f>
        <v>610.38099999999997</v>
      </c>
      <c r="K40" s="137" t="s">
        <v>76</v>
      </c>
      <c r="L40" s="431"/>
      <c r="M40" s="432"/>
    </row>
    <row r="41" spans="1:14" ht="17.45" customHeight="1">
      <c r="A41" s="789" t="s">
        <v>81</v>
      </c>
      <c r="B41" s="790"/>
      <c r="C41" s="171">
        <f>SUMIF($G$7:$G$31,"Electrical",$F$7:$F$31)</f>
        <v>0</v>
      </c>
      <c r="D41" s="125">
        <f>+C41+'13'!D41</f>
        <v>422</v>
      </c>
      <c r="E41" s="150">
        <f t="shared" si="4"/>
        <v>7.0333333333333332</v>
      </c>
      <c r="F41" s="368"/>
      <c r="G41" s="368"/>
      <c r="H41" s="194" t="s">
        <v>82</v>
      </c>
      <c r="I41" s="149"/>
      <c r="J41" s="136">
        <f>J40/G4</f>
        <v>43.598642857142856</v>
      </c>
      <c r="K41" s="137" t="s">
        <v>76</v>
      </c>
      <c r="L41" s="431"/>
      <c r="M41" s="432"/>
    </row>
    <row r="42" spans="1:14" ht="17.45" customHeight="1">
      <c r="A42" s="789" t="s">
        <v>17</v>
      </c>
      <c r="B42" s="790"/>
      <c r="C42" s="171">
        <f>SUMIF($G$7:$G$31,"Instrument",$F$7:$F$31)</f>
        <v>0</v>
      </c>
      <c r="D42" s="125">
        <f>+C42+'13'!D42</f>
        <v>0</v>
      </c>
      <c r="E42" s="150">
        <f t="shared" si="4"/>
        <v>0</v>
      </c>
      <c r="F42" s="368">
        <f>+(F38*480+F39*480+F40*480)/1440</f>
        <v>1163.3333333333333</v>
      </c>
      <c r="G42" s="368">
        <f>+(G38*480+G39*480+G40*480)/1440</f>
        <v>907.4</v>
      </c>
      <c r="H42" s="194" t="s">
        <v>83</v>
      </c>
      <c r="I42" s="253" t="s">
        <v>639</v>
      </c>
      <c r="J42" s="139"/>
      <c r="K42" s="137" t="s">
        <v>84</v>
      </c>
      <c r="L42" s="431"/>
      <c r="M42" s="432"/>
    </row>
    <row r="43" spans="1:14" ht="17.45" customHeight="1">
      <c r="A43" s="789" t="s">
        <v>199</v>
      </c>
      <c r="B43" s="790"/>
      <c r="C43" s="171">
        <f>SUMIF($G$7:$G$31,"Change GRade",$F$7:$F$31)</f>
        <v>0</v>
      </c>
      <c r="D43" s="125">
        <f>+C43+'13'!D43</f>
        <v>0</v>
      </c>
      <c r="E43" s="150">
        <f t="shared" si="4"/>
        <v>0</v>
      </c>
      <c r="F43" s="368"/>
      <c r="G43" s="369"/>
      <c r="H43" s="195" t="s">
        <v>86</v>
      </c>
      <c r="I43" s="125">
        <f>+Report1!AH22</f>
        <v>67.7</v>
      </c>
      <c r="J43" s="140">
        <f>+I43+'13'!J43</f>
        <v>869.6</v>
      </c>
      <c r="K43" s="137" t="s">
        <v>76</v>
      </c>
      <c r="L43" s="433">
        <f>+Report1!AN22</f>
        <v>0</v>
      </c>
      <c r="M43" s="434">
        <f>+L43+'13'!M43</f>
        <v>9</v>
      </c>
    </row>
    <row r="44" spans="1:14" ht="17.45" customHeight="1">
      <c r="A44" s="789" t="s">
        <v>18</v>
      </c>
      <c r="B44" s="790"/>
      <c r="C44" s="171">
        <f>SUMIF($G$7:$G$31,"PLN",$F$7:$F$31)</f>
        <v>0</v>
      </c>
      <c r="D44" s="125">
        <f>+C44+'13'!D44</f>
        <v>0</v>
      </c>
      <c r="E44" s="150">
        <f t="shared" si="4"/>
        <v>0</v>
      </c>
      <c r="F44" s="368"/>
      <c r="G44" s="369"/>
      <c r="H44" s="195" t="s">
        <v>87</v>
      </c>
      <c r="I44" s="125">
        <f>I43/I38</f>
        <v>1.2492157803446875</v>
      </c>
      <c r="J44" s="141">
        <f>J43/J38</f>
        <v>1.3733070547806754</v>
      </c>
      <c r="K44" s="137" t="s">
        <v>76</v>
      </c>
      <c r="L44" s="435">
        <f>+L43/I38</f>
        <v>0</v>
      </c>
      <c r="M44" s="436">
        <f>+M43/J38</f>
        <v>1.4213159490600365E-2</v>
      </c>
    </row>
    <row r="45" spans="1:14" ht="17.45" customHeight="1">
      <c r="A45" s="789" t="s">
        <v>19</v>
      </c>
      <c r="B45" s="790"/>
      <c r="C45" s="171">
        <f>SUMIF($G$7:$G$31,"Boiler",$F$7:$F$31)</f>
        <v>0</v>
      </c>
      <c r="D45" s="125">
        <f>+C45+'13'!D45</f>
        <v>0</v>
      </c>
      <c r="E45" s="150">
        <f t="shared" si="4"/>
        <v>0</v>
      </c>
      <c r="F45" s="368"/>
      <c r="G45" s="371"/>
      <c r="H45" s="195" t="s">
        <v>88</v>
      </c>
      <c r="I45" s="125">
        <f>I43/I40</f>
        <v>1.327945705262745</v>
      </c>
      <c r="J45" s="141">
        <f>J43/J40</f>
        <v>1.424683926924331</v>
      </c>
      <c r="K45" s="137" t="s">
        <v>76</v>
      </c>
      <c r="L45" s="435">
        <f>+L43/I40</f>
        <v>0</v>
      </c>
      <c r="M45" s="436">
        <f>+M43/J40</f>
        <v>1.47448888481129E-2</v>
      </c>
    </row>
    <row r="46" spans="1:14" ht="17.45" customHeight="1">
      <c r="A46" s="789" t="s">
        <v>89</v>
      </c>
      <c r="B46" s="790"/>
      <c r="C46" s="171">
        <f>SUMIF($G$7:$G$31,"Gas",$F$7:$F$31)</f>
        <v>0</v>
      </c>
      <c r="D46" s="125">
        <f>+C46+'13'!D46</f>
        <v>408</v>
      </c>
      <c r="E46" s="150">
        <f t="shared" si="4"/>
        <v>6.8</v>
      </c>
      <c r="F46" s="368"/>
      <c r="G46" s="369"/>
      <c r="H46" s="195" t="s">
        <v>90</v>
      </c>
      <c r="I46" s="147">
        <f>+SUMIF(Listrik!P21,"&gt;0")</f>
        <v>42590.379999999903</v>
      </c>
      <c r="J46" s="142">
        <f>+I46+'13'!J46</f>
        <v>550105.65999999992</v>
      </c>
      <c r="K46" s="137" t="s">
        <v>91</v>
      </c>
      <c r="L46" s="435">
        <f>+Listrik!AF21</f>
        <v>0</v>
      </c>
      <c r="M46" s="437">
        <f>+L46+'13'!M46</f>
        <v>0</v>
      </c>
    </row>
    <row r="47" spans="1:14" ht="17.45" customHeight="1">
      <c r="A47" s="789" t="s">
        <v>92</v>
      </c>
      <c r="B47" s="790"/>
      <c r="C47" s="171">
        <f>SUMIF($G$7:$G$31,"Gas",$F$7:$F$31)</f>
        <v>0</v>
      </c>
      <c r="D47" s="125">
        <f>+C47+'13'!D47</f>
        <v>0</v>
      </c>
      <c r="E47" s="150">
        <f t="shared" si="4"/>
        <v>0</v>
      </c>
      <c r="F47" s="368"/>
      <c r="G47" s="369"/>
      <c r="H47" s="195" t="s">
        <v>93</v>
      </c>
      <c r="I47" s="125">
        <f>I46/I38</f>
        <v>785.88736760526808</v>
      </c>
      <c r="J47" s="142">
        <f>J46/J38</f>
        <v>868.74883136244193</v>
      </c>
      <c r="K47" s="137" t="s">
        <v>25</v>
      </c>
      <c r="L47" s="435">
        <f>+L46/I38</f>
        <v>0</v>
      </c>
      <c r="M47" s="436">
        <f>+M46/J38</f>
        <v>0</v>
      </c>
    </row>
    <row r="48" spans="1:14" ht="17.45" customHeight="1">
      <c r="A48" s="789" t="s">
        <v>15</v>
      </c>
      <c r="B48" s="790"/>
      <c r="C48" s="171">
        <f>SUMIF($G$7:$G$31,"Start Up",$F$7:$F$31)</f>
        <v>0</v>
      </c>
      <c r="D48" s="125">
        <f>+C48+'13'!D48</f>
        <v>0</v>
      </c>
      <c r="E48" s="150">
        <f t="shared" si="4"/>
        <v>0</v>
      </c>
      <c r="F48" s="368"/>
      <c r="G48" s="369"/>
      <c r="H48" s="195" t="s">
        <v>94</v>
      </c>
      <c r="I48" s="125">
        <f>I46/I40</f>
        <v>835.41672387752112</v>
      </c>
      <c r="J48" s="142">
        <f>J46/J40</f>
        <v>901.24964571308726</v>
      </c>
      <c r="K48" s="137" t="s">
        <v>25</v>
      </c>
      <c r="L48" s="435">
        <f>+L46/I38</f>
        <v>0</v>
      </c>
      <c r="M48" s="436">
        <f>+M46/J40</f>
        <v>0</v>
      </c>
    </row>
    <row r="49" spans="1:13" ht="17.45" customHeight="1">
      <c r="A49" s="789" t="s">
        <v>21</v>
      </c>
      <c r="B49" s="790"/>
      <c r="C49" s="171">
        <f>SUMIF($G$7:$G$31,"Others",$F$7:$F$31)</f>
        <v>0</v>
      </c>
      <c r="D49" s="125">
        <f>+C49+'13'!D49</f>
        <v>480</v>
      </c>
      <c r="E49" s="150">
        <f t="shared" si="4"/>
        <v>8</v>
      </c>
      <c r="F49" s="192"/>
      <c r="H49" s="195" t="s">
        <v>95</v>
      </c>
      <c r="I49" s="125">
        <f>+Report1!AB22</f>
        <v>5765.3370909396826</v>
      </c>
      <c r="J49" s="142">
        <f>+I49+'13'!J49</f>
        <v>63048.086830314605</v>
      </c>
      <c r="K49" s="137" t="s">
        <v>96</v>
      </c>
      <c r="L49" s="431"/>
      <c r="M49" s="432"/>
    </row>
    <row r="50" spans="1:13" ht="17.45" customHeight="1">
      <c r="A50" s="789" t="s">
        <v>20</v>
      </c>
      <c r="B50" s="790"/>
      <c r="C50" s="171">
        <f>SUMIF($G$7:$G$31,"Steam",$F$7:$F$31)</f>
        <v>0</v>
      </c>
      <c r="D50" s="125">
        <f>+C50+'13'!D50</f>
        <v>0</v>
      </c>
      <c r="E50" s="150">
        <f t="shared" si="4"/>
        <v>0</v>
      </c>
      <c r="F50" s="192"/>
      <c r="H50" s="195" t="s">
        <v>97</v>
      </c>
      <c r="I50" s="147">
        <f>I49/I38</f>
        <v>106.38330979332919</v>
      </c>
      <c r="J50" s="140">
        <f>J49/J38</f>
        <v>99.568057077386882</v>
      </c>
      <c r="K50" s="137" t="s">
        <v>96</v>
      </c>
      <c r="L50" s="431"/>
      <c r="M50" s="432"/>
    </row>
    <row r="51" spans="1:13" ht="17.45" customHeight="1" thickBot="1">
      <c r="A51" s="791" t="s">
        <v>98</v>
      </c>
      <c r="B51" s="792"/>
      <c r="C51" s="171">
        <f>SUMIF($G$7:$G$31,"Planned shut",$F$7:$F$31)</f>
        <v>0</v>
      </c>
      <c r="D51" s="125">
        <f>+C51+'13'!D51</f>
        <v>394</v>
      </c>
      <c r="E51" s="150">
        <f t="shared" si="4"/>
        <v>6.5666666666666664</v>
      </c>
      <c r="F51" s="192"/>
      <c r="H51" s="197" t="s">
        <v>99</v>
      </c>
      <c r="I51" s="148">
        <f>I49/I40</f>
        <v>113.08795611972465</v>
      </c>
      <c r="J51" s="143">
        <f>J49/J40</f>
        <v>103.29300359990663</v>
      </c>
      <c r="K51" s="144" t="s">
        <v>96</v>
      </c>
      <c r="L51" s="431"/>
      <c r="M51" s="432"/>
    </row>
    <row r="52" spans="1:13" ht="13.5" thickBot="1">
      <c r="A52" s="793" t="s">
        <v>29</v>
      </c>
      <c r="B52" s="794"/>
      <c r="C52" s="151">
        <f>SUM(C38:C51)</f>
        <v>49</v>
      </c>
      <c r="D52" s="151">
        <f>SUM(D38:D51)</f>
        <v>2637</v>
      </c>
      <c r="E52" s="152">
        <f>SUM(E38:E51)</f>
        <v>43.95</v>
      </c>
      <c r="F52" s="192"/>
      <c r="H52" s="198"/>
      <c r="I52" s="199"/>
      <c r="J52" s="145"/>
      <c r="K52" s="146"/>
      <c r="L52" s="438"/>
      <c r="M52" s="439"/>
    </row>
    <row r="53" spans="1:13" ht="13.5" thickBot="1">
      <c r="A53" s="795"/>
      <c r="B53" s="796"/>
      <c r="C53" s="153">
        <f>C52/(24*60)</f>
        <v>3.4027777777777775E-2</v>
      </c>
      <c r="D53" s="153">
        <f>D52/(24*60*G4)</f>
        <v>0.13080357142857144</v>
      </c>
      <c r="E53" s="154">
        <f>E52/(G4*24)</f>
        <v>0.13080357142857144</v>
      </c>
      <c r="F53" s="192"/>
    </row>
    <row r="54" spans="1:13">
      <c r="E54" s="200"/>
      <c r="F54" s="192"/>
    </row>
    <row r="55" spans="1:13">
      <c r="E55" s="200"/>
    </row>
    <row r="56" spans="1:13">
      <c r="A56" s="201" t="s">
        <v>100</v>
      </c>
      <c r="B56" s="202"/>
      <c r="C56" s="203"/>
      <c r="D56" s="203"/>
      <c r="E56" s="203"/>
      <c r="F56" s="204"/>
      <c r="G56" s="203"/>
      <c r="H56" s="205"/>
      <c r="I56" s="206" t="s">
        <v>101</v>
      </c>
      <c r="J56" s="207">
        <f>+D34+'13'!J56</f>
        <v>4237</v>
      </c>
      <c r="K56" s="208">
        <f>J56/(J40+J56/1000)/1000</f>
        <v>6.893712842773886E-3</v>
      </c>
    </row>
    <row r="57" spans="1:13">
      <c r="A57" s="183"/>
      <c r="I57" s="206" t="s">
        <v>102</v>
      </c>
      <c r="J57" s="207">
        <f>+E34+'13'!J57</f>
        <v>0</v>
      </c>
      <c r="K57" s="208">
        <f>J57/(J40+J57/1000)/1000</f>
        <v>0</v>
      </c>
    </row>
    <row r="58" spans="1:13">
      <c r="A58" s="209"/>
      <c r="B58" s="210"/>
      <c r="F58" s="192"/>
      <c r="H58" s="211"/>
      <c r="J58" s="156">
        <v>325</v>
      </c>
    </row>
    <row r="59" spans="1:13">
      <c r="A59" s="212"/>
      <c r="B59" s="183"/>
      <c r="C59" s="183"/>
      <c r="D59" s="183"/>
      <c r="E59" s="183"/>
      <c r="F59" s="196"/>
      <c r="G59" s="183"/>
      <c r="H59" s="211"/>
      <c r="J59" s="162">
        <f>+J56+J58</f>
        <v>4562</v>
      </c>
    </row>
    <row r="60" spans="1:13">
      <c r="H60" s="211"/>
    </row>
    <row r="61" spans="1:13">
      <c r="A61" s="213"/>
      <c r="B61" s="214"/>
      <c r="C61" s="214"/>
      <c r="D61" s="214"/>
      <c r="E61" s="214"/>
      <c r="F61" s="215"/>
      <c r="G61" s="214"/>
      <c r="H61" s="216"/>
    </row>
  </sheetData>
  <mergeCells count="25">
    <mergeCell ref="A46:B46"/>
    <mergeCell ref="A47:B47"/>
    <mergeCell ref="A52:B52"/>
    <mergeCell ref="A53:B53"/>
    <mergeCell ref="A48:B48"/>
    <mergeCell ref="A49:B49"/>
    <mergeCell ref="A50:B50"/>
    <mergeCell ref="A51:B51"/>
    <mergeCell ref="A40:B40"/>
    <mergeCell ref="A41:B41"/>
    <mergeCell ref="A44:B44"/>
    <mergeCell ref="A45:B45"/>
    <mergeCell ref="A42:B42"/>
    <mergeCell ref="A43:B43"/>
    <mergeCell ref="A37:B37"/>
    <mergeCell ref="I24:I31"/>
    <mergeCell ref="A24:A32"/>
    <mergeCell ref="A38:B38"/>
    <mergeCell ref="A39:B39"/>
    <mergeCell ref="L35:M35"/>
    <mergeCell ref="A7:A14"/>
    <mergeCell ref="I7:I13"/>
    <mergeCell ref="A15:A23"/>
    <mergeCell ref="I15:I22"/>
    <mergeCell ref="A34:B34"/>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AA61"/>
  <sheetViews>
    <sheetView view="pageBreakPreview" zoomScale="85" zoomScaleNormal="70" zoomScaleSheetLayoutView="85" workbookViewId="0">
      <selection activeCell="A7" sqref="A7:A32"/>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19.7109375" style="156" bestFit="1" customWidth="1"/>
    <col min="11" max="11" width="12.5703125" style="156" bestFit="1" customWidth="1"/>
    <col min="12" max="12" width="8.28515625" style="156" customWidth="1"/>
    <col min="13" max="13" width="12.140625" style="156" customWidth="1"/>
    <col min="14" max="16384" width="9.140625" style="156"/>
  </cols>
  <sheetData>
    <row r="1" spans="1:26" ht="15.75">
      <c r="A1" s="155"/>
    </row>
    <row r="2" spans="1:26" ht="15.75">
      <c r="A2" s="155" t="s">
        <v>183</v>
      </c>
    </row>
    <row r="3" spans="1:26" ht="15">
      <c r="A3" s="157"/>
    </row>
    <row r="4" spans="1:26" ht="20.25">
      <c r="A4" s="158" t="s">
        <v>5</v>
      </c>
      <c r="B4" s="159"/>
      <c r="F4" s="160" t="s">
        <v>30</v>
      </c>
      <c r="G4" s="161">
        <v>13</v>
      </c>
      <c r="H4" s="161" t="str">
        <f>+'1'!H4</f>
        <v>.01.26</v>
      </c>
      <c r="J4" s="156">
        <f>566.2+556.8+622.9</f>
        <v>1745.9</v>
      </c>
    </row>
    <row r="5" spans="1:26" ht="13.5" thickBot="1">
      <c r="C5" s="162"/>
      <c r="D5" s="162"/>
    </row>
    <row r="6" spans="1:26"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615</v>
      </c>
      <c r="O6" s="156">
        <v>1240</v>
      </c>
      <c r="P6" s="156">
        <f>+O6-(O6*0.22)</f>
        <v>967.2</v>
      </c>
      <c r="Q6" s="156">
        <f>60*3+7</f>
        <v>187</v>
      </c>
      <c r="R6" s="156">
        <f t="shared" ref="R6:R7" si="0">+O6*Q6</f>
        <v>231880</v>
      </c>
      <c r="S6" s="156">
        <f t="shared" ref="S6:S7" si="1">+P6*Q6</f>
        <v>180866.4</v>
      </c>
      <c r="U6" s="156" t="s">
        <v>615</v>
      </c>
      <c r="V6" s="156">
        <v>1240</v>
      </c>
      <c r="W6" s="156">
        <f>+V6-(V6*0.22)</f>
        <v>967.2</v>
      </c>
      <c r="X6" s="156">
        <f>60*3+7</f>
        <v>187</v>
      </c>
      <c r="Y6" s="156">
        <f t="shared" ref="Y6:Y8" si="2">+V6*X6</f>
        <v>231880</v>
      </c>
      <c r="Z6" s="156">
        <f t="shared" ref="Z6:Z8" si="3">+W6*X6</f>
        <v>180866.4</v>
      </c>
    </row>
    <row r="7" spans="1:26" ht="13.5" customHeight="1" thickBot="1">
      <c r="A7" s="800" t="s">
        <v>425</v>
      </c>
      <c r="B7" s="222" t="s">
        <v>623</v>
      </c>
      <c r="C7" s="223">
        <v>9105</v>
      </c>
      <c r="D7" s="224"/>
      <c r="E7" s="225"/>
      <c r="F7" s="235"/>
      <c r="G7" s="236" t="s">
        <v>13</v>
      </c>
      <c r="H7" s="237" t="s">
        <v>386</v>
      </c>
      <c r="I7" s="803" t="s">
        <v>617</v>
      </c>
      <c r="J7" s="221" t="str">
        <f>+'12'!J7</f>
        <v>T 13,5 RC HW</v>
      </c>
      <c r="K7" s="245"/>
      <c r="L7" s="249"/>
      <c r="M7" s="124">
        <f>+K7+'12'!M7+L7</f>
        <v>221342</v>
      </c>
      <c r="N7" s="156" t="s">
        <v>615</v>
      </c>
      <c r="O7" s="156">
        <v>1240</v>
      </c>
      <c r="P7" s="156">
        <f>+O7-(O7*0.22)</f>
        <v>967.2</v>
      </c>
      <c r="Q7" s="156">
        <f>60-47+120</f>
        <v>133</v>
      </c>
      <c r="R7" s="156">
        <f t="shared" si="0"/>
        <v>164920</v>
      </c>
      <c r="S7" s="156">
        <f t="shared" si="1"/>
        <v>128637.6</v>
      </c>
      <c r="U7" s="156" t="s">
        <v>615</v>
      </c>
      <c r="V7" s="156">
        <v>1240</v>
      </c>
      <c r="W7" s="156">
        <f>+V7-(V7*0.22)</f>
        <v>967.2</v>
      </c>
      <c r="X7" s="156">
        <f>60-47+120</f>
        <v>133</v>
      </c>
      <c r="Y7" s="156">
        <f t="shared" si="2"/>
        <v>164920</v>
      </c>
      <c r="Z7" s="156">
        <f t="shared" si="3"/>
        <v>128637.6</v>
      </c>
    </row>
    <row r="8" spans="1:26" ht="13.5" thickBot="1">
      <c r="A8" s="801"/>
      <c r="B8" s="222"/>
      <c r="C8" s="223"/>
      <c r="D8" s="224"/>
      <c r="E8" s="226"/>
      <c r="F8" s="238">
        <v>6</v>
      </c>
      <c r="G8" s="582" t="s">
        <v>13</v>
      </c>
      <c r="H8" s="237" t="s">
        <v>437</v>
      </c>
      <c r="I8" s="804"/>
      <c r="J8" s="221" t="str">
        <f>+'12'!J8</f>
        <v>T 14,5 RC HW</v>
      </c>
      <c r="K8" s="246"/>
      <c r="L8" s="246"/>
      <c r="M8" s="124">
        <f>+K8+'12'!M8+L8</f>
        <v>57466</v>
      </c>
      <c r="U8" s="156" t="s">
        <v>615</v>
      </c>
      <c r="V8" s="156">
        <v>1170</v>
      </c>
      <c r="W8" s="156">
        <v>912.6</v>
      </c>
      <c r="X8" s="156">
        <v>135</v>
      </c>
      <c r="Y8" s="156">
        <f t="shared" si="2"/>
        <v>157950</v>
      </c>
      <c r="Z8" s="156">
        <f t="shared" si="3"/>
        <v>123201</v>
      </c>
    </row>
    <row r="9" spans="1:26" ht="13.5" thickBot="1">
      <c r="A9" s="801"/>
      <c r="B9" s="222"/>
      <c r="C9" s="223"/>
      <c r="D9" s="224"/>
      <c r="E9" s="227"/>
      <c r="F9" s="235">
        <f>22-6</f>
        <v>16</v>
      </c>
      <c r="G9" s="582" t="s">
        <v>13</v>
      </c>
      <c r="H9" s="240" t="s">
        <v>416</v>
      </c>
      <c r="I9" s="804"/>
      <c r="J9" s="221" t="str">
        <f>+'12'!J9</f>
        <v>TW 17 RC HW</v>
      </c>
      <c r="K9" s="246"/>
      <c r="L9" s="246"/>
      <c r="M9" s="124">
        <f>+K9+'12'!M9+L9</f>
        <v>24830</v>
      </c>
    </row>
    <row r="10" spans="1:26" ht="26.25" thickBot="1">
      <c r="A10" s="801"/>
      <c r="B10" s="222"/>
      <c r="C10" s="223"/>
      <c r="D10" s="224"/>
      <c r="E10" s="226"/>
      <c r="F10" s="235"/>
      <c r="G10" s="244" t="s">
        <v>14</v>
      </c>
      <c r="H10" s="240" t="s">
        <v>627</v>
      </c>
      <c r="I10" s="804"/>
      <c r="J10" s="221" t="str">
        <f>+'12'!J10</f>
        <v>TW 22 RC HW</v>
      </c>
      <c r="K10" s="246"/>
      <c r="L10" s="246"/>
      <c r="M10" s="124">
        <f>+K10+'12'!M10+L10</f>
        <v>24459</v>
      </c>
    </row>
    <row r="11" spans="1:26" ht="166.5" thickBot="1">
      <c r="A11" s="801"/>
      <c r="B11" s="222"/>
      <c r="C11" s="223"/>
      <c r="D11" s="224"/>
      <c r="E11" s="226"/>
      <c r="F11" s="235">
        <v>160</v>
      </c>
      <c r="G11" s="239" t="s">
        <v>81</v>
      </c>
      <c r="H11" s="240" t="s">
        <v>628</v>
      </c>
      <c r="I11" s="804"/>
      <c r="J11" s="221" t="str">
        <f>+'12'!J11</f>
        <v>TW 14 RC HW</v>
      </c>
      <c r="K11" s="246"/>
      <c r="L11" s="246"/>
      <c r="M11" s="124">
        <f>+K11+'12'!M11+L11</f>
        <v>8043</v>
      </c>
    </row>
    <row r="12" spans="1:26" ht="13.5" thickBot="1">
      <c r="A12" s="801"/>
      <c r="B12" s="222"/>
      <c r="C12" s="223"/>
      <c r="D12" s="224"/>
      <c r="E12" s="226"/>
      <c r="F12" s="235"/>
      <c r="G12" s="239"/>
      <c r="H12" s="240"/>
      <c r="I12" s="804"/>
      <c r="J12" s="221" t="str">
        <f>+'12'!J12</f>
        <v>TW 29 RC HW</v>
      </c>
      <c r="K12" s="246"/>
      <c r="L12" s="246"/>
      <c r="M12" s="124">
        <f>+K12+'12'!M12+L12</f>
        <v>21439</v>
      </c>
    </row>
    <row r="13" spans="1:26" ht="13.5" thickBot="1">
      <c r="A13" s="801"/>
      <c r="B13" s="222"/>
      <c r="C13" s="223"/>
      <c r="D13" s="223"/>
      <c r="E13" s="226"/>
      <c r="F13" s="235"/>
      <c r="G13" s="239"/>
      <c r="H13" s="240"/>
      <c r="I13" s="805"/>
      <c r="J13" s="221" t="str">
        <f>+'12'!J13</f>
        <v>TW 35,5 RC HW</v>
      </c>
      <c r="K13" s="246"/>
      <c r="L13" s="246"/>
      <c r="M13" s="124">
        <f>+K13+'12'!M13+L13</f>
        <v>2193</v>
      </c>
    </row>
    <row r="14" spans="1:26" ht="13.5" thickBot="1">
      <c r="A14" s="802"/>
      <c r="B14" s="172" t="s">
        <v>3</v>
      </c>
      <c r="C14" s="106">
        <f>SUM(C7:C13)</f>
        <v>9105</v>
      </c>
      <c r="D14" s="118">
        <f>SUM(D7:D13)</f>
        <v>0</v>
      </c>
      <c r="E14" s="119">
        <f>SUM(E5:E13)</f>
        <v>0</v>
      </c>
      <c r="F14" s="109">
        <f>SUM(F6:F13)</f>
        <v>182</v>
      </c>
      <c r="G14" s="166"/>
      <c r="H14" s="173"/>
      <c r="I14" s="174"/>
      <c r="J14" s="221" t="str">
        <f>+'12'!J14</f>
        <v>N 15,5 RC HW</v>
      </c>
      <c r="K14" s="246"/>
      <c r="L14" s="246"/>
      <c r="M14" s="124">
        <f>+K14+'12'!M14+L14</f>
        <v>46927</v>
      </c>
    </row>
    <row r="15" spans="1:26" ht="13.5" customHeight="1" thickBot="1">
      <c r="A15" s="800" t="s">
        <v>440</v>
      </c>
      <c r="B15" s="172"/>
      <c r="C15" s="120">
        <f>C14/($C$23+$D$23+$E$23)</f>
        <v>0.5605491596379979</v>
      </c>
      <c r="D15" s="121">
        <f>D14/($C$23+$D$23+$E$23)</f>
        <v>0</v>
      </c>
      <c r="E15" s="122">
        <f>E14/($C$23+$D$23+$E$23)</f>
        <v>0</v>
      </c>
      <c r="F15" s="235"/>
      <c r="G15" s="236" t="s">
        <v>13</v>
      </c>
      <c r="H15" s="237" t="s">
        <v>386</v>
      </c>
      <c r="I15" s="803" t="s">
        <v>630</v>
      </c>
      <c r="J15" s="221" t="str">
        <f>+'12'!J15</f>
        <v>F 14 RC HW</v>
      </c>
      <c r="K15" s="246"/>
      <c r="L15" s="246"/>
      <c r="M15" s="124">
        <f>+K15+'12'!M15+L15</f>
        <v>4620</v>
      </c>
    </row>
    <row r="16" spans="1:26" ht="13.5" thickBot="1">
      <c r="A16" s="811"/>
      <c r="B16" s="222" t="s">
        <v>604</v>
      </c>
      <c r="C16" s="229">
        <v>9518</v>
      </c>
      <c r="D16" s="230"/>
      <c r="E16" s="231"/>
      <c r="F16" s="238">
        <v>7</v>
      </c>
      <c r="G16" s="582" t="s">
        <v>13</v>
      </c>
      <c r="H16" s="237" t="s">
        <v>437</v>
      </c>
      <c r="I16" s="804"/>
      <c r="J16" s="221" t="str">
        <f>+'12'!J16</f>
        <v>T 15 RC HW</v>
      </c>
      <c r="K16" s="246">
        <f>+C16+C25</f>
        <v>26617</v>
      </c>
      <c r="L16" s="236"/>
      <c r="M16" s="124">
        <f>+K16+'12'!M16+L16</f>
        <v>95249</v>
      </c>
      <c r="Q16" s="183">
        <f>SUM(Q6:Q14)</f>
        <v>320</v>
      </c>
      <c r="R16" s="183">
        <f>SUM(R6:R14)</f>
        <v>396800</v>
      </c>
      <c r="S16" s="183">
        <f>SUM(S6:S14)</f>
        <v>309504</v>
      </c>
      <c r="X16" s="183">
        <f>SUM(X6:X14)</f>
        <v>455</v>
      </c>
      <c r="Y16" s="183">
        <f>SUM(Y6:Y14)</f>
        <v>554750</v>
      </c>
      <c r="Z16" s="183">
        <f>SUM(Z6:Z14)</f>
        <v>432705</v>
      </c>
    </row>
    <row r="17" spans="1:27" ht="13.5" thickBot="1">
      <c r="A17" s="811"/>
      <c r="B17" s="222" t="s">
        <v>623</v>
      </c>
      <c r="C17" s="223">
        <v>6725</v>
      </c>
      <c r="D17" s="224"/>
      <c r="E17" s="232"/>
      <c r="F17" s="235">
        <v>20</v>
      </c>
      <c r="G17" s="582" t="s">
        <v>13</v>
      </c>
      <c r="H17" s="240" t="s">
        <v>416</v>
      </c>
      <c r="I17" s="804"/>
      <c r="J17" s="221" t="str">
        <f>+'12'!J17</f>
        <v>T 14 RC HW</v>
      </c>
      <c r="K17" s="246">
        <f>+C7+C17</f>
        <v>15830</v>
      </c>
      <c r="L17" s="236"/>
      <c r="M17" s="124">
        <f>+K17+'12'!M17+L17</f>
        <v>52832</v>
      </c>
      <c r="P17" s="156">
        <f>60-7+60+47</f>
        <v>160</v>
      </c>
      <c r="Q17" s="156">
        <f>480-Q16</f>
        <v>160</v>
      </c>
      <c r="R17" s="183">
        <f>+R16/Q16</f>
        <v>1240</v>
      </c>
      <c r="S17" s="183">
        <f>+S16/Q16</f>
        <v>967.2</v>
      </c>
      <c r="Y17" s="183">
        <f>+Y16/X16</f>
        <v>1219.2307692307693</v>
      </c>
      <c r="Z17" s="183">
        <f>+Z16/X16</f>
        <v>951</v>
      </c>
    </row>
    <row r="18" spans="1:27" ht="26.25" thickBot="1">
      <c r="A18" s="811"/>
      <c r="B18" s="222"/>
      <c r="C18" s="223"/>
      <c r="D18" s="224"/>
      <c r="E18" s="232"/>
      <c r="F18" s="235"/>
      <c r="G18" s="244" t="s">
        <v>14</v>
      </c>
      <c r="H18" s="240" t="s">
        <v>625</v>
      </c>
      <c r="I18" s="804"/>
      <c r="J18" s="221">
        <f>+'12'!J18</f>
        <v>0</v>
      </c>
      <c r="K18" s="246"/>
      <c r="L18" s="246"/>
      <c r="M18" s="124">
        <f>+K18+'12'!M18+L18</f>
        <v>0</v>
      </c>
      <c r="N18" s="156" t="s">
        <v>615</v>
      </c>
      <c r="O18" s="156">
        <v>1170</v>
      </c>
      <c r="P18" s="156">
        <f>+O18-(O18*0.22)</f>
        <v>912.6</v>
      </c>
      <c r="Q18" s="156">
        <f>60*2+15</f>
        <v>135</v>
      </c>
      <c r="R18" s="156">
        <f t="shared" ref="R18:R19" si="4">+O18*Q18</f>
        <v>157950</v>
      </c>
      <c r="S18" s="156">
        <f t="shared" ref="S18:S19" si="5">+P18*Q18</f>
        <v>123201</v>
      </c>
    </row>
    <row r="19" spans="1:27" ht="51.75" thickBot="1">
      <c r="A19" s="811"/>
      <c r="B19" s="222"/>
      <c r="C19" s="223"/>
      <c r="D19" s="224"/>
      <c r="E19" s="232"/>
      <c r="F19" s="242"/>
      <c r="G19" s="239"/>
      <c r="H19" s="240" t="s">
        <v>626</v>
      </c>
      <c r="I19" s="804"/>
      <c r="J19" s="221">
        <f>+'12'!J19</f>
        <v>0</v>
      </c>
      <c r="K19" s="246"/>
      <c r="L19" s="246"/>
      <c r="M19" s="124">
        <f>+K19+'12'!M19+L19</f>
        <v>0</v>
      </c>
      <c r="N19" s="156" t="s">
        <v>584</v>
      </c>
      <c r="O19" s="156">
        <v>1160</v>
      </c>
      <c r="P19" s="156">
        <f>+O19-(O19*0.22)</f>
        <v>904.8</v>
      </c>
      <c r="Q19" s="156">
        <f>60-15+300</f>
        <v>345</v>
      </c>
      <c r="R19" s="156">
        <f t="shared" si="4"/>
        <v>400200</v>
      </c>
      <c r="S19" s="156">
        <f t="shared" si="5"/>
        <v>312156</v>
      </c>
    </row>
    <row r="20" spans="1:27" ht="13.5" thickBot="1">
      <c r="A20" s="811"/>
      <c r="B20" s="222"/>
      <c r="C20" s="223"/>
      <c r="D20" s="224"/>
      <c r="E20" s="232"/>
      <c r="F20" s="235"/>
      <c r="G20" s="239"/>
      <c r="H20" s="240"/>
      <c r="I20" s="804"/>
      <c r="J20" s="221">
        <f>+'12'!J20</f>
        <v>0</v>
      </c>
      <c r="K20" s="246"/>
      <c r="L20" s="247"/>
      <c r="M20" s="124">
        <f>+K20+'12'!M20+L20</f>
        <v>0</v>
      </c>
    </row>
    <row r="21" spans="1:27" ht="13.5" thickBot="1">
      <c r="A21" s="811"/>
      <c r="B21" s="222"/>
      <c r="C21" s="223"/>
      <c r="D21" s="224"/>
      <c r="E21" s="232"/>
      <c r="F21" s="238"/>
      <c r="G21" s="239"/>
      <c r="H21" s="240"/>
      <c r="I21" s="804"/>
      <c r="J21" s="221">
        <f>+'12'!J21</f>
        <v>0</v>
      </c>
      <c r="K21" s="246"/>
      <c r="L21" s="246"/>
      <c r="M21" s="124">
        <f>+K21+'12'!M21+L21</f>
        <v>0</v>
      </c>
    </row>
    <row r="22" spans="1:27" ht="16.5" customHeight="1" thickBot="1">
      <c r="A22" s="811"/>
      <c r="B22" s="222"/>
      <c r="C22" s="223"/>
      <c r="D22" s="224"/>
      <c r="E22" s="232"/>
      <c r="F22" s="243"/>
      <c r="G22" s="239"/>
      <c r="H22" s="240"/>
      <c r="I22" s="805"/>
      <c r="J22" s="221">
        <f>+'12'!J22</f>
        <v>0</v>
      </c>
      <c r="K22" s="246"/>
      <c r="L22" s="246"/>
      <c r="M22" s="124">
        <f>+K22+'12'!M22+L22</f>
        <v>0</v>
      </c>
    </row>
    <row r="23" spans="1:27" ht="13.5" thickBot="1">
      <c r="A23" s="812"/>
      <c r="B23" s="172" t="s">
        <v>3</v>
      </c>
      <c r="C23" s="107">
        <f>SUM(C16:C22)</f>
        <v>16243</v>
      </c>
      <c r="D23" s="118">
        <f>SUM(D16:D22)</f>
        <v>0</v>
      </c>
      <c r="E23" s="119">
        <f>SUM(E18:E22)</f>
        <v>0</v>
      </c>
      <c r="F23" s="109">
        <f>SUM(F15:F22)</f>
        <v>27</v>
      </c>
      <c r="G23" s="166"/>
      <c r="H23" s="173"/>
      <c r="I23" s="176"/>
      <c r="J23" s="221">
        <f>+'12'!J23</f>
        <v>0</v>
      </c>
      <c r="K23" s="246"/>
      <c r="L23" s="246"/>
      <c r="M23" s="124">
        <f>+K23+'12'!M23+L23</f>
        <v>0</v>
      </c>
    </row>
    <row r="24" spans="1:27" ht="13.5" customHeight="1" thickBot="1">
      <c r="A24" s="800" t="s">
        <v>423</v>
      </c>
      <c r="B24" s="177"/>
      <c r="C24" s="120">
        <f>C23/($C$23+$D$23+$E$23)</f>
        <v>1</v>
      </c>
      <c r="D24" s="121">
        <f>D23/($C$23+$D$23+$E$23)</f>
        <v>0</v>
      </c>
      <c r="E24" s="122">
        <f>E23/($C$23+$D$23+$E$23)</f>
        <v>0</v>
      </c>
      <c r="F24" s="235"/>
      <c r="G24" s="236" t="s">
        <v>13</v>
      </c>
      <c r="H24" s="237" t="s">
        <v>386</v>
      </c>
      <c r="I24" s="803" t="s">
        <v>629</v>
      </c>
      <c r="J24" s="221">
        <f>+'12'!J24</f>
        <v>0</v>
      </c>
      <c r="K24" s="246"/>
      <c r="L24" s="246"/>
      <c r="M24" s="124">
        <f>+K24+'12'!M24+L24</f>
        <v>0</v>
      </c>
    </row>
    <row r="25" spans="1:27" ht="13.5" thickBot="1">
      <c r="A25" s="811"/>
      <c r="B25" s="222" t="s">
        <v>604</v>
      </c>
      <c r="C25" s="233">
        <v>17099</v>
      </c>
      <c r="D25" s="224"/>
      <c r="E25" s="232"/>
      <c r="F25" s="238">
        <v>6</v>
      </c>
      <c r="G25" s="582" t="s">
        <v>13</v>
      </c>
      <c r="H25" s="237" t="s">
        <v>437</v>
      </c>
      <c r="I25" s="804"/>
      <c r="J25" s="221">
        <f>+'12'!J25</f>
        <v>0</v>
      </c>
      <c r="K25" s="246"/>
      <c r="L25" s="246"/>
      <c r="M25" s="124">
        <f>+K25+'12'!M25+L25</f>
        <v>0</v>
      </c>
    </row>
    <row r="26" spans="1:27" ht="13.5" thickBot="1">
      <c r="A26" s="811"/>
      <c r="B26" s="222"/>
      <c r="C26" s="233"/>
      <c r="D26" s="224"/>
      <c r="E26" s="234"/>
      <c r="F26" s="235">
        <v>10</v>
      </c>
      <c r="G26" s="582" t="s">
        <v>13</v>
      </c>
      <c r="H26" s="240" t="s">
        <v>523</v>
      </c>
      <c r="I26" s="804"/>
      <c r="J26" s="221">
        <f>+'12'!J26</f>
        <v>0</v>
      </c>
      <c r="K26" s="246"/>
      <c r="L26" s="246"/>
      <c r="M26" s="124">
        <f>+K26+'12'!M26+L26</f>
        <v>0</v>
      </c>
    </row>
    <row r="27" spans="1:27" ht="26.25" thickBot="1">
      <c r="A27" s="811"/>
      <c r="B27" s="222"/>
      <c r="C27" s="223"/>
      <c r="D27" s="224"/>
      <c r="E27" s="232"/>
      <c r="F27" s="235"/>
      <c r="G27" s="244" t="s">
        <v>14</v>
      </c>
      <c r="H27" s="240" t="s">
        <v>624</v>
      </c>
      <c r="I27" s="804"/>
      <c r="J27" s="221">
        <f>+'12'!J27</f>
        <v>0</v>
      </c>
      <c r="K27" s="246"/>
      <c r="L27" s="246"/>
      <c r="M27" s="124">
        <f>+K27+'12'!M27+L27</f>
        <v>0</v>
      </c>
    </row>
    <row r="28" spans="1:27" ht="13.5" thickBot="1">
      <c r="A28" s="811"/>
      <c r="B28" s="222"/>
      <c r="C28" s="223"/>
      <c r="D28" s="224"/>
      <c r="E28" s="232"/>
      <c r="F28" s="238"/>
      <c r="G28" s="239"/>
      <c r="H28" s="240"/>
      <c r="I28" s="804"/>
      <c r="J28" s="221">
        <f>+'12'!J28</f>
        <v>0</v>
      </c>
      <c r="K28" s="246"/>
      <c r="L28" s="246"/>
      <c r="M28" s="124">
        <f>+K28+'12'!M28+L28</f>
        <v>0</v>
      </c>
      <c r="Q28" s="183">
        <f>SUM(Q18:Q26)</f>
        <v>480</v>
      </c>
      <c r="R28" s="183">
        <f>SUM(R18:R26)</f>
        <v>558150</v>
      </c>
      <c r="S28" s="183">
        <f>SUM(S18:S26)</f>
        <v>435357</v>
      </c>
    </row>
    <row r="29" spans="1:27" ht="13.5" thickBot="1">
      <c r="A29" s="811"/>
      <c r="B29" s="222"/>
      <c r="C29" s="223"/>
      <c r="D29" s="224"/>
      <c r="E29" s="232"/>
      <c r="F29" s="243"/>
      <c r="G29" s="239"/>
      <c r="H29" s="240"/>
      <c r="I29" s="804"/>
      <c r="J29" s="221">
        <f>+'12'!J29</f>
        <v>0</v>
      </c>
      <c r="K29" s="246"/>
      <c r="L29" s="246"/>
      <c r="M29" s="124">
        <f>+K29+'12'!M29+L29</f>
        <v>0</v>
      </c>
      <c r="Q29" s="156">
        <f>480-Q28</f>
        <v>0</v>
      </c>
      <c r="R29" s="183">
        <f>+R28/Q28</f>
        <v>1162.8125</v>
      </c>
      <c r="S29" s="183">
        <f>+S28/Q28</f>
        <v>906.99374999999998</v>
      </c>
    </row>
    <row r="30" spans="1:27" ht="13.5" thickBot="1">
      <c r="A30" s="811"/>
      <c r="B30" s="222"/>
      <c r="C30" s="233"/>
      <c r="D30" s="224"/>
      <c r="E30" s="232"/>
      <c r="F30" s="243"/>
      <c r="G30" s="239"/>
      <c r="H30" s="240"/>
      <c r="I30" s="804"/>
      <c r="J30" s="221">
        <f>+'12'!J30</f>
        <v>0</v>
      </c>
      <c r="K30" s="246"/>
      <c r="L30" s="246"/>
      <c r="M30" s="124">
        <f>+K30+'12'!M30+L30</f>
        <v>0</v>
      </c>
      <c r="N30" s="162"/>
    </row>
    <row r="31" spans="1:27" ht="13.5" thickBot="1">
      <c r="A31" s="811"/>
      <c r="B31" s="222"/>
      <c r="C31" s="233"/>
      <c r="D31" s="224"/>
      <c r="E31" s="232"/>
      <c r="F31" s="243"/>
      <c r="G31" s="244"/>
      <c r="H31" s="241"/>
      <c r="I31" s="805"/>
      <c r="J31" s="221">
        <f>+'12'!J31</f>
        <v>0</v>
      </c>
      <c r="K31" s="246"/>
      <c r="L31" s="246"/>
      <c r="M31" s="124">
        <f>+K31+'12'!M31+L31</f>
        <v>0</v>
      </c>
      <c r="N31" s="156" t="s">
        <v>584</v>
      </c>
      <c r="O31" s="156">
        <v>1160</v>
      </c>
      <c r="P31" s="156">
        <f>+O31-(O31*0.22)</f>
        <v>904.8</v>
      </c>
      <c r="Q31" s="156">
        <v>480</v>
      </c>
      <c r="R31" s="156">
        <f t="shared" ref="R31:R32" si="6">+O31*Q31</f>
        <v>556800</v>
      </c>
      <c r="S31" s="156">
        <f t="shared" ref="S31:S32" si="7">+P31*Q31</f>
        <v>434304</v>
      </c>
      <c r="V31" s="156" t="s">
        <v>584</v>
      </c>
      <c r="W31" s="156">
        <v>1160</v>
      </c>
      <c r="X31" s="156">
        <v>904.8</v>
      </c>
      <c r="Y31" s="156">
        <v>345</v>
      </c>
      <c r="Z31" s="156">
        <f t="shared" ref="Z31:Z32" si="8">+W31*Y31</f>
        <v>400200</v>
      </c>
      <c r="AA31" s="156">
        <f t="shared" ref="AA31:AA32" si="9">+X31*Y31</f>
        <v>312156</v>
      </c>
    </row>
    <row r="32" spans="1:27" ht="13.5" thickBot="1">
      <c r="A32" s="812"/>
      <c r="B32" s="172" t="s">
        <v>3</v>
      </c>
      <c r="C32" s="106">
        <f>SUM(C25:C31)</f>
        <v>17099</v>
      </c>
      <c r="D32" s="107">
        <f>SUM(D25:D31)</f>
        <v>0</v>
      </c>
      <c r="E32" s="108">
        <f>SUM(E25:E31)</f>
        <v>0</v>
      </c>
      <c r="F32" s="109">
        <f>SUM(F24:F31)</f>
        <v>16</v>
      </c>
      <c r="G32" s="178"/>
      <c r="H32" s="179"/>
      <c r="I32" s="176"/>
      <c r="J32" s="221">
        <f>+'12'!J32</f>
        <v>0</v>
      </c>
      <c r="K32" s="248"/>
      <c r="L32" s="250"/>
      <c r="M32" s="124">
        <f>+K32+'12'!M32+L32</f>
        <v>0</v>
      </c>
      <c r="P32" s="156">
        <f>+O32-(O32*0.22)</f>
        <v>0</v>
      </c>
      <c r="R32" s="156">
        <f t="shared" si="6"/>
        <v>0</v>
      </c>
      <c r="S32" s="156">
        <f t="shared" si="7"/>
        <v>0</v>
      </c>
      <c r="V32" s="156" t="s">
        <v>584</v>
      </c>
      <c r="W32" s="156">
        <v>1160</v>
      </c>
      <c r="X32" s="156">
        <v>904.8</v>
      </c>
      <c r="Y32" s="156">
        <v>480</v>
      </c>
      <c r="Z32" s="156">
        <f t="shared" si="8"/>
        <v>556800</v>
      </c>
      <c r="AA32" s="156">
        <f t="shared" si="9"/>
        <v>434304</v>
      </c>
    </row>
    <row r="33" spans="1:27" ht="13.5" thickBot="1">
      <c r="A33" s="180"/>
      <c r="B33" s="181"/>
      <c r="C33" s="110">
        <f>C32/($C$32+$D$32+$E$32)</f>
        <v>1</v>
      </c>
      <c r="D33" s="111">
        <f>D32/($C$32+$D$32+$E$32)</f>
        <v>0</v>
      </c>
      <c r="E33" s="112">
        <f>E32/($C$32+$D$32+$E$32)</f>
        <v>0</v>
      </c>
      <c r="F33" s="113"/>
      <c r="G33" s="182"/>
      <c r="H33" s="183"/>
      <c r="I33" s="184"/>
      <c r="J33" s="128"/>
      <c r="K33" s="129"/>
      <c r="L33" s="220"/>
      <c r="M33" s="126"/>
    </row>
    <row r="34" spans="1:27" ht="13.5" thickBot="1">
      <c r="A34" s="808" t="s">
        <v>70</v>
      </c>
      <c r="B34" s="809"/>
      <c r="C34" s="114">
        <f>C14+C23+C32</f>
        <v>42447</v>
      </c>
      <c r="D34" s="114">
        <f>D14+D23+D32</f>
        <v>0</v>
      </c>
      <c r="E34" s="114">
        <f>E14+E23+E32</f>
        <v>0</v>
      </c>
      <c r="F34" s="115">
        <f>F14+F23+F32</f>
        <v>225</v>
      </c>
      <c r="H34" s="185"/>
      <c r="I34" s="185"/>
      <c r="J34" s="130" t="s">
        <v>29</v>
      </c>
      <c r="K34" s="131">
        <f>SUM(K7:K32)</f>
        <v>42447</v>
      </c>
      <c r="L34" s="219">
        <f>SUM(L7:L32)</f>
        <v>0</v>
      </c>
      <c r="M34" s="127">
        <f>SUM(M7:M32)</f>
        <v>559400</v>
      </c>
    </row>
    <row r="35" spans="1:27" ht="13.5" thickBot="1">
      <c r="A35" s="186"/>
      <c r="B35" s="187"/>
      <c r="C35" s="111">
        <f>C34/($C$34+$D$34+$E$34)</f>
        <v>1</v>
      </c>
      <c r="D35" s="111">
        <f>D34/($C$34+$D$34+$E$34)</f>
        <v>0</v>
      </c>
      <c r="E35" s="116">
        <f>E34/($C$34+$D$34+$E$34)</f>
        <v>0</v>
      </c>
      <c r="K35" s="162"/>
      <c r="L35" s="799" t="s">
        <v>184</v>
      </c>
      <c r="M35" s="799"/>
    </row>
    <row r="36" spans="1:27" ht="13.5" thickBot="1">
      <c r="A36" s="185"/>
      <c r="B36" s="185"/>
      <c r="C36" s="162"/>
      <c r="D36" s="162"/>
      <c r="E36" s="162"/>
      <c r="G36" s="162"/>
      <c r="H36" s="188"/>
      <c r="I36" s="169" t="s">
        <v>41</v>
      </c>
      <c r="J36" s="169" t="s">
        <v>42</v>
      </c>
      <c r="K36" s="189"/>
      <c r="L36" s="169" t="s">
        <v>41</v>
      </c>
      <c r="M36" s="169" t="s">
        <v>42</v>
      </c>
    </row>
    <row r="37" spans="1:27" ht="17.45" customHeight="1" thickBot="1">
      <c r="A37" s="797" t="s">
        <v>71</v>
      </c>
      <c r="B37" s="798"/>
      <c r="C37" s="169" t="s">
        <v>72</v>
      </c>
      <c r="D37" s="190" t="s">
        <v>73</v>
      </c>
      <c r="E37" s="191" t="s">
        <v>74</v>
      </c>
      <c r="F37" s="368"/>
      <c r="G37" s="370"/>
      <c r="H37" s="193" t="s">
        <v>75</v>
      </c>
      <c r="I37" s="251">
        <f>(14*455+15*825)/1280*G42*2.75*1280/1000000</f>
        <v>47.487876401367188</v>
      </c>
      <c r="J37" s="132">
        <f>+I37+'12'!J37</f>
        <v>622.90850652439076</v>
      </c>
      <c r="K37" s="133" t="s">
        <v>76</v>
      </c>
      <c r="L37" s="429"/>
      <c r="M37" s="430"/>
    </row>
    <row r="38" spans="1:27" ht="17.45" customHeight="1">
      <c r="A38" s="793" t="s">
        <v>13</v>
      </c>
      <c r="B38" s="794"/>
      <c r="C38" s="171">
        <f>SUMIF($G$7:$G$31,"Process",$F$7:$F$31)</f>
        <v>65</v>
      </c>
      <c r="D38" s="125">
        <f>+C38+'12'!D38</f>
        <v>773</v>
      </c>
      <c r="E38" s="150">
        <f t="shared" ref="E38:E51" si="10">D38/60</f>
        <v>12.883333333333333</v>
      </c>
      <c r="F38" s="368">
        <v>1240</v>
      </c>
      <c r="G38" s="368">
        <v>967.2</v>
      </c>
      <c r="H38" s="194" t="s">
        <v>77</v>
      </c>
      <c r="I38" s="551">
        <f>11.453+15.754+16.399</f>
        <v>43.606000000000002</v>
      </c>
      <c r="J38" s="134">
        <f>+I38+'12'!J38</f>
        <v>579.02199999999993</v>
      </c>
      <c r="K38" s="135" t="s">
        <v>76</v>
      </c>
      <c r="L38" s="431"/>
      <c r="M38" s="432"/>
    </row>
    <row r="39" spans="1:27" ht="17.45" customHeight="1">
      <c r="A39" s="789" t="s">
        <v>14</v>
      </c>
      <c r="B39" s="790"/>
      <c r="C39" s="171">
        <f>SUMIF($G$7:$G$31,"Cleaning",$F$7:$F$31)</f>
        <v>0</v>
      </c>
      <c r="D39" s="125">
        <f>+C39+'12'!D39</f>
        <v>89</v>
      </c>
      <c r="E39" s="150">
        <f t="shared" si="10"/>
        <v>1.4833333333333334</v>
      </c>
      <c r="F39" s="368">
        <v>1162.8125</v>
      </c>
      <c r="G39" s="368">
        <v>906.99374999999998</v>
      </c>
      <c r="H39" s="194" t="s">
        <v>78</v>
      </c>
      <c r="I39" s="149"/>
      <c r="J39" s="136">
        <f>J37/G4</f>
        <v>47.916038963414671</v>
      </c>
      <c r="K39" s="137" t="s">
        <v>76</v>
      </c>
      <c r="L39" s="431"/>
      <c r="M39" s="432"/>
    </row>
    <row r="40" spans="1:27" ht="17.45" customHeight="1">
      <c r="A40" s="789" t="s">
        <v>79</v>
      </c>
      <c r="B40" s="790"/>
      <c r="C40" s="171">
        <f>SUMIF($G$7:$G$31,"Mechanical",$F$7:$F$31)</f>
        <v>0</v>
      </c>
      <c r="D40" s="125">
        <f>+C40+'12'!D40</f>
        <v>22</v>
      </c>
      <c r="E40" s="150">
        <f t="shared" si="10"/>
        <v>0.36666666666666664</v>
      </c>
      <c r="F40" s="368">
        <v>1160</v>
      </c>
      <c r="G40" s="368">
        <v>904.8</v>
      </c>
      <c r="H40" s="194" t="s">
        <v>80</v>
      </c>
      <c r="I40" s="125">
        <f>(K34+L34)/1000</f>
        <v>42.447000000000003</v>
      </c>
      <c r="J40" s="138">
        <f>+I40+'12'!J40</f>
        <v>559.4</v>
      </c>
      <c r="K40" s="137" t="s">
        <v>76</v>
      </c>
      <c r="L40" s="431"/>
      <c r="M40" s="432"/>
    </row>
    <row r="41" spans="1:27" ht="17.45" customHeight="1">
      <c r="A41" s="789" t="s">
        <v>81</v>
      </c>
      <c r="B41" s="790"/>
      <c r="C41" s="171">
        <f>SUMIF($G$7:$G$31,"Electrical",$F$7:$F$31)</f>
        <v>160</v>
      </c>
      <c r="D41" s="125">
        <f>+C41+'12'!D41</f>
        <v>422</v>
      </c>
      <c r="E41" s="150">
        <f t="shared" si="10"/>
        <v>7.0333333333333332</v>
      </c>
      <c r="F41" s="368"/>
      <c r="G41" s="368"/>
      <c r="H41" s="194" t="s">
        <v>82</v>
      </c>
      <c r="I41" s="149"/>
      <c r="J41" s="136">
        <f>J40/G4</f>
        <v>43.030769230769231</v>
      </c>
      <c r="K41" s="137" t="s">
        <v>76</v>
      </c>
      <c r="L41" s="431"/>
      <c r="M41" s="432"/>
      <c r="Q41" s="183">
        <f>SUM(Q31:Q39)</f>
        <v>480</v>
      </c>
      <c r="R41" s="183">
        <f>SUM(R31:R39)</f>
        <v>556800</v>
      </c>
      <c r="S41" s="183">
        <f>SUM(S31:S39)</f>
        <v>434304</v>
      </c>
      <c r="Y41" s="183">
        <f>SUM(Y31:Y39)</f>
        <v>825</v>
      </c>
      <c r="Z41" s="183">
        <f>SUM(Z31:Z39)</f>
        <v>957000</v>
      </c>
      <c r="AA41" s="183">
        <f>SUM(AA31:AA39)</f>
        <v>746460</v>
      </c>
    </row>
    <row r="42" spans="1:27" ht="17.45" customHeight="1">
      <c r="A42" s="789" t="s">
        <v>17</v>
      </c>
      <c r="B42" s="790"/>
      <c r="C42" s="171">
        <f>SUMIF($G$7:$G$31,"Instrument",$F$7:$F$31)</f>
        <v>0</v>
      </c>
      <c r="D42" s="125">
        <f>+C42+'12'!D42</f>
        <v>0</v>
      </c>
      <c r="E42" s="150">
        <f t="shared" si="10"/>
        <v>0</v>
      </c>
      <c r="F42" s="368">
        <f>+(320*F38+480*F39+480*F40)/1280</f>
        <v>1181.0546875</v>
      </c>
      <c r="G42" s="368">
        <f>+(320*G38+480*G39+480*G40)/1280</f>
        <v>921.22265625</v>
      </c>
      <c r="H42" s="194" t="s">
        <v>83</v>
      </c>
      <c r="I42" s="253" t="s">
        <v>631</v>
      </c>
      <c r="J42" s="139"/>
      <c r="K42" s="137" t="s">
        <v>84</v>
      </c>
      <c r="L42" s="431"/>
      <c r="M42" s="432"/>
      <c r="Q42" s="156">
        <f>480-Q41</f>
        <v>0</v>
      </c>
      <c r="R42" s="183">
        <f>+R41/Q41</f>
        <v>1160</v>
      </c>
      <c r="S42" s="183">
        <f>+S41/Q41</f>
        <v>904.8</v>
      </c>
      <c r="Y42" s="156">
        <f>480-Y41</f>
        <v>-345</v>
      </c>
      <c r="Z42" s="183">
        <f>+Z41/Y41</f>
        <v>1160</v>
      </c>
      <c r="AA42" s="183">
        <f>+AA41/Y41</f>
        <v>904.8</v>
      </c>
    </row>
    <row r="43" spans="1:27" ht="17.45" customHeight="1">
      <c r="A43" s="789" t="s">
        <v>85</v>
      </c>
      <c r="B43" s="790"/>
      <c r="C43" s="171">
        <f>SUMIF($G$7:$G$31,"Water",$F$7:$F$31)</f>
        <v>0</v>
      </c>
      <c r="D43" s="125">
        <f>+C43+'12'!D43</f>
        <v>0</v>
      </c>
      <c r="E43" s="150">
        <f t="shared" si="10"/>
        <v>0</v>
      </c>
      <c r="F43" s="368"/>
      <c r="G43" s="369"/>
      <c r="H43" s="195" t="s">
        <v>86</v>
      </c>
      <c r="I43" s="125">
        <f>+Report1!AH21</f>
        <v>62</v>
      </c>
      <c r="J43" s="140">
        <f>+I43+'12'!J43</f>
        <v>801.9</v>
      </c>
      <c r="K43" s="137" t="s">
        <v>76</v>
      </c>
      <c r="L43" s="433">
        <f>+Report1!AN21</f>
        <v>0</v>
      </c>
      <c r="M43" s="434">
        <f>+L43+'12'!M43</f>
        <v>9</v>
      </c>
    </row>
    <row r="44" spans="1:27" ht="17.45" customHeight="1">
      <c r="A44" s="789" t="s">
        <v>18</v>
      </c>
      <c r="B44" s="790"/>
      <c r="C44" s="171">
        <f>SUMIF($G$7:$G$31,"PLN",$F$7:$F$31)</f>
        <v>0</v>
      </c>
      <c r="D44" s="125">
        <f>+C44+'12'!D44</f>
        <v>0</v>
      </c>
      <c r="E44" s="150">
        <f t="shared" si="10"/>
        <v>0</v>
      </c>
      <c r="F44" s="368"/>
      <c r="G44" s="369"/>
      <c r="H44" s="195" t="s">
        <v>87</v>
      </c>
      <c r="I44" s="125">
        <f>I43/I38</f>
        <v>1.421822684951612</v>
      </c>
      <c r="J44" s="141">
        <f>J43/J38</f>
        <v>1.3849214710321889</v>
      </c>
      <c r="K44" s="137" t="s">
        <v>76</v>
      </c>
      <c r="L44" s="435">
        <f>+L43/I38</f>
        <v>0</v>
      </c>
      <c r="M44" s="436">
        <f>+M43/J38</f>
        <v>1.5543450853335453E-2</v>
      </c>
      <c r="N44" s="156">
        <v>320</v>
      </c>
    </row>
    <row r="45" spans="1:27" ht="17.45" customHeight="1">
      <c r="A45" s="789" t="s">
        <v>19</v>
      </c>
      <c r="B45" s="790"/>
      <c r="C45" s="171">
        <f>SUMIF($G$7:$G$31,"Boiler",$F$7:$F$31)</f>
        <v>0</v>
      </c>
      <c r="D45" s="125">
        <f>+C45+'12'!D45</f>
        <v>0</v>
      </c>
      <c r="E45" s="150">
        <f t="shared" si="10"/>
        <v>0</v>
      </c>
      <c r="F45" s="368"/>
      <c r="G45" s="371"/>
      <c r="H45" s="195" t="s">
        <v>88</v>
      </c>
      <c r="I45" s="125">
        <f>I43/I40</f>
        <v>1.4606450396965627</v>
      </c>
      <c r="J45" s="141">
        <f>J43/J40</f>
        <v>1.4335001787629604</v>
      </c>
      <c r="K45" s="137" t="s">
        <v>76</v>
      </c>
      <c r="L45" s="435">
        <f>+L43/I40</f>
        <v>0</v>
      </c>
      <c r="M45" s="436">
        <f>+M43/J40</f>
        <v>1.6088666428316054E-2</v>
      </c>
      <c r="N45" s="156">
        <v>480</v>
      </c>
      <c r="P45" s="156" t="s">
        <v>615</v>
      </c>
      <c r="Q45" s="156">
        <v>1219.2307692307693</v>
      </c>
      <c r="R45" s="156">
        <v>951</v>
      </c>
      <c r="S45" s="156">
        <v>455</v>
      </c>
    </row>
    <row r="46" spans="1:27" ht="17.45" customHeight="1">
      <c r="A46" s="789" t="s">
        <v>89</v>
      </c>
      <c r="B46" s="790"/>
      <c r="C46" s="171">
        <f>SUMIF($G$7:$G$31,"Gas",$F$7:$F$31)</f>
        <v>0</v>
      </c>
      <c r="D46" s="125">
        <f>+C46+'12'!D46</f>
        <v>408</v>
      </c>
      <c r="E46" s="150">
        <f t="shared" si="10"/>
        <v>6.8</v>
      </c>
      <c r="F46" s="368"/>
      <c r="G46" s="369"/>
      <c r="H46" s="195" t="s">
        <v>90</v>
      </c>
      <c r="I46" s="147">
        <f>+SUMIF(Listrik!P20,"&gt;0")</f>
        <v>41288.860000000037</v>
      </c>
      <c r="J46" s="142">
        <f>+I46+'12'!J46</f>
        <v>507515.28</v>
      </c>
      <c r="K46" s="137" t="s">
        <v>91</v>
      </c>
      <c r="L46" s="435">
        <f>+Listrik!AF20</f>
        <v>0</v>
      </c>
      <c r="M46" s="437">
        <f>+L46+'12'!M46</f>
        <v>0</v>
      </c>
      <c r="N46" s="156">
        <v>480</v>
      </c>
      <c r="P46" s="156" t="s">
        <v>584</v>
      </c>
      <c r="Q46" s="156">
        <v>1160</v>
      </c>
      <c r="R46" s="156">
        <v>904.8</v>
      </c>
      <c r="S46" s="156">
        <v>825</v>
      </c>
    </row>
    <row r="47" spans="1:27" ht="17.45" customHeight="1">
      <c r="A47" s="789" t="s">
        <v>92</v>
      </c>
      <c r="B47" s="790"/>
      <c r="C47" s="171">
        <f>SUMIF($G$7:$G$31,"Gas",$F$7:$F$31)</f>
        <v>0</v>
      </c>
      <c r="D47" s="125">
        <f>+C47+'12'!D47</f>
        <v>0</v>
      </c>
      <c r="E47" s="150">
        <f t="shared" si="10"/>
        <v>0</v>
      </c>
      <c r="F47" s="368"/>
      <c r="G47" s="369"/>
      <c r="H47" s="195" t="s">
        <v>93</v>
      </c>
      <c r="I47" s="125">
        <f>I46/I38</f>
        <v>946.86189973856892</v>
      </c>
      <c r="J47" s="142">
        <f>J46/J38</f>
        <v>876.50431244408685</v>
      </c>
      <c r="K47" s="137" t="s">
        <v>25</v>
      </c>
      <c r="L47" s="435">
        <f>+L46/I38</f>
        <v>0</v>
      </c>
      <c r="M47" s="436">
        <f>+M46/J38</f>
        <v>0</v>
      </c>
      <c r="N47" s="156">
        <f>+N44+N45+N46</f>
        <v>1280</v>
      </c>
      <c r="S47" s="156">
        <f>+S45+S46</f>
        <v>1280</v>
      </c>
    </row>
    <row r="48" spans="1:27" ht="17.45" customHeight="1">
      <c r="A48" s="789" t="s">
        <v>15</v>
      </c>
      <c r="B48" s="790"/>
      <c r="C48" s="171">
        <f>SUMIF($G$7:$G$31,"Start Up",$F$7:$F$31)</f>
        <v>0</v>
      </c>
      <c r="D48" s="125">
        <f>+C48+'12'!D48</f>
        <v>0</v>
      </c>
      <c r="E48" s="150">
        <f t="shared" si="10"/>
        <v>0</v>
      </c>
      <c r="F48" s="368"/>
      <c r="G48" s="369"/>
      <c r="H48" s="195" t="s">
        <v>94</v>
      </c>
      <c r="I48" s="125">
        <f>I46/I40</f>
        <v>972.7156218342883</v>
      </c>
      <c r="J48" s="142">
        <f>J46/J40</f>
        <v>907.24933857704696</v>
      </c>
      <c r="K48" s="137" t="s">
        <v>25</v>
      </c>
      <c r="L48" s="435">
        <f>+L46/I38</f>
        <v>0</v>
      </c>
      <c r="M48" s="436">
        <f>+M46/J40</f>
        <v>0</v>
      </c>
    </row>
    <row r="49" spans="1:13" ht="17.45" customHeight="1">
      <c r="A49" s="789" t="s">
        <v>21</v>
      </c>
      <c r="B49" s="790"/>
      <c r="C49" s="171">
        <f>SUMIF($G$7:$G$31,"Others",$F$7:$F$31)</f>
        <v>0</v>
      </c>
      <c r="D49" s="125">
        <f>+C49+'12'!D49</f>
        <v>480</v>
      </c>
      <c r="E49" s="150">
        <f t="shared" si="10"/>
        <v>8</v>
      </c>
      <c r="F49" s="192"/>
      <c r="H49" s="195" t="s">
        <v>95</v>
      </c>
      <c r="I49" s="125">
        <f>+Report1!AB21</f>
        <v>5336.2658096908835</v>
      </c>
      <c r="J49" s="142">
        <f>+I49+'12'!J49</f>
        <v>57282.749739374922</v>
      </c>
      <c r="K49" s="137" t="s">
        <v>96</v>
      </c>
      <c r="L49" s="431"/>
      <c r="M49" s="432"/>
    </row>
    <row r="50" spans="1:13" ht="17.45" customHeight="1">
      <c r="A50" s="789" t="s">
        <v>20</v>
      </c>
      <c r="B50" s="790"/>
      <c r="C50" s="171">
        <f>SUMIF($G$7:$G$31,"Steam",$F$7:$F$31)</f>
        <v>0</v>
      </c>
      <c r="D50" s="125">
        <f>+C50+'12'!D50</f>
        <v>0</v>
      </c>
      <c r="E50" s="150">
        <f t="shared" si="10"/>
        <v>0</v>
      </c>
      <c r="F50" s="192"/>
      <c r="H50" s="195" t="s">
        <v>97</v>
      </c>
      <c r="I50" s="147">
        <f>I49/I38</f>
        <v>122.37457711532549</v>
      </c>
      <c r="J50" s="140">
        <f>J49/J38</f>
        <v>98.930178368654268</v>
      </c>
      <c r="K50" s="137" t="s">
        <v>96</v>
      </c>
      <c r="L50" s="431"/>
      <c r="M50" s="432"/>
    </row>
    <row r="51" spans="1:13" ht="17.45" customHeight="1" thickBot="1">
      <c r="A51" s="791" t="s">
        <v>98</v>
      </c>
      <c r="B51" s="792"/>
      <c r="C51" s="171">
        <f>SUMIF($G$7:$G$31,"Planned shut",$F$7:$F$31)</f>
        <v>0</v>
      </c>
      <c r="D51" s="125">
        <f>+C51+'12'!D51</f>
        <v>394</v>
      </c>
      <c r="E51" s="150">
        <f t="shared" si="10"/>
        <v>6.5666666666666664</v>
      </c>
      <c r="F51" s="192"/>
      <c r="H51" s="197" t="s">
        <v>99</v>
      </c>
      <c r="I51" s="148">
        <f>I49/I40</f>
        <v>125.7159707326992</v>
      </c>
      <c r="J51" s="143">
        <f>J49/J40</f>
        <v>102.4003391837235</v>
      </c>
      <c r="K51" s="144" t="s">
        <v>96</v>
      </c>
      <c r="L51" s="431"/>
      <c r="M51" s="432"/>
    </row>
    <row r="52" spans="1:13" ht="13.5" thickBot="1">
      <c r="A52" s="793" t="s">
        <v>29</v>
      </c>
      <c r="B52" s="794"/>
      <c r="C52" s="151">
        <f>SUM(C38:C51)</f>
        <v>225</v>
      </c>
      <c r="D52" s="151">
        <f>SUM(D38:D51)</f>
        <v>2588</v>
      </c>
      <c r="E52" s="152">
        <f>SUM(E38:E51)</f>
        <v>43.133333333333326</v>
      </c>
      <c r="F52" s="192"/>
      <c r="H52" s="198"/>
      <c r="I52" s="199"/>
      <c r="J52" s="145"/>
      <c r="K52" s="146"/>
      <c r="L52" s="438"/>
      <c r="M52" s="439"/>
    </row>
    <row r="53" spans="1:13" ht="13.5" thickBot="1">
      <c r="A53" s="795"/>
      <c r="B53" s="796"/>
      <c r="C53" s="153">
        <f>C52/(24*60)</f>
        <v>0.15625</v>
      </c>
      <c r="D53" s="153">
        <f>D52/(24*60*G4)</f>
        <v>0.13824786324786326</v>
      </c>
      <c r="E53" s="154">
        <f>E52/(G4*24)</f>
        <v>0.13824786324786323</v>
      </c>
      <c r="F53" s="192"/>
    </row>
    <row r="54" spans="1:13">
      <c r="E54" s="200"/>
      <c r="F54" s="192"/>
    </row>
    <row r="55" spans="1:13">
      <c r="E55" s="200"/>
    </row>
    <row r="56" spans="1:13">
      <c r="A56" s="201" t="s">
        <v>100</v>
      </c>
      <c r="B56" s="202"/>
      <c r="C56" s="203"/>
      <c r="D56" s="203"/>
      <c r="E56" s="203"/>
      <c r="F56" s="204"/>
      <c r="G56" s="203"/>
      <c r="H56" s="205"/>
      <c r="I56" s="206" t="s">
        <v>101</v>
      </c>
      <c r="J56" s="207">
        <f>+D34+'12'!J56</f>
        <v>4237</v>
      </c>
      <c r="K56" s="208">
        <f>J56/(J40+J56/1000)/1000</f>
        <v>7.5172495772988651E-3</v>
      </c>
    </row>
    <row r="57" spans="1:13">
      <c r="A57" s="183"/>
      <c r="I57" s="206" t="s">
        <v>102</v>
      </c>
      <c r="J57" s="207">
        <f>+E34+'12'!J57</f>
        <v>0</v>
      </c>
      <c r="K57" s="208">
        <f>J57/(J40+J57/1000)/1000</f>
        <v>0</v>
      </c>
    </row>
    <row r="58" spans="1:13">
      <c r="A58" s="209"/>
      <c r="B58" s="210"/>
      <c r="F58" s="192"/>
      <c r="H58" s="211"/>
      <c r="J58" s="156">
        <v>325</v>
      </c>
    </row>
    <row r="59" spans="1:13">
      <c r="A59" s="212"/>
      <c r="B59" s="183"/>
      <c r="C59" s="183"/>
      <c r="D59" s="183"/>
      <c r="E59" s="183"/>
      <c r="F59" s="196"/>
      <c r="G59" s="183"/>
      <c r="H59" s="211"/>
      <c r="J59" s="162">
        <f>+J56+J58</f>
        <v>4562</v>
      </c>
    </row>
    <row r="60" spans="1:13">
      <c r="H60" s="211"/>
    </row>
    <row r="61" spans="1:13">
      <c r="A61" s="213"/>
      <c r="B61" s="214"/>
      <c r="C61" s="214"/>
      <c r="D61" s="214"/>
      <c r="E61" s="214"/>
      <c r="F61" s="215"/>
      <c r="G61" s="214"/>
      <c r="H61" s="216"/>
    </row>
  </sheetData>
  <mergeCells count="25">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 ref="A53:B53"/>
    <mergeCell ref="A48:B48"/>
    <mergeCell ref="A49:B49"/>
    <mergeCell ref="A50:B50"/>
    <mergeCell ref="A51:B51"/>
    <mergeCell ref="A52:B52"/>
    <mergeCell ref="L35:M35"/>
    <mergeCell ref="A24:A32"/>
    <mergeCell ref="A34:B34"/>
    <mergeCell ref="A37:B37"/>
    <mergeCell ref="A38:B38"/>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Z61"/>
  <sheetViews>
    <sheetView zoomScale="80" zoomScaleNormal="80" workbookViewId="0">
      <selection activeCell="J35" sqref="A24:J35"/>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0.28515625" style="156" bestFit="1" customWidth="1"/>
    <col min="11" max="11" width="14" style="156" bestFit="1" customWidth="1"/>
    <col min="12" max="12" width="12.140625" style="156" customWidth="1"/>
    <col min="13" max="13" width="15" style="156" bestFit="1" customWidth="1"/>
    <col min="14" max="16384" width="9.140625" style="156"/>
  </cols>
  <sheetData>
    <row r="1" spans="1:19" ht="15.75">
      <c r="A1" s="155"/>
    </row>
    <row r="2" spans="1:19" ht="15.75">
      <c r="A2" s="155" t="s">
        <v>183</v>
      </c>
    </row>
    <row r="3" spans="1:19" ht="15">
      <c r="A3" s="157"/>
    </row>
    <row r="4" spans="1:19" ht="20.25">
      <c r="A4" s="158" t="s">
        <v>5</v>
      </c>
      <c r="B4" s="159"/>
      <c r="F4" s="160" t="s">
        <v>30</v>
      </c>
      <c r="G4" s="161">
        <v>12</v>
      </c>
      <c r="H4" s="161" t="str">
        <f>+'1'!H4</f>
        <v>.01.26</v>
      </c>
      <c r="J4" s="156">
        <f>585+659+564</f>
        <v>1808</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584</v>
      </c>
      <c r="O6" s="156">
        <v>1170</v>
      </c>
      <c r="P6" s="156">
        <f>+O6-(O6*0.2)</f>
        <v>936</v>
      </c>
      <c r="Q6" s="156">
        <f>60*5+13</f>
        <v>313</v>
      </c>
      <c r="R6" s="156">
        <f t="shared" ref="R6:R7" si="0">+O6*Q6</f>
        <v>366210</v>
      </c>
      <c r="S6" s="156">
        <f t="shared" ref="S6:S7" si="1">+P6*Q6</f>
        <v>292968</v>
      </c>
    </row>
    <row r="7" spans="1:19" ht="13.5" customHeight="1" thickBot="1">
      <c r="A7" s="800" t="s">
        <v>425</v>
      </c>
      <c r="B7" s="222" t="s">
        <v>604</v>
      </c>
      <c r="C7" s="223">
        <f>1432+14414</f>
        <v>15846</v>
      </c>
      <c r="D7" s="224"/>
      <c r="E7" s="225"/>
      <c r="F7" s="235">
        <v>1</v>
      </c>
      <c r="G7" s="236" t="s">
        <v>13</v>
      </c>
      <c r="H7" s="237" t="s">
        <v>619</v>
      </c>
      <c r="I7" s="803" t="s">
        <v>616</v>
      </c>
      <c r="J7" s="221" t="str">
        <f>+'11'!J7</f>
        <v>T 13,5 RC HW</v>
      </c>
      <c r="K7" s="245"/>
      <c r="L7" s="249"/>
      <c r="M7" s="124">
        <f>+K7+'11'!M7+L7</f>
        <v>221342</v>
      </c>
      <c r="N7" s="156" t="s">
        <v>615</v>
      </c>
      <c r="O7" s="156">
        <v>1230</v>
      </c>
      <c r="P7" s="156">
        <f>+O7-(O7*0.22)</f>
        <v>959.4</v>
      </c>
      <c r="Q7" s="156">
        <f>60-13+120</f>
        <v>167</v>
      </c>
      <c r="R7" s="156">
        <f t="shared" si="0"/>
        <v>205410</v>
      </c>
      <c r="S7" s="156">
        <f t="shared" si="1"/>
        <v>160219.79999999999</v>
      </c>
    </row>
    <row r="8" spans="1:19" ht="13.5" thickBot="1">
      <c r="A8" s="801"/>
      <c r="B8" s="222" t="s">
        <v>623</v>
      </c>
      <c r="C8" s="223">
        <v>1428</v>
      </c>
      <c r="D8" s="224"/>
      <c r="E8" s="226"/>
      <c r="F8" s="238">
        <v>3</v>
      </c>
      <c r="G8" s="582" t="s">
        <v>13</v>
      </c>
      <c r="H8" s="237" t="s">
        <v>415</v>
      </c>
      <c r="I8" s="804"/>
      <c r="J8" s="221" t="str">
        <f>+'11'!J8</f>
        <v>T 14,5 RC HW</v>
      </c>
      <c r="K8" s="246"/>
      <c r="L8" s="246"/>
      <c r="M8" s="124">
        <f>+K8+'11'!M8+L8</f>
        <v>57466</v>
      </c>
    </row>
    <row r="9" spans="1:19" ht="13.5" thickBot="1">
      <c r="A9" s="801"/>
      <c r="B9" s="222"/>
      <c r="C9" s="223"/>
      <c r="D9" s="224"/>
      <c r="E9" s="227"/>
      <c r="F9" s="235">
        <v>5</v>
      </c>
      <c r="G9" s="582" t="s">
        <v>13</v>
      </c>
      <c r="H9" s="240" t="s">
        <v>416</v>
      </c>
      <c r="I9" s="804"/>
      <c r="J9" s="221" t="str">
        <f>+'11'!J9</f>
        <v>TW 17 RC HW</v>
      </c>
      <c r="K9" s="246"/>
      <c r="L9" s="246"/>
      <c r="M9" s="124">
        <f>+K9+'11'!M9+L9</f>
        <v>24830</v>
      </c>
    </row>
    <row r="10" spans="1:19" ht="26.25" thickBot="1">
      <c r="A10" s="801"/>
      <c r="B10" s="222"/>
      <c r="C10" s="223"/>
      <c r="D10" s="224"/>
      <c r="E10" s="226"/>
      <c r="F10" s="235">
        <v>8</v>
      </c>
      <c r="G10" s="244" t="s">
        <v>14</v>
      </c>
      <c r="H10" s="240" t="s">
        <v>613</v>
      </c>
      <c r="I10" s="804"/>
      <c r="J10" s="221" t="str">
        <f>+'11'!J10</f>
        <v>TW 22 RC HW</v>
      </c>
      <c r="K10" s="246"/>
      <c r="L10" s="246"/>
      <c r="M10" s="124">
        <f>+K10+'11'!M10+L10</f>
        <v>24459</v>
      </c>
    </row>
    <row r="11" spans="1:19" ht="13.5" thickBot="1">
      <c r="A11" s="801"/>
      <c r="B11" s="222"/>
      <c r="C11" s="223"/>
      <c r="D11" s="224"/>
      <c r="E11" s="226"/>
      <c r="F11" s="235"/>
      <c r="G11" s="239"/>
      <c r="H11" s="240" t="s">
        <v>614</v>
      </c>
      <c r="I11" s="804"/>
      <c r="J11" s="221" t="str">
        <f>+'11'!J11</f>
        <v>TW 14 RC HW</v>
      </c>
      <c r="K11" s="246"/>
      <c r="L11" s="246"/>
      <c r="M11" s="124">
        <f>+K11+'11'!M11+L11</f>
        <v>8043</v>
      </c>
    </row>
    <row r="12" spans="1:19" ht="13.5" thickBot="1">
      <c r="A12" s="801"/>
      <c r="B12" s="222"/>
      <c r="C12" s="223"/>
      <c r="D12" s="224"/>
      <c r="E12" s="226"/>
      <c r="F12" s="235"/>
      <c r="G12" s="239"/>
      <c r="H12" s="240"/>
      <c r="I12" s="804"/>
      <c r="J12" s="221" t="str">
        <f>+'11'!J12</f>
        <v>TW 29 RC HW</v>
      </c>
      <c r="K12" s="246"/>
      <c r="L12" s="246"/>
      <c r="M12" s="124">
        <f>+K12+'11'!M12+L12</f>
        <v>21439</v>
      </c>
    </row>
    <row r="13" spans="1:19" ht="13.5" thickBot="1">
      <c r="A13" s="801"/>
      <c r="B13" s="222"/>
      <c r="C13" s="223"/>
      <c r="D13" s="223"/>
      <c r="E13" s="226"/>
      <c r="F13" s="235"/>
      <c r="G13" s="239"/>
      <c r="H13" s="240"/>
      <c r="I13" s="805"/>
      <c r="J13" s="221" t="str">
        <f>+'11'!J13</f>
        <v>TW 35,5 RC HW</v>
      </c>
      <c r="K13" s="246"/>
      <c r="L13" s="246"/>
      <c r="M13" s="124">
        <f>+K13+'11'!M13+L13</f>
        <v>2193</v>
      </c>
    </row>
    <row r="14" spans="1:19" ht="13.5" thickBot="1">
      <c r="A14" s="802"/>
      <c r="B14" s="172" t="s">
        <v>3</v>
      </c>
      <c r="C14" s="106">
        <f>SUM(C7:C13)</f>
        <v>17274</v>
      </c>
      <c r="D14" s="118">
        <f>SUM(D7:D13)</f>
        <v>0</v>
      </c>
      <c r="E14" s="119">
        <f>SUM(E5:E13)</f>
        <v>0</v>
      </c>
      <c r="F14" s="109">
        <f>SUM(F6:F13)</f>
        <v>17</v>
      </c>
      <c r="G14" s="166"/>
      <c r="H14" s="173"/>
      <c r="I14" s="174"/>
      <c r="J14" s="221" t="str">
        <f>+'11'!J14</f>
        <v>N 15,5 RC HW</v>
      </c>
      <c r="K14" s="246"/>
      <c r="L14" s="246"/>
      <c r="M14" s="124">
        <f>+K14+'11'!M14+L14</f>
        <v>46927</v>
      </c>
    </row>
    <row r="15" spans="1:19" ht="13.5" customHeight="1" thickBot="1">
      <c r="A15" s="800" t="s">
        <v>440</v>
      </c>
      <c r="B15" s="172"/>
      <c r="C15" s="120">
        <f>C14/($C$23+$D$23+$E$23)</f>
        <v>0.91107594936708858</v>
      </c>
      <c r="D15" s="121">
        <f>D14/($C$23+$D$23+$E$23)</f>
        <v>0</v>
      </c>
      <c r="E15" s="122">
        <f>E14/($C$23+$D$23+$E$23)</f>
        <v>0</v>
      </c>
      <c r="F15" s="235"/>
      <c r="G15" s="236" t="s">
        <v>13</v>
      </c>
      <c r="H15" s="237" t="s">
        <v>386</v>
      </c>
      <c r="I15" s="803" t="s">
        <v>617</v>
      </c>
      <c r="J15" s="221" t="str">
        <f>+'11'!J15</f>
        <v>F 14 RC HW</v>
      </c>
      <c r="K15" s="246"/>
      <c r="L15" s="246"/>
      <c r="M15" s="124">
        <f>+K15+'11'!M15+L15</f>
        <v>4620</v>
      </c>
    </row>
    <row r="16" spans="1:19" ht="13.5" thickBot="1">
      <c r="A16" s="811"/>
      <c r="B16" s="222" t="s">
        <v>623</v>
      </c>
      <c r="C16" s="229">
        <v>18960</v>
      </c>
      <c r="D16" s="230"/>
      <c r="E16" s="231"/>
      <c r="F16" s="238">
        <v>7</v>
      </c>
      <c r="G16" s="582" t="s">
        <v>13</v>
      </c>
      <c r="H16" s="237" t="s">
        <v>437</v>
      </c>
      <c r="I16" s="804"/>
      <c r="J16" s="221" t="str">
        <f>+'11'!J16</f>
        <v>T 15 RC HW</v>
      </c>
      <c r="K16" s="246">
        <f>+C7</f>
        <v>15846</v>
      </c>
      <c r="L16" s="246"/>
      <c r="M16" s="124">
        <f>+K16+'11'!M16+L16</f>
        <v>68632</v>
      </c>
      <c r="Q16" s="183">
        <f>SUM(Q6:Q14)</f>
        <v>480</v>
      </c>
      <c r="R16" s="183">
        <f>SUM(R6:R14)</f>
        <v>571620</v>
      </c>
      <c r="S16" s="183">
        <f>SUM(S6:S14)</f>
        <v>453187.8</v>
      </c>
    </row>
    <row r="17" spans="1:26" ht="13.5" thickBot="1">
      <c r="A17" s="811"/>
      <c r="B17" s="222"/>
      <c r="C17" s="223"/>
      <c r="D17" s="224"/>
      <c r="E17" s="232"/>
      <c r="F17" s="235">
        <v>10</v>
      </c>
      <c r="G17" s="582" t="s">
        <v>13</v>
      </c>
      <c r="H17" s="240" t="s">
        <v>395</v>
      </c>
      <c r="I17" s="804"/>
      <c r="J17" s="221" t="s">
        <v>623</v>
      </c>
      <c r="K17" s="246">
        <f>+C8+C16+C25</f>
        <v>37002</v>
      </c>
      <c r="L17" s="246"/>
      <c r="M17" s="124">
        <f>+K17+'11'!M17+L17</f>
        <v>37002</v>
      </c>
      <c r="Q17" s="156">
        <f>480-Q16</f>
        <v>0</v>
      </c>
      <c r="R17" s="183">
        <f>+R16/Q16</f>
        <v>1190.875</v>
      </c>
      <c r="S17" s="183">
        <f>+S16/Q16</f>
        <v>944.14125000000001</v>
      </c>
    </row>
    <row r="18" spans="1:26" ht="26.25" thickBot="1">
      <c r="A18" s="811"/>
      <c r="B18" s="222"/>
      <c r="C18" s="223"/>
      <c r="D18" s="224"/>
      <c r="E18" s="232"/>
      <c r="F18" s="235"/>
      <c r="G18" s="244" t="s">
        <v>14</v>
      </c>
      <c r="H18" s="240" t="s">
        <v>612</v>
      </c>
      <c r="I18" s="804"/>
      <c r="J18" s="221">
        <f>+'11'!J18</f>
        <v>0</v>
      </c>
      <c r="K18" s="246"/>
      <c r="L18" s="246"/>
      <c r="M18" s="124">
        <f>+K18+'11'!M18+L18</f>
        <v>0</v>
      </c>
      <c r="N18" s="156" t="s">
        <v>615</v>
      </c>
      <c r="O18" s="156">
        <v>1240</v>
      </c>
      <c r="P18" s="156">
        <f>+O18-(O18*0.22)</f>
        <v>967.2</v>
      </c>
      <c r="Q18" s="156">
        <v>480</v>
      </c>
      <c r="R18" s="156">
        <f t="shared" ref="R18:R19" si="2">+O18*Q18</f>
        <v>595200</v>
      </c>
      <c r="S18" s="156">
        <f t="shared" ref="S18:S19" si="3">+P18*Q18</f>
        <v>464256</v>
      </c>
      <c r="U18" s="156" t="s">
        <v>615</v>
      </c>
      <c r="V18" s="156">
        <v>1240</v>
      </c>
      <c r="W18" s="156">
        <f>+V18-(V18*0.22)</f>
        <v>967.2</v>
      </c>
      <c r="X18" s="156">
        <v>480</v>
      </c>
      <c r="Y18" s="156">
        <f t="shared" ref="Y18:Y20" si="4">+V18*X18</f>
        <v>595200</v>
      </c>
      <c r="Z18" s="156">
        <f t="shared" ref="Z18:Z20" si="5">+W18*X18</f>
        <v>464256</v>
      </c>
    </row>
    <row r="19" spans="1:26" ht="13.5" thickBot="1">
      <c r="A19" s="811"/>
      <c r="B19" s="222"/>
      <c r="C19" s="223"/>
      <c r="D19" s="224"/>
      <c r="E19" s="232"/>
      <c r="F19" s="242"/>
      <c r="G19" s="239"/>
      <c r="H19" s="240"/>
      <c r="I19" s="804"/>
      <c r="J19" s="221">
        <f>+'11'!J19</f>
        <v>0</v>
      </c>
      <c r="K19" s="246"/>
      <c r="L19" s="246"/>
      <c r="M19" s="124">
        <f>+K19+'11'!M19+L19</f>
        <v>0</v>
      </c>
      <c r="N19" s="156" t="s">
        <v>615</v>
      </c>
      <c r="O19" s="156">
        <v>1240</v>
      </c>
      <c r="P19" s="156">
        <f>+O19-(O19*0.22)</f>
        <v>967.2</v>
      </c>
      <c r="Q19" s="156">
        <v>480</v>
      </c>
      <c r="R19" s="156">
        <f t="shared" si="2"/>
        <v>595200</v>
      </c>
      <c r="S19" s="156">
        <f t="shared" si="3"/>
        <v>464256</v>
      </c>
      <c r="U19" s="156" t="s">
        <v>615</v>
      </c>
      <c r="V19" s="156">
        <v>1240</v>
      </c>
      <c r="W19" s="156">
        <f>+V19-(V19*0.22)</f>
        <v>967.2</v>
      </c>
      <c r="X19" s="156">
        <v>480</v>
      </c>
      <c r="Y19" s="156">
        <f t="shared" si="4"/>
        <v>595200</v>
      </c>
      <c r="Z19" s="156">
        <f t="shared" si="5"/>
        <v>464256</v>
      </c>
    </row>
    <row r="20" spans="1:26" ht="13.5" thickBot="1">
      <c r="A20" s="811"/>
      <c r="B20" s="222"/>
      <c r="C20" s="223"/>
      <c r="D20" s="224"/>
      <c r="E20" s="232"/>
      <c r="F20" s="235"/>
      <c r="G20" s="239"/>
      <c r="H20" s="240"/>
      <c r="I20" s="804"/>
      <c r="J20" s="221">
        <f>+'11'!J20</f>
        <v>0</v>
      </c>
      <c r="K20" s="246"/>
      <c r="L20" s="246"/>
      <c r="M20" s="124">
        <f>+K20+'11'!M20+L20</f>
        <v>0</v>
      </c>
      <c r="U20" s="156" t="s">
        <v>615</v>
      </c>
      <c r="V20" s="156">
        <v>1230</v>
      </c>
      <c r="W20" s="156">
        <v>959.4</v>
      </c>
      <c r="X20" s="156">
        <v>167</v>
      </c>
      <c r="Y20" s="156">
        <f t="shared" si="4"/>
        <v>205410</v>
      </c>
      <c r="Z20" s="156">
        <f t="shared" si="5"/>
        <v>160219.79999999999</v>
      </c>
    </row>
    <row r="21" spans="1:26" ht="13.5" thickBot="1">
      <c r="A21" s="811"/>
      <c r="B21" s="222"/>
      <c r="C21" s="223"/>
      <c r="D21" s="224"/>
      <c r="E21" s="232"/>
      <c r="F21" s="238"/>
      <c r="G21" s="239"/>
      <c r="H21" s="240"/>
      <c r="I21" s="804"/>
      <c r="J21" s="221">
        <f>+'11'!J21</f>
        <v>0</v>
      </c>
      <c r="K21" s="246"/>
      <c r="L21" s="246"/>
      <c r="M21" s="124">
        <f>+K21+'11'!M21+L21</f>
        <v>0</v>
      </c>
    </row>
    <row r="22" spans="1:26" ht="13.5" thickBot="1">
      <c r="A22" s="811"/>
      <c r="B22" s="222"/>
      <c r="C22" s="223"/>
      <c r="D22" s="224"/>
      <c r="E22" s="232"/>
      <c r="F22" s="243"/>
      <c r="G22" s="239"/>
      <c r="H22" s="240"/>
      <c r="I22" s="805"/>
      <c r="J22" s="221">
        <f>+'11'!J22</f>
        <v>0</v>
      </c>
      <c r="K22" s="246"/>
      <c r="L22" s="246"/>
      <c r="M22" s="124">
        <f>+K22+'11'!M22+L22</f>
        <v>0</v>
      </c>
    </row>
    <row r="23" spans="1:26" ht="13.5" thickBot="1">
      <c r="A23" s="812"/>
      <c r="B23" s="172" t="s">
        <v>3</v>
      </c>
      <c r="C23" s="107">
        <f>SUM(C16:C22)</f>
        <v>18960</v>
      </c>
      <c r="D23" s="118">
        <f>SUM(D16:D22)</f>
        <v>0</v>
      </c>
      <c r="E23" s="119">
        <f>SUM(E18:E22)</f>
        <v>0</v>
      </c>
      <c r="F23" s="109">
        <f>SUM(F15:F22)</f>
        <v>17</v>
      </c>
      <c r="G23" s="166"/>
      <c r="H23" s="173"/>
      <c r="I23" s="176"/>
      <c r="J23" s="221">
        <f>+'11'!J23</f>
        <v>0</v>
      </c>
      <c r="K23" s="246"/>
      <c r="L23" s="246"/>
      <c r="M23" s="124">
        <f>+K23+'11'!M23+L23</f>
        <v>0</v>
      </c>
    </row>
    <row r="24" spans="1:26" ht="13.5" customHeight="1" thickBot="1">
      <c r="A24" s="800" t="s">
        <v>423</v>
      </c>
      <c r="B24" s="177"/>
      <c r="C24" s="120">
        <f>C23/($C$23+$D$23+$E$23)</f>
        <v>1</v>
      </c>
      <c r="D24" s="121">
        <f>D23/($C$23+$D$23+$E$23)</f>
        <v>0</v>
      </c>
      <c r="E24" s="122">
        <f>E23/($C$23+$D$23+$E$23)</f>
        <v>0</v>
      </c>
      <c r="F24" s="235"/>
      <c r="G24" s="236" t="s">
        <v>13</v>
      </c>
      <c r="H24" s="237" t="s">
        <v>386</v>
      </c>
      <c r="I24" s="803" t="s">
        <v>617</v>
      </c>
      <c r="J24" s="221">
        <f>+'11'!J24</f>
        <v>0</v>
      </c>
      <c r="K24" s="246"/>
      <c r="L24" s="246"/>
      <c r="M24" s="124">
        <f>+K24+'11'!M24+L24</f>
        <v>0</v>
      </c>
    </row>
    <row r="25" spans="1:26" ht="13.5" thickBot="1">
      <c r="A25" s="811"/>
      <c r="B25" s="222" t="s">
        <v>623</v>
      </c>
      <c r="C25" s="233">
        <v>16614</v>
      </c>
      <c r="D25" s="224"/>
      <c r="E25" s="232"/>
      <c r="F25" s="238">
        <v>5</v>
      </c>
      <c r="G25" s="582" t="s">
        <v>13</v>
      </c>
      <c r="H25" s="237" t="s">
        <v>437</v>
      </c>
      <c r="I25" s="804"/>
      <c r="J25" s="221">
        <f>+'11'!J25</f>
        <v>0</v>
      </c>
      <c r="K25" s="246"/>
      <c r="L25" s="246"/>
      <c r="M25" s="124">
        <f>+K25+'11'!M25+L25</f>
        <v>0</v>
      </c>
    </row>
    <row r="26" spans="1:26" ht="13.5" thickBot="1">
      <c r="A26" s="811"/>
      <c r="B26" s="222"/>
      <c r="C26" s="233"/>
      <c r="D26" s="224"/>
      <c r="E26" s="234"/>
      <c r="F26" s="235">
        <v>10</v>
      </c>
      <c r="G26" s="582" t="s">
        <v>13</v>
      </c>
      <c r="H26" s="240" t="s">
        <v>416</v>
      </c>
      <c r="I26" s="804"/>
      <c r="J26" s="221">
        <f>+'11'!J26</f>
        <v>0</v>
      </c>
      <c r="K26" s="246"/>
      <c r="L26" s="246"/>
      <c r="M26" s="124">
        <f>+K26+'11'!M26+L26</f>
        <v>0</v>
      </c>
    </row>
    <row r="27" spans="1:26" ht="26.25" thickBot="1">
      <c r="A27" s="811"/>
      <c r="B27" s="222"/>
      <c r="C27" s="223"/>
      <c r="D27" s="224"/>
      <c r="E27" s="232"/>
      <c r="F27" s="235"/>
      <c r="G27" s="244" t="s">
        <v>14</v>
      </c>
      <c r="H27" s="240" t="s">
        <v>611</v>
      </c>
      <c r="I27" s="804"/>
      <c r="J27" s="221">
        <f>+'11'!J27</f>
        <v>0</v>
      </c>
      <c r="K27" s="246"/>
      <c r="L27" s="246"/>
      <c r="M27" s="124">
        <f>+K27+'11'!M27+L27</f>
        <v>0</v>
      </c>
    </row>
    <row r="28" spans="1:26" ht="13.5" thickBot="1">
      <c r="A28" s="811"/>
      <c r="B28" s="222"/>
      <c r="C28" s="223"/>
      <c r="D28" s="224"/>
      <c r="E28" s="232"/>
      <c r="F28" s="238"/>
      <c r="G28" s="239"/>
      <c r="H28" s="240"/>
      <c r="I28" s="804"/>
      <c r="J28" s="221">
        <f>+'11'!J28</f>
        <v>0</v>
      </c>
      <c r="K28" s="246"/>
      <c r="L28" s="246"/>
      <c r="M28" s="124">
        <f>+K28+'11'!M28+L28</f>
        <v>0</v>
      </c>
      <c r="Q28" s="183">
        <f>SUM(Q18:Q26)</f>
        <v>960</v>
      </c>
      <c r="R28" s="183">
        <f>SUM(R18:R26)</f>
        <v>1190400</v>
      </c>
      <c r="S28" s="183">
        <f>SUM(S18:S26)</f>
        <v>928512</v>
      </c>
      <c r="X28" s="183">
        <f>SUM(X18:X26)</f>
        <v>1127</v>
      </c>
      <c r="Y28" s="183">
        <f>SUM(Y18:Y26)</f>
        <v>1395810</v>
      </c>
      <c r="Z28" s="183">
        <f>SUM(Z18:Z26)</f>
        <v>1088731.8</v>
      </c>
    </row>
    <row r="29" spans="1:26" ht="13.5" thickBot="1">
      <c r="A29" s="811"/>
      <c r="B29" s="222"/>
      <c r="C29" s="223"/>
      <c r="D29" s="224"/>
      <c r="E29" s="232"/>
      <c r="F29" s="243"/>
      <c r="G29" s="239"/>
      <c r="H29" s="240"/>
      <c r="I29" s="804"/>
      <c r="J29" s="221">
        <f>+'11'!J29</f>
        <v>0</v>
      </c>
      <c r="K29" s="246"/>
      <c r="L29" s="246"/>
      <c r="M29" s="124">
        <f>+K29+'11'!M29+L29</f>
        <v>0</v>
      </c>
      <c r="Q29" s="156">
        <f>480-Q28</f>
        <v>-480</v>
      </c>
      <c r="R29" s="183">
        <f>+R28/Q28</f>
        <v>1240</v>
      </c>
      <c r="S29" s="183">
        <f>+S28/Q28</f>
        <v>967.2</v>
      </c>
      <c r="X29" s="156">
        <f>480-X28</f>
        <v>-647</v>
      </c>
      <c r="Y29" s="183">
        <f>+Y28/X28</f>
        <v>1238.5181898846495</v>
      </c>
      <c r="Z29" s="183">
        <f>+Z28/X28</f>
        <v>966.04418811002665</v>
      </c>
    </row>
    <row r="30" spans="1:26" ht="13.5" thickBot="1">
      <c r="A30" s="811"/>
      <c r="B30" s="222"/>
      <c r="C30" s="233"/>
      <c r="D30" s="224"/>
      <c r="E30" s="232"/>
      <c r="F30" s="243"/>
      <c r="G30" s="239"/>
      <c r="H30" s="240"/>
      <c r="I30" s="804"/>
      <c r="J30" s="221">
        <f>+'11'!J30</f>
        <v>0</v>
      </c>
      <c r="K30" s="246"/>
      <c r="L30" s="246"/>
      <c r="M30" s="124">
        <f>+K30+'11'!M30+L30</f>
        <v>0</v>
      </c>
      <c r="N30" s="162"/>
    </row>
    <row r="31" spans="1:26" ht="13.5" thickBot="1">
      <c r="A31" s="811"/>
      <c r="B31" s="222"/>
      <c r="C31" s="233"/>
      <c r="D31" s="224"/>
      <c r="E31" s="232"/>
      <c r="F31" s="243"/>
      <c r="G31" s="244"/>
      <c r="H31" s="241"/>
      <c r="I31" s="805"/>
      <c r="J31" s="221">
        <f>+'11'!J31</f>
        <v>0</v>
      </c>
      <c r="K31" s="246"/>
      <c r="L31" s="246"/>
      <c r="M31" s="124">
        <f>+K31+'11'!M31+L31</f>
        <v>0</v>
      </c>
    </row>
    <row r="32" spans="1:26" ht="13.5" thickBot="1">
      <c r="A32" s="812"/>
      <c r="B32" s="172" t="s">
        <v>3</v>
      </c>
      <c r="C32" s="106">
        <f>SUM(C25:C31)</f>
        <v>16614</v>
      </c>
      <c r="D32" s="107">
        <f>SUM(D25:D31)</f>
        <v>0</v>
      </c>
      <c r="E32" s="108">
        <f>SUM(E25:E31)</f>
        <v>0</v>
      </c>
      <c r="F32" s="109">
        <f>SUM(F24:F31)</f>
        <v>15</v>
      </c>
      <c r="G32" s="178"/>
      <c r="H32" s="179"/>
      <c r="I32" s="176"/>
      <c r="J32" s="221">
        <f>+'1'!J32</f>
        <v>0</v>
      </c>
      <c r="K32" s="248"/>
      <c r="L32" s="250"/>
      <c r="M32" s="124">
        <f>+K32+'11'!M32+L32</f>
        <v>0</v>
      </c>
      <c r="N32" s="156" t="s">
        <v>584</v>
      </c>
      <c r="O32" s="156">
        <v>1170</v>
      </c>
      <c r="P32" s="156">
        <v>936</v>
      </c>
      <c r="Q32" s="156">
        <v>313</v>
      </c>
    </row>
    <row r="33" spans="1:17" ht="13.5" thickBot="1">
      <c r="A33" s="180"/>
      <c r="B33" s="181"/>
      <c r="C33" s="110">
        <f>C32/($C$32+$D$32+$E$32)</f>
        <v>1</v>
      </c>
      <c r="D33" s="111">
        <f>D32/($C$32+$D$32+$E$32)</f>
        <v>0</v>
      </c>
      <c r="E33" s="112">
        <f>E32/($C$32+$D$32+$E$32)</f>
        <v>0</v>
      </c>
      <c r="F33" s="113"/>
      <c r="G33" s="182"/>
      <c r="H33" s="183"/>
      <c r="I33" s="184"/>
      <c r="J33" s="128"/>
      <c r="K33" s="129"/>
      <c r="L33" s="220"/>
      <c r="M33" s="126"/>
      <c r="N33" s="156" t="s">
        <v>615</v>
      </c>
      <c r="O33" s="156">
        <v>1238.5181898846495</v>
      </c>
      <c r="P33" s="156">
        <v>966.04418811002665</v>
      </c>
      <c r="Q33" s="156">
        <v>1127</v>
      </c>
    </row>
    <row r="34" spans="1:17" ht="13.5" thickBot="1">
      <c r="A34" s="808" t="s">
        <v>70</v>
      </c>
      <c r="B34" s="809"/>
      <c r="C34" s="114">
        <f>C14+C23+C32</f>
        <v>52848</v>
      </c>
      <c r="D34" s="114">
        <f>D14+D23+D32</f>
        <v>0</v>
      </c>
      <c r="E34" s="114">
        <f>E14+E23+E32</f>
        <v>0</v>
      </c>
      <c r="F34" s="115">
        <f>F14+F23+F32</f>
        <v>49</v>
      </c>
      <c r="H34" s="185"/>
      <c r="I34" s="185"/>
      <c r="J34" s="130" t="s">
        <v>29</v>
      </c>
      <c r="K34" s="131">
        <f>SUM(K7:K32)</f>
        <v>52848</v>
      </c>
      <c r="L34" s="219">
        <f>SUM(L7:L32)</f>
        <v>0</v>
      </c>
      <c r="M34" s="127">
        <f>SUM(M7:M32)</f>
        <v>516953</v>
      </c>
      <c r="Q34" s="156">
        <f>+Q32+Q33</f>
        <v>1440</v>
      </c>
    </row>
    <row r="35" spans="1:17" ht="13.5" thickBot="1">
      <c r="A35" s="186"/>
      <c r="B35" s="187"/>
      <c r="C35" s="111">
        <f>C34/($C$34+$D$34+$E$34)</f>
        <v>1</v>
      </c>
      <c r="D35" s="111">
        <f>D34/($C$34+$D$34+$E$34)</f>
        <v>0</v>
      </c>
      <c r="E35" s="116">
        <f>E34/($C$34+$D$34+$E$34)</f>
        <v>0</v>
      </c>
      <c r="K35" s="162"/>
      <c r="L35" s="799" t="s">
        <v>184</v>
      </c>
      <c r="M35" s="799"/>
    </row>
    <row r="36" spans="1:17" ht="13.5" thickBot="1">
      <c r="A36" s="185"/>
      <c r="B36" s="185"/>
      <c r="C36" s="162"/>
      <c r="D36" s="162"/>
      <c r="E36" s="162"/>
      <c r="G36" s="162"/>
      <c r="H36" s="188"/>
      <c r="I36" s="169" t="s">
        <v>41</v>
      </c>
      <c r="J36" s="169" t="s">
        <v>42</v>
      </c>
      <c r="K36" s="189"/>
      <c r="L36" s="169" t="s">
        <v>41</v>
      </c>
      <c r="M36" s="169" t="s">
        <v>42</v>
      </c>
    </row>
    <row r="37" spans="1:17" ht="17.45" customHeight="1" thickBot="1">
      <c r="A37" s="797" t="s">
        <v>71</v>
      </c>
      <c r="B37" s="798"/>
      <c r="C37" s="169" t="s">
        <v>72</v>
      </c>
      <c r="D37" s="190" t="s">
        <v>73</v>
      </c>
      <c r="E37" s="191" t="s">
        <v>74</v>
      </c>
      <c r="F37" s="368"/>
      <c r="G37" s="370"/>
      <c r="H37" s="193" t="s">
        <v>75</v>
      </c>
      <c r="I37" s="251">
        <f>(15*313+14*1127)/1440*G42*2.75*1440/1000000</f>
        <v>54.021343760312504</v>
      </c>
      <c r="J37" s="132">
        <f>+I37+'11'!J37</f>
        <v>575.42063012302356</v>
      </c>
      <c r="K37" s="133" t="s">
        <v>76</v>
      </c>
      <c r="L37" s="429"/>
      <c r="M37" s="430"/>
      <c r="N37" s="552"/>
    </row>
    <row r="38" spans="1:17" ht="17.45" customHeight="1">
      <c r="A38" s="793" t="s">
        <v>13</v>
      </c>
      <c r="B38" s="794"/>
      <c r="C38" s="171">
        <f>SUMIF($G$7:$G$31,"Process",$F$7:$F$31)</f>
        <v>41</v>
      </c>
      <c r="D38" s="125">
        <f>+C38+'11'!D38</f>
        <v>708</v>
      </c>
      <c r="E38" s="150">
        <f t="shared" ref="E38:E51" si="6">D38/60</f>
        <v>11.8</v>
      </c>
      <c r="F38" s="368">
        <v>1190.875</v>
      </c>
      <c r="G38" s="368">
        <v>944.14125000000001</v>
      </c>
      <c r="H38" s="194" t="s">
        <v>77</v>
      </c>
      <c r="I38" s="551">
        <f>12.791+5.608+15.593+17.642</f>
        <v>51.634</v>
      </c>
      <c r="J38" s="134">
        <f>+I38+'11'!J38</f>
        <v>535.41599999999994</v>
      </c>
      <c r="K38" s="135" t="s">
        <v>76</v>
      </c>
      <c r="L38" s="431"/>
      <c r="M38" s="432"/>
    </row>
    <row r="39" spans="1:17" ht="17.45" customHeight="1">
      <c r="A39" s="789" t="s">
        <v>14</v>
      </c>
      <c r="B39" s="790"/>
      <c r="C39" s="171">
        <f>SUMIF($G$7:$G$31,"Cleaning",$F$7:$F$31)</f>
        <v>8</v>
      </c>
      <c r="D39" s="125">
        <f>+C39+'11'!D39</f>
        <v>89</v>
      </c>
      <c r="E39" s="150">
        <f t="shared" si="6"/>
        <v>1.4833333333333334</v>
      </c>
      <c r="F39" s="368">
        <v>1240</v>
      </c>
      <c r="G39" s="368">
        <v>967.2</v>
      </c>
      <c r="H39" s="194" t="s">
        <v>78</v>
      </c>
      <c r="I39" s="149"/>
      <c r="J39" s="136">
        <f>J37/G4</f>
        <v>47.95171917691863</v>
      </c>
      <c r="K39" s="137" t="s">
        <v>76</v>
      </c>
      <c r="L39" s="431"/>
      <c r="M39" s="432"/>
    </row>
    <row r="40" spans="1:17" ht="17.45" customHeight="1">
      <c r="A40" s="789" t="s">
        <v>79</v>
      </c>
      <c r="B40" s="790"/>
      <c r="C40" s="171">
        <f>SUMIF($G$7:$G$31,"Mechanical",$F$7:$F$31)</f>
        <v>0</v>
      </c>
      <c r="D40" s="125">
        <f>+C40+'11'!D40</f>
        <v>22</v>
      </c>
      <c r="E40" s="150">
        <f t="shared" si="6"/>
        <v>0.36666666666666664</v>
      </c>
      <c r="F40" s="368">
        <v>1240</v>
      </c>
      <c r="G40" s="368">
        <v>967.2</v>
      </c>
      <c r="H40" s="194" t="s">
        <v>80</v>
      </c>
      <c r="I40" s="125">
        <f>(K34+L34)/1000</f>
        <v>52.847999999999999</v>
      </c>
      <c r="J40" s="138">
        <f>+I40+'11'!J40</f>
        <v>516.95299999999997</v>
      </c>
      <c r="K40" s="137" t="s">
        <v>76</v>
      </c>
      <c r="L40" s="431"/>
      <c r="M40" s="432"/>
    </row>
    <row r="41" spans="1:17" ht="17.45" customHeight="1">
      <c r="A41" s="789" t="s">
        <v>81</v>
      </c>
      <c r="B41" s="790"/>
      <c r="C41" s="171">
        <f>SUMIF($G$7:$G$31,"Electrical",$F$7:$F$31)</f>
        <v>0</v>
      </c>
      <c r="D41" s="125">
        <f>+C41+'11'!D41</f>
        <v>262</v>
      </c>
      <c r="E41" s="150">
        <f t="shared" si="6"/>
        <v>4.3666666666666663</v>
      </c>
      <c r="F41" s="368"/>
      <c r="G41" s="368"/>
      <c r="H41" s="194" t="s">
        <v>82</v>
      </c>
      <c r="I41" s="149"/>
      <c r="J41" s="136">
        <f>J40/G4</f>
        <v>43.079416666666667</v>
      </c>
      <c r="K41" s="137" t="s">
        <v>76</v>
      </c>
      <c r="L41" s="431"/>
      <c r="M41" s="432"/>
    </row>
    <row r="42" spans="1:17" ht="17.45" customHeight="1">
      <c r="A42" s="789" t="s">
        <v>17</v>
      </c>
      <c r="B42" s="790"/>
      <c r="C42" s="171">
        <f>SUMIF($G$7:$G$31,"Instrument",$F$7:$F$31)</f>
        <v>0</v>
      </c>
      <c r="D42" s="125">
        <f>+C42+'11'!D42</f>
        <v>0</v>
      </c>
      <c r="E42" s="150">
        <f t="shared" si="6"/>
        <v>0</v>
      </c>
      <c r="F42" s="368">
        <f>+(480*F38+480*F39+480*F40)/1440</f>
        <v>1223.625</v>
      </c>
      <c r="G42" s="368">
        <f>+(480*G38+480*G39+480*G40)/1440</f>
        <v>959.51375000000007</v>
      </c>
      <c r="H42" s="194" t="s">
        <v>83</v>
      </c>
      <c r="I42" s="253" t="s">
        <v>618</v>
      </c>
      <c r="J42" s="139"/>
      <c r="K42" s="137" t="s">
        <v>84</v>
      </c>
      <c r="L42" s="431"/>
      <c r="M42" s="432"/>
    </row>
    <row r="43" spans="1:17" ht="17.45" customHeight="1">
      <c r="A43" s="789" t="s">
        <v>85</v>
      </c>
      <c r="B43" s="790"/>
      <c r="C43" s="171">
        <f>SUMIF($G$7:$G$31,"Water",$F$7:$F$31)</f>
        <v>0</v>
      </c>
      <c r="D43" s="125">
        <f>+C43+'11'!D43</f>
        <v>0</v>
      </c>
      <c r="E43" s="150">
        <f t="shared" si="6"/>
        <v>0</v>
      </c>
      <c r="F43" s="368"/>
      <c r="G43" s="369"/>
      <c r="H43" s="195" t="s">
        <v>86</v>
      </c>
      <c r="I43" s="125">
        <f>+Report1!AH20</f>
        <v>64.8</v>
      </c>
      <c r="J43" s="140">
        <f>+I43+'11'!J43</f>
        <v>739.9</v>
      </c>
      <c r="K43" s="137" t="s">
        <v>76</v>
      </c>
      <c r="L43" s="433">
        <f>+Report1!AN20</f>
        <v>0</v>
      </c>
      <c r="M43" s="434">
        <f>+L43+'11'!M43</f>
        <v>9</v>
      </c>
    </row>
    <row r="44" spans="1:17" ht="17.45" customHeight="1">
      <c r="A44" s="789" t="s">
        <v>18</v>
      </c>
      <c r="B44" s="790"/>
      <c r="C44" s="171">
        <f>SUMIF($G$7:$G$31,"PLN",$F$7:$F$31)</f>
        <v>0</v>
      </c>
      <c r="D44" s="125">
        <f>+C44+'11'!D44</f>
        <v>0</v>
      </c>
      <c r="E44" s="150">
        <f t="shared" si="6"/>
        <v>0</v>
      </c>
      <c r="F44" s="368"/>
      <c r="G44" s="369"/>
      <c r="H44" s="195" t="s">
        <v>87</v>
      </c>
      <c r="I44" s="125">
        <f>I43/I38</f>
        <v>1.2549870240539178</v>
      </c>
      <c r="J44" s="141">
        <f>J43/J38</f>
        <v>1.3819161175609247</v>
      </c>
      <c r="K44" s="137" t="s">
        <v>76</v>
      </c>
      <c r="L44" s="435">
        <f>+L43/I38</f>
        <v>0</v>
      </c>
      <c r="M44" s="436">
        <f>+M43/J38</f>
        <v>1.6809359451342508E-2</v>
      </c>
    </row>
    <row r="45" spans="1:17" ht="17.45" customHeight="1">
      <c r="A45" s="789" t="s">
        <v>19</v>
      </c>
      <c r="B45" s="790"/>
      <c r="C45" s="171">
        <f>SUMIF($G$7:$G$31,"Boiler",$F$7:$F$31)</f>
        <v>0</v>
      </c>
      <c r="D45" s="125">
        <f>+C45+'11'!D45</f>
        <v>0</v>
      </c>
      <c r="E45" s="150">
        <f t="shared" si="6"/>
        <v>0</v>
      </c>
      <c r="F45" s="368"/>
      <c r="G45" s="371"/>
      <c r="H45" s="195" t="s">
        <v>88</v>
      </c>
      <c r="I45" s="125">
        <f>I43/I40</f>
        <v>1.2261580381471389</v>
      </c>
      <c r="J45" s="141">
        <f>J43/J40</f>
        <v>1.4312713148003784</v>
      </c>
      <c r="K45" s="137" t="s">
        <v>76</v>
      </c>
      <c r="L45" s="435">
        <f>+L43/I40</f>
        <v>0</v>
      </c>
      <c r="M45" s="436">
        <f>+M43/J40</f>
        <v>1.740970649169267E-2</v>
      </c>
    </row>
    <row r="46" spans="1:17" ht="17.45" customHeight="1">
      <c r="A46" s="789" t="s">
        <v>89</v>
      </c>
      <c r="B46" s="790"/>
      <c r="C46" s="171">
        <f>SUMIF($G$7:$G$31,"Gas",$F$7:$F$31)</f>
        <v>0</v>
      </c>
      <c r="D46" s="125">
        <f>+C46+'11'!D46</f>
        <v>408</v>
      </c>
      <c r="E46" s="150">
        <f t="shared" si="6"/>
        <v>6.8</v>
      </c>
      <c r="F46" s="368"/>
      <c r="G46" s="369"/>
      <c r="H46" s="195" t="s">
        <v>90</v>
      </c>
      <c r="I46" s="147">
        <f>+SUMIF(Listrik!P19,"&gt;0")</f>
        <v>42672.880000000041</v>
      </c>
      <c r="J46" s="142">
        <f>+I46+'11'!J46</f>
        <v>466226.42</v>
      </c>
      <c r="K46" s="137" t="s">
        <v>91</v>
      </c>
      <c r="L46" s="435">
        <f>+Listrik!AF19</f>
        <v>0</v>
      </c>
      <c r="M46" s="437">
        <f>+L46+'11'!M46</f>
        <v>0</v>
      </c>
    </row>
    <row r="47" spans="1:17" ht="17.45" customHeight="1">
      <c r="A47" s="789" t="s">
        <v>92</v>
      </c>
      <c r="B47" s="790"/>
      <c r="C47" s="171">
        <f>SUMIF($G$7:$G$31,"Gas",$F$7:$F$31)</f>
        <v>0</v>
      </c>
      <c r="D47" s="125">
        <f>+C47+'11'!D47</f>
        <v>0</v>
      </c>
      <c r="E47" s="150">
        <f t="shared" si="6"/>
        <v>0</v>
      </c>
      <c r="F47" s="368"/>
      <c r="G47" s="369"/>
      <c r="H47" s="195" t="s">
        <v>93</v>
      </c>
      <c r="I47" s="125">
        <f>I46/I38</f>
        <v>826.44923887361119</v>
      </c>
      <c r="J47" s="142">
        <f>J46/J38</f>
        <v>870.77416438806472</v>
      </c>
      <c r="K47" s="137" t="s">
        <v>25</v>
      </c>
      <c r="L47" s="435">
        <f>+L46/I38</f>
        <v>0</v>
      </c>
      <c r="M47" s="436">
        <f>+M46/J38</f>
        <v>0</v>
      </c>
    </row>
    <row r="48" spans="1:17" ht="17.45" customHeight="1">
      <c r="A48" s="789" t="s">
        <v>15</v>
      </c>
      <c r="B48" s="790"/>
      <c r="C48" s="171">
        <f>SUMIF($G$7:$G$31,"Start Up",$F$7:$F$31)</f>
        <v>0</v>
      </c>
      <c r="D48" s="125">
        <f>+C48+'11'!D48</f>
        <v>0</v>
      </c>
      <c r="E48" s="150">
        <f t="shared" si="6"/>
        <v>0</v>
      </c>
      <c r="F48" s="368"/>
      <c r="G48" s="369"/>
      <c r="H48" s="195" t="s">
        <v>94</v>
      </c>
      <c r="I48" s="125">
        <f>I46/I40</f>
        <v>807.46442627914098</v>
      </c>
      <c r="J48" s="142">
        <f>J46/J40</f>
        <v>901.87390343029256</v>
      </c>
      <c r="K48" s="137" t="s">
        <v>25</v>
      </c>
      <c r="L48" s="435">
        <f>+L46/I38</f>
        <v>0</v>
      </c>
      <c r="M48" s="436">
        <f>+M46/J40</f>
        <v>0</v>
      </c>
    </row>
    <row r="49" spans="1:13" ht="17.45" customHeight="1">
      <c r="A49" s="789" t="s">
        <v>21</v>
      </c>
      <c r="B49" s="790"/>
      <c r="C49" s="171">
        <f>SUMIF($G$7:$G$31,"Others",$F$7:$F$31)</f>
        <v>0</v>
      </c>
      <c r="D49" s="125">
        <f>+C49+'11'!D49</f>
        <v>480</v>
      </c>
      <c r="E49" s="150">
        <f t="shared" si="6"/>
        <v>8</v>
      </c>
      <c r="F49" s="192"/>
      <c r="H49" s="195" t="s">
        <v>95</v>
      </c>
      <c r="I49" s="125">
        <f>+Report1!AB20</f>
        <v>5839.2933742552796</v>
      </c>
      <c r="J49" s="142">
        <f>+I49+'11'!J49</f>
        <v>51946.483929684036</v>
      </c>
      <c r="K49" s="137" t="s">
        <v>96</v>
      </c>
      <c r="L49" s="431"/>
      <c r="M49" s="432"/>
    </row>
    <row r="50" spans="1:13" ht="17.45" customHeight="1">
      <c r="A50" s="789" t="s">
        <v>20</v>
      </c>
      <c r="B50" s="790"/>
      <c r="C50" s="171">
        <f>SUMIF($G$7:$G$31,"Steam",$F$7:$F$31)</f>
        <v>0</v>
      </c>
      <c r="D50" s="125">
        <f>+C50+'11'!D50</f>
        <v>0</v>
      </c>
      <c r="E50" s="150">
        <f t="shared" si="6"/>
        <v>0</v>
      </c>
      <c r="F50" s="192"/>
      <c r="H50" s="195" t="s">
        <v>97</v>
      </c>
      <c r="I50" s="147">
        <f>I49/I38</f>
        <v>113.09008355454313</v>
      </c>
      <c r="J50" s="140">
        <f>J49/J38</f>
        <v>97.020791178605123</v>
      </c>
      <c r="K50" s="137" t="s">
        <v>96</v>
      </c>
      <c r="L50" s="431"/>
      <c r="M50" s="432"/>
    </row>
    <row r="51" spans="1:13" ht="17.45" customHeight="1" thickBot="1">
      <c r="A51" s="791" t="s">
        <v>98</v>
      </c>
      <c r="B51" s="792"/>
      <c r="C51" s="171">
        <f>SUMIF($G$7:$G$31,"Planned shut",$F$7:$F$31)</f>
        <v>0</v>
      </c>
      <c r="D51" s="125">
        <f>+C51+'11'!D51</f>
        <v>394</v>
      </c>
      <c r="E51" s="150">
        <f t="shared" si="6"/>
        <v>6.5666666666666664</v>
      </c>
      <c r="F51" s="192"/>
      <c r="H51" s="197" t="s">
        <v>99</v>
      </c>
      <c r="I51" s="148">
        <f>I49/I40</f>
        <v>110.49223006084014</v>
      </c>
      <c r="J51" s="143">
        <f>J49/J40</f>
        <v>100.48589316569212</v>
      </c>
      <c r="K51" s="144" t="s">
        <v>96</v>
      </c>
      <c r="L51" s="431"/>
      <c r="M51" s="432"/>
    </row>
    <row r="52" spans="1:13" ht="13.5" thickBot="1">
      <c r="A52" s="793" t="s">
        <v>29</v>
      </c>
      <c r="B52" s="794"/>
      <c r="C52" s="151">
        <f>SUM(C38:C51)</f>
        <v>49</v>
      </c>
      <c r="D52" s="151">
        <f>SUM(D38:D51)</f>
        <v>2363</v>
      </c>
      <c r="E52" s="152">
        <f>SUM(E38:E51)</f>
        <v>39.38333333333334</v>
      </c>
      <c r="F52" s="192"/>
      <c r="H52" s="198"/>
      <c r="I52" s="199"/>
      <c r="J52" s="145"/>
      <c r="K52" s="146"/>
      <c r="L52" s="438"/>
      <c r="M52" s="439"/>
    </row>
    <row r="53" spans="1:13" ht="13.5" thickBot="1">
      <c r="A53" s="795"/>
      <c r="B53" s="796"/>
      <c r="C53" s="153">
        <f>C52/(24*60)</f>
        <v>3.4027777777777775E-2</v>
      </c>
      <c r="D53" s="153">
        <f>D52/(24*60*G4)</f>
        <v>0.13674768518518518</v>
      </c>
      <c r="E53" s="154">
        <f>E52/(G4*24)</f>
        <v>0.13674768518518521</v>
      </c>
      <c r="F53" s="192"/>
    </row>
    <row r="54" spans="1:13">
      <c r="E54" s="200"/>
      <c r="F54" s="192"/>
    </row>
    <row r="55" spans="1:13">
      <c r="E55" s="200"/>
    </row>
    <row r="56" spans="1:13">
      <c r="A56" s="201" t="s">
        <v>100</v>
      </c>
      <c r="B56" s="202"/>
      <c r="C56" s="203"/>
      <c r="D56" s="203"/>
      <c r="E56" s="203"/>
      <c r="F56" s="204"/>
      <c r="G56" s="203"/>
      <c r="H56" s="205"/>
      <c r="I56" s="206" t="s">
        <v>101</v>
      </c>
      <c r="J56" s="207">
        <f>+D34+'11'!J56</f>
        <v>4237</v>
      </c>
      <c r="K56" s="208">
        <f>J56/(J40+J56/1000)/1000</f>
        <v>8.1294729369327887E-3</v>
      </c>
    </row>
    <row r="57" spans="1:13">
      <c r="A57" s="183"/>
      <c r="I57" s="206" t="s">
        <v>102</v>
      </c>
      <c r="J57" s="207">
        <f>+E34+'11'!J57</f>
        <v>0</v>
      </c>
      <c r="K57" s="208">
        <f>J57/(J40+J57/1000)/1000</f>
        <v>0</v>
      </c>
    </row>
    <row r="58" spans="1:13">
      <c r="A58" s="209"/>
      <c r="B58" s="210"/>
      <c r="F58" s="192"/>
      <c r="H58" s="211"/>
      <c r="J58" s="156">
        <v>325</v>
      </c>
    </row>
    <row r="59" spans="1:13">
      <c r="A59" s="212"/>
      <c r="B59" s="183"/>
      <c r="C59" s="183"/>
      <c r="D59" s="183"/>
      <c r="E59" s="183"/>
      <c r="F59" s="196"/>
      <c r="G59" s="183"/>
      <c r="H59" s="211"/>
      <c r="J59" s="162">
        <f>+J56+J58</f>
        <v>4562</v>
      </c>
    </row>
    <row r="60" spans="1:13">
      <c r="H60" s="211"/>
    </row>
    <row r="61" spans="1:13">
      <c r="A61" s="213"/>
      <c r="B61" s="214"/>
      <c r="C61" s="214"/>
      <c r="D61" s="214"/>
      <c r="E61" s="214"/>
      <c r="F61" s="215"/>
      <c r="G61" s="214"/>
      <c r="H61" s="216"/>
    </row>
  </sheetData>
  <mergeCells count="25">
    <mergeCell ref="A7:A14"/>
    <mergeCell ref="I7:I13"/>
    <mergeCell ref="A15:A23"/>
    <mergeCell ref="I15:I22"/>
    <mergeCell ref="A46:B46"/>
    <mergeCell ref="A39:B39"/>
    <mergeCell ref="I24:I31"/>
    <mergeCell ref="A37:B37"/>
    <mergeCell ref="A38:B38"/>
    <mergeCell ref="A24:A32"/>
    <mergeCell ref="A34:B34"/>
    <mergeCell ref="A42:B42"/>
    <mergeCell ref="A43:B43"/>
    <mergeCell ref="A44:B44"/>
    <mergeCell ref="A45:B45"/>
    <mergeCell ref="A40:B40"/>
    <mergeCell ref="L35:M35"/>
    <mergeCell ref="A52:B52"/>
    <mergeCell ref="A53:B53"/>
    <mergeCell ref="A48:B48"/>
    <mergeCell ref="A49:B49"/>
    <mergeCell ref="A50:B50"/>
    <mergeCell ref="A51:B51"/>
    <mergeCell ref="A47:B47"/>
    <mergeCell ref="A41:B41"/>
  </mergeCells>
  <phoneticPr fontId="30"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S61"/>
  <sheetViews>
    <sheetView view="pageBreakPreview" zoomScale="80" zoomScaleNormal="70" zoomScaleSheetLayoutView="80" workbookViewId="0">
      <selection activeCell="A7" sqref="A7:A32"/>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2.5703125" style="156" customWidth="1"/>
    <col min="11" max="11" width="14" style="156" bestFit="1" customWidth="1"/>
    <col min="12" max="12" width="8.28515625" style="156" customWidth="1"/>
    <col min="13" max="13" width="15.5703125" style="156" bestFit="1" customWidth="1"/>
    <col min="14" max="16384" width="9.140625" style="156"/>
  </cols>
  <sheetData>
    <row r="1" spans="1:19" ht="15.75">
      <c r="A1" s="155"/>
    </row>
    <row r="2" spans="1:19" ht="15.75">
      <c r="A2" s="155" t="s">
        <v>183</v>
      </c>
    </row>
    <row r="3" spans="1:19" ht="15">
      <c r="A3" s="157"/>
    </row>
    <row r="4" spans="1:19" ht="20.25">
      <c r="A4" s="158" t="s">
        <v>5</v>
      </c>
      <c r="B4" s="159"/>
      <c r="F4" s="160" t="s">
        <v>30</v>
      </c>
      <c r="G4" s="161">
        <v>11</v>
      </c>
      <c r="H4" s="161" t="str">
        <f>+'1'!H4</f>
        <v>.01.26</v>
      </c>
      <c r="J4" s="156">
        <f>581.5+640.1+633.6</f>
        <v>1855.1999999999998</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584</v>
      </c>
      <c r="O6" s="156">
        <v>1160</v>
      </c>
      <c r="P6" s="156">
        <f>+O6-(O6*0.2)</f>
        <v>928</v>
      </c>
      <c r="Q6" s="156">
        <v>480</v>
      </c>
      <c r="R6" s="156">
        <f t="shared" ref="R6" si="0">+O6*Q6</f>
        <v>556800</v>
      </c>
      <c r="S6" s="156">
        <f t="shared" ref="S6" si="1">+P6*Q6</f>
        <v>445440</v>
      </c>
    </row>
    <row r="7" spans="1:19" ht="13.5" customHeight="1" thickBot="1">
      <c r="A7" s="800" t="s">
        <v>424</v>
      </c>
      <c r="B7" s="222" t="s">
        <v>604</v>
      </c>
      <c r="C7" s="223">
        <v>15941</v>
      </c>
      <c r="D7" s="224"/>
      <c r="E7" s="225"/>
      <c r="F7" s="235"/>
      <c r="G7" s="236" t="s">
        <v>13</v>
      </c>
      <c r="H7" s="237" t="s">
        <v>386</v>
      </c>
      <c r="I7" s="803" t="s">
        <v>591</v>
      </c>
      <c r="J7" s="221" t="str">
        <f>+'10'!J7</f>
        <v>T 13,5 RC HW</v>
      </c>
      <c r="K7" s="245"/>
      <c r="L7" s="249"/>
      <c r="M7" s="124">
        <f>+K7+'10'!M7+L7</f>
        <v>221342</v>
      </c>
    </row>
    <row r="8" spans="1:19" ht="13.5" thickBot="1">
      <c r="A8" s="801"/>
      <c r="B8" s="222"/>
      <c r="C8" s="223"/>
      <c r="D8" s="224"/>
      <c r="E8" s="226"/>
      <c r="F8" s="238">
        <v>8</v>
      </c>
      <c r="G8" s="582" t="s">
        <v>13</v>
      </c>
      <c r="H8" s="237" t="s">
        <v>415</v>
      </c>
      <c r="I8" s="804"/>
      <c r="J8" s="221" t="str">
        <f>+'10'!J8</f>
        <v>T 14,5 RC HW</v>
      </c>
      <c r="K8" s="246"/>
      <c r="L8" s="246"/>
      <c r="M8" s="124">
        <f>+K8+'10'!M8+L8</f>
        <v>57466</v>
      </c>
    </row>
    <row r="9" spans="1:19" ht="13.5" thickBot="1">
      <c r="A9" s="801"/>
      <c r="B9" s="222"/>
      <c r="C9" s="223"/>
      <c r="D9" s="224"/>
      <c r="E9" s="227"/>
      <c r="F9" s="235">
        <v>13</v>
      </c>
      <c r="G9" s="582" t="s">
        <v>13</v>
      </c>
      <c r="H9" s="240" t="s">
        <v>395</v>
      </c>
      <c r="I9" s="804"/>
      <c r="J9" s="221" t="str">
        <f>+'10'!J9</f>
        <v>TW 17 RC HW</v>
      </c>
      <c r="K9" s="246"/>
      <c r="L9" s="246"/>
      <c r="M9" s="124">
        <f>+K9+'10'!M9+L9</f>
        <v>24830</v>
      </c>
    </row>
    <row r="10" spans="1:19" ht="26.25" thickBot="1">
      <c r="A10" s="801"/>
      <c r="B10" s="222"/>
      <c r="C10" s="223"/>
      <c r="D10" s="224"/>
      <c r="E10" s="226"/>
      <c r="F10" s="235"/>
      <c r="G10" s="244" t="s">
        <v>14</v>
      </c>
      <c r="H10" s="240" t="s">
        <v>576</v>
      </c>
      <c r="I10" s="804"/>
      <c r="J10" s="221" t="str">
        <f>+'10'!J10</f>
        <v>TW 22 RC HW</v>
      </c>
      <c r="K10" s="246"/>
      <c r="L10" s="246"/>
      <c r="M10" s="124">
        <f>+K10+'10'!M10+L10</f>
        <v>24459</v>
      </c>
    </row>
    <row r="11" spans="1:19" ht="13.5" thickBot="1">
      <c r="A11" s="801"/>
      <c r="B11" s="222"/>
      <c r="C11" s="223"/>
      <c r="D11" s="224"/>
      <c r="E11" s="226"/>
      <c r="F11" s="235"/>
      <c r="G11" s="239"/>
      <c r="H11" s="240"/>
      <c r="I11" s="804"/>
      <c r="J11" s="221" t="str">
        <f>+'10'!J11</f>
        <v>TW 14 RC HW</v>
      </c>
      <c r="K11" s="246"/>
      <c r="L11" s="246"/>
      <c r="M11" s="124">
        <f>+K11+'10'!M11+L11</f>
        <v>8043</v>
      </c>
    </row>
    <row r="12" spans="1:19" ht="13.5" thickBot="1">
      <c r="A12" s="801"/>
      <c r="B12" s="222"/>
      <c r="C12" s="223"/>
      <c r="D12" s="224"/>
      <c r="E12" s="226"/>
      <c r="F12" s="235"/>
      <c r="G12" s="239"/>
      <c r="H12" s="240"/>
      <c r="I12" s="804"/>
      <c r="J12" s="221" t="str">
        <f>+'10'!J12</f>
        <v>TW 29 RC HW</v>
      </c>
      <c r="K12" s="246"/>
      <c r="L12" s="246"/>
      <c r="M12" s="124">
        <f>+K12+'10'!M12+L12</f>
        <v>21439</v>
      </c>
    </row>
    <row r="13" spans="1:19" ht="13.5" thickBot="1">
      <c r="A13" s="801"/>
      <c r="B13" s="222"/>
      <c r="C13" s="223"/>
      <c r="D13" s="223"/>
      <c r="E13" s="226"/>
      <c r="F13" s="235"/>
      <c r="G13" s="239"/>
      <c r="H13" s="240"/>
      <c r="I13" s="805"/>
      <c r="J13" s="221" t="str">
        <f>+'10'!J13</f>
        <v>TW 35,5 RC HW</v>
      </c>
      <c r="K13" s="246"/>
      <c r="L13" s="246"/>
      <c r="M13" s="124">
        <f>+K13+'10'!M13+L13</f>
        <v>2193</v>
      </c>
    </row>
    <row r="14" spans="1:19" ht="13.5" thickBot="1">
      <c r="A14" s="802"/>
      <c r="B14" s="172" t="s">
        <v>3</v>
      </c>
      <c r="C14" s="106">
        <f>SUM(C7:C13)</f>
        <v>15941</v>
      </c>
      <c r="D14" s="118">
        <f>SUM(D7:D13)</f>
        <v>0</v>
      </c>
      <c r="E14" s="119">
        <f>SUM(E5:E13)</f>
        <v>0</v>
      </c>
      <c r="F14" s="109">
        <f>SUM(F6:F13)</f>
        <v>21</v>
      </c>
      <c r="G14" s="166"/>
      <c r="H14" s="173"/>
      <c r="I14" s="174"/>
      <c r="J14" s="221" t="str">
        <f>+'10'!J14</f>
        <v>N 15,5 RC HW</v>
      </c>
      <c r="K14" s="246"/>
      <c r="L14" s="246"/>
      <c r="M14" s="124">
        <f>+K14+'10'!M14+L14</f>
        <v>46927</v>
      </c>
    </row>
    <row r="15" spans="1:19" ht="13.5" customHeight="1" thickBot="1">
      <c r="A15" s="800" t="s">
        <v>440</v>
      </c>
      <c r="B15" s="172"/>
      <c r="C15" s="120">
        <f>C14/($C$23+$D$23+$E$23)</f>
        <v>0.91389095912400387</v>
      </c>
      <c r="D15" s="121">
        <f>D14/($C$23+$D$23+$E$23)</f>
        <v>0</v>
      </c>
      <c r="E15" s="122">
        <f>E14/($C$23+$D$23+$E$23)</f>
        <v>0</v>
      </c>
      <c r="F15" s="235"/>
      <c r="G15" s="236" t="s">
        <v>13</v>
      </c>
      <c r="H15" s="237" t="s">
        <v>386</v>
      </c>
      <c r="I15" s="803" t="s">
        <v>590</v>
      </c>
      <c r="J15" s="221" t="str">
        <f>+'10'!J15</f>
        <v>F 14 RC HW</v>
      </c>
      <c r="K15" s="246"/>
      <c r="L15" s="246"/>
      <c r="M15" s="124">
        <f>+K15+'10'!M15+L15</f>
        <v>4620</v>
      </c>
    </row>
    <row r="16" spans="1:19" ht="13.5" thickBot="1">
      <c r="A16" s="811"/>
      <c r="B16" s="222" t="s">
        <v>604</v>
      </c>
      <c r="C16" s="229">
        <v>17443</v>
      </c>
      <c r="D16" s="230"/>
      <c r="E16" s="231"/>
      <c r="F16" s="238">
        <v>5</v>
      </c>
      <c r="G16" s="582" t="s">
        <v>13</v>
      </c>
      <c r="H16" s="237" t="s">
        <v>437</v>
      </c>
      <c r="I16" s="804"/>
      <c r="J16" s="221" t="str">
        <f>+'10'!J16</f>
        <v>T 15 RC HW</v>
      </c>
      <c r="K16" s="246">
        <f>+C34</f>
        <v>52124</v>
      </c>
      <c r="L16" s="236"/>
      <c r="M16" s="124">
        <f>+K16+'10'!M16+L16</f>
        <v>52786</v>
      </c>
      <c r="Q16" s="183">
        <f>SUM(Q6:Q14)</f>
        <v>480</v>
      </c>
      <c r="R16" s="183">
        <f>SUM(R6:R14)</f>
        <v>556800</v>
      </c>
      <c r="S16" s="183">
        <f>SUM(S6:S14)</f>
        <v>445440</v>
      </c>
    </row>
    <row r="17" spans="1:19" ht="13.5" thickBot="1">
      <c r="A17" s="811"/>
      <c r="B17" s="222"/>
      <c r="C17" s="223"/>
      <c r="D17" s="224"/>
      <c r="E17" s="232"/>
      <c r="F17" s="235">
        <v>5</v>
      </c>
      <c r="G17" s="582" t="s">
        <v>13</v>
      </c>
      <c r="H17" s="240" t="s">
        <v>523</v>
      </c>
      <c r="I17" s="804"/>
      <c r="J17" s="221">
        <f>+'10'!J17</f>
        <v>0</v>
      </c>
      <c r="K17" s="246"/>
      <c r="L17" s="236"/>
      <c r="M17" s="124">
        <f>+K17+'10'!M17+L17</f>
        <v>0</v>
      </c>
      <c r="Q17" s="156">
        <f>480-Q16</f>
        <v>0</v>
      </c>
      <c r="R17" s="183">
        <f>+R16/Q16</f>
        <v>1160</v>
      </c>
      <c r="S17" s="183">
        <f>+S16/Q16</f>
        <v>928</v>
      </c>
    </row>
    <row r="18" spans="1:19" ht="26.25" thickBot="1">
      <c r="A18" s="811"/>
      <c r="B18" s="222"/>
      <c r="C18" s="223"/>
      <c r="D18" s="224"/>
      <c r="E18" s="232"/>
      <c r="F18" s="235"/>
      <c r="G18" s="244" t="s">
        <v>14</v>
      </c>
      <c r="H18" s="240" t="s">
        <v>574</v>
      </c>
      <c r="I18" s="804"/>
      <c r="J18" s="221">
        <f>+'10'!J18</f>
        <v>0</v>
      </c>
      <c r="K18" s="246"/>
      <c r="L18" s="246"/>
      <c r="M18" s="124">
        <f>+K18+'10'!M18+L18</f>
        <v>0</v>
      </c>
      <c r="N18" s="156" t="s">
        <v>584</v>
      </c>
      <c r="O18" s="156">
        <v>1170</v>
      </c>
      <c r="P18" s="156">
        <f>+O18-(O18*0.2)</f>
        <v>936</v>
      </c>
      <c r="Q18" s="156">
        <v>480</v>
      </c>
      <c r="R18" s="156">
        <f t="shared" ref="R18" si="2">+O18*Q18</f>
        <v>561600</v>
      </c>
      <c r="S18" s="156">
        <f t="shared" ref="S18" si="3">+P18*Q18</f>
        <v>449280</v>
      </c>
    </row>
    <row r="19" spans="1:19" ht="13.5" thickBot="1">
      <c r="A19" s="811"/>
      <c r="B19" s="222"/>
      <c r="C19" s="223"/>
      <c r="D19" s="224"/>
      <c r="E19" s="232"/>
      <c r="F19" s="242"/>
      <c r="G19" s="239"/>
      <c r="H19" s="240" t="s">
        <v>575</v>
      </c>
      <c r="I19" s="804"/>
      <c r="J19" s="221">
        <f>+'10'!J19</f>
        <v>0</v>
      </c>
      <c r="K19" s="246"/>
      <c r="L19" s="246"/>
      <c r="M19" s="124">
        <f>+K19+'10'!M19+L19</f>
        <v>0</v>
      </c>
    </row>
    <row r="20" spans="1:19" ht="13.5" thickBot="1">
      <c r="A20" s="811"/>
      <c r="B20" s="222"/>
      <c r="C20" s="223"/>
      <c r="D20" s="224"/>
      <c r="E20" s="232"/>
      <c r="F20" s="235"/>
      <c r="G20" s="239"/>
      <c r="H20" s="240"/>
      <c r="I20" s="804"/>
      <c r="J20" s="221">
        <f>+'10'!J20</f>
        <v>0</v>
      </c>
      <c r="K20" s="246"/>
      <c r="L20" s="247"/>
      <c r="M20" s="124">
        <f>+K20+'10'!M20+L20</f>
        <v>0</v>
      </c>
    </row>
    <row r="21" spans="1:19" ht="13.5" thickBot="1">
      <c r="A21" s="811"/>
      <c r="B21" s="222"/>
      <c r="C21" s="223"/>
      <c r="D21" s="224"/>
      <c r="E21" s="232"/>
      <c r="F21" s="238"/>
      <c r="G21" s="239"/>
      <c r="H21" s="240"/>
      <c r="I21" s="804"/>
      <c r="J21" s="221">
        <f>+'10'!J21</f>
        <v>0</v>
      </c>
      <c r="K21" s="246"/>
      <c r="L21" s="246"/>
      <c r="M21" s="124">
        <f>+K21+'10'!M21+L21</f>
        <v>0</v>
      </c>
    </row>
    <row r="22" spans="1:19" ht="13.5" thickBot="1">
      <c r="A22" s="811"/>
      <c r="B22" s="222"/>
      <c r="C22" s="223"/>
      <c r="D22" s="224"/>
      <c r="E22" s="232"/>
      <c r="F22" s="243"/>
      <c r="G22" s="239"/>
      <c r="H22" s="240"/>
      <c r="I22" s="805"/>
      <c r="J22" s="221">
        <f>+'10'!J22</f>
        <v>0</v>
      </c>
      <c r="K22" s="246"/>
      <c r="L22" s="246"/>
      <c r="M22" s="124">
        <f>+K22+'10'!M22+L22</f>
        <v>0</v>
      </c>
    </row>
    <row r="23" spans="1:19" ht="13.5" thickBot="1">
      <c r="A23" s="812"/>
      <c r="B23" s="172" t="s">
        <v>3</v>
      </c>
      <c r="C23" s="107">
        <f>SUM(C16:C22)</f>
        <v>17443</v>
      </c>
      <c r="D23" s="118">
        <f>SUM(D16:D22)</f>
        <v>0</v>
      </c>
      <c r="E23" s="119">
        <f>SUM(E18:E22)</f>
        <v>0</v>
      </c>
      <c r="F23" s="109">
        <f>SUM(F15:F22)</f>
        <v>10</v>
      </c>
      <c r="G23" s="166"/>
      <c r="H23" s="173"/>
      <c r="I23" s="176"/>
      <c r="J23" s="221">
        <f>+'10'!J23</f>
        <v>0</v>
      </c>
      <c r="K23" s="246"/>
      <c r="L23" s="246"/>
      <c r="M23" s="124">
        <f>+K23+'10'!M23+L23</f>
        <v>0</v>
      </c>
    </row>
    <row r="24" spans="1:19" ht="13.5" customHeight="1" thickBot="1">
      <c r="A24" s="800" t="s">
        <v>423</v>
      </c>
      <c r="B24" s="177"/>
      <c r="C24" s="120">
        <f>C23/($C$23+$D$23+$E$23)</f>
        <v>1</v>
      </c>
      <c r="D24" s="121">
        <f>D23/($C$23+$D$23+$E$23)</f>
        <v>0</v>
      </c>
      <c r="E24" s="122">
        <f>E23/($C$23+$D$23+$E$23)</f>
        <v>0</v>
      </c>
      <c r="F24" s="235"/>
      <c r="G24" s="236" t="s">
        <v>13</v>
      </c>
      <c r="H24" s="237" t="s">
        <v>386</v>
      </c>
      <c r="I24" s="803" t="s">
        <v>590</v>
      </c>
      <c r="J24" s="221">
        <f>+'10'!J24</f>
        <v>0</v>
      </c>
      <c r="K24" s="246"/>
      <c r="L24" s="246"/>
      <c r="M24" s="124">
        <f>+K24+'10'!M24+L24</f>
        <v>0</v>
      </c>
    </row>
    <row r="25" spans="1:19" ht="13.5" customHeight="1" thickBot="1">
      <c r="A25" s="811"/>
      <c r="B25" s="222" t="s">
        <v>604</v>
      </c>
      <c r="C25" s="233">
        <v>18740</v>
      </c>
      <c r="D25" s="224"/>
      <c r="E25" s="232"/>
      <c r="F25" s="238">
        <v>2</v>
      </c>
      <c r="G25" s="582" t="s">
        <v>13</v>
      </c>
      <c r="H25" s="237" t="s">
        <v>437</v>
      </c>
      <c r="I25" s="804"/>
      <c r="J25" s="221">
        <f>+'10'!J25</f>
        <v>0</v>
      </c>
      <c r="K25" s="246"/>
      <c r="L25" s="246"/>
      <c r="M25" s="124">
        <f>+K25+'10'!M25+L25</f>
        <v>0</v>
      </c>
    </row>
    <row r="26" spans="1:19" ht="13.5" customHeight="1" thickBot="1">
      <c r="A26" s="811"/>
      <c r="B26" s="222"/>
      <c r="C26" s="233"/>
      <c r="D26" s="224"/>
      <c r="E26" s="234"/>
      <c r="F26" s="235">
        <v>5</v>
      </c>
      <c r="G26" s="582" t="s">
        <v>13</v>
      </c>
      <c r="H26" s="240" t="s">
        <v>523</v>
      </c>
      <c r="I26" s="804"/>
      <c r="J26" s="221">
        <f>+'10'!J26</f>
        <v>0</v>
      </c>
      <c r="K26" s="236"/>
      <c r="L26" s="236"/>
      <c r="M26" s="124">
        <f>+K26+'10'!M26+L26</f>
        <v>0</v>
      </c>
    </row>
    <row r="27" spans="1:19" ht="26.25" thickBot="1">
      <c r="A27" s="811"/>
      <c r="B27" s="222"/>
      <c r="C27" s="223"/>
      <c r="D27" s="224"/>
      <c r="E27" s="232"/>
      <c r="F27" s="235"/>
      <c r="G27" s="244" t="s">
        <v>14</v>
      </c>
      <c r="H27" s="240" t="s">
        <v>574</v>
      </c>
      <c r="I27" s="804"/>
      <c r="J27" s="221">
        <f>+'10'!J27</f>
        <v>0</v>
      </c>
      <c r="K27" s="236"/>
      <c r="L27" s="236"/>
      <c r="M27" s="124">
        <f>+K27+'10'!M27+L27</f>
        <v>0</v>
      </c>
    </row>
    <row r="28" spans="1:19" ht="13.5" customHeight="1" thickBot="1">
      <c r="A28" s="811"/>
      <c r="B28" s="222"/>
      <c r="C28" s="223"/>
      <c r="D28" s="224"/>
      <c r="E28" s="232"/>
      <c r="F28" s="238"/>
      <c r="G28" s="239"/>
      <c r="H28" s="240"/>
      <c r="I28" s="804"/>
      <c r="J28" s="221">
        <f>+'10'!J28</f>
        <v>0</v>
      </c>
      <c r="K28" s="246"/>
      <c r="L28" s="246"/>
      <c r="M28" s="124">
        <f>+K28+'10'!M28+L28</f>
        <v>0</v>
      </c>
      <c r="Q28" s="183">
        <f>SUM(Q18:Q26)</f>
        <v>480</v>
      </c>
      <c r="R28" s="183">
        <f>SUM(R18:R26)</f>
        <v>561600</v>
      </c>
      <c r="S28" s="183">
        <f>SUM(S18:S26)</f>
        <v>449280</v>
      </c>
    </row>
    <row r="29" spans="1:19" ht="13.5" customHeight="1" thickBot="1">
      <c r="A29" s="811"/>
      <c r="B29" s="222"/>
      <c r="C29" s="223"/>
      <c r="D29" s="224"/>
      <c r="E29" s="232"/>
      <c r="F29" s="243"/>
      <c r="G29" s="239"/>
      <c r="H29" s="240"/>
      <c r="I29" s="804"/>
      <c r="J29" s="221">
        <f>+'10'!J29</f>
        <v>0</v>
      </c>
      <c r="K29" s="246"/>
      <c r="L29" s="246"/>
      <c r="M29" s="124">
        <f>+K29+'10'!M29+L29</f>
        <v>0</v>
      </c>
      <c r="Q29" s="156">
        <f>480-Q28</f>
        <v>0</v>
      </c>
      <c r="R29" s="183">
        <f>+R28/Q28</f>
        <v>1170</v>
      </c>
      <c r="S29" s="183">
        <f>+S28/Q28</f>
        <v>936</v>
      </c>
    </row>
    <row r="30" spans="1:19" ht="13.5" customHeight="1" thickBot="1">
      <c r="A30" s="811"/>
      <c r="B30" s="222"/>
      <c r="C30" s="233"/>
      <c r="D30" s="224"/>
      <c r="E30" s="232"/>
      <c r="F30" s="243"/>
      <c r="G30" s="239"/>
      <c r="H30" s="240"/>
      <c r="I30" s="804"/>
      <c r="J30" s="221">
        <f>+'10'!J30</f>
        <v>0</v>
      </c>
      <c r="K30" s="247"/>
      <c r="L30" s="247"/>
      <c r="M30" s="124">
        <f>+K30+'10'!M30+L30</f>
        <v>0</v>
      </c>
    </row>
    <row r="31" spans="1:19" ht="13.5" customHeight="1" thickBot="1">
      <c r="A31" s="811"/>
      <c r="B31" s="222"/>
      <c r="C31" s="233"/>
      <c r="D31" s="224"/>
      <c r="E31" s="232"/>
      <c r="F31" s="243"/>
      <c r="G31" s="244"/>
      <c r="H31" s="241"/>
      <c r="I31" s="805"/>
      <c r="J31" s="221">
        <f>+'10'!J31</f>
        <v>0</v>
      </c>
      <c r="K31" s="246"/>
      <c r="L31" s="246"/>
      <c r="M31" s="124">
        <f>+K31+'10'!M31+L31</f>
        <v>0</v>
      </c>
    </row>
    <row r="32" spans="1:19" ht="13.5" customHeight="1" thickBot="1">
      <c r="A32" s="812"/>
      <c r="B32" s="172" t="s">
        <v>3</v>
      </c>
      <c r="C32" s="106">
        <f>SUM(C25:C31)</f>
        <v>18740</v>
      </c>
      <c r="D32" s="107">
        <f>SUM(D25:D31)</f>
        <v>0</v>
      </c>
      <c r="E32" s="108">
        <f>SUM(E25:E31)</f>
        <v>0</v>
      </c>
      <c r="F32" s="109">
        <f>SUM(F24:F31)</f>
        <v>7</v>
      </c>
      <c r="G32" s="178"/>
      <c r="H32" s="179"/>
      <c r="I32" s="176"/>
      <c r="J32" s="221">
        <f>+'10'!J32</f>
        <v>0</v>
      </c>
      <c r="K32" s="246"/>
      <c r="L32" s="246"/>
      <c r="M32" s="124">
        <f>+K32+'10'!M32+L32</f>
        <v>0</v>
      </c>
      <c r="N32" s="156" t="s">
        <v>584</v>
      </c>
      <c r="O32" s="156">
        <v>1170</v>
      </c>
      <c r="P32" s="156">
        <f>+O32-(O32*0.2)</f>
        <v>936</v>
      </c>
      <c r="Q32" s="156">
        <v>480</v>
      </c>
      <c r="R32" s="156">
        <f t="shared" ref="R32" si="4">+O32*Q32</f>
        <v>561600</v>
      </c>
      <c r="S32" s="156">
        <f t="shared" ref="S32" si="5">+P32*Q32</f>
        <v>449280</v>
      </c>
    </row>
    <row r="33" spans="1:19" ht="13.5" thickBot="1">
      <c r="A33" s="180"/>
      <c r="B33" s="181"/>
      <c r="C33" s="110">
        <f>C32/($C$32+$D$32+$E$32)</f>
        <v>1</v>
      </c>
      <c r="D33" s="111">
        <f>D32/($C$32+$D$32+$E$32)</f>
        <v>0</v>
      </c>
      <c r="E33" s="112">
        <f>E32/($C$32+$D$32+$E$32)</f>
        <v>0</v>
      </c>
      <c r="F33" s="113"/>
      <c r="G33" s="182"/>
      <c r="H33" s="183"/>
      <c r="I33" s="184"/>
      <c r="J33" s="128"/>
      <c r="K33" s="129"/>
      <c r="L33" s="220"/>
      <c r="M33" s="126"/>
    </row>
    <row r="34" spans="1:19" ht="13.5" thickBot="1">
      <c r="A34" s="808" t="s">
        <v>70</v>
      </c>
      <c r="B34" s="809"/>
      <c r="C34" s="114">
        <f>C14+C23+C32</f>
        <v>52124</v>
      </c>
      <c r="D34" s="114">
        <f>D14+D23+D32</f>
        <v>0</v>
      </c>
      <c r="E34" s="114">
        <f>E14+E23+E32</f>
        <v>0</v>
      </c>
      <c r="F34" s="115">
        <f>F14+F23+F32</f>
        <v>38</v>
      </c>
      <c r="H34" s="185"/>
      <c r="I34" s="185"/>
      <c r="J34" s="130" t="s">
        <v>29</v>
      </c>
      <c r="K34" s="131">
        <f>SUM(K7:K32)</f>
        <v>52124</v>
      </c>
      <c r="L34" s="219">
        <f>SUM(L7:L32)</f>
        <v>0</v>
      </c>
      <c r="M34" s="127">
        <f>SUM(M7:M32)</f>
        <v>464105</v>
      </c>
    </row>
    <row r="35" spans="1:19" ht="13.5" thickBot="1">
      <c r="A35" s="186"/>
      <c r="B35" s="187"/>
      <c r="C35" s="111">
        <f>C34/($C$34+$D$34+$E$34)</f>
        <v>1</v>
      </c>
      <c r="D35" s="111">
        <f>D34/($C$34+$D$34+$E$34)</f>
        <v>0</v>
      </c>
      <c r="E35" s="116">
        <f>E34/($C$34+$D$34+$E$34)</f>
        <v>0</v>
      </c>
      <c r="K35" s="162"/>
      <c r="L35" s="799" t="s">
        <v>184</v>
      </c>
      <c r="M35" s="799"/>
    </row>
    <row r="36" spans="1:19" ht="13.5" thickBot="1">
      <c r="A36" s="185"/>
      <c r="B36" s="185"/>
      <c r="C36" s="162"/>
      <c r="D36" s="162"/>
      <c r="E36" s="162"/>
      <c r="G36" s="162"/>
      <c r="H36" s="188"/>
      <c r="I36" s="169" t="s">
        <v>41</v>
      </c>
      <c r="J36" s="169" t="s">
        <v>42</v>
      </c>
      <c r="K36" s="189"/>
      <c r="L36" s="169" t="s">
        <v>41</v>
      </c>
      <c r="M36" s="169" t="s">
        <v>42</v>
      </c>
    </row>
    <row r="37" spans="1:19" ht="17.45" customHeight="1" thickBot="1">
      <c r="A37" s="797" t="s">
        <v>71</v>
      </c>
      <c r="B37" s="798"/>
      <c r="C37" s="169" t="s">
        <v>72</v>
      </c>
      <c r="D37" s="190" t="s">
        <v>73</v>
      </c>
      <c r="E37" s="191" t="s">
        <v>74</v>
      </c>
      <c r="F37" s="368"/>
      <c r="G37" s="370"/>
      <c r="H37" s="193" t="s">
        <v>75</v>
      </c>
      <c r="I37" s="251">
        <f>(15*1440)/1440*G42*2.75*1440/1000000</f>
        <v>55.44</v>
      </c>
      <c r="J37" s="132">
        <f>+I37+'10'!J37</f>
        <v>521.399286362711</v>
      </c>
      <c r="K37" s="133" t="s">
        <v>76</v>
      </c>
      <c r="L37" s="429"/>
      <c r="M37" s="430"/>
    </row>
    <row r="38" spans="1:19" ht="17.45" customHeight="1">
      <c r="A38" s="793" t="s">
        <v>13</v>
      </c>
      <c r="B38" s="794"/>
      <c r="C38" s="171">
        <f>SUMIF($G$7:$G$31,"Process",$F$7:$F$31)</f>
        <v>38</v>
      </c>
      <c r="D38" s="125">
        <f>+C38+'10'!D38</f>
        <v>667</v>
      </c>
      <c r="E38" s="150">
        <f t="shared" ref="E38:E51" si="6">D38/60</f>
        <v>11.116666666666667</v>
      </c>
      <c r="F38" s="368">
        <v>1160</v>
      </c>
      <c r="G38" s="368">
        <v>928</v>
      </c>
      <c r="H38" s="194" t="s">
        <v>77</v>
      </c>
      <c r="I38" s="551">
        <f>18.359+17.714+18.803</f>
        <v>54.876000000000005</v>
      </c>
      <c r="J38" s="134">
        <f>+I38+'10'!J38</f>
        <v>483.78199999999993</v>
      </c>
      <c r="K38" s="135" t="s">
        <v>76</v>
      </c>
      <c r="L38" s="431"/>
      <c r="M38" s="432"/>
    </row>
    <row r="39" spans="1:19" ht="17.45" customHeight="1">
      <c r="A39" s="789" t="s">
        <v>14</v>
      </c>
      <c r="B39" s="790"/>
      <c r="C39" s="171">
        <f>SUMIF($G$7:$G$31,"Cleaning",$F$7:$F$31)</f>
        <v>0</v>
      </c>
      <c r="D39" s="125">
        <f>+C39+'10'!D39</f>
        <v>81</v>
      </c>
      <c r="E39" s="150">
        <f t="shared" si="6"/>
        <v>1.35</v>
      </c>
      <c r="F39" s="368">
        <v>1170</v>
      </c>
      <c r="G39" s="368">
        <v>936</v>
      </c>
      <c r="H39" s="194" t="s">
        <v>78</v>
      </c>
      <c r="I39" s="149"/>
      <c r="J39" s="136">
        <f>J37/G4</f>
        <v>47.39993512388282</v>
      </c>
      <c r="K39" s="137" t="s">
        <v>76</v>
      </c>
      <c r="L39" s="431"/>
      <c r="M39" s="432"/>
    </row>
    <row r="40" spans="1:19" ht="17.45" customHeight="1">
      <c r="A40" s="789" t="s">
        <v>79</v>
      </c>
      <c r="B40" s="790"/>
      <c r="C40" s="171">
        <f>SUMIF($G$7:$G$31,"Mechanical",$F$7:$F$31)</f>
        <v>0</v>
      </c>
      <c r="D40" s="125">
        <f>+C40+'10'!D40</f>
        <v>22</v>
      </c>
      <c r="E40" s="150">
        <f t="shared" si="6"/>
        <v>0.36666666666666664</v>
      </c>
      <c r="F40" s="368">
        <v>1170</v>
      </c>
      <c r="G40" s="368">
        <v>936</v>
      </c>
      <c r="H40" s="194" t="s">
        <v>80</v>
      </c>
      <c r="I40" s="125">
        <f>(K34+L34)/1000</f>
        <v>52.124000000000002</v>
      </c>
      <c r="J40" s="138">
        <f>+I40+'10'!J40</f>
        <v>464.10499999999996</v>
      </c>
      <c r="K40" s="137" t="s">
        <v>76</v>
      </c>
      <c r="L40" s="431"/>
      <c r="M40" s="432"/>
    </row>
    <row r="41" spans="1:19" ht="17.45" customHeight="1">
      <c r="A41" s="789" t="s">
        <v>81</v>
      </c>
      <c r="B41" s="790"/>
      <c r="C41" s="171">
        <f>SUMIF($G$7:$G$31,"Electrical",$F$7:$F$31)</f>
        <v>0</v>
      </c>
      <c r="D41" s="125">
        <f>+C41+'10'!D41</f>
        <v>262</v>
      </c>
      <c r="E41" s="150">
        <f t="shared" si="6"/>
        <v>4.3666666666666663</v>
      </c>
      <c r="F41" s="368"/>
      <c r="G41" s="368"/>
      <c r="H41" s="194" t="s">
        <v>82</v>
      </c>
      <c r="I41" s="149"/>
      <c r="J41" s="136">
        <f>J40/G4</f>
        <v>42.191363636363633</v>
      </c>
      <c r="K41" s="137" t="s">
        <v>76</v>
      </c>
      <c r="L41" s="431"/>
      <c r="M41" s="432"/>
    </row>
    <row r="42" spans="1:19" ht="17.45" customHeight="1">
      <c r="A42" s="789" t="s">
        <v>17</v>
      </c>
      <c r="B42" s="790"/>
      <c r="C42" s="171">
        <f>SUMIF($G$7:$G$31,"Instrument",$F$7:$F$31)</f>
        <v>0</v>
      </c>
      <c r="D42" s="125">
        <f>+C42+'10'!D42</f>
        <v>0</v>
      </c>
      <c r="E42" s="150">
        <f t="shared" si="6"/>
        <v>0</v>
      </c>
      <c r="F42" s="368">
        <f>+(480*F38+480*F39+480*F40)/1440</f>
        <v>1166.6666666666667</v>
      </c>
      <c r="G42" s="368">
        <f>+(480*G38+480*G39+480*G40)/1440</f>
        <v>933.33333333333337</v>
      </c>
      <c r="H42" s="194" t="s">
        <v>83</v>
      </c>
      <c r="I42" s="253" t="s">
        <v>592</v>
      </c>
      <c r="J42" s="139"/>
      <c r="K42" s="137" t="s">
        <v>84</v>
      </c>
      <c r="L42" s="431"/>
      <c r="M42" s="432"/>
      <c r="Q42" s="183">
        <f>SUM(Q32:Q40)</f>
        <v>480</v>
      </c>
      <c r="R42" s="183">
        <f>SUM(R32:R40)</f>
        <v>561600</v>
      </c>
      <c r="S42" s="183">
        <f>SUM(S32:S40)</f>
        <v>449280</v>
      </c>
    </row>
    <row r="43" spans="1:19" ht="17.45" customHeight="1">
      <c r="A43" s="789" t="s">
        <v>199</v>
      </c>
      <c r="B43" s="790"/>
      <c r="C43" s="171">
        <f>SUMIF($G$7:$G$31,"Change Grade",$F$7:$F$31)</f>
        <v>0</v>
      </c>
      <c r="D43" s="125">
        <f>+C43+'10'!D43</f>
        <v>0</v>
      </c>
      <c r="E43" s="150">
        <f t="shared" si="6"/>
        <v>0</v>
      </c>
      <c r="F43" s="368"/>
      <c r="G43" s="369"/>
      <c r="H43" s="195" t="s">
        <v>86</v>
      </c>
      <c r="I43" s="125">
        <f>+Report1!AH19</f>
        <v>67.8</v>
      </c>
      <c r="J43" s="140">
        <f>+I43+'10'!J43</f>
        <v>675.1</v>
      </c>
      <c r="K43" s="137" t="s">
        <v>76</v>
      </c>
      <c r="L43" s="433">
        <f>+Report1!AN19</f>
        <v>0</v>
      </c>
      <c r="M43" s="434">
        <f>+L43+'10'!M43</f>
        <v>9</v>
      </c>
      <c r="Q43" s="156">
        <f>480-Q42</f>
        <v>0</v>
      </c>
      <c r="R43" s="183">
        <f>+R42/Q42</f>
        <v>1170</v>
      </c>
      <c r="S43" s="183">
        <f>+S42/Q42</f>
        <v>936</v>
      </c>
    </row>
    <row r="44" spans="1:19" ht="17.45" customHeight="1">
      <c r="A44" s="789" t="s">
        <v>18</v>
      </c>
      <c r="B44" s="790"/>
      <c r="C44" s="171">
        <f>SUMIF($G$7:$G$31,"PLN",$F$7:$F$31)</f>
        <v>0</v>
      </c>
      <c r="D44" s="125">
        <f>+C44+'10'!D44</f>
        <v>0</v>
      </c>
      <c r="E44" s="150">
        <f t="shared" si="6"/>
        <v>0</v>
      </c>
      <c r="F44" s="368"/>
      <c r="G44" s="369"/>
      <c r="H44" s="195" t="s">
        <v>87</v>
      </c>
      <c r="I44" s="125">
        <f>I43/I38</f>
        <v>1.2355127924775857</v>
      </c>
      <c r="J44" s="141">
        <f>J43/J38</f>
        <v>1.3954632458421359</v>
      </c>
      <c r="K44" s="137" t="s">
        <v>76</v>
      </c>
      <c r="L44" s="435">
        <f>+L43/I38</f>
        <v>0</v>
      </c>
      <c r="M44" s="436">
        <f>+M43/J38</f>
        <v>1.8603420548924932E-2</v>
      </c>
    </row>
    <row r="45" spans="1:19" ht="17.45" customHeight="1">
      <c r="A45" s="789" t="s">
        <v>19</v>
      </c>
      <c r="B45" s="790"/>
      <c r="C45" s="171">
        <f>SUMIF($G$7:$G$31,"Boiler",$F$7:$F$31)</f>
        <v>0</v>
      </c>
      <c r="D45" s="125">
        <f>+C45+'10'!D45</f>
        <v>0</v>
      </c>
      <c r="E45" s="150">
        <f t="shared" si="6"/>
        <v>0</v>
      </c>
      <c r="F45" s="368"/>
      <c r="G45" s="371"/>
      <c r="H45" s="195" t="s">
        <v>88</v>
      </c>
      <c r="I45" s="125">
        <f>I43/I40</f>
        <v>1.3007443787890414</v>
      </c>
      <c r="J45" s="141">
        <f>J43/J40</f>
        <v>1.454627724329624</v>
      </c>
      <c r="K45" s="137" t="s">
        <v>76</v>
      </c>
      <c r="L45" s="435">
        <f>+L43/I40</f>
        <v>0</v>
      </c>
      <c r="M45" s="436">
        <f>+M43/J40</f>
        <v>1.9392163411297014E-2</v>
      </c>
    </row>
    <row r="46" spans="1:19" ht="17.45" customHeight="1">
      <c r="A46" s="789" t="s">
        <v>89</v>
      </c>
      <c r="B46" s="790"/>
      <c r="C46" s="171">
        <f>SUMIF($G$7:$G$31,"Gas",$F$7:$F$31)</f>
        <v>0</v>
      </c>
      <c r="D46" s="125">
        <f>+C46+'10'!D46</f>
        <v>408</v>
      </c>
      <c r="E46" s="150">
        <f t="shared" si="6"/>
        <v>6.8</v>
      </c>
      <c r="F46" s="368"/>
      <c r="G46" s="369"/>
      <c r="H46" s="195" t="s">
        <v>90</v>
      </c>
      <c r="I46" s="147">
        <f>+SUMIF(Listrik!P18,"&gt;0")</f>
        <v>43694.339999999931</v>
      </c>
      <c r="J46" s="142">
        <f>+I46+'10'!J46</f>
        <v>423553.53999999992</v>
      </c>
      <c r="K46" s="137" t="s">
        <v>91</v>
      </c>
      <c r="L46" s="435">
        <f>+Listrik!AF18</f>
        <v>0</v>
      </c>
      <c r="M46" s="437">
        <f>+L46+'10'!M46</f>
        <v>0</v>
      </c>
    </row>
    <row r="47" spans="1:19" ht="17.45" customHeight="1">
      <c r="A47" s="789" t="s">
        <v>92</v>
      </c>
      <c r="B47" s="790"/>
      <c r="C47" s="171">
        <f>SUMIF($G$7:$G$31,"Gas",$F$7:$F$31)</f>
        <v>0</v>
      </c>
      <c r="D47" s="125">
        <f>+C47+'10'!D47</f>
        <v>0</v>
      </c>
      <c r="E47" s="150">
        <f t="shared" si="6"/>
        <v>0</v>
      </c>
      <c r="F47" s="368"/>
      <c r="G47" s="369"/>
      <c r="H47" s="195" t="s">
        <v>93</v>
      </c>
      <c r="I47" s="125">
        <f>I46/I38</f>
        <v>796.23769954078148</v>
      </c>
      <c r="J47" s="142">
        <f>J46/J38</f>
        <v>875.50495884509962</v>
      </c>
      <c r="K47" s="137" t="s">
        <v>25</v>
      </c>
      <c r="L47" s="435">
        <f>+L46/I38</f>
        <v>0</v>
      </c>
      <c r="M47" s="436">
        <f>+M46/J38</f>
        <v>0</v>
      </c>
    </row>
    <row r="48" spans="1:19" ht="17.45" customHeight="1">
      <c r="A48" s="789" t="s">
        <v>15</v>
      </c>
      <c r="B48" s="790"/>
      <c r="C48" s="171">
        <f>SUMIF($G$7:$G$31,"Start Up",$F$7:$F$31)</f>
        <v>0</v>
      </c>
      <c r="D48" s="125">
        <f>+C48+'10'!D48</f>
        <v>0</v>
      </c>
      <c r="E48" s="150">
        <f t="shared" si="6"/>
        <v>0</v>
      </c>
      <c r="F48" s="368"/>
      <c r="G48" s="369"/>
      <c r="H48" s="195" t="s">
        <v>94</v>
      </c>
      <c r="I48" s="125">
        <f>I46/I40</f>
        <v>838.27680147340823</v>
      </c>
      <c r="J48" s="142">
        <f>J46/J40</f>
        <v>912.62438456814721</v>
      </c>
      <c r="K48" s="137" t="s">
        <v>25</v>
      </c>
      <c r="L48" s="435">
        <f>+L46/I38</f>
        <v>0</v>
      </c>
      <c r="M48" s="436">
        <f>+M46/J40</f>
        <v>0</v>
      </c>
    </row>
    <row r="49" spans="1:13" ht="17.45" customHeight="1">
      <c r="A49" s="789" t="s">
        <v>21</v>
      </c>
      <c r="B49" s="790"/>
      <c r="C49" s="171">
        <f>SUMIF($G$7:$G$31,"Others",$F$7:$F$31)</f>
        <v>0</v>
      </c>
      <c r="D49" s="125">
        <f>+C49+'10'!D49</f>
        <v>480</v>
      </c>
      <c r="E49" s="150">
        <f t="shared" si="6"/>
        <v>8</v>
      </c>
      <c r="F49" s="192"/>
      <c r="H49" s="195" t="s">
        <v>182</v>
      </c>
      <c r="I49" s="125">
        <f>+Report1!AB19</f>
        <v>5245.5837875362877</v>
      </c>
      <c r="J49" s="142">
        <f>+I49+'10'!J49</f>
        <v>46107.190555428759</v>
      </c>
      <c r="K49" s="137" t="s">
        <v>96</v>
      </c>
      <c r="L49" s="431"/>
      <c r="M49" s="432"/>
    </row>
    <row r="50" spans="1:13" ht="17.45" customHeight="1">
      <c r="A50" s="789" t="s">
        <v>20</v>
      </c>
      <c r="B50" s="790"/>
      <c r="C50" s="171">
        <f>SUMIF($G$7:$G$31,"Steam",$F$7:$F$31)</f>
        <v>0</v>
      </c>
      <c r="D50" s="125">
        <f>+C50+'10'!D50</f>
        <v>0</v>
      </c>
      <c r="E50" s="150">
        <f t="shared" si="6"/>
        <v>0</v>
      </c>
      <c r="F50" s="192"/>
      <c r="H50" s="195" t="s">
        <v>97</v>
      </c>
      <c r="I50" s="147">
        <f>I49/I38</f>
        <v>95.589762146225809</v>
      </c>
      <c r="J50" s="140">
        <f>J49/J38</f>
        <v>95.305717359117878</v>
      </c>
      <c r="K50" s="137" t="s">
        <v>96</v>
      </c>
      <c r="L50" s="431"/>
      <c r="M50" s="432"/>
    </row>
    <row r="51" spans="1:13" ht="17.45" customHeight="1" thickBot="1">
      <c r="A51" s="791" t="s">
        <v>98</v>
      </c>
      <c r="B51" s="792"/>
      <c r="C51" s="171">
        <f>SUMIF($G$7:$G$31,"Planned shut",$F$7:$F$31)</f>
        <v>0</v>
      </c>
      <c r="D51" s="125">
        <f>+C51+'10'!D51</f>
        <v>394</v>
      </c>
      <c r="E51" s="150">
        <f t="shared" si="6"/>
        <v>6.5666666666666664</v>
      </c>
      <c r="F51" s="192"/>
      <c r="H51" s="197" t="s">
        <v>99</v>
      </c>
      <c r="I51" s="148">
        <f>I49/I40</f>
        <v>100.63663163871321</v>
      </c>
      <c r="J51" s="143">
        <f>J49/J40</f>
        <v>99.346463742964985</v>
      </c>
      <c r="K51" s="144" t="s">
        <v>96</v>
      </c>
      <c r="L51" s="431"/>
      <c r="M51" s="432"/>
    </row>
    <row r="52" spans="1:13" ht="13.5" thickBot="1">
      <c r="A52" s="793" t="s">
        <v>29</v>
      </c>
      <c r="B52" s="794"/>
      <c r="C52" s="151">
        <f>SUM(C38:C51)</f>
        <v>38</v>
      </c>
      <c r="D52" s="151">
        <f>SUM(D38:D51)</f>
        <v>2314</v>
      </c>
      <c r="E52" s="152">
        <f>SUM(E38:E51)</f>
        <v>38.566666666666663</v>
      </c>
      <c r="F52" s="192"/>
      <c r="H52" s="198"/>
      <c r="I52" s="199"/>
      <c r="J52" s="145"/>
      <c r="K52" s="146"/>
      <c r="L52" s="438"/>
      <c r="M52" s="439"/>
    </row>
    <row r="53" spans="1:13" ht="13.5" thickBot="1">
      <c r="A53" s="795"/>
      <c r="B53" s="796"/>
      <c r="C53" s="153">
        <f>C52/(24*60)</f>
        <v>2.6388888888888889E-2</v>
      </c>
      <c r="D53" s="153">
        <f>D52/(24*60*G4)</f>
        <v>0.1460858585858586</v>
      </c>
      <c r="E53" s="154">
        <f>E52/(G4*24)</f>
        <v>0.14608585858585857</v>
      </c>
      <c r="F53" s="192"/>
    </row>
    <row r="54" spans="1:13">
      <c r="E54" s="200"/>
      <c r="F54" s="192"/>
    </row>
    <row r="55" spans="1:13">
      <c r="E55" s="200"/>
    </row>
    <row r="56" spans="1:13">
      <c r="A56" s="201" t="s">
        <v>100</v>
      </c>
      <c r="B56" s="202"/>
      <c r="C56" s="203"/>
      <c r="D56" s="203"/>
      <c r="E56" s="203"/>
      <c r="F56" s="204"/>
      <c r="G56" s="203"/>
      <c r="H56" s="205"/>
      <c r="I56" s="206" t="s">
        <v>101</v>
      </c>
      <c r="J56" s="207">
        <f>+D34+'10'!J56</f>
        <v>4237</v>
      </c>
      <c r="K56" s="208">
        <f>J56/(J40+J56/1000)/1000</f>
        <v>9.0468076747334224E-3</v>
      </c>
    </row>
    <row r="57" spans="1:13">
      <c r="A57" s="183"/>
      <c r="I57" s="206" t="s">
        <v>102</v>
      </c>
      <c r="J57" s="207">
        <f>+E34+'10'!J57</f>
        <v>0</v>
      </c>
      <c r="K57" s="208">
        <f>J57/(J40+J57/1000)/1000</f>
        <v>0</v>
      </c>
    </row>
    <row r="58" spans="1:13">
      <c r="A58" s="209"/>
      <c r="B58" s="210"/>
      <c r="F58" s="192"/>
      <c r="H58" s="211"/>
      <c r="J58" s="156">
        <v>325</v>
      </c>
    </row>
    <row r="59" spans="1:13">
      <c r="A59" s="212"/>
      <c r="B59" s="183"/>
      <c r="C59" s="183"/>
      <c r="D59" s="183"/>
      <c r="E59" s="183"/>
      <c r="F59" s="196"/>
      <c r="G59" s="183"/>
      <c r="H59" s="211"/>
      <c r="J59" s="162">
        <f>+J56+J58</f>
        <v>4562</v>
      </c>
    </row>
    <row r="60" spans="1:13">
      <c r="H60" s="211"/>
    </row>
    <row r="61" spans="1:13">
      <c r="A61" s="213"/>
      <c r="B61" s="214"/>
      <c r="C61" s="214"/>
      <c r="D61" s="214"/>
      <c r="E61" s="214"/>
      <c r="F61" s="215"/>
      <c r="G61" s="214"/>
      <c r="H61" s="216"/>
    </row>
  </sheetData>
  <mergeCells count="25">
    <mergeCell ref="A53:B53"/>
    <mergeCell ref="A52:B52"/>
    <mergeCell ref="A46:B46"/>
    <mergeCell ref="A51:B51"/>
    <mergeCell ref="A50:B50"/>
    <mergeCell ref="A49:B49"/>
    <mergeCell ref="A47:B47"/>
    <mergeCell ref="A48:B48"/>
    <mergeCell ref="A45:B45"/>
    <mergeCell ref="A42:B42"/>
    <mergeCell ref="I24:I31"/>
    <mergeCell ref="A37:B37"/>
    <mergeCell ref="A44:B44"/>
    <mergeCell ref="A24:A32"/>
    <mergeCell ref="A43:B43"/>
    <mergeCell ref="L35:M35"/>
    <mergeCell ref="A41:B41"/>
    <mergeCell ref="A7:A14"/>
    <mergeCell ref="A40:B40"/>
    <mergeCell ref="A34:B34"/>
    <mergeCell ref="A38:B38"/>
    <mergeCell ref="A39:B39"/>
    <mergeCell ref="I7:I13"/>
    <mergeCell ref="A15:A23"/>
    <mergeCell ref="I15:I22"/>
  </mergeCells>
  <phoneticPr fontId="30" type="noConversion"/>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AF61"/>
  <sheetViews>
    <sheetView view="pageBreakPreview" topLeftCell="B1" zoomScale="80" zoomScaleNormal="75" zoomScaleSheetLayoutView="80" workbookViewId="0">
      <selection activeCell="F19" activeCellId="1" sqref="F12 F19"/>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19.140625" style="156" customWidth="1"/>
    <col min="11" max="11" width="12.5703125" style="156" bestFit="1" customWidth="1"/>
    <col min="12" max="12" width="8.28515625" style="156" customWidth="1"/>
    <col min="13" max="13" width="12.140625" style="156" customWidth="1"/>
    <col min="14" max="26" width="0" style="156" hidden="1" customWidth="1"/>
    <col min="27" max="16384" width="9.140625" style="156"/>
  </cols>
  <sheetData>
    <row r="1" spans="1:32" ht="15.75">
      <c r="A1" s="155"/>
    </row>
    <row r="2" spans="1:32" ht="15.75">
      <c r="A2" s="155" t="s">
        <v>183</v>
      </c>
    </row>
    <row r="3" spans="1:32" ht="15">
      <c r="A3" s="157"/>
    </row>
    <row r="4" spans="1:32" ht="20.25">
      <c r="A4" s="158" t="s">
        <v>5</v>
      </c>
      <c r="B4" s="159"/>
      <c r="F4" s="160" t="s">
        <v>30</v>
      </c>
      <c r="G4" s="161">
        <v>10</v>
      </c>
      <c r="H4" s="161" t="str">
        <f>+'1'!H4</f>
        <v>.01.26</v>
      </c>
      <c r="J4" s="156">
        <f>717.7+334.8+999</f>
        <v>2051.5</v>
      </c>
    </row>
    <row r="5" spans="1:32" ht="13.5" thickBot="1">
      <c r="C5" s="162"/>
      <c r="D5" s="162"/>
    </row>
    <row r="6" spans="1:32"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408</v>
      </c>
      <c r="O6" s="156">
        <v>1050</v>
      </c>
      <c r="P6" s="156">
        <f>+O6-(O6*0.15)</f>
        <v>892.5</v>
      </c>
      <c r="Q6" s="156">
        <f>60*5+18</f>
        <v>318</v>
      </c>
      <c r="R6" s="156">
        <f t="shared" ref="R6:R7" si="0">+O6*Q6</f>
        <v>333900</v>
      </c>
      <c r="S6" s="156">
        <f t="shared" ref="S6:S7" si="1">+P6*Q6</f>
        <v>283815</v>
      </c>
      <c r="U6" s="156" t="s">
        <v>408</v>
      </c>
      <c r="V6" s="156">
        <v>1050</v>
      </c>
      <c r="W6" s="156">
        <f>+V6-(V6*0.15)</f>
        <v>892.5</v>
      </c>
      <c r="X6" s="156">
        <f>60*5+18</f>
        <v>318</v>
      </c>
      <c r="Y6" s="156">
        <f t="shared" ref="Y6:Y7" si="2">+V6*X6</f>
        <v>333900</v>
      </c>
      <c r="Z6" s="156">
        <f t="shared" ref="Z6:Z7" si="3">+W6*X6</f>
        <v>283815</v>
      </c>
      <c r="AB6" s="156">
        <f>+(1230-AC6)/1230</f>
        <v>0.14634146341463414</v>
      </c>
      <c r="AC6" s="156">
        <v>1050</v>
      </c>
      <c r="AF6" s="156">
        <v>1230</v>
      </c>
    </row>
    <row r="7" spans="1:32" ht="13.5" customHeight="1" thickBot="1">
      <c r="A7" s="800" t="s">
        <v>424</v>
      </c>
      <c r="B7" s="222" t="s">
        <v>422</v>
      </c>
      <c r="C7" s="223">
        <v>8488</v>
      </c>
      <c r="D7" s="224"/>
      <c r="E7" s="225"/>
      <c r="F7" s="235"/>
      <c r="G7" s="236" t="s">
        <v>13</v>
      </c>
      <c r="H7" s="237" t="s">
        <v>386</v>
      </c>
      <c r="I7" s="803" t="s">
        <v>587</v>
      </c>
      <c r="J7" s="221" t="str">
        <f>+'9'!J7</f>
        <v>T 13,5 RC HW</v>
      </c>
      <c r="K7" s="245">
        <f>+C7+C16+C25</f>
        <v>34995</v>
      </c>
      <c r="L7" s="249"/>
      <c r="M7" s="124">
        <f>+K7+'9'!M7+L7</f>
        <v>221342</v>
      </c>
      <c r="P7" s="156">
        <f>+O7-(O7*0.22)</f>
        <v>0</v>
      </c>
      <c r="R7" s="156">
        <f t="shared" si="0"/>
        <v>0</v>
      </c>
      <c r="S7" s="156">
        <f t="shared" si="1"/>
        <v>0</v>
      </c>
      <c r="U7" s="156" t="s">
        <v>408</v>
      </c>
      <c r="V7" s="156">
        <v>900</v>
      </c>
      <c r="W7" s="156">
        <v>747</v>
      </c>
      <c r="X7" s="156">
        <v>218</v>
      </c>
      <c r="Y7" s="156">
        <f t="shared" si="2"/>
        <v>196200</v>
      </c>
      <c r="Z7" s="156">
        <f t="shared" si="3"/>
        <v>162846</v>
      </c>
      <c r="AB7" s="156">
        <f>+AB6*(318)</f>
        <v>46.536585365853654</v>
      </c>
      <c r="AF7" s="156">
        <v>1160</v>
      </c>
    </row>
    <row r="8" spans="1:32" ht="13.5" thickBot="1">
      <c r="A8" s="801"/>
      <c r="B8" s="222"/>
      <c r="C8" s="223"/>
      <c r="D8" s="224"/>
      <c r="E8" s="226"/>
      <c r="F8" s="238">
        <v>2</v>
      </c>
      <c r="G8" s="582" t="s">
        <v>13</v>
      </c>
      <c r="H8" s="237" t="s">
        <v>414</v>
      </c>
      <c r="I8" s="804"/>
      <c r="J8" s="221" t="str">
        <f>+'9'!J8</f>
        <v>T 14,5 RC HW</v>
      </c>
      <c r="K8" s="246"/>
      <c r="L8" s="246"/>
      <c r="M8" s="124">
        <f>+K8+'9'!M8+L8</f>
        <v>57466</v>
      </c>
      <c r="U8" s="156" t="s">
        <v>408</v>
      </c>
      <c r="V8" s="156">
        <v>1180</v>
      </c>
      <c r="W8" s="156">
        <v>979.4</v>
      </c>
      <c r="X8" s="156">
        <v>217</v>
      </c>
      <c r="Y8" s="156">
        <f t="shared" ref="Y8" si="4">+V8*X8</f>
        <v>256060</v>
      </c>
      <c r="Z8" s="156">
        <f t="shared" ref="Z8" si="5">+W8*X8</f>
        <v>212529.8</v>
      </c>
      <c r="AB8" s="156">
        <f>+AB7</f>
        <v>46.536585365853654</v>
      </c>
    </row>
    <row r="9" spans="1:32" ht="13.5" thickBot="1">
      <c r="A9" s="801"/>
      <c r="B9" s="222"/>
      <c r="C9" s="223"/>
      <c r="D9" s="224"/>
      <c r="E9" s="227"/>
      <c r="F9" s="235">
        <v>5</v>
      </c>
      <c r="G9" s="582" t="s">
        <v>13</v>
      </c>
      <c r="H9" s="240" t="s">
        <v>586</v>
      </c>
      <c r="I9" s="804"/>
      <c r="J9" s="221" t="str">
        <f>+'9'!J9</f>
        <v>TW 17 RC HW</v>
      </c>
      <c r="K9" s="246"/>
      <c r="L9" s="246"/>
      <c r="M9" s="124">
        <f>+K9+'9'!M9+L9</f>
        <v>24830</v>
      </c>
      <c r="U9" s="156" t="s">
        <v>408</v>
      </c>
      <c r="V9" s="156">
        <v>1180</v>
      </c>
      <c r="W9" s="156">
        <v>991.2</v>
      </c>
      <c r="X9" s="156">
        <v>139</v>
      </c>
      <c r="Y9" s="156">
        <f t="shared" ref="Y9:Y10" si="6">+V9*X9</f>
        <v>164020</v>
      </c>
      <c r="Z9" s="156">
        <f t="shared" ref="Z9:Z10" si="7">+W9*X9</f>
        <v>137776.80000000002</v>
      </c>
    </row>
    <row r="10" spans="1:32" ht="26.25" thickBot="1">
      <c r="A10" s="801"/>
      <c r="B10" s="222"/>
      <c r="C10" s="223"/>
      <c r="D10" s="224"/>
      <c r="E10" s="226"/>
      <c r="F10" s="235">
        <v>8</v>
      </c>
      <c r="G10" s="244" t="s">
        <v>14</v>
      </c>
      <c r="H10" s="240" t="s">
        <v>582</v>
      </c>
      <c r="I10" s="804"/>
      <c r="J10" s="221" t="str">
        <f>+'9'!J10</f>
        <v>TW 22 RC HW</v>
      </c>
      <c r="K10" s="246"/>
      <c r="L10" s="246"/>
      <c r="M10" s="124">
        <f>+K10+'9'!M10+L10</f>
        <v>24459</v>
      </c>
      <c r="U10" s="156" t="s">
        <v>408</v>
      </c>
      <c r="V10" s="156">
        <v>1190</v>
      </c>
      <c r="W10" s="156">
        <v>999.6</v>
      </c>
      <c r="X10" s="156">
        <v>247</v>
      </c>
      <c r="Y10" s="156">
        <f t="shared" si="6"/>
        <v>293930</v>
      </c>
      <c r="Z10" s="156">
        <f t="shared" si="7"/>
        <v>246901.2</v>
      </c>
    </row>
    <row r="11" spans="1:32" ht="90" thickBot="1">
      <c r="A11" s="801"/>
      <c r="B11" s="222"/>
      <c r="C11" s="223"/>
      <c r="D11" s="224"/>
      <c r="E11" s="226"/>
      <c r="F11" s="235">
        <v>120</v>
      </c>
      <c r="G11" s="582" t="s">
        <v>13</v>
      </c>
      <c r="H11" s="240" t="s">
        <v>583</v>
      </c>
      <c r="I11" s="804"/>
      <c r="J11" s="221" t="str">
        <f>+'9'!J11</f>
        <v>TW 14 RC HW</v>
      </c>
      <c r="K11" s="246"/>
      <c r="L11" s="246"/>
      <c r="M11" s="124">
        <f>+K11+'9'!M11+L11</f>
        <v>8043</v>
      </c>
    </row>
    <row r="12" spans="1:32" ht="13.5" thickBot="1">
      <c r="A12" s="801"/>
      <c r="B12" s="222"/>
      <c r="C12" s="223"/>
      <c r="D12" s="224"/>
      <c r="E12" s="226" t="s">
        <v>603</v>
      </c>
      <c r="F12" s="235">
        <v>42</v>
      </c>
      <c r="G12" s="239" t="s">
        <v>89</v>
      </c>
      <c r="H12" s="240"/>
      <c r="I12" s="804"/>
      <c r="J12" s="221" t="str">
        <f>+'9'!J12</f>
        <v>TW 29 RC HW</v>
      </c>
      <c r="K12" s="246"/>
      <c r="L12" s="246"/>
      <c r="M12" s="124">
        <f>+K12+'9'!M12+L12</f>
        <v>21439</v>
      </c>
    </row>
    <row r="13" spans="1:32" ht="13.5" thickBot="1">
      <c r="A13" s="801"/>
      <c r="B13" s="222"/>
      <c r="C13" s="223"/>
      <c r="D13" s="223"/>
      <c r="E13" s="226" t="s">
        <v>602</v>
      </c>
      <c r="F13" s="235">
        <v>47</v>
      </c>
      <c r="G13" s="239" t="s">
        <v>89</v>
      </c>
      <c r="H13" s="240"/>
      <c r="I13" s="805"/>
      <c r="J13" s="221" t="str">
        <f>+'9'!J13</f>
        <v>TW 35,5 RC HW</v>
      </c>
      <c r="K13" s="246"/>
      <c r="L13" s="246"/>
      <c r="M13" s="124">
        <f>+K13+'9'!M13+L13</f>
        <v>2193</v>
      </c>
    </row>
    <row r="14" spans="1:32" ht="13.5" thickBot="1">
      <c r="A14" s="802"/>
      <c r="B14" s="172" t="s">
        <v>3</v>
      </c>
      <c r="C14" s="106">
        <f>SUM(C7:C13)</f>
        <v>8488</v>
      </c>
      <c r="D14" s="118">
        <f>SUM(D7:D13)</f>
        <v>0</v>
      </c>
      <c r="E14" s="119">
        <f>SUM(E5:E13)</f>
        <v>0</v>
      </c>
      <c r="F14" s="109">
        <f>SUM(F6:F13)</f>
        <v>224</v>
      </c>
      <c r="G14" s="166"/>
      <c r="H14" s="173"/>
      <c r="I14" s="174"/>
      <c r="J14" s="221" t="str">
        <f>+'9'!J14</f>
        <v>N 15,5 RC HW</v>
      </c>
      <c r="K14" s="246"/>
      <c r="L14" s="246"/>
      <c r="M14" s="124">
        <f>+K14+'9'!M14+L14</f>
        <v>46927</v>
      </c>
    </row>
    <row r="15" spans="1:32" ht="13.5" customHeight="1" thickBot="1">
      <c r="A15" s="800" t="s">
        <v>440</v>
      </c>
      <c r="B15" s="172"/>
      <c r="C15" s="120">
        <f>C14/($C$23+$D$23+$E$23)</f>
        <v>0.90645023494233234</v>
      </c>
      <c r="D15" s="121">
        <f>D14/($C$23+$D$23+$E$23)</f>
        <v>0</v>
      </c>
      <c r="E15" s="122">
        <f>E14/($C$23+$D$23+$E$23)</f>
        <v>0</v>
      </c>
      <c r="F15" s="235"/>
      <c r="G15" s="236" t="s">
        <v>13</v>
      </c>
      <c r="H15" s="237" t="s">
        <v>386</v>
      </c>
      <c r="I15" s="803" t="s">
        <v>588</v>
      </c>
      <c r="J15" s="221" t="str">
        <f>+'9'!J15</f>
        <v>F 14 RC HW</v>
      </c>
      <c r="K15" s="246"/>
      <c r="L15" s="246"/>
      <c r="M15" s="124">
        <f>+K15+'9'!M15+L15</f>
        <v>4620</v>
      </c>
    </row>
    <row r="16" spans="1:32" ht="13.5" thickBot="1">
      <c r="A16" s="811"/>
      <c r="B16" s="222" t="s">
        <v>422</v>
      </c>
      <c r="C16" s="229">
        <v>9364</v>
      </c>
      <c r="D16" s="230"/>
      <c r="E16" s="231"/>
      <c r="F16" s="238">
        <v>4</v>
      </c>
      <c r="G16" s="582" t="s">
        <v>13</v>
      </c>
      <c r="H16" s="237" t="s">
        <v>501</v>
      </c>
      <c r="I16" s="804"/>
      <c r="J16" s="221" t="s">
        <v>604</v>
      </c>
      <c r="K16" s="246">
        <f>+C26</f>
        <v>662</v>
      </c>
      <c r="L16" s="246"/>
      <c r="M16" s="124">
        <f>+K16+'9'!M16+L16</f>
        <v>662</v>
      </c>
      <c r="Q16" s="183">
        <f>SUM(Q6:Q14)</f>
        <v>318</v>
      </c>
      <c r="R16" s="183">
        <f>SUM(R6:R14)</f>
        <v>333900</v>
      </c>
      <c r="S16" s="183">
        <f>SUM(S6:S14)</f>
        <v>283815</v>
      </c>
      <c r="X16" s="183">
        <f>SUM(X6:X14)</f>
        <v>1139</v>
      </c>
      <c r="Y16" s="183">
        <f>SUM(Y6:Y14)</f>
        <v>1244110</v>
      </c>
      <c r="Z16" s="183">
        <f>SUM(Z6:Z14)</f>
        <v>1043868.8</v>
      </c>
    </row>
    <row r="17" spans="1:29" ht="13.5" thickBot="1">
      <c r="A17" s="811"/>
      <c r="B17" s="222"/>
      <c r="C17" s="223"/>
      <c r="D17" s="224"/>
      <c r="E17" s="232"/>
      <c r="F17" s="235">
        <v>10</v>
      </c>
      <c r="G17" s="582" t="s">
        <v>13</v>
      </c>
      <c r="H17" s="240" t="s">
        <v>523</v>
      </c>
      <c r="I17" s="804"/>
      <c r="J17" s="221">
        <f>+'9'!J17</f>
        <v>0</v>
      </c>
      <c r="K17" s="246"/>
      <c r="L17" s="246"/>
      <c r="M17" s="124">
        <f>+K17+'9'!M17+L17</f>
        <v>0</v>
      </c>
      <c r="Q17" s="156">
        <f>480-Q16</f>
        <v>162</v>
      </c>
      <c r="R17" s="183">
        <f>+R16/Q16</f>
        <v>1050</v>
      </c>
      <c r="S17" s="183">
        <f>+S16/Q16</f>
        <v>892.5</v>
      </c>
      <c r="X17" s="156">
        <f>480-X16</f>
        <v>-659</v>
      </c>
      <c r="Y17" s="183">
        <f>+Y16/X16</f>
        <v>1092.2827041264268</v>
      </c>
      <c r="Z17" s="183">
        <f>+Z16/X16</f>
        <v>916.47831431079896</v>
      </c>
    </row>
    <row r="18" spans="1:29" ht="26.25" thickBot="1">
      <c r="A18" s="811"/>
      <c r="B18" s="222"/>
      <c r="C18" s="223"/>
      <c r="D18" s="224"/>
      <c r="E18" s="232"/>
      <c r="F18" s="235"/>
      <c r="G18" s="244" t="s">
        <v>14</v>
      </c>
      <c r="H18" s="240" t="s">
        <v>579</v>
      </c>
      <c r="I18" s="804"/>
      <c r="J18" s="221">
        <f>+'9'!J18</f>
        <v>0</v>
      </c>
      <c r="K18" s="246"/>
      <c r="L18" s="246"/>
      <c r="M18" s="124">
        <f>+K18+'9'!M18+L18</f>
        <v>0</v>
      </c>
      <c r="N18" s="156" t="s">
        <v>408</v>
      </c>
      <c r="O18" s="156">
        <v>900</v>
      </c>
      <c r="P18" s="156">
        <f>+O18-(O18*0.17)</f>
        <v>747</v>
      </c>
      <c r="Q18" s="156">
        <v>218</v>
      </c>
      <c r="R18" s="156">
        <f t="shared" ref="R18:R19" si="8">+O18*Q18</f>
        <v>196200</v>
      </c>
      <c r="S18" s="156">
        <f t="shared" ref="S18:S19" si="9">+P18*Q18</f>
        <v>162846</v>
      </c>
      <c r="AB18" s="156">
        <f>+(1230-AC18)/1230</f>
        <v>0.15473320250443884</v>
      </c>
      <c r="AC18" s="156">
        <v>1039.6781609195402</v>
      </c>
    </row>
    <row r="19" spans="1:29" ht="77.25" thickBot="1">
      <c r="A19" s="811"/>
      <c r="B19" s="222"/>
      <c r="C19" s="223"/>
      <c r="D19" s="224"/>
      <c r="E19" s="226" t="s">
        <v>603</v>
      </c>
      <c r="F19" s="242">
        <v>45</v>
      </c>
      <c r="G19" s="239" t="s">
        <v>89</v>
      </c>
      <c r="H19" s="240" t="s">
        <v>580</v>
      </c>
      <c r="I19" s="804"/>
      <c r="J19" s="221">
        <f>+'9'!J19</f>
        <v>0</v>
      </c>
      <c r="K19" s="246"/>
      <c r="L19" s="246"/>
      <c r="M19" s="124">
        <f>+K19+'9'!M19+L19</f>
        <v>0</v>
      </c>
      <c r="O19" s="156">
        <v>1180</v>
      </c>
      <c r="P19" s="156">
        <f>+O19-(O19*0.17)</f>
        <v>979.4</v>
      </c>
      <c r="Q19" s="156">
        <v>217</v>
      </c>
      <c r="R19" s="156">
        <f t="shared" si="8"/>
        <v>256060</v>
      </c>
      <c r="S19" s="156">
        <f t="shared" si="9"/>
        <v>212529.8</v>
      </c>
      <c r="V19" s="156">
        <v>1223</v>
      </c>
      <c r="W19" s="156">
        <v>1092.2827041264268</v>
      </c>
      <c r="X19" s="156">
        <v>1139</v>
      </c>
      <c r="AB19" s="156">
        <f>+AB18*(435)</f>
        <v>67.308943089430898</v>
      </c>
    </row>
    <row r="20" spans="1:29" ht="13.5" thickBot="1">
      <c r="A20" s="811"/>
      <c r="B20" s="222"/>
      <c r="C20" s="223"/>
      <c r="D20" s="224"/>
      <c r="E20" s="226" t="s">
        <v>602</v>
      </c>
      <c r="F20" s="235">
        <v>67</v>
      </c>
      <c r="G20" s="239" t="s">
        <v>89</v>
      </c>
      <c r="H20" s="240" t="s">
        <v>581</v>
      </c>
      <c r="I20" s="804"/>
      <c r="J20" s="221">
        <f>+'9'!J20</f>
        <v>0</v>
      </c>
      <c r="K20" s="246"/>
      <c r="L20" s="246"/>
      <c r="M20" s="124">
        <f>+K20+'9'!M20+L20</f>
        <v>0</v>
      </c>
      <c r="V20" s="613" t="s">
        <v>599</v>
      </c>
      <c r="W20" s="613" t="s">
        <v>600</v>
      </c>
      <c r="X20" s="613" t="s">
        <v>601</v>
      </c>
      <c r="AB20" s="156">
        <f>+AB19</f>
        <v>67.308943089430898</v>
      </c>
    </row>
    <row r="21" spans="1:29" ht="13.5" thickBot="1">
      <c r="A21" s="811"/>
      <c r="B21" s="222"/>
      <c r="C21" s="223"/>
      <c r="D21" s="224"/>
      <c r="E21" s="232"/>
      <c r="F21" s="238"/>
      <c r="G21" s="239"/>
      <c r="H21" s="240"/>
      <c r="I21" s="804"/>
      <c r="J21" s="221">
        <f>+'9'!J21</f>
        <v>0</v>
      </c>
      <c r="K21" s="246"/>
      <c r="L21" s="246"/>
      <c r="M21" s="124">
        <f>+K21+'9'!M21+L21</f>
        <v>0</v>
      </c>
      <c r="V21" s="156">
        <f>+(V19-W19)/V19</f>
        <v>0.10688249867013346</v>
      </c>
    </row>
    <row r="22" spans="1:29" ht="13.5" thickBot="1">
      <c r="A22" s="811"/>
      <c r="B22" s="222"/>
      <c r="C22" s="223"/>
      <c r="D22" s="224"/>
      <c r="E22" s="232"/>
      <c r="F22" s="243"/>
      <c r="G22" s="239"/>
      <c r="H22" s="240"/>
      <c r="I22" s="805"/>
      <c r="J22" s="221">
        <f>+'9'!J22</f>
        <v>0</v>
      </c>
      <c r="K22" s="246"/>
      <c r="L22" s="246"/>
      <c r="M22" s="124">
        <f>+K22+'9'!M22+L22</f>
        <v>0</v>
      </c>
      <c r="V22" s="156">
        <f>+V21*1139</f>
        <v>121.739165985282</v>
      </c>
    </row>
    <row r="23" spans="1:29" ht="13.5" thickBot="1">
      <c r="A23" s="812"/>
      <c r="B23" s="172" t="s">
        <v>3</v>
      </c>
      <c r="C23" s="107">
        <f>SUM(C16:C22)</f>
        <v>9364</v>
      </c>
      <c r="D23" s="118">
        <f>SUM(D16:D22)</f>
        <v>0</v>
      </c>
      <c r="E23" s="119">
        <f>SUM(E18:E22)</f>
        <v>0</v>
      </c>
      <c r="F23" s="109">
        <f>SUM(F15:F22)</f>
        <v>126</v>
      </c>
      <c r="G23" s="166"/>
      <c r="H23" s="173"/>
      <c r="I23" s="176"/>
      <c r="J23" s="221">
        <f>+'9'!J23</f>
        <v>0</v>
      </c>
      <c r="K23" s="246"/>
      <c r="L23" s="246"/>
      <c r="M23" s="124">
        <f>+K23+'9'!M23+L23</f>
        <v>0</v>
      </c>
      <c r="V23" s="156">
        <f>122/3</f>
        <v>40.666666666666664</v>
      </c>
    </row>
    <row r="24" spans="1:29" ht="13.5" customHeight="1" thickBot="1">
      <c r="A24" s="800" t="s">
        <v>423</v>
      </c>
      <c r="B24" s="177"/>
      <c r="C24" s="120">
        <f>C23/($C$23+$D$23+$E$23)</f>
        <v>1</v>
      </c>
      <c r="D24" s="121">
        <f>D23/($C$23+$D$23+$E$23)</f>
        <v>0</v>
      </c>
      <c r="E24" s="122">
        <f>E23/($C$23+$D$23+$E$23)</f>
        <v>0</v>
      </c>
      <c r="F24" s="235"/>
      <c r="G24" s="236" t="s">
        <v>13</v>
      </c>
      <c r="H24" s="237" t="s">
        <v>386</v>
      </c>
      <c r="I24" s="803" t="s">
        <v>589</v>
      </c>
      <c r="J24" s="221">
        <f>+'9'!J24</f>
        <v>0</v>
      </c>
      <c r="K24" s="246"/>
      <c r="L24" s="246"/>
      <c r="M24" s="124">
        <f>+K24+'9'!M24+L24</f>
        <v>0</v>
      </c>
    </row>
    <row r="25" spans="1:29" ht="13.5" customHeight="1" thickBot="1">
      <c r="A25" s="811"/>
      <c r="B25" s="222" t="s">
        <v>422</v>
      </c>
      <c r="C25" s="233">
        <v>17143</v>
      </c>
      <c r="D25" s="224"/>
      <c r="E25" s="232"/>
      <c r="F25" s="238">
        <v>4</v>
      </c>
      <c r="G25" s="582" t="s">
        <v>13</v>
      </c>
      <c r="H25" s="237" t="s">
        <v>415</v>
      </c>
      <c r="I25" s="804"/>
      <c r="J25" s="221">
        <f>+'9'!J25</f>
        <v>0</v>
      </c>
      <c r="K25" s="246"/>
      <c r="L25" s="246"/>
      <c r="M25" s="124">
        <f>+K25+'9'!M25+L25</f>
        <v>0</v>
      </c>
    </row>
    <row r="26" spans="1:29" ht="13.5" customHeight="1" thickBot="1">
      <c r="A26" s="811"/>
      <c r="B26" s="222" t="s">
        <v>604</v>
      </c>
      <c r="C26" s="233">
        <f>62+600</f>
        <v>662</v>
      </c>
      <c r="D26" s="224"/>
      <c r="E26" s="234"/>
      <c r="F26" s="235">
        <v>7</v>
      </c>
      <c r="G26" s="582" t="s">
        <v>13</v>
      </c>
      <c r="H26" s="240" t="s">
        <v>395</v>
      </c>
      <c r="I26" s="804"/>
      <c r="J26" s="221">
        <f>+'9'!J26</f>
        <v>0</v>
      </c>
      <c r="K26" s="246"/>
      <c r="L26" s="246"/>
      <c r="M26" s="124">
        <f>+K26+'9'!M26+L26</f>
        <v>0</v>
      </c>
    </row>
    <row r="27" spans="1:29" ht="28.5" customHeight="1" thickBot="1">
      <c r="A27" s="811"/>
      <c r="B27" s="222"/>
      <c r="C27" s="223"/>
      <c r="D27" s="224"/>
      <c r="E27" s="232"/>
      <c r="F27" s="235"/>
      <c r="G27" s="244" t="s">
        <v>14</v>
      </c>
      <c r="H27" s="240" t="s">
        <v>577</v>
      </c>
      <c r="I27" s="804"/>
      <c r="J27" s="221">
        <f>+'9'!J27</f>
        <v>0</v>
      </c>
      <c r="K27" s="246"/>
      <c r="L27" s="246"/>
      <c r="M27" s="124">
        <f>+K27+'9'!M27+L27</f>
        <v>0</v>
      </c>
    </row>
    <row r="28" spans="1:29" ht="26.25" thickBot="1">
      <c r="A28" s="811"/>
      <c r="B28" s="222"/>
      <c r="C28" s="223"/>
      <c r="D28" s="224"/>
      <c r="E28" s="226" t="s">
        <v>602</v>
      </c>
      <c r="F28" s="235">
        <v>14</v>
      </c>
      <c r="G28" s="239" t="s">
        <v>89</v>
      </c>
      <c r="H28" s="240" t="s">
        <v>578</v>
      </c>
      <c r="I28" s="804"/>
      <c r="J28" s="221">
        <f>+'9'!J28</f>
        <v>0</v>
      </c>
      <c r="K28" s="246"/>
      <c r="L28" s="246"/>
      <c r="M28" s="124">
        <f>+K28+'9'!M28+L28</f>
        <v>0</v>
      </c>
      <c r="Q28" s="183">
        <f>SUM(Q18:Q26)</f>
        <v>435</v>
      </c>
      <c r="R28" s="183">
        <f>SUM(R18:R26)</f>
        <v>452260</v>
      </c>
      <c r="S28" s="183">
        <f>SUM(S18:S26)</f>
        <v>375375.8</v>
      </c>
    </row>
    <row r="29" spans="1:29" ht="13.5" thickBot="1">
      <c r="A29" s="811"/>
      <c r="B29" s="222"/>
      <c r="C29" s="223"/>
      <c r="D29" s="224"/>
      <c r="E29" s="232"/>
      <c r="F29" s="243"/>
      <c r="G29" s="239"/>
      <c r="H29" s="240"/>
      <c r="I29" s="804"/>
      <c r="J29" s="221">
        <f>+'9'!J29</f>
        <v>0</v>
      </c>
      <c r="K29" s="246"/>
      <c r="L29" s="246"/>
      <c r="M29" s="124">
        <f>+K29+'9'!M29+L29</f>
        <v>0</v>
      </c>
      <c r="Q29" s="156">
        <f>480-Q28</f>
        <v>45</v>
      </c>
      <c r="R29" s="183">
        <f>+R28/Q28</f>
        <v>1039.6781609195402</v>
      </c>
      <c r="S29" s="183">
        <f>+S28/Q28</f>
        <v>862.93287356321832</v>
      </c>
    </row>
    <row r="30" spans="1:29" ht="13.5" thickBot="1">
      <c r="A30" s="811"/>
      <c r="B30" s="222"/>
      <c r="C30" s="233"/>
      <c r="D30" s="224"/>
      <c r="E30" s="232"/>
      <c r="F30" s="243"/>
      <c r="G30" s="239"/>
      <c r="H30" s="240"/>
      <c r="I30" s="804"/>
      <c r="J30" s="221">
        <f>+'9'!J30</f>
        <v>0</v>
      </c>
      <c r="K30" s="246"/>
      <c r="L30" s="246"/>
      <c r="M30" s="124">
        <f>+K30+'9'!M30+L30</f>
        <v>0</v>
      </c>
      <c r="AB30" s="156">
        <f>+(1230-AC30)/1230</f>
        <v>3.5447996967016338E-2</v>
      </c>
      <c r="AC30" s="156">
        <v>1186.3989637305699</v>
      </c>
    </row>
    <row r="31" spans="1:29" ht="13.5" customHeight="1" thickBot="1">
      <c r="A31" s="811"/>
      <c r="B31" s="222"/>
      <c r="C31" s="233"/>
      <c r="D31" s="224"/>
      <c r="E31" s="232"/>
      <c r="F31" s="243"/>
      <c r="G31" s="244"/>
      <c r="H31" s="241"/>
      <c r="I31" s="805"/>
      <c r="J31" s="221">
        <f>+'9'!J31</f>
        <v>0</v>
      </c>
      <c r="K31" s="246"/>
      <c r="L31" s="246"/>
      <c r="M31" s="124">
        <f>+K31+'9'!M31+L31</f>
        <v>0</v>
      </c>
      <c r="N31" s="156" t="s">
        <v>408</v>
      </c>
      <c r="O31" s="156">
        <v>1180</v>
      </c>
      <c r="P31" s="156">
        <f>+O31-(O31*0.16)</f>
        <v>991.2</v>
      </c>
      <c r="Q31" s="156">
        <f>60*2+19</f>
        <v>139</v>
      </c>
      <c r="R31" s="156">
        <f t="shared" ref="R31:R33" si="10">+O31*Q31</f>
        <v>164020</v>
      </c>
      <c r="S31" s="156">
        <f t="shared" ref="S31:S33" si="11">+P31*Q31</f>
        <v>137776.80000000002</v>
      </c>
      <c r="U31" s="156" t="s">
        <v>408</v>
      </c>
      <c r="V31" s="156">
        <v>1180</v>
      </c>
      <c r="W31" s="156">
        <f>+V31-(V31*0.16)</f>
        <v>991.2</v>
      </c>
      <c r="X31" s="156">
        <f>60*2+19</f>
        <v>139</v>
      </c>
      <c r="Y31" s="156">
        <f t="shared" ref="Y31:Y32" si="12">+V31*X31</f>
        <v>164020</v>
      </c>
      <c r="Z31" s="156">
        <f t="shared" ref="Z31:Z32" si="13">+W31*X31</f>
        <v>137776.80000000002</v>
      </c>
      <c r="AB31" s="156">
        <f>+AB30*(386)</f>
        <v>13.682926829268306</v>
      </c>
    </row>
    <row r="32" spans="1:29" ht="13.5" customHeight="1" thickBot="1">
      <c r="A32" s="812"/>
      <c r="B32" s="172" t="s">
        <v>3</v>
      </c>
      <c r="C32" s="106">
        <f>SUM(C25:C31)</f>
        <v>17805</v>
      </c>
      <c r="D32" s="107">
        <f>SUM(D25:D31)</f>
        <v>0</v>
      </c>
      <c r="E32" s="108">
        <f>SUM(E25:E31)</f>
        <v>0</v>
      </c>
      <c r="F32" s="109">
        <f>SUM(F24:F31)</f>
        <v>25</v>
      </c>
      <c r="G32" s="178"/>
      <c r="H32" s="179"/>
      <c r="I32" s="176"/>
      <c r="J32" s="221">
        <f>+'9'!J32</f>
        <v>0</v>
      </c>
      <c r="K32" s="248"/>
      <c r="L32" s="250"/>
      <c r="M32" s="124">
        <f>+K32+'9'!M32+L32</f>
        <v>0</v>
      </c>
      <c r="O32" s="156">
        <v>1190</v>
      </c>
      <c r="P32" s="156">
        <f>+O32-(O32*0.16)</f>
        <v>999.6</v>
      </c>
      <c r="Q32" s="156">
        <f>60-19+180+26</f>
        <v>247</v>
      </c>
      <c r="R32" s="156">
        <f t="shared" si="10"/>
        <v>293930</v>
      </c>
      <c r="S32" s="156">
        <f t="shared" si="11"/>
        <v>246901.2</v>
      </c>
      <c r="V32" s="156">
        <v>1190</v>
      </c>
      <c r="W32" s="156">
        <f>+V32-(V32*0.16)</f>
        <v>999.6</v>
      </c>
      <c r="X32" s="156">
        <f>60-19+180+26</f>
        <v>247</v>
      </c>
      <c r="Y32" s="156">
        <f t="shared" si="12"/>
        <v>293930</v>
      </c>
      <c r="Z32" s="156">
        <f t="shared" si="13"/>
        <v>246901.2</v>
      </c>
      <c r="AB32" s="156">
        <f>+AB31</f>
        <v>13.682926829268306</v>
      </c>
    </row>
    <row r="33" spans="1:26" ht="13.5" thickBot="1">
      <c r="A33" s="180"/>
      <c r="B33" s="181"/>
      <c r="C33" s="110">
        <f>C32/($C$32+$D$32+$E$32)</f>
        <v>1</v>
      </c>
      <c r="D33" s="111">
        <f>D32/($C$32+$D$32+$E$32)</f>
        <v>0</v>
      </c>
      <c r="E33" s="112">
        <f>E32/($C$32+$D$32+$E$32)</f>
        <v>0</v>
      </c>
      <c r="F33" s="113"/>
      <c r="G33" s="182"/>
      <c r="H33" s="183"/>
      <c r="I33" s="184"/>
      <c r="J33" s="128"/>
      <c r="K33" s="129"/>
      <c r="L33" s="220"/>
      <c r="M33" s="126"/>
      <c r="N33" s="156" t="s">
        <v>584</v>
      </c>
      <c r="O33" s="156">
        <v>1160</v>
      </c>
      <c r="P33" s="156">
        <f>+O33-(O33*0.2)</f>
        <v>928</v>
      </c>
      <c r="Q33" s="156">
        <f>60-26+60</f>
        <v>94</v>
      </c>
      <c r="R33" s="156">
        <f t="shared" si="10"/>
        <v>109040</v>
      </c>
      <c r="S33" s="156">
        <f t="shared" si="11"/>
        <v>87232</v>
      </c>
    </row>
    <row r="34" spans="1:26" ht="13.5" thickBot="1">
      <c r="A34" s="808" t="s">
        <v>70</v>
      </c>
      <c r="B34" s="809"/>
      <c r="C34" s="114">
        <f>C14+C23+C32</f>
        <v>35657</v>
      </c>
      <c r="D34" s="114">
        <f>D14+D23+D32</f>
        <v>0</v>
      </c>
      <c r="E34" s="114">
        <f>E14+E23+E32</f>
        <v>0</v>
      </c>
      <c r="F34" s="115">
        <f>F14+F23+F32</f>
        <v>375</v>
      </c>
      <c r="H34" s="185"/>
      <c r="I34" s="185"/>
      <c r="J34" s="130" t="s">
        <v>29</v>
      </c>
      <c r="K34" s="131">
        <f>SUM(K7:K32)</f>
        <v>35657</v>
      </c>
      <c r="L34" s="219">
        <f>SUM(L7:L32)</f>
        <v>0</v>
      </c>
      <c r="M34" s="127">
        <f>SUM(M7:M32)</f>
        <v>411981</v>
      </c>
    </row>
    <row r="35" spans="1:26" ht="13.5" thickBot="1">
      <c r="A35" s="186"/>
      <c r="B35" s="187"/>
      <c r="C35" s="111">
        <f>C34/($C$34+$D$34+$E$34)</f>
        <v>1</v>
      </c>
      <c r="D35" s="111">
        <f>D34/($C$34+$D$34+$E$34)</f>
        <v>0</v>
      </c>
      <c r="E35" s="116">
        <f>E34/($C$34+$D$34+$E$34)</f>
        <v>0</v>
      </c>
      <c r="K35" s="162"/>
      <c r="L35" s="799" t="s">
        <v>184</v>
      </c>
      <c r="M35" s="799"/>
    </row>
    <row r="36" spans="1:26" ht="13.5" thickBot="1">
      <c r="A36" s="185"/>
      <c r="B36" s="185"/>
      <c r="C36" s="162"/>
      <c r="D36" s="162"/>
      <c r="E36" s="162"/>
      <c r="G36" s="162"/>
      <c r="H36" s="188"/>
      <c r="I36" s="169" t="s">
        <v>41</v>
      </c>
      <c r="J36" s="169" t="s">
        <v>42</v>
      </c>
      <c r="K36" s="189"/>
      <c r="L36" s="169" t="s">
        <v>41</v>
      </c>
      <c r="M36" s="169" t="s">
        <v>42</v>
      </c>
    </row>
    <row r="37" spans="1:26" ht="17.45" customHeight="1" thickBot="1">
      <c r="A37" s="797" t="s">
        <v>71</v>
      </c>
      <c r="B37" s="798"/>
      <c r="C37" s="169" t="s">
        <v>72</v>
      </c>
      <c r="D37" s="190" t="s">
        <v>73</v>
      </c>
      <c r="E37" s="191" t="s">
        <v>74</v>
      </c>
      <c r="F37" s="368"/>
      <c r="G37" s="370"/>
      <c r="H37" s="193" t="s">
        <v>75</v>
      </c>
      <c r="I37" s="251">
        <f>(13.5*1139+94*15)/1233*G42*2.75*1233/1000000</f>
        <v>42.347822256934307</v>
      </c>
      <c r="J37" s="383">
        <f>+I37+'9'!J37</f>
        <v>465.959286362711</v>
      </c>
      <c r="K37" s="133" t="s">
        <v>76</v>
      </c>
      <c r="L37" s="429"/>
      <c r="M37" s="430"/>
    </row>
    <row r="38" spans="1:26" ht="17.45" customHeight="1">
      <c r="A38" s="793" t="s">
        <v>13</v>
      </c>
      <c r="B38" s="794"/>
      <c r="C38" s="171">
        <f>SUMIF($G$7:$G$31,"Process",$F$7:$F$31)</f>
        <v>152</v>
      </c>
      <c r="D38" s="125">
        <f>+C38+'9'!D38</f>
        <v>629</v>
      </c>
      <c r="E38" s="150">
        <f t="shared" ref="E38:E51" si="14">D38/60</f>
        <v>10.483333333333333</v>
      </c>
      <c r="F38" s="368">
        <v>1050</v>
      </c>
      <c r="G38" s="370">
        <v>892.5</v>
      </c>
      <c r="H38" s="194" t="s">
        <v>77</v>
      </c>
      <c r="I38" s="551">
        <f>10.211+10.284+14.526+1.917</f>
        <v>36.938000000000002</v>
      </c>
      <c r="J38" s="384">
        <f>+I38+'9'!J38</f>
        <v>428.90599999999995</v>
      </c>
      <c r="K38" s="135" t="s">
        <v>76</v>
      </c>
      <c r="L38" s="431"/>
      <c r="M38" s="432"/>
    </row>
    <row r="39" spans="1:26" ht="17.45" customHeight="1">
      <c r="A39" s="789" t="s">
        <v>14</v>
      </c>
      <c r="B39" s="790"/>
      <c r="C39" s="171">
        <f>SUMIF($G$7:$G$23,"Cleaning",$F$7:$F$23)</f>
        <v>8</v>
      </c>
      <c r="D39" s="125">
        <f>+C39+'9'!D39</f>
        <v>81</v>
      </c>
      <c r="E39" s="150">
        <f t="shared" si="14"/>
        <v>1.35</v>
      </c>
      <c r="F39" s="368">
        <v>1039.6781609195402</v>
      </c>
      <c r="G39" s="370">
        <v>862.93287356321832</v>
      </c>
      <c r="H39" s="194" t="s">
        <v>78</v>
      </c>
      <c r="I39" s="149"/>
      <c r="J39" s="385">
        <f>J37/G4</f>
        <v>46.595928636271097</v>
      </c>
      <c r="K39" s="137" t="s">
        <v>76</v>
      </c>
      <c r="L39" s="431"/>
      <c r="M39" s="432"/>
    </row>
    <row r="40" spans="1:26" ht="17.45" customHeight="1">
      <c r="A40" s="789" t="s">
        <v>79</v>
      </c>
      <c r="B40" s="790"/>
      <c r="C40" s="171">
        <f>SUMIF($G$7:$G$23,"Mechanical",$F$7:$F$23)</f>
        <v>0</v>
      </c>
      <c r="D40" s="125">
        <f>+C40+'9'!D40</f>
        <v>22</v>
      </c>
      <c r="E40" s="150">
        <f t="shared" si="14"/>
        <v>0.36666666666666664</v>
      </c>
      <c r="F40" s="368">
        <v>1181.2291666666667</v>
      </c>
      <c r="G40" s="370">
        <v>983.14583333333337</v>
      </c>
      <c r="H40" s="194" t="s">
        <v>80</v>
      </c>
      <c r="I40" s="125">
        <f>+(K34+L34)/1000</f>
        <v>35.656999999999996</v>
      </c>
      <c r="J40" s="386">
        <f>+I40+'9'!J40</f>
        <v>411.98099999999994</v>
      </c>
      <c r="K40" s="137" t="s">
        <v>76</v>
      </c>
      <c r="L40" s="431"/>
      <c r="M40" s="432"/>
    </row>
    <row r="41" spans="1:26" ht="17.45" customHeight="1">
      <c r="A41" s="789" t="s">
        <v>81</v>
      </c>
      <c r="B41" s="790"/>
      <c r="C41" s="171">
        <f>SUMIF($G$7:$G$31,"Electrical",$F$7:$F$31)</f>
        <v>0</v>
      </c>
      <c r="D41" s="125">
        <f>+C41+'9'!D41</f>
        <v>262</v>
      </c>
      <c r="E41" s="150">
        <f t="shared" si="14"/>
        <v>4.3666666666666663</v>
      </c>
      <c r="F41" s="368"/>
      <c r="G41" s="368"/>
      <c r="H41" s="194" t="s">
        <v>82</v>
      </c>
      <c r="I41" s="149"/>
      <c r="J41" s="385">
        <f>J40/G4</f>
        <v>41.198099999999997</v>
      </c>
      <c r="K41" s="137" t="s">
        <v>76</v>
      </c>
      <c r="L41" s="431"/>
      <c r="M41" s="432"/>
      <c r="Q41" s="183">
        <f>SUM(Q31:Q39)</f>
        <v>480</v>
      </c>
      <c r="R41" s="183">
        <f>SUM(R31:R39)</f>
        <v>566990</v>
      </c>
      <c r="S41" s="183">
        <f>SUM(S31:S39)</f>
        <v>471910</v>
      </c>
      <c r="X41" s="183">
        <f>SUM(X31:X39)</f>
        <v>386</v>
      </c>
      <c r="Y41" s="183">
        <f>SUM(Y31:Y39)</f>
        <v>457950</v>
      </c>
      <c r="Z41" s="183">
        <f>SUM(Z31:Z39)</f>
        <v>384678</v>
      </c>
    </row>
    <row r="42" spans="1:26" ht="17.45" customHeight="1">
      <c r="A42" s="789" t="s">
        <v>17</v>
      </c>
      <c r="B42" s="790"/>
      <c r="C42" s="171">
        <f>SUMIF($G$7:$G$23,"Instrument",$F$7:$F$23)</f>
        <v>0</v>
      </c>
      <c r="D42" s="125">
        <f>+C42+'9'!D42</f>
        <v>0</v>
      </c>
      <c r="E42" s="150">
        <f t="shared" si="14"/>
        <v>0</v>
      </c>
      <c r="F42" s="368">
        <f>+(318*F38+435*F39+480*F40)/1233</f>
        <v>1097.4452554744526</v>
      </c>
      <c r="G42" s="368">
        <f>+(318*G38+435*G39+480*G40)/1233</f>
        <v>917.35669099756694</v>
      </c>
      <c r="H42" s="194" t="s">
        <v>83</v>
      </c>
      <c r="I42" s="253" t="s">
        <v>585</v>
      </c>
      <c r="J42" s="387"/>
      <c r="K42" s="137" t="s">
        <v>84</v>
      </c>
      <c r="L42" s="431"/>
      <c r="M42" s="432"/>
      <c r="Q42" s="156">
        <f>480-Q41</f>
        <v>0</v>
      </c>
      <c r="R42" s="183">
        <f>+R41/Q41</f>
        <v>1181.2291666666667</v>
      </c>
      <c r="S42" s="183">
        <f>+S41/Q41</f>
        <v>983.14583333333337</v>
      </c>
      <c r="X42" s="156">
        <f>480-X41</f>
        <v>94</v>
      </c>
      <c r="Y42" s="183">
        <f>+Y41/X41</f>
        <v>1186.3989637305699</v>
      </c>
      <c r="Z42" s="183">
        <f>+Z41/X41</f>
        <v>996.57512953367871</v>
      </c>
    </row>
    <row r="43" spans="1:26" ht="17.45" customHeight="1">
      <c r="A43" s="789" t="s">
        <v>85</v>
      </c>
      <c r="B43" s="790"/>
      <c r="C43" s="171">
        <f>SUMIF($G$7:$G$23,"Water",$F$7:$F$23)</f>
        <v>0</v>
      </c>
      <c r="D43" s="125">
        <f>+C43+'9'!D43</f>
        <v>0</v>
      </c>
      <c r="E43" s="150">
        <f t="shared" si="14"/>
        <v>0</v>
      </c>
      <c r="F43" s="368"/>
      <c r="G43" s="369"/>
      <c r="H43" s="195" t="s">
        <v>86</v>
      </c>
      <c r="I43" s="125">
        <f>+Report1!AH18</f>
        <v>61.2</v>
      </c>
      <c r="J43" s="388">
        <f>+I43+'9'!J43</f>
        <v>607.30000000000007</v>
      </c>
      <c r="K43" s="137" t="s">
        <v>76</v>
      </c>
      <c r="L43" s="433">
        <f>+Report1!AN18</f>
        <v>0</v>
      </c>
      <c r="M43" s="434">
        <f>+L43+'9'!M43</f>
        <v>9</v>
      </c>
    </row>
    <row r="44" spans="1:26" ht="17.45" customHeight="1">
      <c r="A44" s="789" t="s">
        <v>18</v>
      </c>
      <c r="B44" s="790"/>
      <c r="C44" s="171">
        <f>SUMIF($G$7:$G$23,"PLN",$F$7:$F$23)</f>
        <v>0</v>
      </c>
      <c r="D44" s="125">
        <f>+C44+'9'!D44</f>
        <v>0</v>
      </c>
      <c r="E44" s="150">
        <f t="shared" si="14"/>
        <v>0</v>
      </c>
      <c r="F44" s="368"/>
      <c r="G44" s="369"/>
      <c r="H44" s="195" t="s">
        <v>87</v>
      </c>
      <c r="I44" s="125">
        <f>I43/I38</f>
        <v>1.6568303643943905</v>
      </c>
      <c r="J44" s="388">
        <f>J43/J38</f>
        <v>1.4159279655682133</v>
      </c>
      <c r="K44" s="137" t="s">
        <v>76</v>
      </c>
      <c r="L44" s="435">
        <f>+L43/I38</f>
        <v>0</v>
      </c>
      <c r="M44" s="436">
        <f>+M43/J38</f>
        <v>2.0983618788265962E-2</v>
      </c>
      <c r="N44" s="156">
        <v>318</v>
      </c>
    </row>
    <row r="45" spans="1:26" ht="17.45" customHeight="1">
      <c r="A45" s="789" t="s">
        <v>19</v>
      </c>
      <c r="B45" s="790"/>
      <c r="C45" s="171">
        <f>SUMIF($G$7:$G$23,"Boiler",$F$7:$F$23)</f>
        <v>0</v>
      </c>
      <c r="D45" s="125">
        <f>+C45+'9'!D45</f>
        <v>0</v>
      </c>
      <c r="E45" s="150">
        <f t="shared" si="14"/>
        <v>0</v>
      </c>
      <c r="F45" s="368"/>
      <c r="G45" s="371"/>
      <c r="H45" s="195" t="s">
        <v>88</v>
      </c>
      <c r="I45" s="125">
        <f>I43/I40</f>
        <v>1.7163530302605381</v>
      </c>
      <c r="J45" s="388">
        <f>J43/J40</f>
        <v>1.4740971064199566</v>
      </c>
      <c r="K45" s="137" t="s">
        <v>76</v>
      </c>
      <c r="L45" s="435">
        <f>+L43/I40</f>
        <v>0</v>
      </c>
      <c r="M45" s="436">
        <f>+M43/J40</f>
        <v>2.1845667640012528E-2</v>
      </c>
      <c r="N45" s="156">
        <v>435</v>
      </c>
      <c r="P45" s="156" t="s">
        <v>408</v>
      </c>
      <c r="Q45" s="156">
        <v>1092.2827041264268</v>
      </c>
      <c r="R45" s="156">
        <v>916.47831431079896</v>
      </c>
      <c r="S45" s="156">
        <v>1139</v>
      </c>
    </row>
    <row r="46" spans="1:26" ht="17.45" customHeight="1">
      <c r="A46" s="789" t="s">
        <v>89</v>
      </c>
      <c r="B46" s="790"/>
      <c r="C46" s="171">
        <f>SUMIF($G$7:$G$23,"Gas",$F$7:$F$23)</f>
        <v>201</v>
      </c>
      <c r="D46" s="125">
        <f>+C46+'9'!D46</f>
        <v>408</v>
      </c>
      <c r="E46" s="150">
        <f t="shared" si="14"/>
        <v>6.8</v>
      </c>
      <c r="F46" s="368"/>
      <c r="G46" s="369"/>
      <c r="H46" s="195" t="s">
        <v>90</v>
      </c>
      <c r="I46" s="147">
        <f>+SUMIF(Listrik!P17,"&gt;0")</f>
        <v>38098.460000000043</v>
      </c>
      <c r="J46" s="388">
        <f>+I46+'9'!J46</f>
        <v>379859.20000000001</v>
      </c>
      <c r="K46" s="137" t="s">
        <v>91</v>
      </c>
      <c r="L46" s="435">
        <f>+Listrik!AF17</f>
        <v>0</v>
      </c>
      <c r="M46" s="437">
        <f>+L46+'9'!M46</f>
        <v>0</v>
      </c>
      <c r="N46" s="156">
        <v>480</v>
      </c>
      <c r="P46" s="156" t="s">
        <v>584</v>
      </c>
      <c r="Q46" s="156">
        <v>1160</v>
      </c>
      <c r="R46" s="156">
        <v>928</v>
      </c>
      <c r="S46" s="156">
        <v>94</v>
      </c>
    </row>
    <row r="47" spans="1:26" ht="17.45" customHeight="1">
      <c r="A47" s="789" t="s">
        <v>92</v>
      </c>
      <c r="B47" s="790"/>
      <c r="C47" s="171">
        <f>SUMIF($G$7:$G$31,"Power Plant",$F$7:$F$31)</f>
        <v>0</v>
      </c>
      <c r="D47" s="125">
        <f>+C47+'9'!D47</f>
        <v>0</v>
      </c>
      <c r="E47" s="150">
        <f t="shared" si="14"/>
        <v>0</v>
      </c>
      <c r="F47" s="368"/>
      <c r="G47" s="369"/>
      <c r="H47" s="195" t="s">
        <v>93</v>
      </c>
      <c r="I47" s="125">
        <f>I46/I38</f>
        <v>1031.416427527209</v>
      </c>
      <c r="J47" s="388">
        <f>J46/J38</f>
        <v>885.64673844618653</v>
      </c>
      <c r="K47" s="137" t="s">
        <v>25</v>
      </c>
      <c r="L47" s="435">
        <f>+L46/I38</f>
        <v>0</v>
      </c>
      <c r="M47" s="436">
        <f>+M46/J38</f>
        <v>0</v>
      </c>
      <c r="N47" s="156">
        <f>+N44+N45+N46</f>
        <v>1233</v>
      </c>
      <c r="S47" s="156">
        <f>+S45+S46</f>
        <v>1233</v>
      </c>
    </row>
    <row r="48" spans="1:26" ht="17.45" customHeight="1">
      <c r="A48" s="789" t="s">
        <v>15</v>
      </c>
      <c r="B48" s="790"/>
      <c r="C48" s="171">
        <f>SUMIF($G$7:$G$23,"Start Up",$F$7:$F$23)</f>
        <v>0</v>
      </c>
      <c r="D48" s="125">
        <f>+C48+'9'!D48</f>
        <v>0</v>
      </c>
      <c r="E48" s="150">
        <f t="shared" si="14"/>
        <v>0</v>
      </c>
      <c r="F48" s="368"/>
      <c r="G48" s="369"/>
      <c r="H48" s="195" t="s">
        <v>94</v>
      </c>
      <c r="I48" s="125">
        <f>I46/I40</f>
        <v>1068.4707070140519</v>
      </c>
      <c r="J48" s="388">
        <f>J46/J40</f>
        <v>922.03087035567194</v>
      </c>
      <c r="K48" s="137" t="s">
        <v>25</v>
      </c>
      <c r="L48" s="435">
        <f>+L46/I38</f>
        <v>0</v>
      </c>
      <c r="M48" s="436">
        <f>+M46/J40</f>
        <v>0</v>
      </c>
    </row>
    <row r="49" spans="1:13" ht="17.45" customHeight="1">
      <c r="A49" s="789" t="s">
        <v>21</v>
      </c>
      <c r="B49" s="790"/>
      <c r="C49" s="171">
        <f>SUMIF($G$7:$G$23,"Others",$F$7:$F$23)</f>
        <v>0</v>
      </c>
      <c r="D49" s="125">
        <f>+C49+'9'!D49</f>
        <v>480</v>
      </c>
      <c r="E49" s="150">
        <f t="shared" si="14"/>
        <v>8</v>
      </c>
      <c r="F49" s="192"/>
      <c r="H49" s="195" t="s">
        <v>182</v>
      </c>
      <c r="I49" s="125">
        <f>+Report1!AB18</f>
        <v>4629.3169974049761</v>
      </c>
      <c r="J49" s="388">
        <f>+I49+'9'!J49</f>
        <v>40861.606767892474</v>
      </c>
      <c r="K49" s="137" t="s">
        <v>96</v>
      </c>
      <c r="L49" s="431"/>
      <c r="M49" s="432"/>
    </row>
    <row r="50" spans="1:13" ht="17.45" customHeight="1">
      <c r="A50" s="789" t="s">
        <v>20</v>
      </c>
      <c r="B50" s="790"/>
      <c r="C50" s="171">
        <f>SUMIF($G$7:$G$23,"Steam",$F$7:$F$23)</f>
        <v>0</v>
      </c>
      <c r="D50" s="125">
        <f>+C50+'9'!D50</f>
        <v>0</v>
      </c>
      <c r="E50" s="150">
        <f t="shared" si="14"/>
        <v>0</v>
      </c>
      <c r="F50" s="192"/>
      <c r="H50" s="195" t="s">
        <v>97</v>
      </c>
      <c r="I50" s="147">
        <f>I49/I38</f>
        <v>125.32668247888287</v>
      </c>
      <c r="J50" s="388">
        <f>J49/J38</f>
        <v>95.269375499276009</v>
      </c>
      <c r="K50" s="137" t="s">
        <v>96</v>
      </c>
      <c r="L50" s="431"/>
      <c r="M50" s="432"/>
    </row>
    <row r="51" spans="1:13" ht="17.45" customHeight="1" thickBot="1">
      <c r="A51" s="791" t="s">
        <v>98</v>
      </c>
      <c r="B51" s="792"/>
      <c r="C51" s="171">
        <f>SUMIF($G$7:$G$23,"Planned shut",$F$7:$F$23)</f>
        <v>0</v>
      </c>
      <c r="D51" s="125">
        <f>+C51+'9'!D51</f>
        <v>394</v>
      </c>
      <c r="E51" s="150">
        <f t="shared" si="14"/>
        <v>6.5666666666666664</v>
      </c>
      <c r="F51" s="192"/>
      <c r="H51" s="197" t="s">
        <v>99</v>
      </c>
      <c r="I51" s="148">
        <f>I49/I40</f>
        <v>129.82912183876871</v>
      </c>
      <c r="J51" s="389">
        <f>J49/J40</f>
        <v>99.183231187585065</v>
      </c>
      <c r="K51" s="144" t="s">
        <v>96</v>
      </c>
      <c r="L51" s="431"/>
      <c r="M51" s="432"/>
    </row>
    <row r="52" spans="1:13" ht="13.5" thickBot="1">
      <c r="A52" s="793" t="s">
        <v>29</v>
      </c>
      <c r="B52" s="794"/>
      <c r="C52" s="151">
        <f>SUM(C38:C51)</f>
        <v>361</v>
      </c>
      <c r="D52" s="151">
        <f>SUM(D38:D51)</f>
        <v>2276</v>
      </c>
      <c r="E52" s="152">
        <f>SUM(E38:E51)</f>
        <v>37.933333333333337</v>
      </c>
      <c r="F52" s="192"/>
      <c r="H52" s="198"/>
      <c r="I52" s="199"/>
      <c r="J52" s="390"/>
      <c r="K52" s="146"/>
      <c r="L52" s="438"/>
      <c r="M52" s="439"/>
    </row>
    <row r="53" spans="1:13" ht="13.5" thickBot="1">
      <c r="A53" s="795"/>
      <c r="B53" s="796"/>
      <c r="C53" s="153">
        <f>C52/(24*60)</f>
        <v>0.25069444444444444</v>
      </c>
      <c r="D53" s="153">
        <f>D52/(24*60*G4)</f>
        <v>0.15805555555555556</v>
      </c>
      <c r="E53" s="154">
        <f>E52/(G4*24)</f>
        <v>0.15805555555555556</v>
      </c>
      <c r="F53" s="192"/>
    </row>
    <row r="54" spans="1:13">
      <c r="E54" s="200"/>
      <c r="F54" s="192"/>
    </row>
    <row r="55" spans="1:13">
      <c r="E55" s="200"/>
    </row>
    <row r="56" spans="1:13">
      <c r="A56" s="201" t="s">
        <v>100</v>
      </c>
      <c r="B56" s="202"/>
      <c r="C56" s="203"/>
      <c r="D56" s="203"/>
      <c r="E56" s="203"/>
      <c r="F56" s="204"/>
      <c r="G56" s="203"/>
      <c r="H56" s="205"/>
      <c r="I56" s="206" t="s">
        <v>101</v>
      </c>
      <c r="J56" s="207">
        <f>+D34+'9'!J56</f>
        <v>4237</v>
      </c>
      <c r="K56" s="208">
        <f>J56/(J40+J56/1000)/1000</f>
        <v>1.0179761567255622E-2</v>
      </c>
    </row>
    <row r="57" spans="1:13">
      <c r="A57" s="183"/>
      <c r="I57" s="206" t="s">
        <v>102</v>
      </c>
      <c r="J57" s="207">
        <f>+E34+'9'!J57</f>
        <v>0</v>
      </c>
      <c r="K57" s="208">
        <f>J57/(J40+J57/1000)/1000</f>
        <v>0</v>
      </c>
    </row>
    <row r="58" spans="1:13">
      <c r="A58" s="209"/>
      <c r="B58" s="210"/>
      <c r="F58" s="192"/>
      <c r="H58" s="211"/>
      <c r="J58" s="156">
        <v>325</v>
      </c>
    </row>
    <row r="59" spans="1:13">
      <c r="A59" s="212"/>
      <c r="B59" s="183"/>
      <c r="C59" s="183"/>
      <c r="D59" s="183"/>
      <c r="E59" s="183"/>
      <c r="F59" s="196"/>
      <c r="G59" s="183"/>
      <c r="H59" s="211"/>
      <c r="J59" s="162">
        <f>+J56+J58</f>
        <v>4562</v>
      </c>
    </row>
    <row r="60" spans="1:13">
      <c r="H60" s="211"/>
    </row>
    <row r="61" spans="1:13">
      <c r="A61" s="213"/>
      <c r="B61" s="214"/>
      <c r="C61" s="214"/>
      <c r="D61" s="214"/>
      <c r="E61" s="214"/>
      <c r="F61" s="215"/>
      <c r="G61" s="214"/>
      <c r="H61" s="216"/>
    </row>
  </sheetData>
  <mergeCells count="25">
    <mergeCell ref="A34:B34"/>
    <mergeCell ref="A53:B53"/>
    <mergeCell ref="A49:B49"/>
    <mergeCell ref="A47:B47"/>
    <mergeCell ref="A48:B48"/>
    <mergeCell ref="A50:B50"/>
    <mergeCell ref="A52:B52"/>
    <mergeCell ref="A51:B51"/>
    <mergeCell ref="A38:B38"/>
    <mergeCell ref="A7:A14"/>
    <mergeCell ref="I7:I13"/>
    <mergeCell ref="A15:A23"/>
    <mergeCell ref="I15:I22"/>
    <mergeCell ref="A24:A32"/>
    <mergeCell ref="I24:I31"/>
    <mergeCell ref="L35:M35"/>
    <mergeCell ref="A39:B39"/>
    <mergeCell ref="A46:B46"/>
    <mergeCell ref="A42:B42"/>
    <mergeCell ref="A43:B43"/>
    <mergeCell ref="A44:B44"/>
    <mergeCell ref="A45:B45"/>
    <mergeCell ref="A41:B41"/>
    <mergeCell ref="A40:B40"/>
    <mergeCell ref="A37:B37"/>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AG61"/>
  <sheetViews>
    <sheetView view="pageBreakPreview" topLeftCell="D4" zoomScale="80" zoomScaleNormal="75" zoomScaleSheetLayoutView="80" workbookViewId="0">
      <selection activeCell="F28" activeCellId="2" sqref="F12 F19 F28"/>
    </sheetView>
  </sheetViews>
  <sheetFormatPr defaultColWidth="9.140625" defaultRowHeight="12.75"/>
  <cols>
    <col min="1" max="1" width="8" style="156" customWidth="1"/>
    <col min="2" max="2" width="12" style="156"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19.42578125" style="156" customWidth="1"/>
    <col min="11" max="11" width="12.5703125" style="156" bestFit="1" customWidth="1"/>
    <col min="12" max="12" width="10.5703125" style="156" bestFit="1" customWidth="1"/>
    <col min="13" max="13" width="12.140625" style="156" customWidth="1"/>
    <col min="14" max="27" width="0" style="156" hidden="1" customWidth="1"/>
    <col min="28" max="16384" width="9.140625" style="156"/>
  </cols>
  <sheetData>
    <row r="1" spans="1:33" ht="15.75">
      <c r="A1" s="155"/>
    </row>
    <row r="2" spans="1:33" ht="15.75">
      <c r="A2" s="155" t="s">
        <v>183</v>
      </c>
    </row>
    <row r="3" spans="1:33" ht="15">
      <c r="A3" s="157"/>
    </row>
    <row r="4" spans="1:33" ht="20.25">
      <c r="A4" s="158" t="s">
        <v>5</v>
      </c>
      <c r="B4" s="159"/>
      <c r="F4" s="160" t="s">
        <v>30</v>
      </c>
      <c r="G4" s="161">
        <v>9</v>
      </c>
      <c r="H4" s="161" t="str">
        <f>+'1'!H4</f>
        <v>.01.26</v>
      </c>
      <c r="J4" s="156">
        <f>481.2+441</f>
        <v>922.2</v>
      </c>
    </row>
    <row r="5" spans="1:33" ht="13.5" thickBot="1">
      <c r="C5" s="162"/>
      <c r="D5" s="162"/>
    </row>
    <row r="6" spans="1:33"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534</v>
      </c>
      <c r="O6" s="156">
        <v>990</v>
      </c>
      <c r="P6" s="156">
        <f>+O6-(O6*0.13)</f>
        <v>861.3</v>
      </c>
      <c r="Q6" s="156">
        <v>480</v>
      </c>
      <c r="R6" s="156">
        <f t="shared" ref="R6:R7" si="0">+O6*Q6</f>
        <v>475200</v>
      </c>
      <c r="S6" s="156">
        <f t="shared" ref="S6:S7" si="1">+P6*Q6</f>
        <v>413424</v>
      </c>
      <c r="U6" s="156" t="s">
        <v>534</v>
      </c>
      <c r="V6" s="156">
        <v>990</v>
      </c>
      <c r="W6" s="156">
        <f>+V6-(V6*0.13)</f>
        <v>861.3</v>
      </c>
      <c r="X6" s="156">
        <v>480</v>
      </c>
      <c r="Y6" s="156">
        <f t="shared" ref="Y6:Y7" si="2">+V6*X6</f>
        <v>475200</v>
      </c>
      <c r="Z6" s="156">
        <f t="shared" ref="Z6:Z7" si="3">+W6*X6</f>
        <v>413424</v>
      </c>
      <c r="AB6" s="156">
        <f>+(1030-AC6)/1030</f>
        <v>3.8834951456310676E-2</v>
      </c>
      <c r="AC6" s="156">
        <v>990</v>
      </c>
      <c r="AG6" s="156">
        <v>1030</v>
      </c>
    </row>
    <row r="7" spans="1:33" ht="13.5" customHeight="1" thickBot="1">
      <c r="A7" s="800" t="s">
        <v>424</v>
      </c>
      <c r="B7" s="222" t="s">
        <v>553</v>
      </c>
      <c r="C7" s="223">
        <v>19049</v>
      </c>
      <c r="D7" s="224"/>
      <c r="E7" s="225"/>
      <c r="F7" s="235"/>
      <c r="G7" s="236" t="s">
        <v>13</v>
      </c>
      <c r="H7" s="237" t="s">
        <v>386</v>
      </c>
      <c r="I7" s="803" t="s">
        <v>565</v>
      </c>
      <c r="J7" s="221" t="str">
        <f>+'8'!J7</f>
        <v>T 13,5 RC HW</v>
      </c>
      <c r="K7" s="245">
        <f>+C27</f>
        <v>10661</v>
      </c>
      <c r="L7" s="249"/>
      <c r="M7" s="124">
        <f>+K7+'8'!M7+L7</f>
        <v>186347</v>
      </c>
      <c r="P7" s="156">
        <f>+O7-(O7*0.22)</f>
        <v>0</v>
      </c>
      <c r="Q7" s="156">
        <f>480-Q6</f>
        <v>0</v>
      </c>
      <c r="R7" s="156">
        <f t="shared" si="0"/>
        <v>0</v>
      </c>
      <c r="S7" s="156">
        <f t="shared" si="1"/>
        <v>0</v>
      </c>
      <c r="U7" s="156" t="s">
        <v>534</v>
      </c>
      <c r="V7" s="156">
        <v>900</v>
      </c>
      <c r="W7" s="156">
        <v>783</v>
      </c>
      <c r="X7" s="156">
        <v>280</v>
      </c>
      <c r="Y7" s="156">
        <f t="shared" si="2"/>
        <v>252000</v>
      </c>
      <c r="Z7" s="156">
        <f t="shared" si="3"/>
        <v>219240</v>
      </c>
      <c r="AB7" s="156">
        <f>+AB6*(480)</f>
        <v>18.640776699029125</v>
      </c>
      <c r="AG7" s="156">
        <v>1275</v>
      </c>
    </row>
    <row r="8" spans="1:33" ht="13.5" thickBot="1">
      <c r="A8" s="801"/>
      <c r="B8" s="222"/>
      <c r="C8" s="223"/>
      <c r="D8" s="224"/>
      <c r="E8" s="226"/>
      <c r="F8" s="238">
        <v>3</v>
      </c>
      <c r="G8" s="582" t="s">
        <v>13</v>
      </c>
      <c r="H8" s="237" t="s">
        <v>414</v>
      </c>
      <c r="I8" s="804"/>
      <c r="J8" s="221" t="str">
        <f>+'8'!J8</f>
        <v>T 14,5 RC HW</v>
      </c>
      <c r="K8" s="246"/>
      <c r="L8" s="246"/>
      <c r="M8" s="124">
        <f>+K8+'8'!M8+L8</f>
        <v>57466</v>
      </c>
      <c r="AB8" s="156">
        <f>+AB7</f>
        <v>18.640776699029125</v>
      </c>
      <c r="AG8" s="156">
        <v>1215</v>
      </c>
    </row>
    <row r="9" spans="1:33" ht="13.5" thickBot="1">
      <c r="A9" s="801"/>
      <c r="B9" s="222"/>
      <c r="C9" s="223"/>
      <c r="D9" s="224"/>
      <c r="E9" s="227"/>
      <c r="F9" s="235">
        <v>7</v>
      </c>
      <c r="G9" s="582" t="s">
        <v>13</v>
      </c>
      <c r="H9" s="240" t="s">
        <v>450</v>
      </c>
      <c r="I9" s="804"/>
      <c r="J9" s="221" t="str">
        <f>+'8'!J9</f>
        <v>TW 17 RC HW</v>
      </c>
      <c r="K9" s="246"/>
      <c r="L9" s="246"/>
      <c r="M9" s="124">
        <f>+K9+'8'!M9+L9</f>
        <v>24830</v>
      </c>
    </row>
    <row r="10" spans="1:33" ht="26.25" thickBot="1">
      <c r="A10" s="801"/>
      <c r="B10" s="222"/>
      <c r="C10" s="223"/>
      <c r="D10" s="224"/>
      <c r="E10" s="226"/>
      <c r="F10" s="235">
        <v>8</v>
      </c>
      <c r="G10" s="244" t="s">
        <v>14</v>
      </c>
      <c r="H10" s="240" t="s">
        <v>560</v>
      </c>
      <c r="I10" s="804"/>
      <c r="J10" s="221" t="str">
        <f>+'8'!J10</f>
        <v>TW 22 RC HW</v>
      </c>
      <c r="K10" s="246"/>
      <c r="L10" s="246"/>
      <c r="M10" s="124">
        <f>+K10+'8'!M10+L10</f>
        <v>24459</v>
      </c>
    </row>
    <row r="11" spans="1:33" ht="13.5" thickBot="1">
      <c r="A11" s="801"/>
      <c r="B11" s="222"/>
      <c r="C11" s="223"/>
      <c r="D11" s="224"/>
      <c r="E11" s="226"/>
      <c r="F11" s="235"/>
      <c r="G11" s="239"/>
      <c r="H11" s="240" t="s">
        <v>561</v>
      </c>
      <c r="I11" s="804"/>
      <c r="J11" s="221" t="str">
        <f>+'8'!J11</f>
        <v>TW 14 RC HW</v>
      </c>
      <c r="K11" s="246"/>
      <c r="L11" s="246"/>
      <c r="M11" s="124">
        <f>+K11+'8'!M11+L11</f>
        <v>8043</v>
      </c>
    </row>
    <row r="12" spans="1:33" ht="13.5" thickBot="1">
      <c r="A12" s="801"/>
      <c r="B12" s="222"/>
      <c r="C12" s="223"/>
      <c r="D12" s="224"/>
      <c r="E12" s="226"/>
      <c r="F12" s="235">
        <v>19</v>
      </c>
      <c r="G12" s="239" t="s">
        <v>89</v>
      </c>
      <c r="H12" s="240"/>
      <c r="I12" s="804"/>
      <c r="J12" s="221" t="str">
        <f>+'8'!J12</f>
        <v>TW 29 RC HW</v>
      </c>
      <c r="K12" s="246"/>
      <c r="L12" s="246"/>
      <c r="M12" s="124">
        <f>+K12+'8'!M12+L12</f>
        <v>21439</v>
      </c>
    </row>
    <row r="13" spans="1:33" ht="13.5" thickBot="1">
      <c r="A13" s="801"/>
      <c r="B13" s="222"/>
      <c r="C13" s="223"/>
      <c r="D13" s="223"/>
      <c r="E13" s="226"/>
      <c r="F13" s="235"/>
      <c r="G13" s="239"/>
      <c r="H13" s="240"/>
      <c r="I13" s="805"/>
      <c r="J13" s="221" t="str">
        <f>+'8'!J13</f>
        <v>TW 35,5 RC HW</v>
      </c>
      <c r="K13" s="246"/>
      <c r="L13" s="246"/>
      <c r="M13" s="124">
        <f>+K13+'8'!M13+L13</f>
        <v>2193</v>
      </c>
    </row>
    <row r="14" spans="1:33" ht="13.5" thickBot="1">
      <c r="A14" s="802"/>
      <c r="B14" s="172" t="s">
        <v>3</v>
      </c>
      <c r="C14" s="106">
        <f>SUM(C7:C13)</f>
        <v>19049</v>
      </c>
      <c r="D14" s="118">
        <f>SUM(D7:D13)</f>
        <v>0</v>
      </c>
      <c r="E14" s="119">
        <f>SUM(E5:E13)</f>
        <v>0</v>
      </c>
      <c r="F14" s="109">
        <f>SUM(F6:F13)</f>
        <v>37</v>
      </c>
      <c r="G14" s="166"/>
      <c r="H14" s="173"/>
      <c r="I14" s="174"/>
      <c r="J14" s="221" t="str">
        <f>+'8'!J14</f>
        <v>N 15,5 RC HW</v>
      </c>
      <c r="K14" s="246">
        <f>+C7+C16+C26</f>
        <v>35075</v>
      </c>
      <c r="L14" s="246"/>
      <c r="M14" s="124">
        <f>+K14+'8'!M14+L14</f>
        <v>46927</v>
      </c>
    </row>
    <row r="15" spans="1:33" ht="13.5" customHeight="1" thickBot="1">
      <c r="A15" s="800" t="s">
        <v>425</v>
      </c>
      <c r="B15" s="172"/>
      <c r="C15" s="120">
        <f>C14/($C$23+$D$23+$E$23)</f>
        <v>1.3982969977244366</v>
      </c>
      <c r="D15" s="121">
        <f>D14/($C$23+$D$23+$E$23)</f>
        <v>0</v>
      </c>
      <c r="E15" s="122">
        <f>E14/($C$23+$D$23+$E$23)</f>
        <v>0</v>
      </c>
      <c r="F15" s="235"/>
      <c r="G15" s="236" t="s">
        <v>13</v>
      </c>
      <c r="H15" s="237" t="s">
        <v>386</v>
      </c>
      <c r="I15" s="803" t="s">
        <v>564</v>
      </c>
      <c r="J15" s="221" t="s">
        <v>573</v>
      </c>
      <c r="K15" s="246">
        <f>+C17+C25</f>
        <v>4620</v>
      </c>
      <c r="L15" s="246"/>
      <c r="M15" s="124">
        <f>+K15+'8'!M15+L15</f>
        <v>4620</v>
      </c>
    </row>
    <row r="16" spans="1:33" ht="13.5" thickBot="1">
      <c r="A16" s="811"/>
      <c r="B16" s="222" t="s">
        <v>553</v>
      </c>
      <c r="C16" s="229">
        <f>12959-1984</f>
        <v>10975</v>
      </c>
      <c r="D16" s="230"/>
      <c r="E16" s="231"/>
      <c r="F16" s="238">
        <v>3</v>
      </c>
      <c r="G16" s="582" t="s">
        <v>13</v>
      </c>
      <c r="H16" s="237" t="s">
        <v>414</v>
      </c>
      <c r="I16" s="804"/>
      <c r="J16" s="221">
        <f>+'8'!J16</f>
        <v>0</v>
      </c>
      <c r="K16" s="246"/>
      <c r="L16" s="236"/>
      <c r="M16" s="124">
        <f>+K16+'8'!M16+L16</f>
        <v>0</v>
      </c>
      <c r="Q16" s="183">
        <f>SUM(Q6:Q14)</f>
        <v>480</v>
      </c>
      <c r="R16" s="183">
        <f>SUM(R6:R14)</f>
        <v>475200</v>
      </c>
      <c r="S16" s="183">
        <f>SUM(S6:S14)</f>
        <v>413424</v>
      </c>
      <c r="X16" s="183">
        <f>SUM(X6:X14)</f>
        <v>760</v>
      </c>
      <c r="Y16" s="183">
        <f>SUM(Y6:Y14)</f>
        <v>727200</v>
      </c>
      <c r="Z16" s="183">
        <f>SUM(Z6:Z14)</f>
        <v>632664</v>
      </c>
    </row>
    <row r="17" spans="1:29" ht="13.5" thickBot="1">
      <c r="A17" s="811"/>
      <c r="B17" s="222" t="s">
        <v>573</v>
      </c>
      <c r="C17" s="223">
        <v>1984</v>
      </c>
      <c r="D17" s="224">
        <v>664</v>
      </c>
      <c r="E17" s="232"/>
      <c r="F17" s="235">
        <v>5</v>
      </c>
      <c r="G17" s="582" t="s">
        <v>13</v>
      </c>
      <c r="H17" s="240" t="s">
        <v>395</v>
      </c>
      <c r="I17" s="804"/>
      <c r="J17" s="221">
        <f>+'8'!J17</f>
        <v>0</v>
      </c>
      <c r="K17" s="246"/>
      <c r="L17" s="236"/>
      <c r="M17" s="124">
        <f>+K17+'8'!M17+L17</f>
        <v>0</v>
      </c>
      <c r="Q17" s="156">
        <f>480-Q16</f>
        <v>0</v>
      </c>
      <c r="R17" s="183">
        <f>+R16/Q16</f>
        <v>990</v>
      </c>
      <c r="S17" s="183">
        <f>+S16/Q16</f>
        <v>861.3</v>
      </c>
      <c r="X17" s="156">
        <f>480-X16</f>
        <v>-280</v>
      </c>
      <c r="Y17" s="183">
        <f>+Y16/X16</f>
        <v>956.84210526315792</v>
      </c>
      <c r="Z17" s="183">
        <f>+Z16/X16</f>
        <v>832.45263157894738</v>
      </c>
    </row>
    <row r="18" spans="1:29" ht="26.25" thickBot="1">
      <c r="A18" s="811"/>
      <c r="B18" s="222"/>
      <c r="C18" s="223"/>
      <c r="D18" s="224"/>
      <c r="E18" s="232"/>
      <c r="F18" s="235">
        <v>7</v>
      </c>
      <c r="G18" s="244" t="s">
        <v>14</v>
      </c>
      <c r="H18" s="240" t="s">
        <v>558</v>
      </c>
      <c r="I18" s="804"/>
      <c r="J18" s="221">
        <f>+'8'!J18</f>
        <v>0</v>
      </c>
      <c r="K18" s="246"/>
      <c r="L18" s="246"/>
      <c r="M18" s="124">
        <f>+K18+'8'!M18+L18</f>
        <v>0</v>
      </c>
    </row>
    <row r="19" spans="1:29" ht="83.25" customHeight="1" thickBot="1">
      <c r="A19" s="811"/>
      <c r="B19" s="222"/>
      <c r="C19" s="223"/>
      <c r="D19" s="224"/>
      <c r="E19" s="232"/>
      <c r="F19" s="242">
        <v>90</v>
      </c>
      <c r="G19" s="239" t="s">
        <v>89</v>
      </c>
      <c r="H19" s="240" t="s">
        <v>559</v>
      </c>
      <c r="I19" s="804"/>
      <c r="J19" s="221">
        <f>+'8'!J19</f>
        <v>0</v>
      </c>
      <c r="K19" s="246"/>
      <c r="L19" s="246"/>
      <c r="M19" s="124">
        <f>+K19+'8'!M19+L19</f>
        <v>0</v>
      </c>
      <c r="N19" s="156" t="s">
        <v>534</v>
      </c>
      <c r="O19" s="156">
        <v>900</v>
      </c>
      <c r="P19" s="156">
        <f>+O19-(O19*0.13)</f>
        <v>783</v>
      </c>
      <c r="Q19" s="156">
        <f>60*4+40</f>
        <v>280</v>
      </c>
      <c r="R19" s="156">
        <f t="shared" ref="R19:R21" si="4">+O19*Q19</f>
        <v>252000</v>
      </c>
      <c r="S19" s="156">
        <f t="shared" ref="S19:S21" si="5">+P19*Q19</f>
        <v>219240</v>
      </c>
      <c r="U19" s="156" t="s">
        <v>562</v>
      </c>
      <c r="V19" s="156">
        <v>920</v>
      </c>
      <c r="W19" s="156">
        <v>717.6</v>
      </c>
      <c r="X19" s="156">
        <v>172</v>
      </c>
      <c r="Y19" s="156">
        <f t="shared" ref="Y19" si="6">+V19*X19</f>
        <v>158240</v>
      </c>
      <c r="Z19" s="156">
        <f t="shared" ref="Z19" si="7">+W19*X19</f>
        <v>123427.2</v>
      </c>
      <c r="AB19" s="156">
        <f>+(1030-AC19)/1030</f>
        <v>0.12621359223300971</v>
      </c>
      <c r="AC19" s="156">
        <v>900</v>
      </c>
    </row>
    <row r="20" spans="1:29" ht="13.5" thickBot="1">
      <c r="A20" s="811"/>
      <c r="B20" s="222"/>
      <c r="C20" s="223"/>
      <c r="D20" s="224"/>
      <c r="E20" s="232"/>
      <c r="F20" s="235"/>
      <c r="G20" s="239"/>
      <c r="H20" s="240"/>
      <c r="I20" s="804"/>
      <c r="J20" s="221">
        <f>+'8'!J20</f>
        <v>0</v>
      </c>
      <c r="K20" s="247"/>
      <c r="L20" s="247"/>
      <c r="M20" s="124">
        <f>+K20+'8'!M20+L20</f>
        <v>0</v>
      </c>
      <c r="N20" s="156" t="s">
        <v>562</v>
      </c>
      <c r="O20" s="156">
        <v>920</v>
      </c>
      <c r="P20" s="156">
        <f>+O20-(O20*0.22)</f>
        <v>717.6</v>
      </c>
      <c r="Q20" s="156">
        <f>60-40+120+32</f>
        <v>172</v>
      </c>
      <c r="R20" s="156">
        <f t="shared" si="4"/>
        <v>158240</v>
      </c>
      <c r="S20" s="156">
        <f t="shared" si="5"/>
        <v>123427.2</v>
      </c>
      <c r="AB20" s="156">
        <f>+AB19*(280)</f>
        <v>35.339805825242721</v>
      </c>
    </row>
    <row r="21" spans="1:29" ht="13.5" thickBot="1">
      <c r="A21" s="811"/>
      <c r="B21" s="222"/>
      <c r="C21" s="223"/>
      <c r="D21" s="224"/>
      <c r="E21" s="232"/>
      <c r="F21" s="238"/>
      <c r="G21" s="239"/>
      <c r="H21" s="240"/>
      <c r="I21" s="804"/>
      <c r="J21" s="221">
        <f>+'8'!J21</f>
        <v>0</v>
      </c>
      <c r="K21" s="246"/>
      <c r="L21" s="246"/>
      <c r="M21" s="124">
        <f>+K21+'8'!M21+L21</f>
        <v>0</v>
      </c>
      <c r="N21" s="156" t="s">
        <v>408</v>
      </c>
      <c r="O21" s="156">
        <v>930</v>
      </c>
      <c r="P21" s="156">
        <f>+O21-(O21*0.15)</f>
        <v>790.5</v>
      </c>
      <c r="Q21" s="156">
        <f>60-32</f>
        <v>28</v>
      </c>
      <c r="R21" s="156">
        <f t="shared" si="4"/>
        <v>26040</v>
      </c>
      <c r="S21" s="156">
        <f t="shared" si="5"/>
        <v>22134</v>
      </c>
      <c r="AB21" s="156">
        <f>+AB20</f>
        <v>35.339805825242721</v>
      </c>
    </row>
    <row r="22" spans="1:29" ht="13.5" thickBot="1">
      <c r="A22" s="811"/>
      <c r="B22" s="222"/>
      <c r="C22" s="223"/>
      <c r="D22" s="224"/>
      <c r="E22" s="232"/>
      <c r="F22" s="243"/>
      <c r="G22" s="239"/>
      <c r="H22" s="240"/>
      <c r="I22" s="805"/>
      <c r="J22" s="221">
        <f>+'8'!J22</f>
        <v>0</v>
      </c>
      <c r="K22" s="246"/>
      <c r="L22" s="246"/>
      <c r="M22" s="124">
        <f>+K22+'8'!M22+L22</f>
        <v>0</v>
      </c>
    </row>
    <row r="23" spans="1:29" ht="13.5" thickBot="1">
      <c r="A23" s="812"/>
      <c r="B23" s="172" t="s">
        <v>3</v>
      </c>
      <c r="C23" s="107">
        <f>SUM(C16:C22)</f>
        <v>12959</v>
      </c>
      <c r="D23" s="118">
        <f>SUM(D16:D22)</f>
        <v>664</v>
      </c>
      <c r="E23" s="119">
        <f>SUM(E18:E22)</f>
        <v>0</v>
      </c>
      <c r="F23" s="109">
        <f>SUM(F15:F22)</f>
        <v>105</v>
      </c>
      <c r="G23" s="166"/>
      <c r="H23" s="173"/>
      <c r="I23" s="176"/>
      <c r="J23" s="221">
        <f>+'8'!J23</f>
        <v>0</v>
      </c>
      <c r="K23" s="246"/>
      <c r="L23" s="246"/>
      <c r="M23" s="124">
        <f>+K23+'8'!M23+L23</f>
        <v>0</v>
      </c>
      <c r="AB23" s="156">
        <f>+(1275-AC23)/1275</f>
        <v>0.27843137254901962</v>
      </c>
      <c r="AC23" s="156">
        <v>920</v>
      </c>
    </row>
    <row r="24" spans="1:29" ht="13.5" customHeight="1" thickBot="1">
      <c r="A24" s="800" t="s">
        <v>423</v>
      </c>
      <c r="B24" s="177"/>
      <c r="C24" s="120">
        <f>C23/($C$23+$D$23+$E$23)</f>
        <v>0.95125890038904792</v>
      </c>
      <c r="D24" s="121">
        <f>D23/($C$23+$D$23+$E$23)</f>
        <v>4.874109961095207E-2</v>
      </c>
      <c r="E24" s="122">
        <f>E23/($C$23+$D$23+$E$23)</f>
        <v>0</v>
      </c>
      <c r="F24" s="235"/>
      <c r="G24" s="236" t="s">
        <v>13</v>
      </c>
      <c r="H24" s="237" t="s">
        <v>386</v>
      </c>
      <c r="I24" s="803" t="s">
        <v>563</v>
      </c>
      <c r="J24" s="221">
        <f>+'8'!J24</f>
        <v>0</v>
      </c>
      <c r="K24" s="246"/>
      <c r="L24" s="246"/>
      <c r="M24" s="124">
        <f>+K24+'8'!M24+L24</f>
        <v>0</v>
      </c>
      <c r="AB24" s="156">
        <f>+AB23*(172)</f>
        <v>47.890196078431373</v>
      </c>
    </row>
    <row r="25" spans="1:29" ht="13.5" customHeight="1" thickBot="1">
      <c r="A25" s="811"/>
      <c r="B25" s="222" t="s">
        <v>573</v>
      </c>
      <c r="C25" s="233">
        <v>2636</v>
      </c>
      <c r="D25" s="224"/>
      <c r="E25" s="232"/>
      <c r="F25" s="238">
        <v>2</v>
      </c>
      <c r="G25" s="582" t="s">
        <v>13</v>
      </c>
      <c r="H25" s="237" t="s">
        <v>414</v>
      </c>
      <c r="I25" s="804"/>
      <c r="J25" s="221">
        <f>+'8'!J25</f>
        <v>0</v>
      </c>
      <c r="K25" s="246"/>
      <c r="L25" s="246"/>
      <c r="M25" s="124">
        <f>+K25+'8'!M25+L25</f>
        <v>0</v>
      </c>
      <c r="AB25" s="156">
        <f>+AB24</f>
        <v>47.890196078431373</v>
      </c>
    </row>
    <row r="26" spans="1:29" ht="13.5" customHeight="1" thickBot="1">
      <c r="A26" s="811"/>
      <c r="B26" s="222" t="s">
        <v>553</v>
      </c>
      <c r="C26" s="233">
        <f>680+4371</f>
        <v>5051</v>
      </c>
      <c r="D26" s="224"/>
      <c r="E26" s="234"/>
      <c r="F26" s="235">
        <v>4</v>
      </c>
      <c r="G26" s="582" t="s">
        <v>13</v>
      </c>
      <c r="H26" s="240" t="s">
        <v>450</v>
      </c>
      <c r="I26" s="804"/>
      <c r="J26" s="221">
        <f>+'8'!J26</f>
        <v>0</v>
      </c>
      <c r="K26" s="246"/>
      <c r="L26" s="246"/>
      <c r="M26" s="124">
        <f>+K26+'8'!M26+L26</f>
        <v>0</v>
      </c>
    </row>
    <row r="27" spans="1:29" ht="26.25" customHeight="1" thickBot="1">
      <c r="A27" s="811"/>
      <c r="B27" s="222" t="s">
        <v>422</v>
      </c>
      <c r="C27" s="223">
        <v>10661</v>
      </c>
      <c r="D27" s="224"/>
      <c r="E27" s="232"/>
      <c r="F27" s="235"/>
      <c r="G27" s="244" t="s">
        <v>14</v>
      </c>
      <c r="H27" s="240" t="s">
        <v>556</v>
      </c>
      <c r="I27" s="804"/>
      <c r="J27" s="221">
        <f>+'8'!J27</f>
        <v>0</v>
      </c>
      <c r="K27" s="246"/>
      <c r="L27" s="246"/>
      <c r="M27" s="124">
        <f>+K27+'8'!M27+L27</f>
        <v>0</v>
      </c>
      <c r="AB27" s="156">
        <f>+(1215-AC27)/1215</f>
        <v>0.23456790123456789</v>
      </c>
      <c r="AC27" s="156">
        <v>930</v>
      </c>
    </row>
    <row r="28" spans="1:29" ht="149.25" customHeight="1" thickBot="1">
      <c r="A28" s="811"/>
      <c r="B28" s="222"/>
      <c r="C28" s="223"/>
      <c r="D28" s="224"/>
      <c r="E28" s="232" t="s">
        <v>602</v>
      </c>
      <c r="F28" s="238">
        <v>98</v>
      </c>
      <c r="G28" s="239" t="s">
        <v>89</v>
      </c>
      <c r="H28" s="240" t="s">
        <v>557</v>
      </c>
      <c r="I28" s="804"/>
      <c r="J28" s="221">
        <f>+'8'!J28</f>
        <v>0</v>
      </c>
      <c r="K28" s="246"/>
      <c r="L28" s="246"/>
      <c r="M28" s="124">
        <f>+K28+'8'!M28+L28</f>
        <v>0</v>
      </c>
      <c r="AB28" s="156">
        <f>+AB27*(28)</f>
        <v>6.5679012345679011</v>
      </c>
    </row>
    <row r="29" spans="1:29" ht="17.25" customHeight="1" thickBot="1">
      <c r="A29" s="811"/>
      <c r="B29" s="222"/>
      <c r="C29" s="223"/>
      <c r="D29" s="224"/>
      <c r="E29" s="232"/>
      <c r="F29" s="243"/>
      <c r="G29" s="239"/>
      <c r="H29" s="240"/>
      <c r="I29" s="804"/>
      <c r="J29" s="221">
        <f>+'8'!J29</f>
        <v>0</v>
      </c>
      <c r="K29" s="246"/>
      <c r="L29" s="246"/>
      <c r="M29" s="124">
        <f>+K29+'8'!M29+L29</f>
        <v>0</v>
      </c>
      <c r="Q29" s="183">
        <f>SUM(Q19:Q27)</f>
        <v>480</v>
      </c>
      <c r="R29" s="183">
        <f>SUM(R19:R27)</f>
        <v>436280</v>
      </c>
      <c r="S29" s="183">
        <f>SUM(S19:S27)</f>
        <v>364801.2</v>
      </c>
      <c r="X29" s="183">
        <f>SUM(X19:X27)</f>
        <v>172</v>
      </c>
      <c r="Y29" s="183">
        <f>SUM(Y19:Y27)</f>
        <v>158240</v>
      </c>
      <c r="Z29" s="183">
        <f>SUM(Z19:Z27)</f>
        <v>123427.2</v>
      </c>
      <c r="AB29" s="156">
        <f>+AB28</f>
        <v>6.5679012345679011</v>
      </c>
    </row>
    <row r="30" spans="1:29" ht="13.5" customHeight="1" thickBot="1">
      <c r="A30" s="811"/>
      <c r="B30" s="222"/>
      <c r="C30" s="233"/>
      <c r="D30" s="224"/>
      <c r="E30" s="232"/>
      <c r="F30" s="243"/>
      <c r="G30" s="239"/>
      <c r="H30" s="240"/>
      <c r="I30" s="804"/>
      <c r="J30" s="221">
        <f>+'8'!J30</f>
        <v>0</v>
      </c>
      <c r="K30" s="246"/>
      <c r="L30" s="246"/>
      <c r="M30" s="124">
        <f>+K30+'8'!M30+L30</f>
        <v>0</v>
      </c>
      <c r="Q30" s="156">
        <f>480-Q29</f>
        <v>0</v>
      </c>
      <c r="R30" s="183">
        <f>+R29/Q29</f>
        <v>908.91666666666663</v>
      </c>
      <c r="S30" s="183">
        <f>+S29/Q29</f>
        <v>760.00250000000005</v>
      </c>
      <c r="X30" s="156">
        <f>480-X29</f>
        <v>308</v>
      </c>
      <c r="Y30" s="183">
        <f>+Y29/X29</f>
        <v>920</v>
      </c>
      <c r="Z30" s="183">
        <f>+Z29/X29</f>
        <v>717.6</v>
      </c>
    </row>
    <row r="31" spans="1:29" ht="13.5" customHeight="1" thickBot="1">
      <c r="A31" s="811"/>
      <c r="B31" s="222"/>
      <c r="C31" s="233"/>
      <c r="D31" s="224"/>
      <c r="E31" s="232"/>
      <c r="F31" s="243"/>
      <c r="G31" s="244"/>
      <c r="H31" s="241"/>
      <c r="I31" s="805"/>
      <c r="J31" s="221">
        <f>+'8'!J31</f>
        <v>0</v>
      </c>
      <c r="K31" s="246"/>
      <c r="L31" s="246"/>
      <c r="M31" s="124">
        <f>+K31+'8'!M31+L31</f>
        <v>0</v>
      </c>
    </row>
    <row r="32" spans="1:29" ht="13.5" customHeight="1" thickBot="1">
      <c r="A32" s="812"/>
      <c r="B32" s="172" t="s">
        <v>3</v>
      </c>
      <c r="C32" s="106">
        <f>SUM(C25:C31)</f>
        <v>18348</v>
      </c>
      <c r="D32" s="107">
        <f>SUM(D25:D31)</f>
        <v>0</v>
      </c>
      <c r="E32" s="108">
        <f>SUM(E25:E31)</f>
        <v>0</v>
      </c>
      <c r="F32" s="109">
        <f>SUM(F24:F31)</f>
        <v>104</v>
      </c>
      <c r="G32" s="178"/>
      <c r="H32" s="179"/>
      <c r="I32" s="176"/>
      <c r="J32" s="221">
        <f>+'8'!J32</f>
        <v>0</v>
      </c>
      <c r="K32" s="248"/>
      <c r="L32" s="250"/>
      <c r="M32" s="124">
        <f>+K32+'8'!M32+L32</f>
        <v>0</v>
      </c>
      <c r="N32" s="156" t="s">
        <v>408</v>
      </c>
      <c r="O32" s="156">
        <v>930</v>
      </c>
      <c r="P32" s="156">
        <f t="shared" ref="P32:P40" si="8">+O32-(O32*0.15)</f>
        <v>790.5</v>
      </c>
      <c r="Q32" s="156">
        <f>60+24</f>
        <v>84</v>
      </c>
      <c r="R32" s="156">
        <f t="shared" ref="R32:R34" si="9">+O32*Q32</f>
        <v>78120</v>
      </c>
      <c r="S32" s="156">
        <f t="shared" ref="S32:S34" si="10">+P32*Q32</f>
        <v>66402</v>
      </c>
      <c r="U32" s="156" t="s">
        <v>408</v>
      </c>
      <c r="V32" s="156">
        <v>930</v>
      </c>
      <c r="W32" s="156">
        <v>790.5</v>
      </c>
      <c r="X32" s="156">
        <v>28</v>
      </c>
      <c r="Y32" s="156">
        <f t="shared" ref="Y32" si="11">+V32*X32</f>
        <v>26040</v>
      </c>
      <c r="Z32" s="156">
        <f t="shared" ref="Z32" si="12">+W32*X32</f>
        <v>22134</v>
      </c>
      <c r="AB32" s="156">
        <f>+(1215-AC32)/1215</f>
        <v>0.20457818930041152</v>
      </c>
      <c r="AC32" s="156">
        <v>966.4375</v>
      </c>
    </row>
    <row r="33" spans="1:28" ht="13.5" thickBot="1">
      <c r="A33" s="180"/>
      <c r="B33" s="181"/>
      <c r="C33" s="110">
        <f>C32/($C$32+$D$32+$E$32)</f>
        <v>1</v>
      </c>
      <c r="D33" s="111">
        <f>D32/($C$32+$D$32+$E$32)</f>
        <v>0</v>
      </c>
      <c r="E33" s="112">
        <f>E32/($C$32+$D$32+$E$32)</f>
        <v>0</v>
      </c>
      <c r="F33" s="113"/>
      <c r="G33" s="182"/>
      <c r="H33" s="183"/>
      <c r="I33" s="184"/>
      <c r="J33" s="128"/>
      <c r="K33" s="129"/>
      <c r="L33" s="220"/>
      <c r="M33" s="126"/>
      <c r="O33" s="156">
        <v>900</v>
      </c>
      <c r="P33" s="156">
        <f t="shared" si="8"/>
        <v>765</v>
      </c>
      <c r="Q33" s="156">
        <f>60-24+27</f>
        <v>63</v>
      </c>
      <c r="R33" s="156">
        <f t="shared" si="9"/>
        <v>56700</v>
      </c>
      <c r="S33" s="156">
        <f t="shared" si="10"/>
        <v>48195</v>
      </c>
      <c r="U33" s="156" t="s">
        <v>408</v>
      </c>
      <c r="V33" s="156">
        <v>930</v>
      </c>
      <c r="W33" s="156">
        <v>790.5</v>
      </c>
      <c r="X33" s="156">
        <v>84</v>
      </c>
      <c r="Y33" s="156">
        <f t="shared" ref="Y33:Y41" si="13">+V33*X33</f>
        <v>78120</v>
      </c>
      <c r="Z33" s="156">
        <f t="shared" ref="Z33:Z41" si="14">+W33*X33</f>
        <v>66402</v>
      </c>
      <c r="AB33" s="156">
        <f>+AB32*(480)</f>
        <v>98.197530864197532</v>
      </c>
    </row>
    <row r="34" spans="1:28" ht="13.5" thickBot="1">
      <c r="A34" s="808" t="s">
        <v>70</v>
      </c>
      <c r="B34" s="809"/>
      <c r="C34" s="114">
        <f>C14+C23+C32</f>
        <v>50356</v>
      </c>
      <c r="D34" s="114">
        <f>D14+D23+D32</f>
        <v>664</v>
      </c>
      <c r="E34" s="114">
        <f>E14+E23+E32</f>
        <v>0</v>
      </c>
      <c r="F34" s="115">
        <f>F14+F23+F32</f>
        <v>246</v>
      </c>
      <c r="H34" s="185"/>
      <c r="I34" s="185"/>
      <c r="J34" s="130" t="s">
        <v>29</v>
      </c>
      <c r="K34" s="131">
        <f>SUM(K7:K32)</f>
        <v>50356</v>
      </c>
      <c r="L34" s="219">
        <f>SUM(L7:L32)</f>
        <v>0</v>
      </c>
      <c r="M34" s="127">
        <f>SUM(M7:M32)</f>
        <v>376324</v>
      </c>
      <c r="O34" s="156">
        <v>920</v>
      </c>
      <c r="P34" s="156">
        <f t="shared" si="8"/>
        <v>782</v>
      </c>
      <c r="Q34" s="156">
        <f>60-27+13</f>
        <v>46</v>
      </c>
      <c r="R34" s="156">
        <f t="shared" si="9"/>
        <v>42320</v>
      </c>
      <c r="S34" s="156">
        <f t="shared" si="10"/>
        <v>35972</v>
      </c>
      <c r="V34" s="156">
        <v>900</v>
      </c>
      <c r="W34" s="156">
        <v>765</v>
      </c>
      <c r="X34" s="156">
        <v>63</v>
      </c>
      <c r="Y34" s="156">
        <f t="shared" si="13"/>
        <v>56700</v>
      </c>
      <c r="Z34" s="156">
        <f t="shared" si="14"/>
        <v>48195</v>
      </c>
      <c r="AB34" s="156">
        <f>+AB33</f>
        <v>98.197530864197532</v>
      </c>
    </row>
    <row r="35" spans="1:28" ht="13.5" thickBot="1">
      <c r="A35" s="186"/>
      <c r="B35" s="187"/>
      <c r="C35" s="111">
        <f>C34/($C$34+$D$34+$E$34)</f>
        <v>0.98698549588396711</v>
      </c>
      <c r="D35" s="111">
        <f>D34/($C$34+$D$34+$E$34)</f>
        <v>1.3014504116032928E-2</v>
      </c>
      <c r="E35" s="116">
        <f>E34/($C$34+$D$34+$E$34)</f>
        <v>0</v>
      </c>
      <c r="K35" s="162"/>
      <c r="L35" s="799" t="s">
        <v>184</v>
      </c>
      <c r="M35" s="799"/>
      <c r="O35" s="156">
        <v>950</v>
      </c>
      <c r="P35" s="156">
        <f t="shared" si="8"/>
        <v>807.5</v>
      </c>
      <c r="Q35" s="156">
        <f>60-13+12</f>
        <v>59</v>
      </c>
      <c r="R35" s="156">
        <f t="shared" ref="R35:R40" si="15">+O35*Q35</f>
        <v>56050</v>
      </c>
      <c r="S35" s="156">
        <f t="shared" ref="S35:S40" si="16">+P35*Q35</f>
        <v>47642.5</v>
      </c>
      <c r="V35" s="156">
        <v>920</v>
      </c>
      <c r="W35" s="156">
        <v>782</v>
      </c>
      <c r="X35" s="156">
        <v>46</v>
      </c>
      <c r="Y35" s="156">
        <f t="shared" si="13"/>
        <v>42320</v>
      </c>
      <c r="Z35" s="156">
        <f t="shared" si="14"/>
        <v>35972</v>
      </c>
    </row>
    <row r="36" spans="1:28" ht="13.5" thickBot="1">
      <c r="A36" s="185"/>
      <c r="B36" s="185"/>
      <c r="C36" s="162"/>
      <c r="D36" s="162"/>
      <c r="E36" s="162"/>
      <c r="G36" s="162"/>
      <c r="H36" s="188"/>
      <c r="I36" s="169" t="s">
        <v>41</v>
      </c>
      <c r="J36" s="169" t="s">
        <v>42</v>
      </c>
      <c r="K36" s="189"/>
      <c r="L36" s="169" t="s">
        <v>41</v>
      </c>
      <c r="M36" s="169" t="s">
        <v>42</v>
      </c>
      <c r="O36" s="156">
        <v>960</v>
      </c>
      <c r="P36" s="156">
        <f t="shared" si="8"/>
        <v>816</v>
      </c>
      <c r="Q36" s="156">
        <f>50-12</f>
        <v>38</v>
      </c>
      <c r="R36" s="156">
        <f t="shared" si="15"/>
        <v>36480</v>
      </c>
      <c r="S36" s="156">
        <f t="shared" si="16"/>
        <v>31008</v>
      </c>
      <c r="V36" s="156">
        <v>950</v>
      </c>
      <c r="W36" s="156">
        <v>807.5</v>
      </c>
      <c r="X36" s="156">
        <v>59</v>
      </c>
      <c r="Y36" s="156">
        <f t="shared" si="13"/>
        <v>56050</v>
      </c>
      <c r="Z36" s="156">
        <f t="shared" si="14"/>
        <v>47642.5</v>
      </c>
    </row>
    <row r="37" spans="1:28" ht="17.45" customHeight="1" thickBot="1">
      <c r="A37" s="797" t="s">
        <v>71</v>
      </c>
      <c r="B37" s="798"/>
      <c r="C37" s="169" t="s">
        <v>72</v>
      </c>
      <c r="D37" s="190" t="s">
        <v>73</v>
      </c>
      <c r="E37" s="191" t="s">
        <v>74</v>
      </c>
      <c r="F37" s="368"/>
      <c r="G37" s="370"/>
      <c r="H37" s="193" t="s">
        <v>75</v>
      </c>
      <c r="I37" s="251">
        <f>(15.5*760+14*172+13.5*508)/1440*G42*2.75*1440/1000000</f>
        <v>47.126410371562493</v>
      </c>
      <c r="J37" s="132">
        <f>+I37+'8'!J37</f>
        <v>423.61146410577669</v>
      </c>
      <c r="K37" s="133" t="s">
        <v>76</v>
      </c>
      <c r="L37" s="429"/>
      <c r="M37" s="430"/>
      <c r="O37" s="156">
        <v>980</v>
      </c>
      <c r="P37" s="156">
        <f t="shared" si="8"/>
        <v>833</v>
      </c>
      <c r="Q37" s="156">
        <f>60-50+38</f>
        <v>48</v>
      </c>
      <c r="R37" s="156">
        <f t="shared" si="15"/>
        <v>47040</v>
      </c>
      <c r="S37" s="156">
        <f t="shared" si="16"/>
        <v>39984</v>
      </c>
      <c r="V37" s="156">
        <v>960</v>
      </c>
      <c r="W37" s="156">
        <v>816</v>
      </c>
      <c r="X37" s="156">
        <v>38</v>
      </c>
      <c r="Y37" s="156">
        <f t="shared" si="13"/>
        <v>36480</v>
      </c>
      <c r="Z37" s="156">
        <f t="shared" si="14"/>
        <v>31008</v>
      </c>
    </row>
    <row r="38" spans="1:28" ht="17.45" customHeight="1">
      <c r="A38" s="793" t="s">
        <v>13</v>
      </c>
      <c r="B38" s="794"/>
      <c r="C38" s="171">
        <f>SUMIF($G$7:$G$31,"Process",$F$7:$F$31)</f>
        <v>24</v>
      </c>
      <c r="D38" s="125">
        <f>+C38+'8'!D38</f>
        <v>477</v>
      </c>
      <c r="E38" s="150">
        <f t="shared" ref="E38:E51" si="17">D38/60</f>
        <v>7.95</v>
      </c>
      <c r="F38" s="368">
        <v>990</v>
      </c>
      <c r="G38" s="368">
        <v>861.3</v>
      </c>
      <c r="H38" s="194" t="s">
        <v>77</v>
      </c>
      <c r="I38" s="551">
        <f>16.878+13.643+15.703</f>
        <v>46.224000000000004</v>
      </c>
      <c r="J38" s="134">
        <f>+I38+'8'!J38</f>
        <v>391.96799999999996</v>
      </c>
      <c r="K38" s="135" t="s">
        <v>76</v>
      </c>
      <c r="L38" s="431"/>
      <c r="M38" s="432"/>
      <c r="O38" s="156">
        <v>1000</v>
      </c>
      <c r="P38" s="156">
        <f t="shared" si="8"/>
        <v>850</v>
      </c>
      <c r="Q38" s="156">
        <f>60-38+2</f>
        <v>24</v>
      </c>
      <c r="R38" s="156">
        <f t="shared" si="15"/>
        <v>24000</v>
      </c>
      <c r="S38" s="156">
        <f t="shared" si="16"/>
        <v>20400</v>
      </c>
      <c r="V38" s="156">
        <v>980</v>
      </c>
      <c r="W38" s="156">
        <v>833</v>
      </c>
      <c r="X38" s="156">
        <v>48</v>
      </c>
      <c r="Y38" s="156">
        <f t="shared" si="13"/>
        <v>47040</v>
      </c>
      <c r="Z38" s="156">
        <f t="shared" si="14"/>
        <v>39984</v>
      </c>
    </row>
    <row r="39" spans="1:28" ht="17.45" customHeight="1">
      <c r="A39" s="789" t="s">
        <v>14</v>
      </c>
      <c r="B39" s="790"/>
      <c r="C39" s="171">
        <f>SUMIF($G$7:$G$31,"Cleaning",$F$7:$F$31)</f>
        <v>15</v>
      </c>
      <c r="D39" s="125">
        <f>+C39+'8'!D39</f>
        <v>73</v>
      </c>
      <c r="E39" s="150">
        <f t="shared" si="17"/>
        <v>1.2166666666666666</v>
      </c>
      <c r="F39" s="368">
        <v>908.91666666666663</v>
      </c>
      <c r="G39" s="368">
        <v>760.00250000000005</v>
      </c>
      <c r="H39" s="194" t="s">
        <v>78</v>
      </c>
      <c r="I39" s="149"/>
      <c r="J39" s="136">
        <f>J37/G4</f>
        <v>47.067940456197412</v>
      </c>
      <c r="K39" s="137" t="s">
        <v>76</v>
      </c>
      <c r="L39" s="431"/>
      <c r="M39" s="432"/>
      <c r="O39" s="156">
        <v>1030</v>
      </c>
      <c r="P39" s="156">
        <f t="shared" si="8"/>
        <v>875.5</v>
      </c>
      <c r="Q39" s="156">
        <f>38-2</f>
        <v>36</v>
      </c>
      <c r="R39" s="156">
        <f t="shared" si="15"/>
        <v>37080</v>
      </c>
      <c r="S39" s="156">
        <f t="shared" si="16"/>
        <v>31518</v>
      </c>
      <c r="V39" s="156">
        <v>1000</v>
      </c>
      <c r="W39" s="156">
        <v>850</v>
      </c>
      <c r="X39" s="156">
        <v>24</v>
      </c>
      <c r="Y39" s="156">
        <f t="shared" si="13"/>
        <v>24000</v>
      </c>
      <c r="Z39" s="156">
        <f t="shared" si="14"/>
        <v>20400</v>
      </c>
    </row>
    <row r="40" spans="1:28" ht="17.45" customHeight="1">
      <c r="A40" s="789" t="s">
        <v>79</v>
      </c>
      <c r="B40" s="790"/>
      <c r="C40" s="171">
        <f>SUMIF($G$7:$G$31,"Mechanical",$F$7:$F$31)</f>
        <v>0</v>
      </c>
      <c r="D40" s="125">
        <f>+C40+'8'!D40</f>
        <v>22</v>
      </c>
      <c r="E40" s="150">
        <f t="shared" si="17"/>
        <v>0.36666666666666664</v>
      </c>
      <c r="F40" s="368">
        <v>966.4375</v>
      </c>
      <c r="G40" s="368">
        <v>821.47187499999995</v>
      </c>
      <c r="H40" s="194" t="s">
        <v>80</v>
      </c>
      <c r="I40" s="125">
        <f>(K34+L34)/1000</f>
        <v>50.356000000000002</v>
      </c>
      <c r="J40" s="138">
        <f>+I40+'8'!J40</f>
        <v>376.32399999999996</v>
      </c>
      <c r="K40" s="137" t="s">
        <v>76</v>
      </c>
      <c r="L40" s="431"/>
      <c r="M40" s="432"/>
      <c r="O40" s="156">
        <v>1050</v>
      </c>
      <c r="P40" s="156">
        <f t="shared" si="8"/>
        <v>892.5</v>
      </c>
      <c r="Q40" s="156">
        <f>60-38+60</f>
        <v>82</v>
      </c>
      <c r="R40" s="156">
        <f t="shared" si="15"/>
        <v>86100</v>
      </c>
      <c r="S40" s="156">
        <f t="shared" si="16"/>
        <v>73185</v>
      </c>
      <c r="V40" s="156">
        <v>1030</v>
      </c>
      <c r="W40" s="156">
        <v>875.5</v>
      </c>
      <c r="X40" s="156">
        <v>36</v>
      </c>
      <c r="Y40" s="156">
        <f t="shared" si="13"/>
        <v>37080</v>
      </c>
      <c r="Z40" s="156">
        <f t="shared" si="14"/>
        <v>31518</v>
      </c>
    </row>
    <row r="41" spans="1:28" ht="17.45" customHeight="1">
      <c r="A41" s="789" t="s">
        <v>81</v>
      </c>
      <c r="B41" s="790"/>
      <c r="C41" s="171">
        <f>SUMIF($G$7:$G$31,"Electrical",$F$7:$F$31)</f>
        <v>0</v>
      </c>
      <c r="D41" s="125">
        <f>+C41+'8'!D41</f>
        <v>262</v>
      </c>
      <c r="E41" s="150">
        <f t="shared" si="17"/>
        <v>4.3666666666666663</v>
      </c>
      <c r="F41" s="368"/>
      <c r="G41" s="368"/>
      <c r="H41" s="194" t="s">
        <v>82</v>
      </c>
      <c r="I41" s="149"/>
      <c r="J41" s="136">
        <f>J40/G4</f>
        <v>41.813777777777773</v>
      </c>
      <c r="K41" s="137" t="s">
        <v>76</v>
      </c>
      <c r="L41" s="431"/>
      <c r="M41" s="432"/>
      <c r="V41" s="156">
        <v>1050</v>
      </c>
      <c r="W41" s="156">
        <v>892.5</v>
      </c>
      <c r="X41" s="156">
        <v>82</v>
      </c>
      <c r="Y41" s="156">
        <f t="shared" si="13"/>
        <v>86100</v>
      </c>
      <c r="Z41" s="156">
        <f t="shared" si="14"/>
        <v>73185</v>
      </c>
    </row>
    <row r="42" spans="1:28" ht="17.45" customHeight="1">
      <c r="A42" s="789" t="s">
        <v>17</v>
      </c>
      <c r="B42" s="790"/>
      <c r="C42" s="171">
        <f>SUMIF($G$7:$G$31,"Instrument",$F$7:$F$31)</f>
        <v>0</v>
      </c>
      <c r="D42" s="125">
        <f>+C42+'8'!D42</f>
        <v>0</v>
      </c>
      <c r="E42" s="150">
        <f t="shared" si="17"/>
        <v>0</v>
      </c>
      <c r="F42" s="368">
        <f>+(F38*480+F39*480+F40*480)/1440</f>
        <v>955.11805555555554</v>
      </c>
      <c r="G42" s="368">
        <f>+(G38*480+G39*480+G40*480)/1440</f>
        <v>814.25812499999995</v>
      </c>
      <c r="H42" s="194" t="s">
        <v>83</v>
      </c>
      <c r="I42" s="253" t="s">
        <v>566</v>
      </c>
      <c r="J42" s="139"/>
      <c r="K42" s="137" t="s">
        <v>84</v>
      </c>
      <c r="L42" s="431"/>
      <c r="M42" s="432"/>
      <c r="Q42" s="183">
        <f>SUM(Q32:Q40)</f>
        <v>480</v>
      </c>
      <c r="R42" s="183">
        <f>SUM(R32:R40)</f>
        <v>463890</v>
      </c>
      <c r="S42" s="183">
        <f>SUM(S32:S40)</f>
        <v>394306.5</v>
      </c>
    </row>
    <row r="43" spans="1:28" ht="17.45" customHeight="1">
      <c r="A43" s="789" t="s">
        <v>199</v>
      </c>
      <c r="B43" s="790"/>
      <c r="C43" s="171">
        <f>SUMIF($G$7:$G$31,"Change Grade",$F$7:$F$31)</f>
        <v>0</v>
      </c>
      <c r="D43" s="125">
        <f>+C43+'8'!D43</f>
        <v>0</v>
      </c>
      <c r="E43" s="150">
        <f t="shared" si="17"/>
        <v>0</v>
      </c>
      <c r="F43" s="368"/>
      <c r="G43" s="369"/>
      <c r="H43" s="195" t="s">
        <v>86</v>
      </c>
      <c r="I43" s="125">
        <f>+Report1!AH17</f>
        <v>68</v>
      </c>
      <c r="J43" s="140">
        <f>+I43+'8'!J43</f>
        <v>546.1</v>
      </c>
      <c r="K43" s="137" t="s">
        <v>76</v>
      </c>
      <c r="L43" s="433">
        <f>+Report1!AN17</f>
        <v>0</v>
      </c>
      <c r="M43" s="434">
        <f>+L43+'8'!M43</f>
        <v>9</v>
      </c>
      <c r="Q43" s="156">
        <f>480-Q42</f>
        <v>0</v>
      </c>
      <c r="R43" s="183">
        <f>+R42/Q42</f>
        <v>966.4375</v>
      </c>
      <c r="S43" s="183">
        <f>+S42/Q42</f>
        <v>821.47187499999995</v>
      </c>
    </row>
    <row r="44" spans="1:28" ht="17.45" customHeight="1">
      <c r="A44" s="789" t="s">
        <v>18</v>
      </c>
      <c r="B44" s="790"/>
      <c r="C44" s="171">
        <f>SUMIF($G$7:$G$31,"PLN",$F$7:$F$31)</f>
        <v>0</v>
      </c>
      <c r="D44" s="125">
        <f>+C44+'8'!D44</f>
        <v>0</v>
      </c>
      <c r="E44" s="150">
        <f t="shared" si="17"/>
        <v>0</v>
      </c>
      <c r="F44" s="368"/>
      <c r="G44" s="369"/>
      <c r="H44" s="195" t="s">
        <v>87</v>
      </c>
      <c r="I44" s="125">
        <f>I43/I38</f>
        <v>1.4710972654897887</v>
      </c>
      <c r="J44" s="141">
        <f>J43/J38</f>
        <v>1.3932259776308271</v>
      </c>
      <c r="K44" s="137" t="s">
        <v>76</v>
      </c>
      <c r="L44" s="435">
        <f>+L43/I38</f>
        <v>0</v>
      </c>
      <c r="M44" s="436">
        <f>+M43/J38</f>
        <v>2.296105804555474E-2</v>
      </c>
      <c r="N44" s="156" t="s">
        <v>534</v>
      </c>
      <c r="O44" s="156">
        <v>956.84210526315792</v>
      </c>
      <c r="P44" s="156">
        <v>832.45263157894738</v>
      </c>
      <c r="Q44" s="156">
        <v>760</v>
      </c>
    </row>
    <row r="45" spans="1:28" ht="17.45" customHeight="1">
      <c r="A45" s="789" t="s">
        <v>19</v>
      </c>
      <c r="B45" s="790"/>
      <c r="C45" s="171">
        <f>SUMIF($G$7:$G$31,"Boiler",$F$7:$F$31)</f>
        <v>0</v>
      </c>
      <c r="D45" s="125">
        <f>+C45+'8'!D45</f>
        <v>0</v>
      </c>
      <c r="E45" s="150">
        <f t="shared" si="17"/>
        <v>0</v>
      </c>
      <c r="F45" s="368"/>
      <c r="G45" s="371"/>
      <c r="H45" s="195" t="s">
        <v>88</v>
      </c>
      <c r="I45" s="125">
        <f>I43/I40</f>
        <v>1.3503852569703709</v>
      </c>
      <c r="J45" s="141">
        <f>J43/J40</f>
        <v>1.4511431638694319</v>
      </c>
      <c r="K45" s="137" t="s">
        <v>76</v>
      </c>
      <c r="L45" s="435">
        <f>+L43/I40</f>
        <v>0</v>
      </c>
      <c r="M45" s="436">
        <f>+M43/J40</f>
        <v>2.3915562122001258E-2</v>
      </c>
      <c r="N45" s="156" t="s">
        <v>562</v>
      </c>
      <c r="O45" s="156">
        <v>920</v>
      </c>
      <c r="P45" s="156">
        <v>717.6</v>
      </c>
      <c r="Q45" s="156">
        <v>172</v>
      </c>
    </row>
    <row r="46" spans="1:28" ht="17.45" customHeight="1">
      <c r="A46" s="789" t="s">
        <v>89</v>
      </c>
      <c r="B46" s="790"/>
      <c r="C46" s="171">
        <f>SUMIF($G$7:$G$31,"Gas",$F$7:$F$31)</f>
        <v>207</v>
      </c>
      <c r="D46" s="125">
        <f>+C46+'8'!D46</f>
        <v>207</v>
      </c>
      <c r="E46" s="150">
        <f t="shared" si="17"/>
        <v>3.45</v>
      </c>
      <c r="F46" s="368"/>
      <c r="G46" s="369"/>
      <c r="H46" s="195" t="s">
        <v>90</v>
      </c>
      <c r="I46" s="147">
        <f>+SUMIF(Listrik!P16,"&gt;0")</f>
        <v>39302.36</v>
      </c>
      <c r="J46" s="142">
        <f>+I46+'8'!J46</f>
        <v>341760.74</v>
      </c>
      <c r="K46" s="137" t="s">
        <v>91</v>
      </c>
      <c r="L46" s="435">
        <f>+Listrik!AF16</f>
        <v>0</v>
      </c>
      <c r="M46" s="437">
        <f>+L46+'8'!M46</f>
        <v>0</v>
      </c>
      <c r="N46" s="156" t="s">
        <v>408</v>
      </c>
      <c r="O46" s="156">
        <v>964.42913385826773</v>
      </c>
      <c r="P46" s="156">
        <v>819.76476377952758</v>
      </c>
      <c r="Q46" s="156">
        <v>508</v>
      </c>
      <c r="X46" s="183">
        <f>SUM(X32:X41)</f>
        <v>508</v>
      </c>
      <c r="Y46" s="183">
        <f>SUM(Y32:Y41)</f>
        <v>489930</v>
      </c>
      <c r="Z46" s="183">
        <f>SUM(Z32:Z41)</f>
        <v>416440.5</v>
      </c>
    </row>
    <row r="47" spans="1:28" ht="17.45" customHeight="1">
      <c r="A47" s="789" t="s">
        <v>92</v>
      </c>
      <c r="B47" s="790"/>
      <c r="C47" s="171">
        <f>SUMIF($G$7:$G$31,"Power Plant",$F$7:$F$31)</f>
        <v>0</v>
      </c>
      <c r="D47" s="125">
        <f>+C47+'8'!D47</f>
        <v>0</v>
      </c>
      <c r="E47" s="150">
        <f t="shared" si="17"/>
        <v>0</v>
      </c>
      <c r="F47" s="368"/>
      <c r="G47" s="369"/>
      <c r="H47" s="195" t="s">
        <v>93</v>
      </c>
      <c r="I47" s="125">
        <f>I46/I38</f>
        <v>850.25874004845957</v>
      </c>
      <c r="J47" s="142">
        <f>J46/J38</f>
        <v>871.90979875908249</v>
      </c>
      <c r="K47" s="137" t="s">
        <v>25</v>
      </c>
      <c r="L47" s="435">
        <f>+L46/I38</f>
        <v>0</v>
      </c>
      <c r="M47" s="436">
        <f>+M46/J38</f>
        <v>0</v>
      </c>
      <c r="Q47" s="156">
        <f>+Q44+Q45+Q46</f>
        <v>1440</v>
      </c>
      <c r="X47" s="156">
        <f>480-X46</f>
        <v>-28</v>
      </c>
      <c r="Y47" s="183">
        <f>+Y46/X46</f>
        <v>964.42913385826773</v>
      </c>
      <c r="Z47" s="183">
        <f>+Z46/X46</f>
        <v>819.76476377952758</v>
      </c>
    </row>
    <row r="48" spans="1:28" ht="17.45" customHeight="1">
      <c r="A48" s="789" t="s">
        <v>15</v>
      </c>
      <c r="B48" s="790"/>
      <c r="C48" s="171">
        <f>SUMIF($G$7:$G$31,"Start Up",$F$7:$F$31)</f>
        <v>0</v>
      </c>
      <c r="D48" s="125">
        <f>+C48+'8'!D48</f>
        <v>0</v>
      </c>
      <c r="E48" s="150">
        <f t="shared" si="17"/>
        <v>0</v>
      </c>
      <c r="F48" s="368"/>
      <c r="G48" s="369"/>
      <c r="H48" s="195" t="s">
        <v>94</v>
      </c>
      <c r="I48" s="125">
        <f>I46/I40</f>
        <v>780.49011041385336</v>
      </c>
      <c r="J48" s="142">
        <f>J46/J40</f>
        <v>908.15557870345776</v>
      </c>
      <c r="K48" s="137" t="s">
        <v>25</v>
      </c>
      <c r="L48" s="435">
        <f>+L46/I38</f>
        <v>0</v>
      </c>
      <c r="M48" s="436">
        <f>+M46/J40</f>
        <v>0</v>
      </c>
    </row>
    <row r="49" spans="1:22" ht="17.45" customHeight="1">
      <c r="A49" s="789" t="s">
        <v>21</v>
      </c>
      <c r="B49" s="790"/>
      <c r="C49" s="171">
        <f>SUMIF($G$7:$G$31,"Others",$F$7:$F$31)</f>
        <v>0</v>
      </c>
      <c r="D49" s="125">
        <f>+C49+'8'!D49</f>
        <v>480</v>
      </c>
      <c r="E49" s="150">
        <f t="shared" si="17"/>
        <v>8</v>
      </c>
      <c r="F49" s="192"/>
      <c r="H49" s="195" t="s">
        <v>182</v>
      </c>
      <c r="I49" s="125">
        <f>+Report1!AB17</f>
        <v>3875.8599820681407</v>
      </c>
      <c r="J49" s="142">
        <f>+I49+'8'!J49</f>
        <v>36232.289770487499</v>
      </c>
      <c r="K49" s="137" t="s">
        <v>96</v>
      </c>
      <c r="L49" s="431"/>
      <c r="M49" s="432"/>
    </row>
    <row r="50" spans="1:22" ht="17.45" customHeight="1">
      <c r="A50" s="789" t="s">
        <v>20</v>
      </c>
      <c r="B50" s="790"/>
      <c r="C50" s="171">
        <f>SUMIF($G$7:$G$31,"Steam",$F$7:$F$31)</f>
        <v>0</v>
      </c>
      <c r="D50" s="125">
        <f>+C50+'8'!D50</f>
        <v>0</v>
      </c>
      <c r="E50" s="150">
        <f t="shared" si="17"/>
        <v>0</v>
      </c>
      <c r="F50" s="192"/>
      <c r="H50" s="195" t="s">
        <v>97</v>
      </c>
      <c r="I50" s="147">
        <f>I49/I38</f>
        <v>83.849515015319753</v>
      </c>
      <c r="J50" s="140">
        <f>J49/J38</f>
        <v>92.436856504835859</v>
      </c>
      <c r="K50" s="137" t="s">
        <v>96</v>
      </c>
      <c r="L50" s="431"/>
      <c r="M50" s="432"/>
      <c r="U50" s="156">
        <v>1215</v>
      </c>
      <c r="V50" s="156">
        <v>508</v>
      </c>
    </row>
    <row r="51" spans="1:22" ht="17.45" customHeight="1" thickBot="1">
      <c r="A51" s="791" t="s">
        <v>98</v>
      </c>
      <c r="B51" s="792"/>
      <c r="C51" s="171">
        <f>SUMIF($G$7:$G$31,"Planned shut",$F$7:$F$31)</f>
        <v>0</v>
      </c>
      <c r="D51" s="125">
        <f>+C51+'8'!D51</f>
        <v>394</v>
      </c>
      <c r="E51" s="150">
        <f t="shared" si="17"/>
        <v>6.5666666666666664</v>
      </c>
      <c r="F51" s="192"/>
      <c r="H51" s="197" t="s">
        <v>99</v>
      </c>
      <c r="I51" s="148">
        <f>I49/I40</f>
        <v>76.969179086268582</v>
      </c>
      <c r="J51" s="143">
        <f>J49/J40</f>
        <v>96.279508536493836</v>
      </c>
      <c r="K51" s="144" t="s">
        <v>96</v>
      </c>
      <c r="L51" s="431"/>
      <c r="M51" s="432"/>
    </row>
    <row r="52" spans="1:22" ht="13.5" thickBot="1">
      <c r="A52" s="793" t="s">
        <v>29</v>
      </c>
      <c r="B52" s="794"/>
      <c r="C52" s="151">
        <f>SUM(C38:C51)</f>
        <v>246</v>
      </c>
      <c r="D52" s="151">
        <f>SUM(D38:D51)</f>
        <v>1915</v>
      </c>
      <c r="E52" s="152">
        <f>SUM(E38:E51)</f>
        <v>31.916666666666664</v>
      </c>
      <c r="F52" s="192"/>
      <c r="H52" s="198"/>
      <c r="I52" s="199"/>
      <c r="J52" s="145"/>
      <c r="K52" s="146"/>
      <c r="L52" s="438"/>
      <c r="M52" s="439"/>
    </row>
    <row r="53" spans="1:22" ht="13.5" thickBot="1">
      <c r="A53" s="795"/>
      <c r="B53" s="796"/>
      <c r="C53" s="153">
        <f>C52/(24*60)</f>
        <v>0.17083333333333334</v>
      </c>
      <c r="D53" s="153">
        <f>D52/(24*60*G4)</f>
        <v>0.14776234567901234</v>
      </c>
      <c r="E53" s="154">
        <f>E52/(G4*24)</f>
        <v>0.14776234567901234</v>
      </c>
      <c r="F53" s="192"/>
    </row>
    <row r="54" spans="1:22">
      <c r="E54" s="200"/>
      <c r="F54" s="192"/>
    </row>
    <row r="55" spans="1:22">
      <c r="E55" s="200"/>
    </row>
    <row r="56" spans="1:22">
      <c r="A56" s="201" t="s">
        <v>100</v>
      </c>
      <c r="B56" s="202"/>
      <c r="C56" s="203"/>
      <c r="D56" s="203"/>
      <c r="E56" s="203"/>
      <c r="F56" s="204"/>
      <c r="G56" s="203"/>
      <c r="H56" s="205"/>
      <c r="I56" s="206" t="s">
        <v>101</v>
      </c>
      <c r="J56" s="207">
        <f>+D34+'8'!J56</f>
        <v>4237</v>
      </c>
      <c r="K56" s="208">
        <f>J56/(J40+J56/1000)/1000</f>
        <v>1.1133563344641202E-2</v>
      </c>
    </row>
    <row r="57" spans="1:22">
      <c r="A57" s="183"/>
      <c r="I57" s="206" t="s">
        <v>102</v>
      </c>
      <c r="J57" s="207">
        <f>+E34+'8'!J57</f>
        <v>0</v>
      </c>
      <c r="K57" s="208">
        <f>J57/(J40+J57/1000)/1000</f>
        <v>0</v>
      </c>
    </row>
    <row r="58" spans="1:22">
      <c r="A58" s="209"/>
      <c r="B58" s="210"/>
      <c r="F58" s="192"/>
      <c r="H58" s="211"/>
      <c r="J58" s="162">
        <f>+J56+325</f>
        <v>4562</v>
      </c>
    </row>
    <row r="59" spans="1:22">
      <c r="A59" s="212"/>
      <c r="B59" s="183"/>
      <c r="C59" s="183"/>
      <c r="D59" s="183"/>
      <c r="E59" s="183"/>
      <c r="F59" s="196"/>
      <c r="G59" s="183"/>
      <c r="H59" s="211"/>
    </row>
    <row r="60" spans="1:22">
      <c r="H60" s="211"/>
    </row>
    <row r="61" spans="1:22">
      <c r="A61" s="213"/>
      <c r="B61" s="214"/>
      <c r="C61" s="214"/>
      <c r="D61" s="214"/>
      <c r="E61" s="214"/>
      <c r="F61" s="215"/>
      <c r="G61" s="214"/>
      <c r="H61" s="216"/>
    </row>
  </sheetData>
  <mergeCells count="25">
    <mergeCell ref="A48:B48"/>
    <mergeCell ref="A53:B53"/>
    <mergeCell ref="A52:B52"/>
    <mergeCell ref="A49:B49"/>
    <mergeCell ref="A51:B51"/>
    <mergeCell ref="A50:B50"/>
    <mergeCell ref="A47:B47"/>
    <mergeCell ref="A40:B40"/>
    <mergeCell ref="A41:B41"/>
    <mergeCell ref="A39:B39"/>
    <mergeCell ref="A46:B46"/>
    <mergeCell ref="A42:B42"/>
    <mergeCell ref="A43:B43"/>
    <mergeCell ref="A44:B44"/>
    <mergeCell ref="A45:B45"/>
    <mergeCell ref="L35:M35"/>
    <mergeCell ref="A38:B38"/>
    <mergeCell ref="A24:A32"/>
    <mergeCell ref="A7:A14"/>
    <mergeCell ref="I7:I13"/>
    <mergeCell ref="A15:A23"/>
    <mergeCell ref="I15:I22"/>
    <mergeCell ref="I24:I31"/>
    <mergeCell ref="A37:B37"/>
    <mergeCell ref="A34:B34"/>
  </mergeCells>
  <phoneticPr fontId="30"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Z61"/>
  <sheetViews>
    <sheetView view="pageBreakPreview" topLeftCell="A34" zoomScale="80" zoomScaleNormal="75" zoomScaleSheetLayoutView="80" workbookViewId="0">
      <selection activeCell="H31" sqref="H31"/>
    </sheetView>
  </sheetViews>
  <sheetFormatPr defaultColWidth="9.140625" defaultRowHeight="12.75"/>
  <cols>
    <col min="1" max="1" width="8" style="156" customWidth="1"/>
    <col min="2" max="2" width="7" style="156" bestFit="1" customWidth="1"/>
    <col min="3" max="3" width="14.85546875" style="156" bestFit="1" customWidth="1"/>
    <col min="4" max="4" width="1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0.28515625" style="156" bestFit="1" customWidth="1"/>
    <col min="11" max="11" width="14" style="156" bestFit="1" customWidth="1"/>
    <col min="12" max="12" width="13.7109375" style="156" bestFit="1" customWidth="1"/>
    <col min="13" max="13" width="15" style="156" bestFit="1" customWidth="1"/>
    <col min="14" max="16384" width="9.140625" style="156"/>
  </cols>
  <sheetData>
    <row r="1" spans="1:19" ht="15.75">
      <c r="A1" s="155"/>
    </row>
    <row r="2" spans="1:19" ht="15.75">
      <c r="A2" s="155" t="s">
        <v>183</v>
      </c>
    </row>
    <row r="3" spans="1:19" ht="15">
      <c r="A3" s="157"/>
    </row>
    <row r="4" spans="1:19" ht="20.25">
      <c r="A4" s="158" t="s">
        <v>5</v>
      </c>
      <c r="B4" s="159"/>
      <c r="F4" s="160" t="s">
        <v>30</v>
      </c>
      <c r="G4" s="161">
        <v>8</v>
      </c>
      <c r="H4" s="161" t="str">
        <f>+'1'!H4</f>
        <v>.01.26</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517</v>
      </c>
      <c r="O6" s="156">
        <v>1000</v>
      </c>
      <c r="P6" s="156">
        <f>+O6-(O6*0.22)</f>
        <v>780</v>
      </c>
      <c r="Q6" s="156">
        <f>60*2+43</f>
        <v>163</v>
      </c>
      <c r="R6" s="156">
        <f t="shared" ref="R6:R8" si="0">+O6*Q6</f>
        <v>163000</v>
      </c>
      <c r="S6" s="156">
        <f t="shared" ref="S6:S8" si="1">+P6*Q6</f>
        <v>127140</v>
      </c>
    </row>
    <row r="7" spans="1:19" ht="13.5" customHeight="1" thickBot="1">
      <c r="A7" s="800" t="s">
        <v>424</v>
      </c>
      <c r="B7" s="222" t="s">
        <v>550</v>
      </c>
      <c r="C7" s="223">
        <v>8043</v>
      </c>
      <c r="D7" s="224">
        <v>773</v>
      </c>
      <c r="E7" s="225"/>
      <c r="F7" s="235"/>
      <c r="G7" s="236" t="s">
        <v>13</v>
      </c>
      <c r="H7" s="237" t="s">
        <v>386</v>
      </c>
      <c r="I7" s="803" t="s">
        <v>539</v>
      </c>
      <c r="J7" s="221" t="str">
        <f>+'7'!J7</f>
        <v>T 13,5 RC HW</v>
      </c>
      <c r="K7" s="245"/>
      <c r="L7" s="249"/>
      <c r="M7" s="124">
        <f>+K7+'7'!M7+L7</f>
        <v>175686</v>
      </c>
      <c r="N7" s="156" t="s">
        <v>515</v>
      </c>
      <c r="O7" s="156">
        <v>480</v>
      </c>
      <c r="P7" s="156">
        <f>+O7-(O7*0.11)</f>
        <v>427.2</v>
      </c>
      <c r="Q7" s="156">
        <f>60-43+60+6</f>
        <v>83</v>
      </c>
      <c r="R7" s="156">
        <f t="shared" si="0"/>
        <v>39840</v>
      </c>
      <c r="S7" s="156">
        <f t="shared" si="1"/>
        <v>35457.599999999999</v>
      </c>
    </row>
    <row r="8" spans="1:19" ht="13.5" thickBot="1">
      <c r="A8" s="801"/>
      <c r="B8" s="222" t="s">
        <v>551</v>
      </c>
      <c r="C8" s="223">
        <v>4615</v>
      </c>
      <c r="D8" s="224"/>
      <c r="E8" s="226"/>
      <c r="F8" s="238">
        <v>4</v>
      </c>
      <c r="G8" s="582" t="s">
        <v>13</v>
      </c>
      <c r="H8" s="237" t="s">
        <v>414</v>
      </c>
      <c r="I8" s="804"/>
      <c r="J8" s="221" t="str">
        <f>+'7'!J8</f>
        <v>T 14,5 RC HW</v>
      </c>
      <c r="K8" s="246"/>
      <c r="L8" s="246"/>
      <c r="M8" s="124">
        <f>+K8+'7'!M8+L8</f>
        <v>57466</v>
      </c>
      <c r="N8" s="156" t="s">
        <v>493</v>
      </c>
      <c r="O8" s="156">
        <v>590</v>
      </c>
      <c r="P8" s="156">
        <f>+O8-(O8*0.11)</f>
        <v>525.1</v>
      </c>
      <c r="Q8" s="156">
        <f>60-6+180</f>
        <v>234</v>
      </c>
      <c r="R8" s="156">
        <f t="shared" si="0"/>
        <v>138060</v>
      </c>
      <c r="S8" s="156">
        <f t="shared" si="1"/>
        <v>122873.40000000001</v>
      </c>
    </row>
    <row r="9" spans="1:19" ht="13.5" thickBot="1">
      <c r="A9" s="801"/>
      <c r="B9" s="222" t="s">
        <v>552</v>
      </c>
      <c r="C9" s="223">
        <v>2193</v>
      </c>
      <c r="D9" s="224"/>
      <c r="E9" s="227"/>
      <c r="F9" s="235">
        <v>9</v>
      </c>
      <c r="G9" s="582" t="s">
        <v>13</v>
      </c>
      <c r="H9" s="240" t="s">
        <v>413</v>
      </c>
      <c r="I9" s="804"/>
      <c r="J9" s="221" t="str">
        <f>+'7'!J9</f>
        <v>TW 17 RC HW</v>
      </c>
      <c r="K9" s="246"/>
      <c r="L9" s="246"/>
      <c r="M9" s="124">
        <f>+K9+'7'!M9+L9</f>
        <v>24830</v>
      </c>
    </row>
    <row r="10" spans="1:19" ht="26.25" thickBot="1">
      <c r="A10" s="801"/>
      <c r="B10" s="222"/>
      <c r="C10" s="223"/>
      <c r="D10" s="224"/>
      <c r="E10" s="226"/>
      <c r="F10" s="235">
        <v>8</v>
      </c>
      <c r="G10" s="244" t="s">
        <v>14</v>
      </c>
      <c r="H10" s="240" t="s">
        <v>532</v>
      </c>
      <c r="I10" s="804"/>
      <c r="J10" s="221" t="str">
        <f>+'7'!J10</f>
        <v>TW 22 RC HW</v>
      </c>
      <c r="K10" s="246"/>
      <c r="L10" s="246"/>
      <c r="M10" s="124">
        <f>+K10+'7'!M10+L10</f>
        <v>24459</v>
      </c>
    </row>
    <row r="11" spans="1:19" ht="51.75" thickBot="1">
      <c r="A11" s="801"/>
      <c r="B11" s="222"/>
      <c r="C11" s="223"/>
      <c r="D11" s="224"/>
      <c r="E11" s="226"/>
      <c r="F11" s="235"/>
      <c r="G11" s="239"/>
      <c r="H11" s="240" t="s">
        <v>533</v>
      </c>
      <c r="I11" s="804"/>
      <c r="J11" s="221" t="s">
        <v>550</v>
      </c>
      <c r="K11" s="246">
        <f>+C7</f>
        <v>8043</v>
      </c>
      <c r="L11" s="246"/>
      <c r="M11" s="124">
        <f>+K11+'7'!M11+L11</f>
        <v>8043</v>
      </c>
    </row>
    <row r="12" spans="1:19" ht="13.5" thickBot="1">
      <c r="A12" s="801"/>
      <c r="B12" s="222"/>
      <c r="C12" s="223"/>
      <c r="D12" s="224"/>
      <c r="E12" s="226"/>
      <c r="F12" s="235"/>
      <c r="G12" s="239"/>
      <c r="H12" s="240"/>
      <c r="I12" s="804"/>
      <c r="J12" s="221" t="s">
        <v>551</v>
      </c>
      <c r="K12" s="246">
        <f>+C8+C16</f>
        <v>21439</v>
      </c>
      <c r="L12" s="246"/>
      <c r="M12" s="124">
        <f>+K12+'7'!M12+L12</f>
        <v>21439</v>
      </c>
    </row>
    <row r="13" spans="1:19" ht="13.5" thickBot="1">
      <c r="A13" s="801"/>
      <c r="B13" s="222"/>
      <c r="C13" s="223"/>
      <c r="D13" s="223"/>
      <c r="E13" s="226"/>
      <c r="F13" s="235"/>
      <c r="G13" s="239"/>
      <c r="H13" s="240"/>
      <c r="I13" s="805"/>
      <c r="J13" s="221" t="s">
        <v>552</v>
      </c>
      <c r="K13" s="246">
        <f>+C9</f>
        <v>2193</v>
      </c>
      <c r="L13" s="246"/>
      <c r="M13" s="124">
        <f>+K13+'7'!M13+L13</f>
        <v>2193</v>
      </c>
    </row>
    <row r="14" spans="1:19" ht="13.5" thickBot="1">
      <c r="A14" s="802"/>
      <c r="B14" s="172" t="s">
        <v>3</v>
      </c>
      <c r="C14" s="106">
        <f>SUM(C7:C13)</f>
        <v>14851</v>
      </c>
      <c r="D14" s="118">
        <f>SUM(D7:D13)</f>
        <v>773</v>
      </c>
      <c r="E14" s="119">
        <f>SUM(E5:E13)</f>
        <v>0</v>
      </c>
      <c r="F14" s="109">
        <f>SUM(F6:F13)</f>
        <v>21</v>
      </c>
      <c r="G14" s="166"/>
      <c r="H14" s="173"/>
      <c r="I14" s="174"/>
      <c r="J14" s="221" t="s">
        <v>553</v>
      </c>
      <c r="K14" s="246">
        <f>+C25</f>
        <v>11852</v>
      </c>
      <c r="L14" s="246"/>
      <c r="M14" s="124">
        <f>+K14+'7'!M14+L14</f>
        <v>11852</v>
      </c>
    </row>
    <row r="15" spans="1:19" ht="13.5" customHeight="1" thickBot="1">
      <c r="A15" s="800" t="s">
        <v>425</v>
      </c>
      <c r="B15" s="172"/>
      <c r="C15" s="120">
        <f>C14/($C$23+$D$23+$E$23)</f>
        <v>0.88272705658582973</v>
      </c>
      <c r="D15" s="121">
        <f>D14/($C$23+$D$23+$E$23)</f>
        <v>4.5946267237280077E-2</v>
      </c>
      <c r="E15" s="122">
        <f>E14/($C$23+$D$23+$E$23)</f>
        <v>0</v>
      </c>
      <c r="F15" s="235"/>
      <c r="G15" s="236" t="s">
        <v>13</v>
      </c>
      <c r="H15" s="237" t="s">
        <v>386</v>
      </c>
      <c r="I15" s="803" t="s">
        <v>540</v>
      </c>
      <c r="J15" s="221">
        <f>+'7'!J15</f>
        <v>0</v>
      </c>
      <c r="K15" s="246"/>
      <c r="L15" s="246"/>
      <c r="M15" s="124">
        <f>+K15+'7'!M15+L15</f>
        <v>0</v>
      </c>
    </row>
    <row r="16" spans="1:19" ht="13.5" thickBot="1">
      <c r="A16" s="811"/>
      <c r="B16" s="222" t="s">
        <v>551</v>
      </c>
      <c r="C16" s="229">
        <v>16824</v>
      </c>
      <c r="D16" s="230"/>
      <c r="E16" s="231"/>
      <c r="F16" s="238"/>
      <c r="G16" s="582" t="s">
        <v>13</v>
      </c>
      <c r="H16" s="237" t="s">
        <v>542</v>
      </c>
      <c r="I16" s="804"/>
      <c r="J16" s="221">
        <f>+'7'!J16</f>
        <v>0</v>
      </c>
      <c r="K16" s="246"/>
      <c r="L16" s="236"/>
      <c r="M16" s="124">
        <f>+K16+'7'!M16+L16</f>
        <v>0</v>
      </c>
      <c r="Q16" s="183">
        <f>SUM(Q6:Q14)</f>
        <v>480</v>
      </c>
      <c r="R16" s="183">
        <f>SUM(R6:R14)</f>
        <v>340900</v>
      </c>
      <c r="S16" s="183">
        <f>SUM(S6:S14)</f>
        <v>285471</v>
      </c>
    </row>
    <row r="17" spans="1:19" ht="13.5" thickBot="1">
      <c r="A17" s="811"/>
      <c r="B17" s="222"/>
      <c r="C17" s="223"/>
      <c r="D17" s="224"/>
      <c r="E17" s="232"/>
      <c r="F17" s="235">
        <v>3</v>
      </c>
      <c r="G17" s="582" t="s">
        <v>13</v>
      </c>
      <c r="H17" s="240" t="s">
        <v>413</v>
      </c>
      <c r="I17" s="804"/>
      <c r="J17" s="221">
        <f>+'7'!J17</f>
        <v>0</v>
      </c>
      <c r="K17" s="246"/>
      <c r="L17" s="236"/>
      <c r="M17" s="124">
        <f>+K17+'7'!M17+L17</f>
        <v>0</v>
      </c>
      <c r="Q17" s="156">
        <f>480-Q16</f>
        <v>0</v>
      </c>
      <c r="R17" s="183">
        <f>+R16/Q16</f>
        <v>710.20833333333337</v>
      </c>
      <c r="S17" s="183">
        <f>+S16/Q16</f>
        <v>594.73125000000005</v>
      </c>
    </row>
    <row r="18" spans="1:19" ht="26.25" thickBot="1">
      <c r="A18" s="811"/>
      <c r="B18" s="222"/>
      <c r="C18" s="223"/>
      <c r="D18" s="224"/>
      <c r="E18" s="232"/>
      <c r="F18" s="235"/>
      <c r="G18" s="244" t="s">
        <v>14</v>
      </c>
      <c r="H18" s="240" t="s">
        <v>530</v>
      </c>
      <c r="I18" s="804"/>
      <c r="J18" s="221">
        <f>+'7'!J18</f>
        <v>0</v>
      </c>
      <c r="K18" s="246"/>
      <c r="L18" s="246"/>
      <c r="M18" s="124">
        <f>+K18+'7'!M18+L18</f>
        <v>0</v>
      </c>
    </row>
    <row r="19" spans="1:19" ht="13.5" thickBot="1">
      <c r="A19" s="811"/>
      <c r="B19" s="222"/>
      <c r="C19" s="223"/>
      <c r="D19" s="224"/>
      <c r="E19" s="232"/>
      <c r="F19" s="242"/>
      <c r="G19" s="239"/>
      <c r="H19" s="240" t="s">
        <v>531</v>
      </c>
      <c r="I19" s="804"/>
      <c r="J19" s="221">
        <f>+'7'!J19</f>
        <v>0</v>
      </c>
      <c r="K19" s="246"/>
      <c r="L19" s="246"/>
      <c r="M19" s="124">
        <f>+K19+'7'!M19+L19</f>
        <v>0</v>
      </c>
      <c r="N19" s="156" t="s">
        <v>493</v>
      </c>
      <c r="O19" s="156">
        <v>590</v>
      </c>
      <c r="P19" s="156">
        <f>+O19-(O19*0.11)</f>
        <v>525.1</v>
      </c>
      <c r="Q19" s="156">
        <f>60*6+4</f>
        <v>364</v>
      </c>
      <c r="R19" s="156">
        <f t="shared" ref="R19" si="2">+O19*Q19</f>
        <v>214760</v>
      </c>
      <c r="S19" s="156">
        <f t="shared" ref="S19" si="3">+P19*Q19</f>
        <v>191136.4</v>
      </c>
    </row>
    <row r="20" spans="1:19" ht="13.5" thickBot="1">
      <c r="A20" s="811"/>
      <c r="B20" s="222"/>
      <c r="C20" s="223"/>
      <c r="D20" s="224"/>
      <c r="E20" s="232"/>
      <c r="F20" s="235"/>
      <c r="G20" s="239"/>
      <c r="H20" s="240"/>
      <c r="I20" s="804"/>
      <c r="J20" s="221">
        <f>+'7'!J20</f>
        <v>0</v>
      </c>
      <c r="K20" s="246"/>
      <c r="L20" s="247"/>
      <c r="M20" s="124">
        <f>+K20+'7'!M20+L20</f>
        <v>0</v>
      </c>
      <c r="N20" s="156" t="s">
        <v>534</v>
      </c>
      <c r="O20" s="156">
        <v>990</v>
      </c>
      <c r="P20" s="156">
        <f>+O20-(O20*0.14)</f>
        <v>851.4</v>
      </c>
      <c r="Q20" s="156">
        <f>480-Q19</f>
        <v>116</v>
      </c>
      <c r="R20" s="156">
        <f t="shared" ref="R20" si="4">+O20*Q20</f>
        <v>114840</v>
      </c>
      <c r="S20" s="156">
        <f t="shared" ref="S20" si="5">+P20*Q20</f>
        <v>98762.4</v>
      </c>
    </row>
    <row r="21" spans="1:19" ht="13.5" thickBot="1">
      <c r="A21" s="811"/>
      <c r="B21" s="222"/>
      <c r="C21" s="223"/>
      <c r="D21" s="224"/>
      <c r="E21" s="232"/>
      <c r="F21" s="238"/>
      <c r="G21" s="239"/>
      <c r="H21" s="240"/>
      <c r="I21" s="804"/>
      <c r="J21" s="221">
        <f>+'7'!J21</f>
        <v>0</v>
      </c>
      <c r="K21" s="246"/>
      <c r="L21" s="246"/>
      <c r="M21" s="124">
        <f>+K21+'7'!M21+L21</f>
        <v>0</v>
      </c>
    </row>
    <row r="22" spans="1:19" ht="13.5" thickBot="1">
      <c r="A22" s="811"/>
      <c r="B22" s="222"/>
      <c r="C22" s="223"/>
      <c r="D22" s="224"/>
      <c r="E22" s="232"/>
      <c r="F22" s="243"/>
      <c r="G22" s="239"/>
      <c r="H22" s="240"/>
      <c r="I22" s="805"/>
      <c r="J22" s="221">
        <f>+'7'!J22</f>
        <v>0</v>
      </c>
      <c r="K22" s="246"/>
      <c r="L22" s="246"/>
      <c r="M22" s="124">
        <f>+K22+'7'!M22+L22</f>
        <v>0</v>
      </c>
    </row>
    <row r="23" spans="1:19" ht="13.5" thickBot="1">
      <c r="A23" s="812"/>
      <c r="B23" s="172" t="s">
        <v>3</v>
      </c>
      <c r="C23" s="107">
        <f>SUM(C16:C22)</f>
        <v>16824</v>
      </c>
      <c r="D23" s="118">
        <f>SUM(D16:D22)</f>
        <v>0</v>
      </c>
      <c r="E23" s="119">
        <f>SUM(E18:E22)</f>
        <v>0</v>
      </c>
      <c r="F23" s="109">
        <f>SUM(F15:F22)</f>
        <v>3</v>
      </c>
      <c r="G23" s="166"/>
      <c r="H23" s="173"/>
      <c r="I23" s="176"/>
      <c r="J23" s="221">
        <f>+'7'!J23</f>
        <v>0</v>
      </c>
      <c r="K23" s="246"/>
      <c r="L23" s="246"/>
      <c r="M23" s="124">
        <f>+K23+'7'!M23+L23</f>
        <v>0</v>
      </c>
    </row>
    <row r="24" spans="1:19" ht="13.5" customHeight="1" thickBot="1">
      <c r="A24" s="800" t="s">
        <v>423</v>
      </c>
      <c r="B24" s="177"/>
      <c r="C24" s="120">
        <f>C23/($C$23+$D$23+$E$23)</f>
        <v>1</v>
      </c>
      <c r="D24" s="121">
        <f>D23/($C$23+$D$23+$E$23)</f>
        <v>0</v>
      </c>
      <c r="E24" s="122">
        <f>E23/($C$23+$D$23+$E$23)</f>
        <v>0</v>
      </c>
      <c r="F24" s="235"/>
      <c r="G24" s="236" t="s">
        <v>13</v>
      </c>
      <c r="H24" s="237" t="s">
        <v>386</v>
      </c>
      <c r="I24" s="803" t="s">
        <v>541</v>
      </c>
      <c r="J24" s="221">
        <f>+'7'!J24</f>
        <v>0</v>
      </c>
      <c r="K24" s="246"/>
      <c r="L24" s="246"/>
      <c r="M24" s="124">
        <f>+K24+'7'!M24+L24</f>
        <v>0</v>
      </c>
    </row>
    <row r="25" spans="1:19" ht="13.5" thickBot="1">
      <c r="A25" s="811"/>
      <c r="B25" s="222" t="s">
        <v>553</v>
      </c>
      <c r="C25" s="233">
        <v>11852</v>
      </c>
      <c r="D25" s="224">
        <v>134</v>
      </c>
      <c r="E25" s="232"/>
      <c r="F25" s="238">
        <v>2</v>
      </c>
      <c r="G25" s="582" t="s">
        <v>13</v>
      </c>
      <c r="H25" s="237" t="s">
        <v>415</v>
      </c>
      <c r="I25" s="804"/>
      <c r="J25" s="221">
        <f>+'7'!J25</f>
        <v>0</v>
      </c>
      <c r="K25" s="246"/>
      <c r="L25" s="246"/>
      <c r="M25" s="124">
        <f>+K25+'7'!M25+L25</f>
        <v>0</v>
      </c>
    </row>
    <row r="26" spans="1:19" ht="13.5" thickBot="1">
      <c r="A26" s="811"/>
      <c r="B26" s="222"/>
      <c r="C26" s="233"/>
      <c r="D26" s="224"/>
      <c r="E26" s="234"/>
      <c r="F26" s="235">
        <v>4</v>
      </c>
      <c r="G26" s="582" t="s">
        <v>13</v>
      </c>
      <c r="H26" s="240" t="s">
        <v>450</v>
      </c>
      <c r="I26" s="804"/>
      <c r="J26" s="221">
        <f>+'7'!J26</f>
        <v>0</v>
      </c>
      <c r="K26" s="246"/>
      <c r="L26" s="246"/>
      <c r="M26" s="124">
        <f>+K26+'7'!M26+L26</f>
        <v>0</v>
      </c>
    </row>
    <row r="27" spans="1:19" ht="26.25" thickBot="1">
      <c r="A27" s="811"/>
      <c r="B27" s="222"/>
      <c r="C27" s="223"/>
      <c r="D27" s="224"/>
      <c r="E27" s="232"/>
      <c r="F27" s="235"/>
      <c r="G27" s="244" t="s">
        <v>14</v>
      </c>
      <c r="H27" s="240" t="s">
        <v>529</v>
      </c>
      <c r="I27" s="804"/>
      <c r="J27" s="221">
        <f>+'7'!J27</f>
        <v>0</v>
      </c>
      <c r="K27" s="246"/>
      <c r="L27" s="246"/>
      <c r="M27" s="124">
        <f>+K27+'7'!M27+L27</f>
        <v>0</v>
      </c>
    </row>
    <row r="28" spans="1:19" ht="13.5" thickBot="1">
      <c r="A28" s="811"/>
      <c r="B28" s="222"/>
      <c r="C28" s="223"/>
      <c r="D28" s="224"/>
      <c r="E28" s="232"/>
      <c r="F28" s="238"/>
      <c r="G28" s="239"/>
      <c r="H28" s="240"/>
      <c r="I28" s="804"/>
      <c r="J28" s="221">
        <f>+'7'!J28</f>
        <v>0</v>
      </c>
      <c r="K28" s="246"/>
      <c r="L28" s="246"/>
      <c r="M28" s="124">
        <f>+K28+'7'!M28+L28</f>
        <v>0</v>
      </c>
    </row>
    <row r="29" spans="1:19" ht="13.5" thickBot="1">
      <c r="A29" s="811"/>
      <c r="B29" s="222"/>
      <c r="C29" s="223"/>
      <c r="D29" s="224"/>
      <c r="E29" s="232"/>
      <c r="F29" s="243"/>
      <c r="G29" s="239"/>
      <c r="H29" s="240"/>
      <c r="I29" s="804"/>
      <c r="J29" s="221">
        <f>+'7'!J29</f>
        <v>0</v>
      </c>
      <c r="K29" s="246"/>
      <c r="L29" s="246"/>
      <c r="M29" s="124">
        <f>+K29+'7'!M29+L29</f>
        <v>0</v>
      </c>
      <c r="Q29" s="183">
        <f>SUM(Q19:Q27)</f>
        <v>480</v>
      </c>
      <c r="R29" s="183">
        <f>SUM(R19:R27)</f>
        <v>329600</v>
      </c>
      <c r="S29" s="183">
        <f>SUM(S19:S27)</f>
        <v>289898.8</v>
      </c>
    </row>
    <row r="30" spans="1:19" ht="13.5" thickBot="1">
      <c r="A30" s="811"/>
      <c r="B30" s="222"/>
      <c r="C30" s="233"/>
      <c r="D30" s="224"/>
      <c r="E30" s="232"/>
      <c r="F30" s="243"/>
      <c r="G30" s="239"/>
      <c r="H30" s="240"/>
      <c r="I30" s="804"/>
      <c r="J30" s="221">
        <f>+'7'!J30</f>
        <v>0</v>
      </c>
      <c r="K30" s="246"/>
      <c r="L30" s="246"/>
      <c r="M30" s="124">
        <f>+K30+'7'!M30+L30</f>
        <v>0</v>
      </c>
      <c r="Q30" s="156">
        <f>480-Q29</f>
        <v>0</v>
      </c>
      <c r="R30" s="183">
        <f>+R29/Q29</f>
        <v>686.66666666666663</v>
      </c>
      <c r="S30" s="183">
        <f>+S29/Q29</f>
        <v>603.95583333333332</v>
      </c>
    </row>
    <row r="31" spans="1:19" ht="13.5" thickBot="1">
      <c r="A31" s="811"/>
      <c r="B31" s="222"/>
      <c r="C31" s="233"/>
      <c r="D31" s="224"/>
      <c r="E31" s="232"/>
      <c r="F31" s="243"/>
      <c r="G31" s="244"/>
      <c r="H31" s="241"/>
      <c r="I31" s="805"/>
      <c r="J31" s="221">
        <f>+'7'!J31</f>
        <v>0</v>
      </c>
      <c r="K31" s="246"/>
      <c r="L31" s="246"/>
      <c r="M31" s="124">
        <f>+K31+'7'!M31+L31</f>
        <v>0</v>
      </c>
    </row>
    <row r="32" spans="1:19" ht="13.5" thickBot="1">
      <c r="A32" s="812"/>
      <c r="B32" s="172" t="s">
        <v>3</v>
      </c>
      <c r="C32" s="106">
        <f>SUM(C25:C31)</f>
        <v>11852</v>
      </c>
      <c r="D32" s="107">
        <f>SUM(D25:D31)</f>
        <v>134</v>
      </c>
      <c r="E32" s="108">
        <f>SUM(E25:E31)</f>
        <v>0</v>
      </c>
      <c r="F32" s="109">
        <f>SUM(F24:F31)</f>
        <v>6</v>
      </c>
      <c r="G32" s="178"/>
      <c r="H32" s="179"/>
      <c r="I32" s="176"/>
      <c r="J32" s="221">
        <f>+'7'!J32</f>
        <v>0</v>
      </c>
      <c r="K32" s="248"/>
      <c r="L32" s="250"/>
      <c r="M32" s="124">
        <f>+K32+'7'!M32+L32</f>
        <v>0</v>
      </c>
    </row>
    <row r="33" spans="1:26" ht="13.5" thickBot="1">
      <c r="A33" s="180"/>
      <c r="B33" s="181"/>
      <c r="C33" s="110">
        <f>C32/($C$32+$D$32+$E$32)</f>
        <v>0.98882029033872854</v>
      </c>
      <c r="D33" s="111">
        <f>D32/($C$32+$D$32+$E$32)</f>
        <v>1.1179709661271483E-2</v>
      </c>
      <c r="E33" s="112">
        <f>E32/($C$32+$D$32+$E$32)</f>
        <v>0</v>
      </c>
      <c r="F33" s="113"/>
      <c r="G33" s="182"/>
      <c r="H33" s="183"/>
      <c r="I33" s="184"/>
      <c r="J33" s="128"/>
      <c r="K33" s="129"/>
      <c r="L33" s="220"/>
      <c r="M33" s="126"/>
      <c r="N33" s="156" t="s">
        <v>534</v>
      </c>
      <c r="O33" s="156">
        <v>990</v>
      </c>
      <c r="P33" s="156">
        <f>+O33-(O33*0.14)</f>
        <v>851.4</v>
      </c>
      <c r="Q33" s="156">
        <v>480</v>
      </c>
      <c r="R33" s="156">
        <f t="shared" ref="R33:R34" si="6">+O33*Q33</f>
        <v>475200</v>
      </c>
      <c r="S33" s="156">
        <f t="shared" ref="S33:S34" si="7">+P33*Q33</f>
        <v>408672</v>
      </c>
      <c r="U33" s="156" t="s">
        <v>493</v>
      </c>
      <c r="V33" s="156">
        <v>590</v>
      </c>
      <c r="W33" s="156">
        <v>525.1</v>
      </c>
      <c r="X33" s="156">
        <v>234</v>
      </c>
      <c r="Y33" s="156">
        <f t="shared" ref="Y33:Y34" si="8">+V33*X33</f>
        <v>138060</v>
      </c>
      <c r="Z33" s="156">
        <f t="shared" ref="Z33:Z34" si="9">+W33*X33</f>
        <v>122873.40000000001</v>
      </c>
    </row>
    <row r="34" spans="1:26" ht="13.5" thickBot="1">
      <c r="A34" s="808" t="s">
        <v>70</v>
      </c>
      <c r="B34" s="809"/>
      <c r="C34" s="114">
        <f>C14+C23+C32</f>
        <v>43527</v>
      </c>
      <c r="D34" s="114">
        <f>D14+D23+D32</f>
        <v>907</v>
      </c>
      <c r="E34" s="114">
        <f>E14+E23+E32</f>
        <v>0</v>
      </c>
      <c r="F34" s="115">
        <f>F14+F23+F32</f>
        <v>30</v>
      </c>
      <c r="H34" s="185"/>
      <c r="I34" s="185"/>
      <c r="J34" s="130" t="s">
        <v>29</v>
      </c>
      <c r="K34" s="131">
        <f>SUM(K7:K32)</f>
        <v>43527</v>
      </c>
      <c r="L34" s="219">
        <f>SUM(L7:L32)</f>
        <v>0</v>
      </c>
      <c r="M34" s="127">
        <f>SUM(M7:M32)</f>
        <v>325968</v>
      </c>
      <c r="P34" s="156">
        <f>+O34-(O34*0.22)</f>
        <v>0</v>
      </c>
      <c r="Q34" s="156">
        <f>480-Q33</f>
        <v>0</v>
      </c>
      <c r="R34" s="156">
        <f t="shared" si="6"/>
        <v>0</v>
      </c>
      <c r="S34" s="156">
        <f t="shared" si="7"/>
        <v>0</v>
      </c>
      <c r="U34" s="156" t="s">
        <v>493</v>
      </c>
      <c r="V34" s="156">
        <v>590</v>
      </c>
      <c r="W34" s="156">
        <v>525.1</v>
      </c>
      <c r="X34" s="156">
        <v>364</v>
      </c>
      <c r="Y34" s="156">
        <f t="shared" si="8"/>
        <v>214760</v>
      </c>
      <c r="Z34" s="156">
        <f t="shared" si="9"/>
        <v>191136.4</v>
      </c>
    </row>
    <row r="35" spans="1:26" ht="13.5" thickBot="1">
      <c r="A35" s="186"/>
      <c r="B35" s="187"/>
      <c r="C35" s="111">
        <f>C34/($C$34+$D$34+$E$34)</f>
        <v>0.97958770311023091</v>
      </c>
      <c r="D35" s="111">
        <f>D34/($C$34+$D$34+$E$34)</f>
        <v>2.0412296889769095E-2</v>
      </c>
      <c r="E35" s="116">
        <f>E34/($C$34+$D$34+$E$34)</f>
        <v>0</v>
      </c>
      <c r="K35" s="162"/>
      <c r="L35" s="799" t="s">
        <v>184</v>
      </c>
      <c r="M35" s="799"/>
    </row>
    <row r="36" spans="1:26" ht="13.5" thickBot="1">
      <c r="A36" s="185"/>
      <c r="B36" s="185"/>
      <c r="C36" s="162"/>
      <c r="D36" s="162"/>
      <c r="E36" s="162"/>
      <c r="G36" s="162"/>
      <c r="H36" s="188"/>
      <c r="I36" s="169" t="s">
        <v>41</v>
      </c>
      <c r="J36" s="169" t="s">
        <v>42</v>
      </c>
      <c r="K36" s="189"/>
      <c r="L36" s="169" t="s">
        <v>41</v>
      </c>
      <c r="M36" s="169" t="s">
        <v>42</v>
      </c>
    </row>
    <row r="37" spans="1:26" ht="17.45" customHeight="1" thickBot="1">
      <c r="A37" s="797" t="s">
        <v>71</v>
      </c>
      <c r="B37" s="798"/>
      <c r="C37" s="169" t="s">
        <v>72</v>
      </c>
      <c r="D37" s="190" t="s">
        <v>73</v>
      </c>
      <c r="E37" s="191" t="s">
        <v>74</v>
      </c>
      <c r="F37" s="368"/>
      <c r="G37" s="370"/>
      <c r="H37" s="193" t="s">
        <v>75</v>
      </c>
      <c r="I37" s="251">
        <f>(14*163+83*35.5+29*598+596*15.5)/1440*G42*2.75*1440/1000000</f>
        <v>59.776012074357638</v>
      </c>
      <c r="J37" s="132">
        <f>+I37+'7'!J37</f>
        <v>376.4850537342142</v>
      </c>
      <c r="K37" s="133" t="s">
        <v>76</v>
      </c>
      <c r="L37" s="429"/>
      <c r="M37" s="430"/>
    </row>
    <row r="38" spans="1:26" ht="17.45" customHeight="1">
      <c r="A38" s="793" t="s">
        <v>13</v>
      </c>
      <c r="B38" s="794"/>
      <c r="C38" s="171">
        <f>SUMIF($G$7:$G$31,"Process",$F$7:$F$31)</f>
        <v>22</v>
      </c>
      <c r="D38" s="125">
        <f>+C38+'7'!D38</f>
        <v>453</v>
      </c>
      <c r="E38" s="150">
        <f t="shared" ref="E38:E51" si="10">D38/60</f>
        <v>7.55</v>
      </c>
      <c r="F38" s="368">
        <v>710.20833333333337</v>
      </c>
      <c r="G38" s="368">
        <v>594.73125000000005</v>
      </c>
      <c r="H38" s="194" t="s">
        <v>77</v>
      </c>
      <c r="I38" s="551">
        <f>5.118+4.138+7.736+14.505+2.515+16.219</f>
        <v>50.231000000000002</v>
      </c>
      <c r="J38" s="134">
        <f>+I38+'7'!J38</f>
        <v>345.74399999999997</v>
      </c>
      <c r="K38" s="135" t="s">
        <v>76</v>
      </c>
      <c r="L38" s="431"/>
      <c r="M38" s="432"/>
    </row>
    <row r="39" spans="1:26" ht="17.45" customHeight="1">
      <c r="A39" s="789" t="s">
        <v>14</v>
      </c>
      <c r="B39" s="790"/>
      <c r="C39" s="171">
        <f>SUMIF($G$7:$G$31,"Cleaning",$F$7:$F$31)</f>
        <v>8</v>
      </c>
      <c r="D39" s="125">
        <f>+C39+'7'!D39</f>
        <v>58</v>
      </c>
      <c r="E39" s="150">
        <f t="shared" si="10"/>
        <v>0.96666666666666667</v>
      </c>
      <c r="F39" s="368">
        <v>686.66666666666663</v>
      </c>
      <c r="G39" s="368">
        <v>603.95583333333332</v>
      </c>
      <c r="H39" s="194" t="s">
        <v>78</v>
      </c>
      <c r="I39" s="149"/>
      <c r="J39" s="136">
        <f>J37/G4</f>
        <v>47.060631716776776</v>
      </c>
      <c r="K39" s="137" t="s">
        <v>76</v>
      </c>
      <c r="L39" s="431"/>
      <c r="M39" s="432"/>
    </row>
    <row r="40" spans="1:26" ht="17.45" customHeight="1">
      <c r="A40" s="789" t="s">
        <v>79</v>
      </c>
      <c r="B40" s="790"/>
      <c r="C40" s="171">
        <f>SUMIF($G$7:$G$31,"Mechanical",$F$7:$F$31)</f>
        <v>0</v>
      </c>
      <c r="D40" s="125">
        <f>+C40+'7'!D40</f>
        <v>22</v>
      </c>
      <c r="E40" s="150">
        <f t="shared" si="10"/>
        <v>0.36666666666666664</v>
      </c>
      <c r="F40" s="368">
        <v>990</v>
      </c>
      <c r="G40" s="368">
        <v>851.4</v>
      </c>
      <c r="H40" s="194" t="s">
        <v>80</v>
      </c>
      <c r="I40" s="125">
        <f>(K34+L34)/1000</f>
        <v>43.527000000000001</v>
      </c>
      <c r="J40" s="138">
        <f>+I40+'7'!J40</f>
        <v>325.96799999999996</v>
      </c>
      <c r="K40" s="137" t="s">
        <v>76</v>
      </c>
      <c r="L40" s="431"/>
      <c r="M40" s="432"/>
    </row>
    <row r="41" spans="1:26" ht="17.45" customHeight="1">
      <c r="A41" s="789" t="s">
        <v>81</v>
      </c>
      <c r="B41" s="790"/>
      <c r="C41" s="171">
        <f>SUMIF($G$7:$G$31,"Electrical",$F$7:$F$31)</f>
        <v>0</v>
      </c>
      <c r="D41" s="125">
        <f>+C41+'7'!D41</f>
        <v>262</v>
      </c>
      <c r="E41" s="150">
        <f t="shared" si="10"/>
        <v>4.3666666666666663</v>
      </c>
      <c r="F41" s="368"/>
      <c r="G41" s="368"/>
      <c r="H41" s="194" t="s">
        <v>82</v>
      </c>
      <c r="I41" s="149"/>
      <c r="J41" s="136">
        <f>J40/G4</f>
        <v>40.745999999999995</v>
      </c>
      <c r="K41" s="137" t="s">
        <v>76</v>
      </c>
      <c r="L41" s="431"/>
      <c r="M41" s="432"/>
    </row>
    <row r="42" spans="1:26" ht="17.45" customHeight="1">
      <c r="A42" s="789" t="s">
        <v>17</v>
      </c>
      <c r="B42" s="790"/>
      <c r="C42" s="171">
        <f>SUMIF($G$7:$G$31,"Instrument",$F$7:$F$31)</f>
        <v>0</v>
      </c>
      <c r="D42" s="125">
        <f>+C42+'7'!D42</f>
        <v>0</v>
      </c>
      <c r="E42" s="150">
        <f t="shared" si="10"/>
        <v>0</v>
      </c>
      <c r="F42" s="368">
        <f>+(F38*480+F39*480+F40*480)/1440</f>
        <v>795.625</v>
      </c>
      <c r="G42" s="368">
        <f>+(G38*480+G39*480+G40*480)/1440</f>
        <v>683.36236111111111</v>
      </c>
      <c r="H42" s="194" t="s">
        <v>83</v>
      </c>
      <c r="I42" s="253" t="s">
        <v>538</v>
      </c>
      <c r="J42" s="139"/>
      <c r="K42" s="137" t="s">
        <v>84</v>
      </c>
      <c r="L42" s="431"/>
      <c r="M42" s="432"/>
    </row>
    <row r="43" spans="1:26" ht="17.45" customHeight="1">
      <c r="A43" s="789" t="s">
        <v>199</v>
      </c>
      <c r="B43" s="790"/>
      <c r="C43" s="171">
        <f>SUMIF($G$7:$G$31,"Change Grade",$F$7:$F$31)</f>
        <v>0</v>
      </c>
      <c r="D43" s="125">
        <f>+C43+'7'!D43</f>
        <v>0</v>
      </c>
      <c r="E43" s="150">
        <f t="shared" si="10"/>
        <v>0</v>
      </c>
      <c r="F43" s="368"/>
      <c r="G43" s="369"/>
      <c r="H43" s="195" t="s">
        <v>86</v>
      </c>
      <c r="I43" s="125">
        <f>+Report1!AH16</f>
        <v>62.8</v>
      </c>
      <c r="J43" s="140">
        <f>+I43+'7'!J43</f>
        <v>478.1</v>
      </c>
      <c r="K43" s="137" t="s">
        <v>76</v>
      </c>
      <c r="L43" s="433">
        <f>+Report1!AN16</f>
        <v>0</v>
      </c>
      <c r="M43" s="434">
        <f>+L43+'7'!M43</f>
        <v>9</v>
      </c>
      <c r="Q43" s="183">
        <f>SUM(Q33:Q41)</f>
        <v>480</v>
      </c>
      <c r="R43" s="183">
        <f>SUM(R33:R41)</f>
        <v>475200</v>
      </c>
      <c r="S43" s="183">
        <f>SUM(S33:S41)</f>
        <v>408672</v>
      </c>
      <c r="X43" s="183">
        <f>SUM(X33:X41)</f>
        <v>598</v>
      </c>
      <c r="Y43" s="183">
        <f>SUM(Y33:Y41)</f>
        <v>352820</v>
      </c>
      <c r="Z43" s="183">
        <f>SUM(Z33:Z41)</f>
        <v>314009.8</v>
      </c>
    </row>
    <row r="44" spans="1:26" ht="17.45" customHeight="1">
      <c r="A44" s="789" t="s">
        <v>18</v>
      </c>
      <c r="B44" s="790"/>
      <c r="C44" s="171">
        <f>SUMIF($G$7:$G$31,"PLN",$F$7:$F$31)</f>
        <v>0</v>
      </c>
      <c r="D44" s="125">
        <f>+C44+'7'!D44</f>
        <v>0</v>
      </c>
      <c r="E44" s="150">
        <f t="shared" si="10"/>
        <v>0</v>
      </c>
      <c r="F44" s="368"/>
      <c r="G44" s="369"/>
      <c r="H44" s="195" t="s">
        <v>87</v>
      </c>
      <c r="I44" s="125">
        <f>I43/I38</f>
        <v>1.2502239652804044</v>
      </c>
      <c r="J44" s="141">
        <f>J43/J38</f>
        <v>1.3828150307742146</v>
      </c>
      <c r="K44" s="137" t="s">
        <v>76</v>
      </c>
      <c r="L44" s="435">
        <f>+L43/I38</f>
        <v>0</v>
      </c>
      <c r="M44" s="436">
        <f>+M43/J38</f>
        <v>2.6030820491461892E-2</v>
      </c>
      <c r="Q44" s="156">
        <f>480-Q43</f>
        <v>0</v>
      </c>
      <c r="R44" s="183">
        <f>+R43/Q43</f>
        <v>990</v>
      </c>
      <c r="S44" s="183">
        <f>+S43/Q43</f>
        <v>851.4</v>
      </c>
      <c r="X44" s="156">
        <f>480-X43</f>
        <v>-118</v>
      </c>
      <c r="Y44" s="183">
        <f>+Y43/X43</f>
        <v>590</v>
      </c>
      <c r="Z44" s="183">
        <f>+Z43/X43</f>
        <v>525.1</v>
      </c>
    </row>
    <row r="45" spans="1:26" ht="17.45" customHeight="1">
      <c r="A45" s="789" t="s">
        <v>19</v>
      </c>
      <c r="B45" s="790"/>
      <c r="C45" s="171">
        <f>SUMIF($G$7:$G$31,"Boiler",$F$7:$F$31)</f>
        <v>0</v>
      </c>
      <c r="D45" s="125">
        <f>+C45+'7'!D45</f>
        <v>0</v>
      </c>
      <c r="E45" s="150">
        <f t="shared" si="10"/>
        <v>0</v>
      </c>
      <c r="F45" s="368"/>
      <c r="G45" s="371"/>
      <c r="H45" s="195" t="s">
        <v>88</v>
      </c>
      <c r="I45" s="125">
        <f>I43/I40</f>
        <v>1.4427826406598203</v>
      </c>
      <c r="J45" s="141">
        <f>J43/J40</f>
        <v>1.466708388553478</v>
      </c>
      <c r="K45" s="137" t="s">
        <v>76</v>
      </c>
      <c r="L45" s="435">
        <f>+L43/I40</f>
        <v>0</v>
      </c>
      <c r="M45" s="436">
        <f>+M43/J40</f>
        <v>2.7610072154321898E-2</v>
      </c>
    </row>
    <row r="46" spans="1:26" ht="17.45" customHeight="1">
      <c r="A46" s="789" t="s">
        <v>89</v>
      </c>
      <c r="B46" s="790"/>
      <c r="C46" s="171">
        <f>SUMIF($G$7:$G$31,"Gas",$F$7:$F$31)</f>
        <v>0</v>
      </c>
      <c r="D46" s="125">
        <f>+C46+'7'!D46</f>
        <v>0</v>
      </c>
      <c r="E46" s="150">
        <f t="shared" si="10"/>
        <v>0</v>
      </c>
      <c r="F46" s="368"/>
      <c r="G46" s="369"/>
      <c r="H46" s="195" t="s">
        <v>90</v>
      </c>
      <c r="I46" s="147">
        <f>+SUMIF(Listrik!P15,"&gt;0")</f>
        <v>36439.139999999956</v>
      </c>
      <c r="J46" s="142">
        <f>+I46+'7'!J46</f>
        <v>302458.38</v>
      </c>
      <c r="K46" s="137" t="s">
        <v>91</v>
      </c>
      <c r="L46" s="435">
        <f>+Listrik!AF15</f>
        <v>0</v>
      </c>
      <c r="M46" s="437">
        <f>+L46+'7'!M46</f>
        <v>0</v>
      </c>
    </row>
    <row r="47" spans="1:26" ht="17.45" customHeight="1">
      <c r="A47" s="789" t="s">
        <v>92</v>
      </c>
      <c r="B47" s="790"/>
      <c r="C47" s="171">
        <f>SUMIF($G$7:$G$31,"Gas",$F$7:$F$31)</f>
        <v>0</v>
      </c>
      <c r="D47" s="125">
        <f>+C47+'7'!D47</f>
        <v>0</v>
      </c>
      <c r="E47" s="150">
        <f t="shared" si="10"/>
        <v>0</v>
      </c>
      <c r="F47" s="368"/>
      <c r="G47" s="369"/>
      <c r="H47" s="195" t="s">
        <v>93</v>
      </c>
      <c r="I47" s="125">
        <f>I46/I38</f>
        <v>725.43130735999591</v>
      </c>
      <c r="J47" s="142">
        <f>J46/J38</f>
        <v>874.80442176870758</v>
      </c>
      <c r="K47" s="137" t="s">
        <v>25</v>
      </c>
      <c r="L47" s="435">
        <f>+L46/I38</f>
        <v>0</v>
      </c>
      <c r="M47" s="436">
        <f>+M46/J38</f>
        <v>0</v>
      </c>
      <c r="N47" s="156" t="s">
        <v>517</v>
      </c>
      <c r="O47" s="156">
        <v>1000</v>
      </c>
      <c r="P47" s="156">
        <v>780</v>
      </c>
      <c r="Q47" s="156">
        <v>163</v>
      </c>
    </row>
    <row r="48" spans="1:26" ht="17.45" customHeight="1">
      <c r="A48" s="789" t="s">
        <v>15</v>
      </c>
      <c r="B48" s="790"/>
      <c r="C48" s="171">
        <f>SUMIF($G$7:$G$31,"Start Up",$F$7:$F$31)</f>
        <v>0</v>
      </c>
      <c r="D48" s="125">
        <f>+C48+'7'!D48</f>
        <v>0</v>
      </c>
      <c r="E48" s="150">
        <f t="shared" si="10"/>
        <v>0</v>
      </c>
      <c r="F48" s="368"/>
      <c r="G48" s="369"/>
      <c r="H48" s="195" t="s">
        <v>94</v>
      </c>
      <c r="I48" s="125">
        <f>I46/I40</f>
        <v>837.16176166517232</v>
      </c>
      <c r="J48" s="142">
        <f>J46/J40</f>
        <v>927.87752171992361</v>
      </c>
      <c r="K48" s="137" t="s">
        <v>25</v>
      </c>
      <c r="L48" s="435">
        <f>+L46/I38</f>
        <v>0</v>
      </c>
      <c r="M48" s="436">
        <f>+M46/J40</f>
        <v>0</v>
      </c>
      <c r="N48" s="156" t="s">
        <v>515</v>
      </c>
      <c r="O48" s="156">
        <v>480</v>
      </c>
      <c r="P48" s="156">
        <v>427.2</v>
      </c>
      <c r="Q48" s="156">
        <v>83</v>
      </c>
    </row>
    <row r="49" spans="1:17" ht="17.45" customHeight="1">
      <c r="A49" s="789" t="s">
        <v>21</v>
      </c>
      <c r="B49" s="790"/>
      <c r="C49" s="171">
        <f>SUMIF($G$7:$G$31,"Others",$F$7:$F$31)</f>
        <v>0</v>
      </c>
      <c r="D49" s="125">
        <f>+C49+'7'!D49</f>
        <v>480</v>
      </c>
      <c r="E49" s="150">
        <f t="shared" si="10"/>
        <v>8</v>
      </c>
      <c r="F49" s="192"/>
      <c r="H49" s="195" t="s">
        <v>182</v>
      </c>
      <c r="I49" s="125">
        <f>+Report1!AB16</f>
        <v>5031.5806380985978</v>
      </c>
      <c r="J49" s="142">
        <f>+I49+'7'!J49</f>
        <v>32356.429788419358</v>
      </c>
      <c r="K49" s="137" t="s">
        <v>96</v>
      </c>
      <c r="L49" s="431"/>
      <c r="M49" s="432"/>
      <c r="N49" s="156" t="s">
        <v>493</v>
      </c>
      <c r="O49" s="156">
        <v>590</v>
      </c>
      <c r="P49" s="156">
        <v>525.1</v>
      </c>
      <c r="Q49" s="156">
        <v>598</v>
      </c>
    </row>
    <row r="50" spans="1:17" ht="17.45" customHeight="1">
      <c r="A50" s="789" t="s">
        <v>20</v>
      </c>
      <c r="B50" s="790"/>
      <c r="C50" s="171">
        <f>SUMIF($G$7:$G$31,"Steam",$F$7:$F$31)</f>
        <v>0</v>
      </c>
      <c r="D50" s="125">
        <f>+C50+'7'!D50</f>
        <v>0</v>
      </c>
      <c r="E50" s="150">
        <f t="shared" si="10"/>
        <v>0</v>
      </c>
      <c r="F50" s="192"/>
      <c r="H50" s="195" t="s">
        <v>97</v>
      </c>
      <c r="I50" s="147">
        <f>I49/I38</f>
        <v>100.16883275464549</v>
      </c>
      <c r="J50" s="140">
        <f>J49/J38</f>
        <v>93.584935062992741</v>
      </c>
      <c r="K50" s="137" t="s">
        <v>96</v>
      </c>
      <c r="L50" s="431"/>
      <c r="M50" s="432"/>
      <c r="N50" s="156" t="s">
        <v>534</v>
      </c>
      <c r="O50" s="156">
        <v>990</v>
      </c>
      <c r="P50" s="156">
        <v>851.4</v>
      </c>
      <c r="Q50" s="156">
        <f>116+480</f>
        <v>596</v>
      </c>
    </row>
    <row r="51" spans="1:17" ht="17.45" customHeight="1" thickBot="1">
      <c r="A51" s="791" t="s">
        <v>98</v>
      </c>
      <c r="B51" s="792"/>
      <c r="C51" s="171">
        <f>SUMIF($G$7:$G$31,"Planned shut",$F$7:$F$31)</f>
        <v>0</v>
      </c>
      <c r="D51" s="125">
        <f>+C51+'7'!D51</f>
        <v>394</v>
      </c>
      <c r="E51" s="150">
        <f t="shared" si="10"/>
        <v>6.5666666666666664</v>
      </c>
      <c r="F51" s="192"/>
      <c r="H51" s="197" t="s">
        <v>99</v>
      </c>
      <c r="I51" s="148">
        <f>I49/I40</f>
        <v>115.59677069631718</v>
      </c>
      <c r="J51" s="143">
        <f>J49/J40</f>
        <v>99.262595679389889</v>
      </c>
      <c r="K51" s="144" t="s">
        <v>96</v>
      </c>
      <c r="L51" s="431"/>
      <c r="M51" s="432"/>
      <c r="Q51" s="156">
        <f>+Q47+Q48+Q49+Q50</f>
        <v>1440</v>
      </c>
    </row>
    <row r="52" spans="1:17" ht="13.5" thickBot="1">
      <c r="A52" s="793" t="s">
        <v>29</v>
      </c>
      <c r="B52" s="794"/>
      <c r="C52" s="151">
        <f>SUM(C38:C51)</f>
        <v>30</v>
      </c>
      <c r="D52" s="151">
        <f>SUM(D38:D51)</f>
        <v>1669</v>
      </c>
      <c r="E52" s="152">
        <f>SUM(E38:E51)</f>
        <v>27.816666666666666</v>
      </c>
      <c r="F52" s="192"/>
      <c r="H52" s="198"/>
      <c r="I52" s="199"/>
      <c r="J52" s="145"/>
      <c r="K52" s="146"/>
      <c r="L52" s="438"/>
      <c r="M52" s="439"/>
    </row>
    <row r="53" spans="1:17" ht="13.5" thickBot="1">
      <c r="A53" s="795"/>
      <c r="B53" s="796"/>
      <c r="C53" s="153">
        <f>C52/(24*60)</f>
        <v>2.0833333333333332E-2</v>
      </c>
      <c r="D53" s="153">
        <f>D52/(24*60*G4)</f>
        <v>0.14487847222222222</v>
      </c>
      <c r="E53" s="154">
        <f>E52/(G4*24)</f>
        <v>0.14487847222222222</v>
      </c>
      <c r="F53" s="192"/>
    </row>
    <row r="54" spans="1:17">
      <c r="E54" s="200"/>
      <c r="F54" s="192"/>
    </row>
    <row r="55" spans="1:17">
      <c r="E55" s="200"/>
    </row>
    <row r="56" spans="1:17">
      <c r="A56" s="201" t="s">
        <v>100</v>
      </c>
      <c r="B56" s="202"/>
      <c r="C56" s="203"/>
      <c r="D56" s="203"/>
      <c r="E56" s="203"/>
      <c r="F56" s="204"/>
      <c r="G56" s="203"/>
      <c r="H56" s="205"/>
      <c r="I56" s="206" t="s">
        <v>101</v>
      </c>
      <c r="J56" s="207">
        <f>+D34+'7'!J56</f>
        <v>3573</v>
      </c>
      <c r="K56" s="208">
        <f>J56/(J40+J56/1000)/1000</f>
        <v>1.08423534552605E-2</v>
      </c>
    </row>
    <row r="57" spans="1:17">
      <c r="A57" s="183"/>
      <c r="I57" s="206" t="s">
        <v>102</v>
      </c>
      <c r="J57" s="207">
        <f>+E34+'7'!J57</f>
        <v>0</v>
      </c>
      <c r="K57" s="208">
        <f>J57/(J40+J57/1000)/1000</f>
        <v>0</v>
      </c>
    </row>
    <row r="58" spans="1:17">
      <c r="A58" s="209"/>
      <c r="B58" s="210"/>
      <c r="F58" s="192"/>
      <c r="H58" s="211"/>
    </row>
    <row r="59" spans="1:17">
      <c r="A59" s="212"/>
      <c r="B59" s="183"/>
      <c r="C59" s="183"/>
      <c r="D59" s="183"/>
      <c r="E59" s="183"/>
      <c r="F59" s="196"/>
      <c r="G59" s="183"/>
      <c r="H59" s="211"/>
    </row>
    <row r="60" spans="1:17">
      <c r="H60" s="211"/>
    </row>
    <row r="61" spans="1:17">
      <c r="A61" s="213"/>
      <c r="B61" s="214"/>
      <c r="C61" s="214"/>
      <c r="D61" s="214"/>
      <c r="E61" s="214"/>
      <c r="F61" s="215"/>
      <c r="G61" s="214"/>
      <c r="H61" s="216"/>
    </row>
  </sheetData>
  <mergeCells count="25">
    <mergeCell ref="A53:B53"/>
    <mergeCell ref="A37:B37"/>
    <mergeCell ref="A48:B48"/>
    <mergeCell ref="A50:B50"/>
    <mergeCell ref="A49:B49"/>
    <mergeCell ref="A52:B52"/>
    <mergeCell ref="A51:B51"/>
    <mergeCell ref="A46:B46"/>
    <mergeCell ref="A47:B47"/>
    <mergeCell ref="A42:B42"/>
    <mergeCell ref="A34:B34"/>
    <mergeCell ref="A38:B38"/>
    <mergeCell ref="A39:B39"/>
    <mergeCell ref="A7:A14"/>
    <mergeCell ref="I7:I13"/>
    <mergeCell ref="A15:A23"/>
    <mergeCell ref="I15:I22"/>
    <mergeCell ref="A24:A32"/>
    <mergeCell ref="I24:I31"/>
    <mergeCell ref="L35:M35"/>
    <mergeCell ref="A43:B43"/>
    <mergeCell ref="A45:B45"/>
    <mergeCell ref="A40:B40"/>
    <mergeCell ref="A41:B41"/>
    <mergeCell ref="A44:B44"/>
  </mergeCells>
  <phoneticPr fontId="30"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Z61"/>
  <sheetViews>
    <sheetView view="pageBreakPreview" topLeftCell="A25" zoomScale="80" zoomScaleNormal="75" zoomScaleSheetLayoutView="80" workbookViewId="0">
      <selection activeCell="H47" sqref="H47"/>
    </sheetView>
  </sheetViews>
  <sheetFormatPr defaultColWidth="9.140625" defaultRowHeight="12.75"/>
  <cols>
    <col min="1" max="1" width="8" style="156" customWidth="1"/>
    <col min="2" max="2" width="7" style="156" bestFit="1" customWidth="1"/>
    <col min="3" max="3" width="14.85546875" style="156" bestFit="1" customWidth="1"/>
    <col min="4" max="4" width="12.710937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0.140625" style="156" bestFit="1" customWidth="1"/>
    <col min="11" max="11" width="13.28515625" style="156" bestFit="1" customWidth="1"/>
    <col min="12" max="12" width="12" style="156" bestFit="1" customWidth="1"/>
    <col min="13" max="13" width="15.5703125" style="156" bestFit="1" customWidth="1"/>
    <col min="14" max="16384" width="9.140625" style="156"/>
  </cols>
  <sheetData>
    <row r="1" spans="1:26" ht="15.75">
      <c r="A1" s="155"/>
    </row>
    <row r="2" spans="1:26" ht="15.75">
      <c r="A2" s="155" t="s">
        <v>183</v>
      </c>
    </row>
    <row r="3" spans="1:26" ht="15">
      <c r="A3" s="157"/>
    </row>
    <row r="4" spans="1:26" ht="20.25">
      <c r="A4" s="158" t="s">
        <v>5</v>
      </c>
      <c r="B4" s="159"/>
      <c r="F4" s="160" t="s">
        <v>30</v>
      </c>
      <c r="G4" s="161">
        <v>7</v>
      </c>
      <c r="H4" s="161" t="str">
        <f>+'1'!H4</f>
        <v>.01.26</v>
      </c>
      <c r="J4" s="156">
        <f>321+314+262</f>
        <v>897</v>
      </c>
    </row>
    <row r="5" spans="1:26" ht="13.5" thickBot="1">
      <c r="C5" s="162"/>
      <c r="D5" s="162"/>
    </row>
    <row r="6" spans="1:26"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495</v>
      </c>
      <c r="O6" s="156">
        <v>860</v>
      </c>
      <c r="P6" s="156">
        <f>+O6-(O6*0.18)</f>
        <v>705.2</v>
      </c>
      <c r="Q6" s="156">
        <f>60*3+30</f>
        <v>210</v>
      </c>
      <c r="R6" s="156">
        <f t="shared" ref="R6" si="0">+O6*Q6</f>
        <v>180600</v>
      </c>
      <c r="S6" s="156">
        <f t="shared" ref="S6" si="1">+P6*Q6</f>
        <v>148092</v>
      </c>
      <c r="U6" s="156" t="s">
        <v>495</v>
      </c>
      <c r="V6" s="156">
        <v>860</v>
      </c>
      <c r="W6" s="156">
        <v>705.2</v>
      </c>
      <c r="X6" s="156">
        <v>210</v>
      </c>
      <c r="Y6" s="156">
        <f t="shared" ref="Y6:Y7" si="2">+V6*X6</f>
        <v>180600</v>
      </c>
      <c r="Z6" s="156">
        <f t="shared" ref="Z6:Z7" si="3">+W6*X6</f>
        <v>148092</v>
      </c>
    </row>
    <row r="7" spans="1:26" ht="13.5" customHeight="1" thickBot="1">
      <c r="A7" s="800" t="s">
        <v>424</v>
      </c>
      <c r="B7" s="222" t="s">
        <v>509</v>
      </c>
      <c r="C7" s="223">
        <v>12152</v>
      </c>
      <c r="D7" s="224"/>
      <c r="E7" s="225"/>
      <c r="F7" s="235"/>
      <c r="G7" s="236" t="s">
        <v>13</v>
      </c>
      <c r="H7" s="237" t="s">
        <v>386</v>
      </c>
      <c r="I7" s="803" t="s">
        <v>519</v>
      </c>
      <c r="J7" s="221" t="str">
        <f>+'6'!J7</f>
        <v>T 13,5 RC HW</v>
      </c>
      <c r="K7" s="245"/>
      <c r="L7" s="249"/>
      <c r="M7" s="124">
        <f>+K7+'6'!M7+L7</f>
        <v>175686</v>
      </c>
      <c r="N7" s="156" t="s">
        <v>515</v>
      </c>
      <c r="O7" s="156">
        <v>550</v>
      </c>
      <c r="P7" s="156">
        <f t="shared" ref="P7:P8" si="4">+O7-(O7*0.18)</f>
        <v>451</v>
      </c>
      <c r="Q7" s="156">
        <v>17</v>
      </c>
      <c r="R7" s="156">
        <f t="shared" ref="R7" si="5">+O7*Q7</f>
        <v>9350</v>
      </c>
      <c r="S7" s="156">
        <f t="shared" ref="S7" si="6">+P7*Q7</f>
        <v>7667</v>
      </c>
      <c r="U7" s="156" t="s">
        <v>495</v>
      </c>
      <c r="V7" s="156">
        <v>860</v>
      </c>
      <c r="W7" s="156">
        <v>705.2</v>
      </c>
      <c r="X7" s="156">
        <v>184</v>
      </c>
      <c r="Y7" s="156">
        <f t="shared" si="2"/>
        <v>158240</v>
      </c>
      <c r="Z7" s="156">
        <f t="shared" si="3"/>
        <v>129756.8</v>
      </c>
    </row>
    <row r="8" spans="1:26" ht="13.5" thickBot="1">
      <c r="A8" s="801"/>
      <c r="B8" s="222"/>
      <c r="C8" s="223"/>
      <c r="D8" s="224"/>
      <c r="E8" s="226"/>
      <c r="F8" s="238">
        <v>4</v>
      </c>
      <c r="G8" s="582" t="s">
        <v>13</v>
      </c>
      <c r="H8" s="237" t="s">
        <v>414</v>
      </c>
      <c r="I8" s="804"/>
      <c r="J8" s="221" t="str">
        <f>+'6'!J8</f>
        <v>T 14,5 RC HW</v>
      </c>
      <c r="K8" s="246"/>
      <c r="L8" s="246"/>
      <c r="M8" s="124">
        <f>+K8+'6'!M8+L8</f>
        <v>57466</v>
      </c>
      <c r="N8" s="156" t="s">
        <v>515</v>
      </c>
      <c r="O8" s="156">
        <v>480</v>
      </c>
      <c r="P8" s="156">
        <f t="shared" si="4"/>
        <v>393.6</v>
      </c>
      <c r="Q8" s="156">
        <v>16</v>
      </c>
      <c r="R8" s="156">
        <f t="shared" ref="R8" si="7">+O8*Q8</f>
        <v>7680</v>
      </c>
      <c r="S8" s="156">
        <f t="shared" ref="S8" si="8">+P8*Q8</f>
        <v>6297.6</v>
      </c>
    </row>
    <row r="9" spans="1:26" ht="13.5" thickBot="1">
      <c r="A9" s="801"/>
      <c r="B9" s="222"/>
      <c r="C9" s="223"/>
      <c r="D9" s="224"/>
      <c r="E9" s="227"/>
      <c r="F9" s="235">
        <v>9</v>
      </c>
      <c r="G9" s="582" t="s">
        <v>13</v>
      </c>
      <c r="H9" s="240" t="s">
        <v>523</v>
      </c>
      <c r="I9" s="804"/>
      <c r="J9" s="221" t="str">
        <f>+'6'!J9</f>
        <v>TW 17 RC HW</v>
      </c>
      <c r="K9" s="246">
        <f>+C7+C16</f>
        <v>14016</v>
      </c>
      <c r="L9" s="246"/>
      <c r="M9" s="124">
        <f>+K9+'6'!M9+L9</f>
        <v>24830</v>
      </c>
      <c r="N9" s="156" t="s">
        <v>495</v>
      </c>
      <c r="O9" s="156">
        <v>860</v>
      </c>
      <c r="P9" s="156">
        <f>+O9-(O9*0.18)</f>
        <v>705.2</v>
      </c>
      <c r="Q9" s="156">
        <f>60-3+120+7</f>
        <v>184</v>
      </c>
      <c r="R9" s="156">
        <f>+O9*Q9</f>
        <v>158240</v>
      </c>
      <c r="S9" s="156">
        <f>+P9*Q9</f>
        <v>129756.8</v>
      </c>
    </row>
    <row r="10" spans="1:26" ht="26.25" thickBot="1">
      <c r="A10" s="801"/>
      <c r="B10" s="222"/>
      <c r="C10" s="223"/>
      <c r="D10" s="224"/>
      <c r="E10" s="226"/>
      <c r="F10" s="235">
        <v>8</v>
      </c>
      <c r="G10" s="244" t="s">
        <v>14</v>
      </c>
      <c r="H10" s="240" t="s">
        <v>513</v>
      </c>
      <c r="I10" s="804"/>
      <c r="J10" s="221" t="s">
        <v>528</v>
      </c>
      <c r="K10" s="246">
        <f>+C17+C25</f>
        <v>24459</v>
      </c>
      <c r="L10" s="246"/>
      <c r="M10" s="124">
        <f>+K10+'6'!M10+L10</f>
        <v>24459</v>
      </c>
      <c r="N10" s="156" t="s">
        <v>516</v>
      </c>
      <c r="O10" s="156">
        <v>680</v>
      </c>
      <c r="P10" s="156">
        <f>+O10-(O10*0.18)</f>
        <v>557.6</v>
      </c>
      <c r="Q10" s="156">
        <f>60-7</f>
        <v>53</v>
      </c>
      <c r="R10" s="156">
        <f>+O10*Q10</f>
        <v>36040</v>
      </c>
      <c r="S10" s="156">
        <f>+P10*Q10</f>
        <v>29552.800000000003</v>
      </c>
    </row>
    <row r="11" spans="1:26" ht="64.5" thickBot="1">
      <c r="A11" s="801"/>
      <c r="B11" s="222"/>
      <c r="C11" s="223"/>
      <c r="D11" s="224"/>
      <c r="E11" s="226"/>
      <c r="F11" s="235"/>
      <c r="G11" s="239"/>
      <c r="H11" s="240" t="s">
        <v>514</v>
      </c>
      <c r="I11" s="804"/>
      <c r="J11" s="221">
        <f>+'6'!J11</f>
        <v>0</v>
      </c>
      <c r="K11" s="246"/>
      <c r="L11" s="246"/>
      <c r="M11" s="124">
        <f>+K11+'6'!M11+L11</f>
        <v>0</v>
      </c>
    </row>
    <row r="12" spans="1:26" ht="13.5" thickBot="1">
      <c r="A12" s="801"/>
      <c r="B12" s="222"/>
      <c r="C12" s="223"/>
      <c r="D12" s="224"/>
      <c r="E12" s="226"/>
      <c r="F12" s="235"/>
      <c r="G12" s="239"/>
      <c r="H12" s="240"/>
      <c r="I12" s="804"/>
      <c r="J12" s="221">
        <f>+'6'!J12</f>
        <v>0</v>
      </c>
      <c r="K12" s="246"/>
      <c r="L12" s="246"/>
      <c r="M12" s="124">
        <f>+K12+'6'!M12+L12</f>
        <v>0</v>
      </c>
    </row>
    <row r="13" spans="1:26" ht="13.5" thickBot="1">
      <c r="A13" s="801"/>
      <c r="B13" s="222"/>
      <c r="C13" s="223"/>
      <c r="D13" s="223"/>
      <c r="E13" s="226"/>
      <c r="F13" s="235"/>
      <c r="G13" s="239"/>
      <c r="H13" s="240"/>
      <c r="I13" s="805"/>
      <c r="J13" s="221">
        <f>+'6'!J13</f>
        <v>0</v>
      </c>
      <c r="K13" s="246"/>
      <c r="L13" s="246"/>
      <c r="M13" s="124">
        <f>+K13+'6'!M13+L13</f>
        <v>0</v>
      </c>
    </row>
    <row r="14" spans="1:26" ht="13.5" thickBot="1">
      <c r="A14" s="802"/>
      <c r="B14" s="172" t="s">
        <v>3</v>
      </c>
      <c r="C14" s="106">
        <f>SUM(C7:C13)</f>
        <v>12152</v>
      </c>
      <c r="D14" s="118">
        <f>SUM(D7:D13)</f>
        <v>0</v>
      </c>
      <c r="E14" s="119">
        <f>SUM(E5:E13)</f>
        <v>0</v>
      </c>
      <c r="F14" s="109">
        <f>SUM(F6:F13)</f>
        <v>21</v>
      </c>
      <c r="G14" s="166"/>
      <c r="H14" s="173"/>
      <c r="I14" s="174"/>
      <c r="J14" s="221">
        <f>+'6'!J14</f>
        <v>0</v>
      </c>
      <c r="K14" s="246"/>
      <c r="L14" s="246"/>
      <c r="M14" s="124">
        <f>+K14+'6'!M14+L14</f>
        <v>0</v>
      </c>
    </row>
    <row r="15" spans="1:26" ht="13.5" customHeight="1" thickBot="1">
      <c r="A15" s="800" t="s">
        <v>425</v>
      </c>
      <c r="B15" s="172"/>
      <c r="C15" s="120">
        <f>C14/($C$23+$D$23+$E$23)</f>
        <v>0.91265490048817122</v>
      </c>
      <c r="D15" s="121">
        <f>D14/($C$23+$D$23+$E$23)</f>
        <v>0</v>
      </c>
      <c r="E15" s="122">
        <f>E14/($C$23+$D$23+$E$23)</f>
        <v>0</v>
      </c>
      <c r="F15" s="235"/>
      <c r="G15" s="236" t="s">
        <v>13</v>
      </c>
      <c r="H15" s="237" t="s">
        <v>386</v>
      </c>
      <c r="I15" s="803" t="s">
        <v>521</v>
      </c>
      <c r="J15" s="221">
        <f>+'6'!J15</f>
        <v>0</v>
      </c>
      <c r="K15" s="246"/>
      <c r="L15" s="246"/>
      <c r="M15" s="124">
        <f>+K15+'6'!M15+L15</f>
        <v>0</v>
      </c>
    </row>
    <row r="16" spans="1:26" ht="13.5" thickBot="1">
      <c r="A16" s="811"/>
      <c r="B16" s="222" t="s">
        <v>509</v>
      </c>
      <c r="C16" s="229">
        <v>1864</v>
      </c>
      <c r="D16" s="230"/>
      <c r="E16" s="231"/>
      <c r="F16" s="238">
        <v>4</v>
      </c>
      <c r="G16" s="582" t="s">
        <v>13</v>
      </c>
      <c r="H16" s="237" t="s">
        <v>501</v>
      </c>
      <c r="I16" s="804"/>
      <c r="J16" s="221">
        <f>+'6'!J16</f>
        <v>0</v>
      </c>
      <c r="K16" s="246"/>
      <c r="L16" s="246"/>
      <c r="M16" s="124">
        <f>+K16+'6'!M16+L16</f>
        <v>0</v>
      </c>
      <c r="Q16" s="183">
        <f>SUM(Q6:Q14)</f>
        <v>480</v>
      </c>
      <c r="R16" s="183">
        <f>SUM(R6:R14)</f>
        <v>391910</v>
      </c>
      <c r="S16" s="183">
        <f>SUM(S6:S14)</f>
        <v>321366.2</v>
      </c>
      <c r="X16" s="183">
        <f>SUM(X6:X14)</f>
        <v>394</v>
      </c>
      <c r="Y16" s="183">
        <f>SUM(Y6:Y14)</f>
        <v>338840</v>
      </c>
      <c r="Z16" s="183">
        <f>SUM(Z6:Z14)</f>
        <v>277848.8</v>
      </c>
    </row>
    <row r="17" spans="1:26" ht="13.5" thickBot="1">
      <c r="A17" s="811"/>
      <c r="B17" s="222" t="s">
        <v>528</v>
      </c>
      <c r="C17" s="223">
        <v>11451</v>
      </c>
      <c r="D17" s="224"/>
      <c r="E17" s="232"/>
      <c r="F17" s="235">
        <v>14</v>
      </c>
      <c r="G17" s="582" t="s">
        <v>13</v>
      </c>
      <c r="H17" s="240" t="s">
        <v>450</v>
      </c>
      <c r="I17" s="804"/>
      <c r="J17" s="221">
        <f>+'6'!J17</f>
        <v>0</v>
      </c>
      <c r="K17" s="246"/>
      <c r="L17" s="236"/>
      <c r="M17" s="124">
        <f>+K17+'6'!M17+L17</f>
        <v>0</v>
      </c>
      <c r="Q17" s="156">
        <f>480-Q16</f>
        <v>0</v>
      </c>
      <c r="R17" s="183">
        <f>+R16/Q16</f>
        <v>816.47916666666663</v>
      </c>
      <c r="S17" s="183">
        <f>+S16/Q16</f>
        <v>669.51291666666668</v>
      </c>
      <c r="X17" s="156">
        <f>480-X16</f>
        <v>86</v>
      </c>
      <c r="Y17" s="183">
        <f>+Y16/X16</f>
        <v>860</v>
      </c>
      <c r="Z17" s="183">
        <f>+Z16/X16</f>
        <v>705.19999999999993</v>
      </c>
    </row>
    <row r="18" spans="1:26" ht="26.25" thickBot="1">
      <c r="A18" s="811"/>
      <c r="B18" s="222"/>
      <c r="C18" s="223"/>
      <c r="D18" s="224"/>
      <c r="E18" s="232"/>
      <c r="F18" s="235"/>
      <c r="G18" s="244" t="s">
        <v>14</v>
      </c>
      <c r="H18" s="240" t="s">
        <v>512</v>
      </c>
      <c r="I18" s="804"/>
      <c r="J18" s="221">
        <f>+'6'!J18</f>
        <v>0</v>
      </c>
      <c r="K18" s="246"/>
      <c r="L18" s="246"/>
      <c r="M18" s="124">
        <f>+K18+'6'!M18+L18</f>
        <v>0</v>
      </c>
      <c r="N18" s="156" t="s">
        <v>516</v>
      </c>
      <c r="O18" s="156">
        <v>690</v>
      </c>
      <c r="P18" s="156">
        <f>+O18-(O18*0.15)</f>
        <v>586.5</v>
      </c>
      <c r="Q18" s="156">
        <v>480</v>
      </c>
      <c r="R18" s="156">
        <f t="shared" ref="R18" si="9">+O18*Q18</f>
        <v>331200</v>
      </c>
      <c r="S18" s="156">
        <f t="shared" ref="S18" si="10">+P18*Q18</f>
        <v>281520</v>
      </c>
    </row>
    <row r="19" spans="1:26" ht="13.5" thickBot="1">
      <c r="A19" s="811"/>
      <c r="B19" s="222"/>
      <c r="C19" s="223"/>
      <c r="D19" s="224"/>
      <c r="E19" s="232"/>
      <c r="F19" s="242"/>
      <c r="G19" s="239"/>
      <c r="H19" s="240"/>
      <c r="I19" s="804"/>
      <c r="J19" s="221">
        <f>+'6'!J19</f>
        <v>0</v>
      </c>
      <c r="K19" s="246"/>
      <c r="L19" s="246"/>
      <c r="M19" s="124">
        <f>+K19+'6'!M19+L19</f>
        <v>0</v>
      </c>
      <c r="U19" s="156" t="s">
        <v>515</v>
      </c>
      <c r="V19" s="156">
        <v>550</v>
      </c>
      <c r="W19" s="156">
        <v>451</v>
      </c>
      <c r="X19" s="156">
        <v>17</v>
      </c>
      <c r="Y19" s="156">
        <f t="shared" ref="Y19:Y20" si="11">+V19*X19</f>
        <v>9350</v>
      </c>
      <c r="Z19" s="156">
        <f t="shared" ref="Z19:Z20" si="12">+W19*X19</f>
        <v>7667</v>
      </c>
    </row>
    <row r="20" spans="1:26" ht="13.5" thickBot="1">
      <c r="A20" s="811"/>
      <c r="B20" s="222"/>
      <c r="C20" s="223"/>
      <c r="D20" s="224"/>
      <c r="E20" s="232"/>
      <c r="F20" s="235"/>
      <c r="G20" s="239"/>
      <c r="H20" s="240"/>
      <c r="I20" s="804"/>
      <c r="J20" s="221">
        <f>+'6'!J20</f>
        <v>0</v>
      </c>
      <c r="K20" s="247"/>
      <c r="L20" s="247"/>
      <c r="M20" s="124">
        <f>+K20+'6'!M20+L20</f>
        <v>0</v>
      </c>
      <c r="U20" s="156" t="s">
        <v>515</v>
      </c>
      <c r="V20" s="156">
        <v>480</v>
      </c>
      <c r="W20" s="156">
        <v>393.6</v>
      </c>
      <c r="X20" s="156">
        <v>16</v>
      </c>
      <c r="Y20" s="156">
        <f t="shared" si="11"/>
        <v>7680</v>
      </c>
      <c r="Z20" s="156">
        <f t="shared" si="12"/>
        <v>6297.6</v>
      </c>
    </row>
    <row r="21" spans="1:26" ht="13.5" thickBot="1">
      <c r="A21" s="811"/>
      <c r="B21" s="222"/>
      <c r="C21" s="223"/>
      <c r="D21" s="224"/>
      <c r="E21" s="232"/>
      <c r="F21" s="238"/>
      <c r="G21" s="239"/>
      <c r="H21" s="240"/>
      <c r="I21" s="804"/>
      <c r="J21" s="221">
        <f>+'6'!J21</f>
        <v>0</v>
      </c>
      <c r="K21" s="246"/>
      <c r="L21" s="246"/>
      <c r="M21" s="124">
        <f>+K21+'6'!M21+L21</f>
        <v>0</v>
      </c>
    </row>
    <row r="22" spans="1:26" ht="13.5" thickBot="1">
      <c r="A22" s="811"/>
      <c r="B22" s="222"/>
      <c r="C22" s="223"/>
      <c r="D22" s="224"/>
      <c r="E22" s="232"/>
      <c r="F22" s="243"/>
      <c r="G22" s="239"/>
      <c r="H22" s="240"/>
      <c r="I22" s="805"/>
      <c r="J22" s="221">
        <f>+'6'!J22</f>
        <v>0</v>
      </c>
      <c r="K22" s="246"/>
      <c r="L22" s="246"/>
      <c r="M22" s="124">
        <f>+K22+'6'!M22+L22</f>
        <v>0</v>
      </c>
    </row>
    <row r="23" spans="1:26" ht="13.5" thickBot="1">
      <c r="A23" s="812"/>
      <c r="B23" s="172" t="s">
        <v>3</v>
      </c>
      <c r="C23" s="107">
        <f>SUM(C16:C22)</f>
        <v>13315</v>
      </c>
      <c r="D23" s="118">
        <f>SUM(D16:D22)</f>
        <v>0</v>
      </c>
      <c r="E23" s="119">
        <f>SUM(E18:E22)</f>
        <v>0</v>
      </c>
      <c r="F23" s="109">
        <f>SUM(F15:F22)</f>
        <v>18</v>
      </c>
      <c r="G23" s="166"/>
      <c r="H23" s="173"/>
      <c r="I23" s="176"/>
      <c r="J23" s="221">
        <f>+'6'!J23</f>
        <v>0</v>
      </c>
      <c r="K23" s="246"/>
      <c r="L23" s="246"/>
      <c r="M23" s="124">
        <f>+K23+'6'!M23+L23</f>
        <v>0</v>
      </c>
    </row>
    <row r="24" spans="1:26" ht="13.5" customHeight="1" thickBot="1">
      <c r="A24" s="800" t="s">
        <v>440</v>
      </c>
      <c r="B24" s="177"/>
      <c r="C24" s="120">
        <f>C23/($C$23+$D$23+$E$23)</f>
        <v>1</v>
      </c>
      <c r="D24" s="121">
        <f>D23/($C$23+$D$23+$E$23)</f>
        <v>0</v>
      </c>
      <c r="E24" s="122">
        <f>E23/($C$23+$D$23+$E$23)</f>
        <v>0</v>
      </c>
      <c r="F24" s="235"/>
      <c r="G24" s="236" t="s">
        <v>13</v>
      </c>
      <c r="H24" s="237" t="s">
        <v>386</v>
      </c>
      <c r="I24" s="803" t="s">
        <v>518</v>
      </c>
      <c r="J24" s="221">
        <f>+'6'!J24</f>
        <v>0</v>
      </c>
      <c r="K24" s="246"/>
      <c r="L24" s="246"/>
      <c r="M24" s="124">
        <f>+K24+'6'!M24+L24</f>
        <v>0</v>
      </c>
    </row>
    <row r="25" spans="1:26" ht="13.5" thickBot="1">
      <c r="A25" s="811"/>
      <c r="B25" s="222" t="s">
        <v>528</v>
      </c>
      <c r="C25" s="233">
        <v>13008</v>
      </c>
      <c r="D25" s="224">
        <v>826</v>
      </c>
      <c r="E25" s="232"/>
      <c r="F25" s="238"/>
      <c r="G25" s="582" t="s">
        <v>13</v>
      </c>
      <c r="H25" s="237" t="s">
        <v>387</v>
      </c>
      <c r="I25" s="804"/>
      <c r="J25" s="221">
        <f>+'6'!J25</f>
        <v>0</v>
      </c>
      <c r="K25" s="246"/>
      <c r="L25" s="246"/>
      <c r="M25" s="124">
        <f>+K25+'6'!M25+L25</f>
        <v>0</v>
      </c>
    </row>
    <row r="26" spans="1:26" ht="13.5" thickBot="1">
      <c r="A26" s="811"/>
      <c r="B26" s="222"/>
      <c r="C26" s="233"/>
      <c r="D26" s="224"/>
      <c r="E26" s="234"/>
      <c r="F26" s="235">
        <v>18</v>
      </c>
      <c r="G26" s="582" t="s">
        <v>13</v>
      </c>
      <c r="H26" s="240" t="s">
        <v>523</v>
      </c>
      <c r="I26" s="804"/>
      <c r="J26" s="221">
        <f>+'6'!J26</f>
        <v>0</v>
      </c>
      <c r="K26" s="246"/>
      <c r="L26" s="246"/>
      <c r="M26" s="124">
        <f>+K26+'6'!M26+L26</f>
        <v>0</v>
      </c>
    </row>
    <row r="27" spans="1:26" ht="26.25" thickBot="1">
      <c r="A27" s="811"/>
      <c r="B27" s="222"/>
      <c r="C27" s="223"/>
      <c r="D27" s="224"/>
      <c r="E27" s="232"/>
      <c r="F27" s="235"/>
      <c r="G27" s="244" t="s">
        <v>14</v>
      </c>
      <c r="H27" s="240" t="s">
        <v>510</v>
      </c>
      <c r="I27" s="804"/>
      <c r="J27" s="221">
        <f>+'6'!J27</f>
        <v>0</v>
      </c>
      <c r="K27" s="246"/>
      <c r="L27" s="246"/>
      <c r="M27" s="124">
        <f>+K27+'6'!M27+L27</f>
        <v>0</v>
      </c>
    </row>
    <row r="28" spans="1:26" ht="64.5" thickBot="1">
      <c r="A28" s="811"/>
      <c r="B28" s="222"/>
      <c r="C28" s="223"/>
      <c r="D28" s="224"/>
      <c r="E28" s="232"/>
      <c r="F28" s="238"/>
      <c r="G28" s="239"/>
      <c r="H28" s="240" t="s">
        <v>511</v>
      </c>
      <c r="I28" s="804"/>
      <c r="J28" s="221">
        <f>+'6'!J28</f>
        <v>0</v>
      </c>
      <c r="K28" s="246"/>
      <c r="L28" s="246"/>
      <c r="M28" s="124">
        <f>+K28+'6'!M28+L28</f>
        <v>0</v>
      </c>
      <c r="Q28" s="183">
        <f>SUM(Q18:Q26)</f>
        <v>480</v>
      </c>
      <c r="R28" s="183">
        <f>SUM(R18:R26)</f>
        <v>331200</v>
      </c>
      <c r="S28" s="183">
        <f>SUM(S18:S26)</f>
        <v>281520</v>
      </c>
    </row>
    <row r="29" spans="1:26" ht="13.5" thickBot="1">
      <c r="A29" s="811"/>
      <c r="B29" s="222"/>
      <c r="C29" s="223"/>
      <c r="D29" s="224"/>
      <c r="E29" s="232"/>
      <c r="F29" s="243"/>
      <c r="G29" s="239"/>
      <c r="H29" s="240"/>
      <c r="I29" s="804"/>
      <c r="J29" s="221">
        <f>+'6'!J29</f>
        <v>0</v>
      </c>
      <c r="K29" s="246"/>
      <c r="L29" s="246"/>
      <c r="M29" s="124">
        <f>+K29+'6'!M29+L29</f>
        <v>0</v>
      </c>
      <c r="Q29" s="156">
        <f>480-Q28</f>
        <v>0</v>
      </c>
      <c r="R29" s="183">
        <f>+R28/Q28</f>
        <v>690</v>
      </c>
      <c r="S29" s="183">
        <f>+S28/Q28</f>
        <v>586.5</v>
      </c>
      <c r="X29" s="183">
        <f>SUM(X19:X27)</f>
        <v>33</v>
      </c>
      <c r="Y29" s="183">
        <f>SUM(Y19:Y27)</f>
        <v>17030</v>
      </c>
      <c r="Z29" s="183">
        <f>SUM(Z19:Z27)</f>
        <v>13964.6</v>
      </c>
    </row>
    <row r="30" spans="1:26" ht="13.5" thickBot="1">
      <c r="A30" s="811"/>
      <c r="B30" s="222"/>
      <c r="C30" s="233"/>
      <c r="D30" s="224"/>
      <c r="E30" s="232"/>
      <c r="F30" s="243"/>
      <c r="G30" s="239"/>
      <c r="H30" s="240"/>
      <c r="I30" s="804"/>
      <c r="J30" s="221">
        <f>+'6'!J30</f>
        <v>0</v>
      </c>
      <c r="K30" s="246"/>
      <c r="L30" s="246"/>
      <c r="M30" s="124">
        <f>+K30+'6'!M30+L30</f>
        <v>0</v>
      </c>
      <c r="N30" s="162"/>
      <c r="X30" s="156">
        <f>480-X29</f>
        <v>447</v>
      </c>
      <c r="Y30" s="183">
        <f>+Y29/X29</f>
        <v>516.06060606060601</v>
      </c>
      <c r="Z30" s="183">
        <f>+Z29/X29</f>
        <v>423.16969696969699</v>
      </c>
    </row>
    <row r="31" spans="1:26" ht="13.5" thickBot="1">
      <c r="A31" s="811"/>
      <c r="B31" s="222"/>
      <c r="C31" s="233"/>
      <c r="D31" s="224"/>
      <c r="E31" s="232"/>
      <c r="F31" s="243"/>
      <c r="G31" s="244"/>
      <c r="H31" s="241"/>
      <c r="I31" s="805"/>
      <c r="J31" s="221">
        <f>+'6'!J31</f>
        <v>0</v>
      </c>
      <c r="K31" s="246"/>
      <c r="L31" s="246"/>
      <c r="M31" s="124">
        <f>+K31+'6'!M31+L31</f>
        <v>0</v>
      </c>
      <c r="N31" s="156" t="s">
        <v>516</v>
      </c>
      <c r="O31" s="156">
        <v>690</v>
      </c>
      <c r="P31" s="156">
        <f>+O31-(O31*0.15)</f>
        <v>586.5</v>
      </c>
      <c r="Q31" s="156">
        <f>60*3+55</f>
        <v>235</v>
      </c>
      <c r="R31" s="156">
        <f t="shared" ref="R31:R33" si="13">+O31*Q31</f>
        <v>162150</v>
      </c>
      <c r="S31" s="156">
        <f t="shared" ref="S31:S33" si="14">+P31*Q31</f>
        <v>137827.5</v>
      </c>
    </row>
    <row r="32" spans="1:26" ht="13.5" thickBot="1">
      <c r="A32" s="812"/>
      <c r="B32" s="172" t="s">
        <v>3</v>
      </c>
      <c r="C32" s="106">
        <f>SUM(C25:C31)</f>
        <v>13008</v>
      </c>
      <c r="D32" s="107">
        <f>SUM(D25:D31)</f>
        <v>826</v>
      </c>
      <c r="E32" s="108">
        <f>SUM(E25:E31)</f>
        <v>0</v>
      </c>
      <c r="F32" s="109">
        <f>SUM(F24:F31)</f>
        <v>18</v>
      </c>
      <c r="G32" s="178"/>
      <c r="H32" s="179"/>
      <c r="I32" s="176"/>
      <c r="J32" s="221">
        <f>+'6'!J32</f>
        <v>0</v>
      </c>
      <c r="K32" s="248"/>
      <c r="L32" s="250"/>
      <c r="M32" s="124">
        <f>+K32+'6'!M32+L32</f>
        <v>0</v>
      </c>
      <c r="N32" s="156" t="s">
        <v>517</v>
      </c>
      <c r="O32" s="156">
        <v>1080</v>
      </c>
      <c r="P32" s="156">
        <f>+O32-(O32*0.22)</f>
        <v>842.4</v>
      </c>
      <c r="Q32" s="156">
        <v>123</v>
      </c>
      <c r="R32" s="156">
        <f t="shared" si="13"/>
        <v>132840</v>
      </c>
      <c r="S32" s="156">
        <f t="shared" si="14"/>
        <v>103615.2</v>
      </c>
      <c r="U32" s="156" t="s">
        <v>516</v>
      </c>
      <c r="V32" s="156">
        <v>680</v>
      </c>
      <c r="W32" s="156">
        <v>557.6</v>
      </c>
      <c r="X32" s="156">
        <v>53</v>
      </c>
      <c r="Y32" s="156">
        <f t="shared" ref="Y32:Y33" si="15">+V32*X32</f>
        <v>36040</v>
      </c>
      <c r="Z32" s="156">
        <f t="shared" ref="Z32:Z33" si="16">+W32*X32</f>
        <v>29552.800000000003</v>
      </c>
    </row>
    <row r="33" spans="1:26" ht="13.5" thickBot="1">
      <c r="A33" s="180"/>
      <c r="B33" s="181"/>
      <c r="C33" s="110">
        <f>C32/($C$32+$D$32+$E$32)</f>
        <v>0.94029203411883766</v>
      </c>
      <c r="D33" s="111">
        <f>D32/($C$32+$D$32+$E$32)</f>
        <v>5.9707965881162353E-2</v>
      </c>
      <c r="E33" s="112">
        <f>E32/($C$32+$D$32+$E$32)</f>
        <v>0</v>
      </c>
      <c r="F33" s="113"/>
      <c r="G33" s="182"/>
      <c r="H33" s="183"/>
      <c r="I33" s="184"/>
      <c r="J33" s="128"/>
      <c r="K33" s="129"/>
      <c r="L33" s="220"/>
      <c r="M33" s="126"/>
      <c r="N33" s="156" t="s">
        <v>517</v>
      </c>
      <c r="O33" s="156">
        <v>1000</v>
      </c>
      <c r="P33" s="156">
        <f>+O33-(O33*0.22)</f>
        <v>780</v>
      </c>
      <c r="Q33" s="156">
        <v>122</v>
      </c>
      <c r="R33" s="156">
        <f t="shared" si="13"/>
        <v>122000</v>
      </c>
      <c r="S33" s="156">
        <f t="shared" si="14"/>
        <v>95160</v>
      </c>
      <c r="U33" s="156" t="s">
        <v>516</v>
      </c>
      <c r="V33" s="156">
        <v>690</v>
      </c>
      <c r="W33" s="156">
        <v>586.5</v>
      </c>
      <c r="X33" s="156">
        <v>480</v>
      </c>
      <c r="Y33" s="156">
        <f t="shared" si="15"/>
        <v>331200</v>
      </c>
      <c r="Z33" s="156">
        <f t="shared" si="16"/>
        <v>281520</v>
      </c>
    </row>
    <row r="34" spans="1:26" ht="13.5" thickBot="1">
      <c r="A34" s="808" t="s">
        <v>70</v>
      </c>
      <c r="B34" s="809"/>
      <c r="C34" s="114">
        <f>C14+C23+C32</f>
        <v>38475</v>
      </c>
      <c r="D34" s="114">
        <f>D14+D23+D32</f>
        <v>826</v>
      </c>
      <c r="E34" s="114">
        <f>E14+E23+E32</f>
        <v>0</v>
      </c>
      <c r="F34" s="115">
        <f>F14+F23+F32</f>
        <v>57</v>
      </c>
      <c r="H34" s="185"/>
      <c r="I34" s="185"/>
      <c r="J34" s="130" t="s">
        <v>29</v>
      </c>
      <c r="K34" s="131">
        <f>SUM(K7:K32)</f>
        <v>38475</v>
      </c>
      <c r="L34" s="219">
        <f>SUM(L7:L32)</f>
        <v>0</v>
      </c>
      <c r="M34" s="127">
        <f>SUM(M7:M32)</f>
        <v>282441</v>
      </c>
      <c r="U34" s="156" t="s">
        <v>516</v>
      </c>
      <c r="V34" s="156">
        <v>690</v>
      </c>
      <c r="W34" s="156">
        <v>586.5</v>
      </c>
      <c r="X34" s="156">
        <v>235</v>
      </c>
      <c r="Y34" s="156">
        <f t="shared" ref="Y34" si="17">+V34*X34</f>
        <v>162150</v>
      </c>
      <c r="Z34" s="156">
        <f t="shared" ref="Z34" si="18">+W34*X34</f>
        <v>137827.5</v>
      </c>
    </row>
    <row r="35" spans="1:26" ht="13.5" thickBot="1">
      <c r="A35" s="186"/>
      <c r="B35" s="187"/>
      <c r="C35" s="111">
        <f>C34/($C$34+$D$34+$E$34)</f>
        <v>0.9789827230859266</v>
      </c>
      <c r="D35" s="111">
        <f>D34/($C$34+$D$34+$E$34)</f>
        <v>2.1017276914073433E-2</v>
      </c>
      <c r="E35" s="116">
        <f>E34/($C$34+$D$34+$E$34)</f>
        <v>0</v>
      </c>
      <c r="K35" s="162"/>
      <c r="L35" s="799" t="s">
        <v>184</v>
      </c>
      <c r="M35" s="799"/>
    </row>
    <row r="36" spans="1:26" ht="13.5" thickBot="1">
      <c r="A36" s="185"/>
      <c r="B36" s="185"/>
      <c r="C36" s="162"/>
      <c r="D36" s="162"/>
      <c r="E36" s="162"/>
      <c r="G36" s="162"/>
      <c r="H36" s="188"/>
      <c r="I36" s="169" t="s">
        <v>41</v>
      </c>
      <c r="J36" s="169" t="s">
        <v>42</v>
      </c>
      <c r="K36" s="189"/>
      <c r="L36" s="169" t="s">
        <v>41</v>
      </c>
      <c r="M36" s="169" t="s">
        <v>42</v>
      </c>
    </row>
    <row r="37" spans="1:26" ht="17.45" customHeight="1" thickBot="1">
      <c r="A37" s="797" t="s">
        <v>71</v>
      </c>
      <c r="B37" s="798"/>
      <c r="C37" s="169" t="s">
        <v>72</v>
      </c>
      <c r="D37" s="190" t="s">
        <v>73</v>
      </c>
      <c r="E37" s="191" t="s">
        <v>74</v>
      </c>
      <c r="F37" s="368"/>
      <c r="G37" s="370"/>
      <c r="H37" s="193" t="s">
        <v>75</v>
      </c>
      <c r="I37" s="251">
        <f>(17*394+35.5*33+22*768+14*245)/1440*G42*2.75*1440/1000000</f>
        <v>50.587318069348953</v>
      </c>
      <c r="J37" s="132">
        <f>+I37+'6'!J37</f>
        <v>316.70904165985655</v>
      </c>
      <c r="K37" s="133" t="s">
        <v>76</v>
      </c>
      <c r="L37" s="429"/>
      <c r="M37" s="430"/>
    </row>
    <row r="38" spans="1:26" ht="17.45" customHeight="1">
      <c r="A38" s="793" t="s">
        <v>13</v>
      </c>
      <c r="B38" s="794"/>
      <c r="C38" s="171">
        <f>SUMIF($G$7:$G$31,"Process",$F$7:$F$31)</f>
        <v>49</v>
      </c>
      <c r="D38" s="125">
        <f>+C38+'6'!D38</f>
        <v>431</v>
      </c>
      <c r="E38" s="150">
        <f t="shared" ref="E38:E51" si="19">D38/60</f>
        <v>7.1833333333333336</v>
      </c>
      <c r="F38" s="368">
        <v>816.47916666666663</v>
      </c>
      <c r="G38" s="368">
        <v>669.51291666666668</v>
      </c>
      <c r="H38" s="194" t="s">
        <v>77</v>
      </c>
      <c r="I38" s="551">
        <f>0.584+13.988+1.018+14.305+15.965</f>
        <v>45.86</v>
      </c>
      <c r="J38" s="134">
        <f>+I38+'6'!J38</f>
        <v>295.51299999999998</v>
      </c>
      <c r="K38" s="135" t="s">
        <v>76</v>
      </c>
      <c r="L38" s="431"/>
      <c r="M38" s="432"/>
    </row>
    <row r="39" spans="1:26" ht="17.45" customHeight="1">
      <c r="A39" s="789" t="s">
        <v>14</v>
      </c>
      <c r="B39" s="790"/>
      <c r="C39" s="171">
        <f>SUMIF($G$7:$G$31,"Cleaning",$F$7:$F$31)</f>
        <v>8</v>
      </c>
      <c r="D39" s="125">
        <f>+C39+'6'!D39</f>
        <v>50</v>
      </c>
      <c r="E39" s="150">
        <f t="shared" si="19"/>
        <v>0.83333333333333337</v>
      </c>
      <c r="F39" s="368">
        <v>690</v>
      </c>
      <c r="G39" s="368">
        <v>586.5</v>
      </c>
      <c r="H39" s="194" t="s">
        <v>78</v>
      </c>
      <c r="I39" s="149"/>
      <c r="J39" s="136">
        <f>J37/G4</f>
        <v>45.244148808550939</v>
      </c>
      <c r="K39" s="137" t="s">
        <v>76</v>
      </c>
      <c r="L39" s="431"/>
      <c r="M39" s="432"/>
    </row>
    <row r="40" spans="1:26" ht="17.45" customHeight="1">
      <c r="A40" s="789" t="s">
        <v>79</v>
      </c>
      <c r="B40" s="790"/>
      <c r="C40" s="171">
        <f>SUMIF($G$7:$G$31,"Mechanical",$F$7:$F$31)</f>
        <v>0</v>
      </c>
      <c r="D40" s="125">
        <f>+C40+'6'!D40</f>
        <v>22</v>
      </c>
      <c r="E40" s="150">
        <f t="shared" si="19"/>
        <v>0.36666666666666664</v>
      </c>
      <c r="F40" s="368">
        <v>868.72916666666663</v>
      </c>
      <c r="G40" s="368">
        <v>701.25562500000001</v>
      </c>
      <c r="H40" s="194" t="s">
        <v>80</v>
      </c>
      <c r="I40" s="125">
        <f>(K34+L34)/1000</f>
        <v>38.475000000000001</v>
      </c>
      <c r="J40" s="138">
        <f>+I40+'6'!J40</f>
        <v>282.44099999999997</v>
      </c>
      <c r="K40" s="137" t="s">
        <v>76</v>
      </c>
      <c r="L40" s="431"/>
      <c r="M40" s="432"/>
    </row>
    <row r="41" spans="1:26" ht="17.45" customHeight="1">
      <c r="A41" s="789" t="s">
        <v>81</v>
      </c>
      <c r="B41" s="790"/>
      <c r="C41" s="171">
        <f>SUMIF($G$7:$G$31,"Electrical",$F$7:$F$31)</f>
        <v>0</v>
      </c>
      <c r="D41" s="125">
        <f>+C41+'6'!D41</f>
        <v>262</v>
      </c>
      <c r="E41" s="150">
        <f t="shared" si="19"/>
        <v>4.3666666666666663</v>
      </c>
      <c r="F41" s="368"/>
      <c r="G41" s="368"/>
      <c r="H41" s="194" t="s">
        <v>82</v>
      </c>
      <c r="I41" s="149"/>
      <c r="J41" s="136">
        <f>J40/G4</f>
        <v>40.34871428571428</v>
      </c>
      <c r="K41" s="137" t="s">
        <v>76</v>
      </c>
      <c r="L41" s="431"/>
      <c r="M41" s="432"/>
      <c r="Q41" s="183">
        <f>SUM(Q31:Q39)</f>
        <v>480</v>
      </c>
      <c r="R41" s="183">
        <f>SUM(R31:R39)</f>
        <v>416990</v>
      </c>
      <c r="S41" s="183">
        <f>SUM(S31:S39)</f>
        <v>336602.7</v>
      </c>
    </row>
    <row r="42" spans="1:26" ht="17.45" customHeight="1">
      <c r="A42" s="789" t="s">
        <v>17</v>
      </c>
      <c r="B42" s="790"/>
      <c r="C42" s="171">
        <f>SUMIF($G$7:$G$31,"Instrument",$F$7:$F$31)</f>
        <v>0</v>
      </c>
      <c r="D42" s="125">
        <f>+C42+'6'!D42</f>
        <v>0</v>
      </c>
      <c r="E42" s="150">
        <f t="shared" si="19"/>
        <v>0</v>
      </c>
      <c r="F42" s="368">
        <f>+(F38*480+F39*480+F40*480)/1440</f>
        <v>791.73611111111109</v>
      </c>
      <c r="G42" s="368">
        <f>+(G38*480+G39*480+G40*480)/1440</f>
        <v>652.42284722222212</v>
      </c>
      <c r="H42" s="194" t="s">
        <v>83</v>
      </c>
      <c r="I42" s="253" t="s">
        <v>522</v>
      </c>
      <c r="J42" s="139"/>
      <c r="K42" s="137" t="s">
        <v>84</v>
      </c>
      <c r="L42" s="431"/>
      <c r="M42" s="432"/>
      <c r="Q42" s="156">
        <f>480-Q41</f>
        <v>0</v>
      </c>
      <c r="R42" s="183">
        <f>+R41/Q41</f>
        <v>868.72916666666663</v>
      </c>
      <c r="S42" s="183">
        <f>+S41/Q41</f>
        <v>701.25562500000001</v>
      </c>
      <c r="X42" s="183">
        <f>SUM(X32:X40)</f>
        <v>768</v>
      </c>
      <c r="Y42" s="183">
        <f>SUM(Y32:Y40)</f>
        <v>529390</v>
      </c>
      <c r="Z42" s="183">
        <f>SUM(Z32:Z40)</f>
        <v>448900.3</v>
      </c>
    </row>
    <row r="43" spans="1:26" ht="17.45" customHeight="1">
      <c r="A43" s="789" t="s">
        <v>199</v>
      </c>
      <c r="B43" s="790"/>
      <c r="C43" s="171">
        <f>SUMIF($G$7:$G$31,"Change Grade",$F$7:$F$31)</f>
        <v>0</v>
      </c>
      <c r="D43" s="125">
        <f>+C43+'6'!D43</f>
        <v>0</v>
      </c>
      <c r="E43" s="150">
        <f t="shared" si="19"/>
        <v>0</v>
      </c>
      <c r="F43" s="368"/>
      <c r="G43" s="369"/>
      <c r="H43" s="195" t="s">
        <v>86</v>
      </c>
      <c r="I43" s="125">
        <f>+Report1!AH15</f>
        <v>59.5</v>
      </c>
      <c r="J43" s="140">
        <f>+I43+'6'!J43</f>
        <v>415.3</v>
      </c>
      <c r="K43" s="137" t="s">
        <v>76</v>
      </c>
      <c r="L43" s="433">
        <f>+Report1!AN15</f>
        <v>0</v>
      </c>
      <c r="M43" s="434">
        <f>+L43+'6'!M43</f>
        <v>9</v>
      </c>
      <c r="X43" s="156">
        <f>480-X42</f>
        <v>-288</v>
      </c>
      <c r="Y43" s="183">
        <f>+Y42/X42</f>
        <v>689.30989583333337</v>
      </c>
      <c r="Z43" s="183">
        <f>+Z42/X42</f>
        <v>584.50559895833328</v>
      </c>
    </row>
    <row r="44" spans="1:26" ht="17.45" customHeight="1">
      <c r="A44" s="789" t="s">
        <v>18</v>
      </c>
      <c r="B44" s="790"/>
      <c r="C44" s="171">
        <f>SUMIF($G$7:$G$31,"PLN",$F$7:$F$31)</f>
        <v>0</v>
      </c>
      <c r="D44" s="125">
        <f>+C44+'6'!D44</f>
        <v>0</v>
      </c>
      <c r="E44" s="150">
        <f t="shared" si="19"/>
        <v>0</v>
      </c>
      <c r="F44" s="368"/>
      <c r="G44" s="369"/>
      <c r="H44" s="195" t="s">
        <v>87</v>
      </c>
      <c r="I44" s="125">
        <f>I43/I38</f>
        <v>1.2974269515918011</v>
      </c>
      <c r="J44" s="141">
        <f>J43/J38</f>
        <v>1.4053527255992124</v>
      </c>
      <c r="K44" s="137" t="s">
        <v>76</v>
      </c>
      <c r="L44" s="435">
        <f>+L43/I38</f>
        <v>0</v>
      </c>
      <c r="M44" s="436">
        <f>+M43/J38</f>
        <v>3.045551295543682E-2</v>
      </c>
      <c r="U44" s="156" t="s">
        <v>517</v>
      </c>
      <c r="V44" s="156">
        <v>1080</v>
      </c>
      <c r="W44" s="156">
        <v>842.4</v>
      </c>
      <c r="X44" s="156">
        <v>123</v>
      </c>
      <c r="Y44" s="156">
        <f t="shared" ref="Y44:Y45" si="20">+V44*X44</f>
        <v>132840</v>
      </c>
      <c r="Z44" s="156">
        <f t="shared" ref="Z44:Z45" si="21">+W44*X44</f>
        <v>103615.2</v>
      </c>
    </row>
    <row r="45" spans="1:26" ht="17.45" customHeight="1">
      <c r="A45" s="789" t="s">
        <v>19</v>
      </c>
      <c r="B45" s="790"/>
      <c r="C45" s="171">
        <f>SUMIF($G$7:$G$31,"Boiler",$F$7:$F$31)</f>
        <v>0</v>
      </c>
      <c r="D45" s="125">
        <f>+C45+'6'!D45</f>
        <v>0</v>
      </c>
      <c r="E45" s="150">
        <f t="shared" si="19"/>
        <v>0</v>
      </c>
      <c r="F45" s="368"/>
      <c r="G45" s="371"/>
      <c r="H45" s="195" t="s">
        <v>88</v>
      </c>
      <c r="I45" s="125">
        <f>I43/I40</f>
        <v>1.5464587394411955</v>
      </c>
      <c r="J45" s="141">
        <f>J43/J40</f>
        <v>1.4703955870429579</v>
      </c>
      <c r="K45" s="137" t="s">
        <v>76</v>
      </c>
      <c r="L45" s="435">
        <f>+L43/I40</f>
        <v>0</v>
      </c>
      <c r="M45" s="436">
        <f>+M43/J40</f>
        <v>3.1865062083762628E-2</v>
      </c>
      <c r="N45" s="156" t="s">
        <v>495</v>
      </c>
      <c r="O45" s="156">
        <v>860</v>
      </c>
      <c r="P45" s="156">
        <v>705.19999999999993</v>
      </c>
      <c r="Q45" s="156">
        <v>394</v>
      </c>
      <c r="U45" s="156" t="s">
        <v>517</v>
      </c>
      <c r="V45" s="156">
        <v>1000</v>
      </c>
      <c r="W45" s="156">
        <v>780</v>
      </c>
      <c r="X45" s="156">
        <v>122</v>
      </c>
      <c r="Y45" s="156">
        <f t="shared" si="20"/>
        <v>122000</v>
      </c>
      <c r="Z45" s="156">
        <f t="shared" si="21"/>
        <v>95160</v>
      </c>
    </row>
    <row r="46" spans="1:26" ht="17.45" customHeight="1">
      <c r="A46" s="789" t="s">
        <v>89</v>
      </c>
      <c r="B46" s="790"/>
      <c r="C46" s="171">
        <f>SUMIF($G$7:$G$31,"Gas",$F$7:$F$31)</f>
        <v>0</v>
      </c>
      <c r="D46" s="125">
        <f>+C46+'6'!D46</f>
        <v>0</v>
      </c>
      <c r="E46" s="150">
        <f t="shared" si="19"/>
        <v>0</v>
      </c>
      <c r="F46" s="368"/>
      <c r="G46" s="369"/>
      <c r="H46" s="195" t="s">
        <v>90</v>
      </c>
      <c r="I46" s="147">
        <f>+SUMIF(Listrik!P14,"&gt;0")</f>
        <v>37977.440000000053</v>
      </c>
      <c r="J46" s="142">
        <f>+I46+'6'!J46</f>
        <v>266019.24000000005</v>
      </c>
      <c r="K46" s="137" t="s">
        <v>91</v>
      </c>
      <c r="L46" s="435">
        <f>+Listrik!AF14</f>
        <v>0</v>
      </c>
      <c r="M46" s="437">
        <f>+L46+'6'!M46</f>
        <v>0</v>
      </c>
      <c r="N46" s="156" t="s">
        <v>515</v>
      </c>
      <c r="O46" s="156">
        <v>516.06060606060601</v>
      </c>
      <c r="P46" s="156">
        <v>423.16969696969699</v>
      </c>
      <c r="Q46" s="156">
        <v>33</v>
      </c>
    </row>
    <row r="47" spans="1:26" ht="17.45" customHeight="1">
      <c r="A47" s="789" t="s">
        <v>92</v>
      </c>
      <c r="B47" s="790"/>
      <c r="C47" s="171">
        <f>SUMIF($G$7:$G$31,"Gas",$F$7:$F$31)</f>
        <v>0</v>
      </c>
      <c r="D47" s="125">
        <f>+C47+'6'!D47</f>
        <v>0</v>
      </c>
      <c r="E47" s="150">
        <f t="shared" si="19"/>
        <v>0</v>
      </c>
      <c r="F47" s="368"/>
      <c r="G47" s="369"/>
      <c r="H47" s="195" t="s">
        <v>93</v>
      </c>
      <c r="I47" s="125">
        <f>I46/I38</f>
        <v>828.1168774531194</v>
      </c>
      <c r="J47" s="142">
        <f>J46/J38</f>
        <v>900.194712246162</v>
      </c>
      <c r="K47" s="137" t="s">
        <v>25</v>
      </c>
      <c r="L47" s="435">
        <f>+L46/I38</f>
        <v>0</v>
      </c>
      <c r="M47" s="436">
        <f>+M46/J38</f>
        <v>0</v>
      </c>
      <c r="N47" s="156" t="s">
        <v>516</v>
      </c>
      <c r="O47" s="156">
        <v>689.30989583333337</v>
      </c>
      <c r="P47" s="156">
        <v>584.50559895833328</v>
      </c>
      <c r="Q47" s="156">
        <v>768</v>
      </c>
    </row>
    <row r="48" spans="1:26" ht="17.45" customHeight="1">
      <c r="A48" s="789" t="s">
        <v>15</v>
      </c>
      <c r="B48" s="790"/>
      <c r="C48" s="171">
        <f>SUMIF($G$7:$G$31,"Start Up",$F$7:$F$31)</f>
        <v>0</v>
      </c>
      <c r="D48" s="125">
        <f>+C48+'6'!D48</f>
        <v>0</v>
      </c>
      <c r="E48" s="150">
        <f t="shared" si="19"/>
        <v>0</v>
      </c>
      <c r="F48" s="368"/>
      <c r="G48" s="369"/>
      <c r="H48" s="195" t="s">
        <v>94</v>
      </c>
      <c r="I48" s="125">
        <f>I46/I40</f>
        <v>987.06796621182718</v>
      </c>
      <c r="J48" s="142">
        <f>J46/J40</f>
        <v>941.85773311948367</v>
      </c>
      <c r="K48" s="137" t="s">
        <v>25</v>
      </c>
      <c r="L48" s="435">
        <f>+L46/I38</f>
        <v>0</v>
      </c>
      <c r="M48" s="436">
        <f>+M46/J40</f>
        <v>0</v>
      </c>
      <c r="N48" s="156" t="s">
        <v>517</v>
      </c>
      <c r="O48" s="156">
        <v>1040.1632653061224</v>
      </c>
      <c r="P48" s="156">
        <v>811.32734693877558</v>
      </c>
      <c r="Q48" s="156">
        <v>245</v>
      </c>
    </row>
    <row r="49" spans="1:26" ht="17.45" customHeight="1">
      <c r="A49" s="789" t="s">
        <v>21</v>
      </c>
      <c r="B49" s="790"/>
      <c r="C49" s="171">
        <f>SUMIF($G$7:$G$31,"Others",$F$7:$F$31)</f>
        <v>0</v>
      </c>
      <c r="D49" s="125">
        <f>+C49+'6'!D49</f>
        <v>480</v>
      </c>
      <c r="E49" s="150">
        <f t="shared" si="19"/>
        <v>8</v>
      </c>
      <c r="F49" s="192"/>
      <c r="H49" s="195" t="s">
        <v>182</v>
      </c>
      <c r="I49" s="125">
        <f>+Report1!AB15</f>
        <v>4833.6882305745858</v>
      </c>
      <c r="J49" s="142">
        <f>+I49+'6'!J49</f>
        <v>27324.849150320759</v>
      </c>
      <c r="K49" s="137" t="s">
        <v>96</v>
      </c>
      <c r="L49" s="431"/>
      <c r="M49" s="432"/>
      <c r="N49" s="156">
        <v>17</v>
      </c>
      <c r="Q49" s="156">
        <f>+Q45+Q46+Q47+Q48</f>
        <v>1440</v>
      </c>
    </row>
    <row r="50" spans="1:26" ht="17.45" customHeight="1">
      <c r="A50" s="789" t="s">
        <v>20</v>
      </c>
      <c r="B50" s="790"/>
      <c r="C50" s="171">
        <f>SUMIF($G$7:$G$31,"Steam",$F$7:$F$31)</f>
        <v>0</v>
      </c>
      <c r="D50" s="125">
        <f>+C50+'6'!D50</f>
        <v>0</v>
      </c>
      <c r="E50" s="150">
        <f t="shared" si="19"/>
        <v>0</v>
      </c>
      <c r="F50" s="192"/>
      <c r="H50" s="195" t="s">
        <v>97</v>
      </c>
      <c r="I50" s="147">
        <f>I49/I38</f>
        <v>105.4009644695723</v>
      </c>
      <c r="J50" s="140">
        <f>J49/J38</f>
        <v>92.465810811438956</v>
      </c>
      <c r="K50" s="137" t="s">
        <v>96</v>
      </c>
      <c r="L50" s="431"/>
      <c r="M50" s="432"/>
      <c r="N50" s="156">
        <v>35.5</v>
      </c>
    </row>
    <row r="51" spans="1:26" ht="17.45" customHeight="1" thickBot="1">
      <c r="A51" s="791" t="s">
        <v>98</v>
      </c>
      <c r="B51" s="792"/>
      <c r="C51" s="171">
        <f>SUMIF($G$7:$G$31,"Planned shut",$F$7:$F$31)</f>
        <v>0</v>
      </c>
      <c r="D51" s="125">
        <f>+C51+'6'!D51</f>
        <v>394</v>
      </c>
      <c r="E51" s="150">
        <f t="shared" si="19"/>
        <v>6.5666666666666664</v>
      </c>
      <c r="F51" s="192"/>
      <c r="H51" s="197" t="s">
        <v>99</v>
      </c>
      <c r="I51" s="148">
        <f>I49/I40</f>
        <v>125.63192282195155</v>
      </c>
      <c r="J51" s="143">
        <f>J49/J40</f>
        <v>96.745334956046619</v>
      </c>
      <c r="K51" s="144" t="s">
        <v>96</v>
      </c>
      <c r="L51" s="431"/>
      <c r="M51" s="432"/>
      <c r="N51" s="156">
        <v>22</v>
      </c>
    </row>
    <row r="52" spans="1:26" ht="13.5" thickBot="1">
      <c r="A52" s="793" t="s">
        <v>29</v>
      </c>
      <c r="B52" s="794"/>
      <c r="C52" s="151">
        <f>SUM(C38:C51)</f>
        <v>57</v>
      </c>
      <c r="D52" s="151">
        <f>SUM(D38:D51)</f>
        <v>1639</v>
      </c>
      <c r="E52" s="152">
        <f>SUM(E38:E51)</f>
        <v>27.316666666666666</v>
      </c>
      <c r="F52" s="192"/>
      <c r="H52" s="198"/>
      <c r="I52" s="199"/>
      <c r="J52" s="145"/>
      <c r="K52" s="146"/>
      <c r="L52" s="438"/>
      <c r="M52" s="439"/>
      <c r="N52" s="156">
        <v>14</v>
      </c>
    </row>
    <row r="53" spans="1:26" ht="13.5" thickBot="1">
      <c r="A53" s="795"/>
      <c r="B53" s="796"/>
      <c r="C53" s="153">
        <f>C52/(24*60)</f>
        <v>3.9583333333333331E-2</v>
      </c>
      <c r="D53" s="153">
        <f>D52/(24*60*G4)</f>
        <v>0.16259920634920635</v>
      </c>
      <c r="E53" s="154">
        <f>E52/(G4*24)</f>
        <v>0.16259920634920635</v>
      </c>
      <c r="F53" s="192"/>
    </row>
    <row r="54" spans="1:26">
      <c r="E54" s="200"/>
      <c r="F54" s="192"/>
      <c r="X54" s="183">
        <f>SUM(X44:X52)</f>
        <v>245</v>
      </c>
      <c r="Y54" s="183">
        <f>SUM(Y44:Y52)</f>
        <v>254840</v>
      </c>
      <c r="Z54" s="183">
        <f>SUM(Z44:Z52)</f>
        <v>198775.2</v>
      </c>
    </row>
    <row r="55" spans="1:26">
      <c r="E55" s="200"/>
      <c r="X55" s="156">
        <f>480-X54</f>
        <v>235</v>
      </c>
      <c r="Y55" s="183">
        <f>+Y54/X54</f>
        <v>1040.1632653061224</v>
      </c>
      <c r="Z55" s="183">
        <f>+Z54/X54</f>
        <v>811.32734693877558</v>
      </c>
    </row>
    <row r="56" spans="1:26">
      <c r="A56" s="201" t="s">
        <v>100</v>
      </c>
      <c r="B56" s="202"/>
      <c r="C56" s="203"/>
      <c r="D56" s="203"/>
      <c r="E56" s="203"/>
      <c r="F56" s="204"/>
      <c r="G56" s="203"/>
      <c r="H56" s="205"/>
      <c r="I56" s="206" t="s">
        <v>101</v>
      </c>
      <c r="J56" s="207">
        <f>+D34+'6'!J56</f>
        <v>2666</v>
      </c>
      <c r="K56" s="208">
        <f>J56/(J40+J56/1000)/1000</f>
        <v>9.3508752854191586E-3</v>
      </c>
    </row>
    <row r="57" spans="1:26">
      <c r="A57" s="183"/>
      <c r="I57" s="206" t="s">
        <v>102</v>
      </c>
      <c r="J57" s="207">
        <f>+E34+'6'!J57</f>
        <v>0</v>
      </c>
      <c r="K57" s="208">
        <f>J57/(J40+J57/1000)/1000</f>
        <v>0</v>
      </c>
    </row>
    <row r="58" spans="1:26">
      <c r="A58" s="209"/>
      <c r="B58" s="210"/>
      <c r="F58" s="192"/>
      <c r="H58" s="211"/>
    </row>
    <row r="59" spans="1:26">
      <c r="A59" s="212"/>
      <c r="B59" s="183"/>
      <c r="C59" s="183"/>
      <c r="D59" s="183"/>
      <c r="E59" s="183"/>
      <c r="F59" s="196"/>
      <c r="G59" s="183"/>
      <c r="H59" s="211"/>
    </row>
    <row r="60" spans="1:26">
      <c r="H60" s="211"/>
    </row>
    <row r="61" spans="1:26">
      <c r="A61" s="213"/>
      <c r="B61" s="214"/>
      <c r="C61" s="214"/>
      <c r="D61" s="214"/>
      <c r="E61" s="214"/>
      <c r="F61" s="215"/>
      <c r="G61" s="214"/>
      <c r="H61" s="216"/>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Z61"/>
  <sheetViews>
    <sheetView view="pageBreakPreview" topLeftCell="A22" zoomScale="80" zoomScaleNormal="75" zoomScaleSheetLayoutView="80" workbookViewId="0">
      <selection activeCell="E46" sqref="E46"/>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4.28515625" style="156" bestFit="1" customWidth="1"/>
    <col min="8" max="8" width="64.85546875" style="156" customWidth="1"/>
    <col min="9" max="9" width="14.7109375" style="156" bestFit="1" customWidth="1"/>
    <col min="10" max="10" width="20.140625" style="156" bestFit="1" customWidth="1"/>
    <col min="11" max="11" width="12.85546875" style="156" bestFit="1" customWidth="1"/>
    <col min="12" max="12" width="8.28515625" style="156" customWidth="1"/>
    <col min="13" max="13" width="14.5703125" style="156" bestFit="1" customWidth="1"/>
    <col min="14" max="16384" width="9.140625" style="156"/>
  </cols>
  <sheetData>
    <row r="1" spans="1:26" ht="15.75">
      <c r="A1" s="155"/>
    </row>
    <row r="2" spans="1:26" ht="15.75">
      <c r="A2" s="155" t="s">
        <v>183</v>
      </c>
    </row>
    <row r="3" spans="1:26" ht="15">
      <c r="A3" s="157"/>
    </row>
    <row r="4" spans="1:26" ht="20.25">
      <c r="A4" s="158" t="s">
        <v>5</v>
      </c>
      <c r="B4" s="159"/>
      <c r="F4" s="160" t="s">
        <v>30</v>
      </c>
      <c r="G4" s="161">
        <v>6</v>
      </c>
      <c r="H4" s="161" t="str">
        <f>+'1'!H4</f>
        <v>.01.26</v>
      </c>
      <c r="J4" s="156">
        <f>355.1+419</f>
        <v>774.1</v>
      </c>
    </row>
    <row r="5" spans="1:26" ht="13.5" thickBot="1">
      <c r="C5" s="162"/>
      <c r="D5" s="162"/>
    </row>
    <row r="6" spans="1:26"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451</v>
      </c>
      <c r="O6" s="156">
        <v>1140</v>
      </c>
      <c r="P6" s="156">
        <f>+O6-(O6*0.18)</f>
        <v>934.8</v>
      </c>
      <c r="Q6" s="156">
        <v>3</v>
      </c>
      <c r="R6" s="156">
        <f t="shared" ref="R6" si="0">+O6*Q6</f>
        <v>3420</v>
      </c>
      <c r="S6" s="156">
        <f t="shared" ref="S6" si="1">+P6*Q6</f>
        <v>2804.3999999999996</v>
      </c>
      <c r="U6" s="156" t="s">
        <v>451</v>
      </c>
      <c r="V6" s="156">
        <v>1140</v>
      </c>
      <c r="W6" s="156">
        <f>+V6-(V6*0.18)</f>
        <v>934.8</v>
      </c>
      <c r="X6" s="156">
        <v>3</v>
      </c>
      <c r="Y6" s="156">
        <f t="shared" ref="Y6" si="2">+V6*X6</f>
        <v>3420</v>
      </c>
      <c r="Z6" s="156">
        <f t="shared" ref="Z6" si="3">+W6*X6</f>
        <v>2804.3999999999996</v>
      </c>
    </row>
    <row r="7" spans="1:26" ht="13.5" customHeight="1" thickBot="1">
      <c r="A7" s="800" t="s">
        <v>424</v>
      </c>
      <c r="B7" s="222" t="s">
        <v>459</v>
      </c>
      <c r="C7" s="223">
        <v>3101</v>
      </c>
      <c r="D7" s="224"/>
      <c r="E7" s="225"/>
      <c r="F7" s="235"/>
      <c r="G7" s="236" t="s">
        <v>13</v>
      </c>
      <c r="H7" s="237" t="s">
        <v>386</v>
      </c>
      <c r="I7" s="803" t="s">
        <v>498</v>
      </c>
      <c r="J7" s="221" t="str">
        <f>+'5'!J7</f>
        <v>T 13,5 RC HW</v>
      </c>
      <c r="K7" s="245"/>
      <c r="L7" s="249"/>
      <c r="M7" s="124">
        <f>+K7+'5'!M7+L7</f>
        <v>175686</v>
      </c>
    </row>
    <row r="8" spans="1:26" ht="13.5" thickBot="1">
      <c r="A8" s="801"/>
      <c r="B8" s="222"/>
      <c r="C8" s="223"/>
      <c r="D8" s="224"/>
      <c r="E8" s="226"/>
      <c r="F8" s="238"/>
      <c r="G8" s="582" t="s">
        <v>13</v>
      </c>
      <c r="H8" s="237" t="s">
        <v>387</v>
      </c>
      <c r="I8" s="804"/>
      <c r="J8" s="221" t="str">
        <f>+'5'!J8</f>
        <v>T 14,5 RC HW</v>
      </c>
      <c r="K8" s="246">
        <f>+C7</f>
        <v>3101</v>
      </c>
      <c r="L8" s="246"/>
      <c r="M8" s="124">
        <f>+K8+'5'!M8+L8</f>
        <v>57466</v>
      </c>
    </row>
    <row r="9" spans="1:26" ht="13.5" thickBot="1">
      <c r="A9" s="801"/>
      <c r="B9" s="222"/>
      <c r="C9" s="223"/>
      <c r="D9" s="224"/>
      <c r="E9" s="227"/>
      <c r="F9" s="235"/>
      <c r="G9" s="582" t="s">
        <v>13</v>
      </c>
      <c r="H9" s="240" t="s">
        <v>500</v>
      </c>
      <c r="I9" s="804"/>
      <c r="J9" s="221" t="s">
        <v>509</v>
      </c>
      <c r="K9" s="246">
        <f>+C25</f>
        <v>10814</v>
      </c>
      <c r="L9" s="246"/>
      <c r="M9" s="124">
        <f>+K9+'5'!M9+L9</f>
        <v>10814</v>
      </c>
    </row>
    <row r="10" spans="1:26" ht="26.25" thickBot="1">
      <c r="A10" s="801"/>
      <c r="B10" s="222"/>
      <c r="C10" s="223"/>
      <c r="D10" s="224"/>
      <c r="E10" s="226"/>
      <c r="F10" s="235"/>
      <c r="G10" s="244" t="s">
        <v>14</v>
      </c>
      <c r="H10" s="240" t="s">
        <v>489</v>
      </c>
      <c r="I10" s="804"/>
      <c r="J10" s="221">
        <f>+'5'!J10</f>
        <v>0</v>
      </c>
      <c r="K10" s="246"/>
      <c r="L10" s="246"/>
      <c r="M10" s="124">
        <f>+K10+'5'!M10+L10</f>
        <v>0</v>
      </c>
    </row>
    <row r="11" spans="1:26" ht="77.25" thickBot="1">
      <c r="A11" s="801"/>
      <c r="B11" s="222"/>
      <c r="C11" s="223"/>
      <c r="D11" s="224"/>
      <c r="E11" s="226"/>
      <c r="F11" s="235">
        <f>480-3</f>
        <v>477</v>
      </c>
      <c r="G11" s="239" t="s">
        <v>21</v>
      </c>
      <c r="H11" s="240" t="s">
        <v>492</v>
      </c>
      <c r="I11" s="804"/>
      <c r="J11" s="221">
        <f>+'5'!J11</f>
        <v>0</v>
      </c>
      <c r="K11" s="246"/>
      <c r="L11" s="246"/>
      <c r="M11" s="124">
        <f>+K11+'5'!M11+L11</f>
        <v>0</v>
      </c>
    </row>
    <row r="12" spans="1:26" ht="64.5" thickBot="1">
      <c r="A12" s="801"/>
      <c r="B12" s="222"/>
      <c r="C12" s="223"/>
      <c r="D12" s="224"/>
      <c r="E12" s="226"/>
      <c r="F12" s="235"/>
      <c r="G12" s="239"/>
      <c r="H12" s="240" t="s">
        <v>490</v>
      </c>
      <c r="I12" s="804"/>
      <c r="J12" s="221">
        <f>+'5'!J12</f>
        <v>0</v>
      </c>
      <c r="K12" s="246"/>
      <c r="L12" s="246"/>
      <c r="M12" s="124">
        <f>+K12+'5'!M12+L12</f>
        <v>0</v>
      </c>
    </row>
    <row r="13" spans="1:26" ht="13.5" thickBot="1">
      <c r="A13" s="801"/>
      <c r="B13" s="222"/>
      <c r="C13" s="223"/>
      <c r="D13" s="223"/>
      <c r="E13" s="226"/>
      <c r="F13" s="235"/>
      <c r="G13" s="582"/>
      <c r="H13" s="240"/>
      <c r="I13" s="805"/>
      <c r="J13" s="221">
        <f>+'5'!J13</f>
        <v>0</v>
      </c>
      <c r="K13" s="246"/>
      <c r="L13" s="246"/>
      <c r="M13" s="124">
        <f>+K13+'5'!M13+L13</f>
        <v>0</v>
      </c>
    </row>
    <row r="14" spans="1:26" ht="13.5" thickBot="1">
      <c r="A14" s="802"/>
      <c r="B14" s="172"/>
      <c r="C14" s="106">
        <f>SUM(C7:C13)</f>
        <v>3101</v>
      </c>
      <c r="D14" s="118">
        <f>SUM(D7:D13)</f>
        <v>0</v>
      </c>
      <c r="E14" s="119">
        <f>SUM(E5:E13)</f>
        <v>0</v>
      </c>
      <c r="F14" s="109">
        <f>SUM(F6:F13)</f>
        <v>477</v>
      </c>
      <c r="G14" s="166"/>
      <c r="H14" s="173"/>
      <c r="I14" s="174"/>
      <c r="J14" s="221">
        <f>+'5'!J14</f>
        <v>0</v>
      </c>
      <c r="K14" s="246"/>
      <c r="L14" s="246"/>
      <c r="M14" s="124">
        <f>+K14+'5'!M14+L14</f>
        <v>0</v>
      </c>
    </row>
    <row r="15" spans="1:26" ht="13.5" customHeight="1" thickBot="1">
      <c r="A15" s="800" t="s">
        <v>425</v>
      </c>
      <c r="B15" s="172"/>
      <c r="C15" s="120" t="e">
        <f>C14/($C$23+$D$23+$E$23)</f>
        <v>#DIV/0!</v>
      </c>
      <c r="D15" s="121" t="e">
        <f>D14/($C$23+$D$23+$E$23)</f>
        <v>#DIV/0!</v>
      </c>
      <c r="E15" s="122" t="e">
        <f>E14/($C$23+$D$23+$E$23)</f>
        <v>#DIV/0!</v>
      </c>
      <c r="F15" s="235"/>
      <c r="G15" s="236" t="s">
        <v>13</v>
      </c>
      <c r="H15" s="237" t="s">
        <v>386</v>
      </c>
      <c r="I15" s="803" t="s">
        <v>497</v>
      </c>
      <c r="J15" s="221">
        <f>+'5'!J15</f>
        <v>0</v>
      </c>
      <c r="K15" s="246"/>
      <c r="L15" s="246"/>
      <c r="M15" s="124">
        <f>+K15+'5'!M15+L15</f>
        <v>0</v>
      </c>
    </row>
    <row r="16" spans="1:26" ht="13.5" thickBot="1">
      <c r="A16" s="811"/>
      <c r="B16" s="222"/>
      <c r="C16" s="229"/>
      <c r="D16" s="230"/>
      <c r="E16" s="231"/>
      <c r="F16" s="238">
        <v>2</v>
      </c>
      <c r="G16" s="582" t="s">
        <v>13</v>
      </c>
      <c r="H16" s="237" t="s">
        <v>501</v>
      </c>
      <c r="I16" s="804"/>
      <c r="J16" s="221">
        <f>+'5'!J16</f>
        <v>0</v>
      </c>
      <c r="K16" s="246"/>
      <c r="L16" s="236"/>
      <c r="M16" s="124">
        <f>+K16+'5'!M16+L16</f>
        <v>0</v>
      </c>
      <c r="Q16" s="183">
        <f>SUM(Q6:Q14)</f>
        <v>3</v>
      </c>
      <c r="R16" s="183">
        <f>SUM(R6:R14)</f>
        <v>3420</v>
      </c>
      <c r="S16" s="183">
        <f>SUM(S6:S14)</f>
        <v>2804.3999999999996</v>
      </c>
      <c r="X16" s="183">
        <f>SUM(X6:X14)</f>
        <v>3</v>
      </c>
      <c r="Y16" s="183">
        <f>SUM(Y6:Y14)</f>
        <v>3420</v>
      </c>
      <c r="Z16" s="183">
        <f>SUM(Z6:Z14)</f>
        <v>2804.3999999999996</v>
      </c>
    </row>
    <row r="17" spans="1:26" ht="13.5" thickBot="1">
      <c r="A17" s="811"/>
      <c r="B17" s="222"/>
      <c r="C17" s="223"/>
      <c r="D17" s="224"/>
      <c r="E17" s="232"/>
      <c r="F17" s="235">
        <v>2</v>
      </c>
      <c r="G17" s="582" t="s">
        <v>13</v>
      </c>
      <c r="H17" s="240" t="s">
        <v>502</v>
      </c>
      <c r="I17" s="804"/>
      <c r="J17" s="221">
        <f>+'5'!J17</f>
        <v>0</v>
      </c>
      <c r="K17" s="236"/>
      <c r="L17" s="236"/>
      <c r="M17" s="124">
        <f>+K17+'5'!M17+L17</f>
        <v>0</v>
      </c>
      <c r="Q17" s="156">
        <f>480-Q16</f>
        <v>477</v>
      </c>
      <c r="R17" s="183">
        <f>+R16/Q16</f>
        <v>1140</v>
      </c>
      <c r="S17" s="183">
        <f>+S16/Q16</f>
        <v>934.79999999999984</v>
      </c>
      <c r="X17" s="156">
        <f>480-X16</f>
        <v>477</v>
      </c>
      <c r="Y17" s="183">
        <f>+Y16/X16</f>
        <v>1140</v>
      </c>
      <c r="Z17" s="183">
        <f>+Z16/X16</f>
        <v>934.79999999999984</v>
      </c>
    </row>
    <row r="18" spans="1:26" ht="26.25" thickBot="1">
      <c r="A18" s="811"/>
      <c r="B18" s="222"/>
      <c r="C18" s="223"/>
      <c r="D18" s="224"/>
      <c r="E18" s="232"/>
      <c r="F18" s="242">
        <v>5</v>
      </c>
      <c r="G18" s="244" t="s">
        <v>14</v>
      </c>
      <c r="H18" s="240" t="s">
        <v>488</v>
      </c>
      <c r="I18" s="804"/>
      <c r="J18" s="221">
        <f>+'5'!J18</f>
        <v>0</v>
      </c>
      <c r="K18" s="246"/>
      <c r="L18" s="246"/>
      <c r="M18" s="124">
        <f>+K18+'5'!M18+L18</f>
        <v>0</v>
      </c>
      <c r="N18" s="156" t="s">
        <v>493</v>
      </c>
      <c r="O18" s="156">
        <v>500</v>
      </c>
      <c r="P18" s="156">
        <f>+O18-(O18*0.15)</f>
        <v>425</v>
      </c>
      <c r="Q18" s="156">
        <f>50-33</f>
        <v>17</v>
      </c>
      <c r="R18" s="156">
        <f t="shared" ref="R18" si="4">+O18*Q18</f>
        <v>8500</v>
      </c>
      <c r="S18" s="156">
        <f t="shared" ref="S18" si="5">+P18*Q18</f>
        <v>7225</v>
      </c>
      <c r="U18" s="156" t="s">
        <v>493</v>
      </c>
      <c r="V18" s="156">
        <v>500</v>
      </c>
      <c r="W18" s="156">
        <f>+V18-(V18*0.15)</f>
        <v>425</v>
      </c>
      <c r="X18" s="156">
        <f>50-33</f>
        <v>17</v>
      </c>
      <c r="Y18" s="156">
        <f t="shared" ref="Y18:Y19" si="6">+V18*X18</f>
        <v>8500</v>
      </c>
      <c r="Z18" s="156">
        <f t="shared" ref="Z18:Z19" si="7">+W18*X18</f>
        <v>7225</v>
      </c>
    </row>
    <row r="19" spans="1:26" ht="189.75" customHeight="1" thickBot="1">
      <c r="A19" s="811"/>
      <c r="B19" s="222"/>
      <c r="C19" s="223"/>
      <c r="D19" s="224"/>
      <c r="E19" s="232"/>
      <c r="F19" s="235">
        <v>3</v>
      </c>
      <c r="G19" s="239" t="s">
        <v>21</v>
      </c>
      <c r="H19" s="240" t="s">
        <v>494</v>
      </c>
      <c r="I19" s="804"/>
      <c r="J19" s="221">
        <f>+'5'!J19</f>
        <v>0</v>
      </c>
      <c r="K19" s="246"/>
      <c r="L19" s="246"/>
      <c r="M19" s="124">
        <f>+K19+'5'!M19+L19</f>
        <v>0</v>
      </c>
      <c r="N19" s="156" t="s">
        <v>493</v>
      </c>
      <c r="O19" s="156">
        <v>500</v>
      </c>
      <c r="P19" s="156">
        <f>+O19-(O19*0.15)</f>
        <v>425</v>
      </c>
      <c r="Q19" s="156">
        <f>60-54+30</f>
        <v>36</v>
      </c>
      <c r="R19" s="156">
        <f t="shared" ref="R19:R20" si="8">+O19*Q19</f>
        <v>18000</v>
      </c>
      <c r="S19" s="156">
        <f t="shared" ref="S19:S20" si="9">+P19*Q19</f>
        <v>15300</v>
      </c>
      <c r="U19" s="156" t="s">
        <v>493</v>
      </c>
      <c r="V19" s="156">
        <v>500</v>
      </c>
      <c r="W19" s="156">
        <f>+V19-(V19*0.15)</f>
        <v>425</v>
      </c>
      <c r="X19" s="156">
        <f>60-54+30</f>
        <v>36</v>
      </c>
      <c r="Y19" s="156">
        <f t="shared" si="6"/>
        <v>18000</v>
      </c>
      <c r="Z19" s="156">
        <f t="shared" si="7"/>
        <v>15300</v>
      </c>
    </row>
    <row r="20" spans="1:26" ht="13.5" thickBot="1">
      <c r="A20" s="811"/>
      <c r="B20" s="222"/>
      <c r="C20" s="223"/>
      <c r="D20" s="224"/>
      <c r="E20" s="232"/>
      <c r="F20" s="235">
        <f>397-3</f>
        <v>394</v>
      </c>
      <c r="G20" s="239" t="s">
        <v>491</v>
      </c>
      <c r="H20" s="240"/>
      <c r="I20" s="804"/>
      <c r="J20" s="221">
        <f>+'5'!J20</f>
        <v>0</v>
      </c>
      <c r="K20" s="247"/>
      <c r="L20" s="247"/>
      <c r="M20" s="124">
        <f>+K20+'5'!M20+L20</f>
        <v>0</v>
      </c>
      <c r="N20" s="156" t="s">
        <v>495</v>
      </c>
      <c r="O20" s="156">
        <v>800</v>
      </c>
      <c r="P20" s="156">
        <f>+O20-(O20*0.15)</f>
        <v>680</v>
      </c>
      <c r="Q20" s="156">
        <f>60-30</f>
        <v>30</v>
      </c>
      <c r="R20" s="156">
        <f t="shared" si="8"/>
        <v>24000</v>
      </c>
      <c r="S20" s="156">
        <f t="shared" si="9"/>
        <v>20400</v>
      </c>
    </row>
    <row r="21" spans="1:26" ht="13.5" thickBot="1">
      <c r="A21" s="811"/>
      <c r="B21" s="222"/>
      <c r="C21" s="223"/>
      <c r="D21" s="224"/>
      <c r="E21" s="232"/>
      <c r="F21" s="238"/>
      <c r="G21" s="239"/>
      <c r="H21" s="240"/>
      <c r="I21" s="804"/>
      <c r="J21" s="221">
        <f>+'5'!J21</f>
        <v>0</v>
      </c>
      <c r="K21" s="246"/>
      <c r="L21" s="246"/>
      <c r="M21" s="124">
        <f>+K21+'5'!M21+L21</f>
        <v>0</v>
      </c>
    </row>
    <row r="22" spans="1:26" ht="13.5" thickBot="1">
      <c r="A22" s="811"/>
      <c r="B22" s="222"/>
      <c r="C22" s="223"/>
      <c r="D22" s="224"/>
      <c r="E22" s="232"/>
      <c r="F22" s="243"/>
      <c r="G22" s="239"/>
      <c r="H22" s="240"/>
      <c r="I22" s="805"/>
      <c r="J22" s="221">
        <f>+'5'!J22</f>
        <v>0</v>
      </c>
      <c r="K22" s="246"/>
      <c r="L22" s="246"/>
      <c r="M22" s="124">
        <f>+K22+'5'!M22+L22</f>
        <v>0</v>
      </c>
    </row>
    <row r="23" spans="1:26" ht="13.5" thickBot="1">
      <c r="A23" s="812"/>
      <c r="B23" s="172"/>
      <c r="C23" s="107">
        <f>SUM(C16:C22)</f>
        <v>0</v>
      </c>
      <c r="D23" s="118">
        <f>SUM(D16:D22)</f>
        <v>0</v>
      </c>
      <c r="E23" s="119">
        <f>SUM(E18:E22)</f>
        <v>0</v>
      </c>
      <c r="F23" s="109">
        <f>SUM(F15:F22)</f>
        <v>406</v>
      </c>
      <c r="G23" s="166"/>
      <c r="H23" s="173"/>
      <c r="I23" s="176"/>
      <c r="J23" s="221">
        <f>+'5'!J23</f>
        <v>0</v>
      </c>
      <c r="K23" s="246"/>
      <c r="L23" s="246"/>
      <c r="M23" s="124">
        <f>+K23+'5'!M23+L23</f>
        <v>0</v>
      </c>
    </row>
    <row r="24" spans="1:26" ht="13.5" customHeight="1" thickBot="1">
      <c r="A24" s="800" t="s">
        <v>440</v>
      </c>
      <c r="B24" s="177"/>
      <c r="C24" s="120" t="e">
        <f>C23/($C$23+$D$23+$E$23)</f>
        <v>#DIV/0!</v>
      </c>
      <c r="D24" s="121" t="e">
        <f>D23/($C$23+$D$23+$E$23)</f>
        <v>#DIV/0!</v>
      </c>
      <c r="E24" s="122" t="e">
        <f>E23/($C$23+$D$23+$E$23)</f>
        <v>#DIV/0!</v>
      </c>
      <c r="F24" s="235"/>
      <c r="G24" s="236" t="s">
        <v>13</v>
      </c>
      <c r="H24" s="237" t="s">
        <v>386</v>
      </c>
      <c r="I24" s="803" t="s">
        <v>496</v>
      </c>
      <c r="J24" s="221">
        <f>+'5'!J24</f>
        <v>0</v>
      </c>
      <c r="K24" s="246"/>
      <c r="L24" s="246"/>
      <c r="M24" s="124">
        <f>+K24+'5'!M24+L24</f>
        <v>0</v>
      </c>
    </row>
    <row r="25" spans="1:26" ht="13.5" customHeight="1" thickBot="1">
      <c r="A25" s="811"/>
      <c r="B25" s="222" t="s">
        <v>509</v>
      </c>
      <c r="C25" s="233">
        <v>10814</v>
      </c>
      <c r="D25" s="224"/>
      <c r="E25" s="232"/>
      <c r="F25" s="238">
        <v>9</v>
      </c>
      <c r="G25" s="582" t="s">
        <v>13</v>
      </c>
      <c r="H25" s="237" t="s">
        <v>414</v>
      </c>
      <c r="I25" s="804"/>
      <c r="J25" s="221">
        <f>+'5'!J25</f>
        <v>0</v>
      </c>
      <c r="K25" s="246"/>
      <c r="L25" s="246"/>
      <c r="M25" s="124">
        <f>+K25+'5'!M25+L25</f>
        <v>0</v>
      </c>
    </row>
    <row r="26" spans="1:26" ht="13.5" customHeight="1" thickBot="1">
      <c r="A26" s="811"/>
      <c r="B26" s="222"/>
      <c r="C26" s="233"/>
      <c r="D26" s="224"/>
      <c r="E26" s="234"/>
      <c r="F26" s="235">
        <v>20</v>
      </c>
      <c r="G26" s="582" t="s">
        <v>13</v>
      </c>
      <c r="H26" s="240" t="s">
        <v>450</v>
      </c>
      <c r="I26" s="804"/>
      <c r="J26" s="221">
        <f>+'5'!J26</f>
        <v>0</v>
      </c>
      <c r="K26" s="246"/>
      <c r="L26" s="246"/>
      <c r="M26" s="124">
        <f>+K26+'5'!M26+L26</f>
        <v>0</v>
      </c>
    </row>
    <row r="27" spans="1:26" ht="26.25" customHeight="1" thickBot="1">
      <c r="A27" s="811"/>
      <c r="B27" s="222"/>
      <c r="C27" s="223"/>
      <c r="D27" s="224"/>
      <c r="E27" s="232"/>
      <c r="F27" s="235"/>
      <c r="G27" s="244" t="s">
        <v>14</v>
      </c>
      <c r="H27" s="240" t="s">
        <v>486</v>
      </c>
      <c r="I27" s="804"/>
      <c r="J27" s="221">
        <f>+'5'!J27</f>
        <v>0</v>
      </c>
      <c r="K27" s="246"/>
      <c r="L27" s="246"/>
      <c r="M27" s="124">
        <f>+K27+'5'!M27+L27</f>
        <v>0</v>
      </c>
    </row>
    <row r="28" spans="1:26" ht="13.5" customHeight="1" thickBot="1">
      <c r="A28" s="811"/>
      <c r="B28" s="222"/>
      <c r="C28" s="223"/>
      <c r="D28" s="224"/>
      <c r="E28" s="232"/>
      <c r="F28" s="238"/>
      <c r="G28" s="239"/>
      <c r="H28" s="240" t="s">
        <v>487</v>
      </c>
      <c r="I28" s="804"/>
      <c r="J28" s="221">
        <f>+'5'!J28</f>
        <v>0</v>
      </c>
      <c r="K28" s="246"/>
      <c r="L28" s="246"/>
      <c r="M28" s="124">
        <f>+K28+'5'!M28+L28</f>
        <v>0</v>
      </c>
      <c r="Q28" s="183">
        <f>SUM(Q18:Q26)</f>
        <v>83</v>
      </c>
      <c r="R28" s="183">
        <f>SUM(R18:R26)</f>
        <v>50500</v>
      </c>
      <c r="S28" s="183">
        <f>SUM(S18:S26)</f>
        <v>42925</v>
      </c>
      <c r="X28" s="183">
        <f>SUM(X18:X26)</f>
        <v>53</v>
      </c>
      <c r="Y28" s="183">
        <f>SUM(Y18:Y26)</f>
        <v>26500</v>
      </c>
      <c r="Z28" s="183">
        <f>SUM(Z18:Z26)</f>
        <v>22525</v>
      </c>
    </row>
    <row r="29" spans="1:26" ht="13.5" customHeight="1" thickBot="1">
      <c r="A29" s="811"/>
      <c r="B29" s="222"/>
      <c r="C29" s="223"/>
      <c r="D29" s="224"/>
      <c r="E29" s="232"/>
      <c r="F29" s="243"/>
      <c r="G29" s="239"/>
      <c r="H29" s="240"/>
      <c r="I29" s="804"/>
      <c r="J29" s="221">
        <f>+'5'!J29</f>
        <v>0</v>
      </c>
      <c r="K29" s="246"/>
      <c r="L29" s="246"/>
      <c r="M29" s="124">
        <f>+K29+'5'!M29+L29</f>
        <v>0</v>
      </c>
      <c r="Q29" s="156">
        <f>480-Q28</f>
        <v>397</v>
      </c>
      <c r="R29" s="183">
        <f>+R28/Q28</f>
        <v>608.43373493975901</v>
      </c>
      <c r="S29" s="183">
        <f>+S28/Q28</f>
        <v>517.16867469879514</v>
      </c>
      <c r="X29" s="156">
        <f>480-X28</f>
        <v>427</v>
      </c>
      <c r="Y29" s="183">
        <f>+Y28/X28</f>
        <v>500</v>
      </c>
      <c r="Z29" s="183">
        <f>+Z28/X28</f>
        <v>425</v>
      </c>
    </row>
    <row r="30" spans="1:26" ht="13.5" customHeight="1" thickBot="1">
      <c r="A30" s="811"/>
      <c r="B30" s="222"/>
      <c r="C30" s="233"/>
      <c r="D30" s="224"/>
      <c r="E30" s="232"/>
      <c r="F30" s="243"/>
      <c r="G30" s="239"/>
      <c r="H30" s="240"/>
      <c r="I30" s="804"/>
      <c r="J30" s="221">
        <f>+'5'!J30</f>
        <v>0</v>
      </c>
      <c r="K30" s="246"/>
      <c r="L30" s="246"/>
      <c r="M30" s="124">
        <f>+K30+'5'!M30+L30</f>
        <v>0</v>
      </c>
    </row>
    <row r="31" spans="1:26" ht="13.5" customHeight="1" thickBot="1">
      <c r="A31" s="811"/>
      <c r="B31" s="222"/>
      <c r="C31" s="233"/>
      <c r="D31" s="224"/>
      <c r="E31" s="232"/>
      <c r="F31" s="243"/>
      <c r="G31" s="244"/>
      <c r="H31" s="241"/>
      <c r="I31" s="805"/>
      <c r="J31" s="221">
        <f>+'5'!J31</f>
        <v>0</v>
      </c>
      <c r="K31" s="246"/>
      <c r="L31" s="246"/>
      <c r="M31" s="124">
        <f>+K31+'5'!M31+L31</f>
        <v>0</v>
      </c>
      <c r="U31" s="156" t="s">
        <v>495</v>
      </c>
      <c r="V31" s="156">
        <v>800</v>
      </c>
      <c r="W31" s="156">
        <v>680</v>
      </c>
      <c r="X31" s="156">
        <v>30</v>
      </c>
      <c r="Y31" s="156">
        <f t="shared" ref="Y31:Y32" si="10">+V31*X31</f>
        <v>24000</v>
      </c>
      <c r="Z31" s="156">
        <f t="shared" ref="Z31:Z32" si="11">+W31*X31</f>
        <v>20400</v>
      </c>
    </row>
    <row r="32" spans="1:26" ht="13.5" customHeight="1" thickBot="1">
      <c r="A32" s="812"/>
      <c r="B32" s="172"/>
      <c r="C32" s="106">
        <f>SUM(C25:C31)</f>
        <v>10814</v>
      </c>
      <c r="D32" s="107">
        <f>SUM(D25:D31)</f>
        <v>0</v>
      </c>
      <c r="E32" s="108">
        <f>SUM(E25:E31)</f>
        <v>0</v>
      </c>
      <c r="F32" s="109">
        <f>SUM(F24:F31)</f>
        <v>29</v>
      </c>
      <c r="G32" s="178"/>
      <c r="H32" s="179"/>
      <c r="I32" s="176"/>
      <c r="J32" s="221">
        <f>+'5'!J32</f>
        <v>0</v>
      </c>
      <c r="K32" s="248"/>
      <c r="L32" s="250"/>
      <c r="M32" s="124">
        <f>+K32+'5'!M32+L32</f>
        <v>0</v>
      </c>
      <c r="N32" s="156" t="s">
        <v>495</v>
      </c>
      <c r="O32" s="156">
        <v>810</v>
      </c>
      <c r="P32" s="156">
        <f>+O32-(O32*0.18)</f>
        <v>664.2</v>
      </c>
      <c r="Q32" s="156">
        <v>480</v>
      </c>
      <c r="R32" s="156">
        <f t="shared" ref="R32" si="12">+O32*Q32</f>
        <v>388800</v>
      </c>
      <c r="S32" s="156">
        <f t="shared" ref="S32" si="13">+P32*Q32</f>
        <v>318816</v>
      </c>
      <c r="U32" s="156" t="s">
        <v>495</v>
      </c>
      <c r="V32" s="156">
        <v>810</v>
      </c>
      <c r="W32" s="156">
        <v>664.2</v>
      </c>
      <c r="X32" s="156">
        <v>480</v>
      </c>
      <c r="Y32" s="156">
        <f t="shared" si="10"/>
        <v>388800</v>
      </c>
      <c r="Z32" s="156">
        <f t="shared" si="11"/>
        <v>318816</v>
      </c>
    </row>
    <row r="33" spans="1:26" ht="13.5" thickBot="1">
      <c r="A33" s="180"/>
      <c r="B33" s="181"/>
      <c r="C33" s="110">
        <f>C32/($C$32+$D$32+$E$32)</f>
        <v>1</v>
      </c>
      <c r="D33" s="111">
        <f>D32/($C$32+$D$32+$E$32)</f>
        <v>0</v>
      </c>
      <c r="E33" s="112">
        <f>E32/($C$32+$D$32+$E$32)</f>
        <v>0</v>
      </c>
      <c r="F33" s="113"/>
      <c r="G33" s="182"/>
      <c r="H33" s="183"/>
      <c r="I33" s="184"/>
      <c r="J33" s="128"/>
      <c r="K33" s="129"/>
      <c r="L33" s="220"/>
      <c r="M33" s="126"/>
    </row>
    <row r="34" spans="1:26" ht="13.5" thickBot="1">
      <c r="A34" s="808" t="s">
        <v>70</v>
      </c>
      <c r="B34" s="809"/>
      <c r="C34" s="114">
        <f>C14+C23+C32</f>
        <v>13915</v>
      </c>
      <c r="D34" s="114">
        <f>D14+D23+D32</f>
        <v>0</v>
      </c>
      <c r="E34" s="114">
        <f>E14+E23+E32</f>
        <v>0</v>
      </c>
      <c r="F34" s="115">
        <f>F14+F23+F32</f>
        <v>912</v>
      </c>
      <c r="H34" s="185"/>
      <c r="I34" s="185"/>
      <c r="J34" s="130" t="s">
        <v>29</v>
      </c>
      <c r="K34" s="131">
        <f>SUM(K7:K32)</f>
        <v>13915</v>
      </c>
      <c r="L34" s="219">
        <f>SUM(L7:L32)</f>
        <v>0</v>
      </c>
      <c r="M34" s="127">
        <f>SUM(M7:M32)</f>
        <v>243966</v>
      </c>
    </row>
    <row r="35" spans="1:26" ht="13.5" thickBot="1">
      <c r="A35" s="186"/>
      <c r="B35" s="187"/>
      <c r="C35" s="111">
        <f>C34/($C$34+$D$34+$E$34)</f>
        <v>1</v>
      </c>
      <c r="D35" s="111">
        <f>D34/($C$34+$D$34+$E$34)</f>
        <v>0</v>
      </c>
      <c r="E35" s="116">
        <f>E34/($C$34+$D$34+$E$34)</f>
        <v>0</v>
      </c>
      <c r="K35" s="162"/>
      <c r="L35" s="799" t="s">
        <v>184</v>
      </c>
      <c r="M35" s="799"/>
    </row>
    <row r="36" spans="1:26" ht="13.5" thickBot="1">
      <c r="A36" s="185"/>
      <c r="B36" s="185"/>
      <c r="C36" s="162"/>
      <c r="D36" s="162"/>
      <c r="E36" s="162"/>
      <c r="G36" s="162"/>
      <c r="H36" s="188"/>
      <c r="I36" s="169" t="s">
        <v>41</v>
      </c>
      <c r="J36" s="169" t="s">
        <v>42</v>
      </c>
      <c r="K36" s="189"/>
      <c r="L36" s="169" t="s">
        <v>41</v>
      </c>
      <c r="M36" s="169" t="s">
        <v>42</v>
      </c>
    </row>
    <row r="37" spans="1:26" ht="17.45" customHeight="1" thickBot="1">
      <c r="A37" s="797" t="s">
        <v>71</v>
      </c>
      <c r="B37" s="798"/>
      <c r="C37" s="169" t="s">
        <v>72</v>
      </c>
      <c r="D37" s="190" t="s">
        <v>73</v>
      </c>
      <c r="E37" s="191" t="s">
        <v>74</v>
      </c>
      <c r="F37" s="368"/>
      <c r="G37" s="370"/>
      <c r="H37" s="193" t="s">
        <v>75</v>
      </c>
      <c r="I37" s="251">
        <f>(3*14.5+53*29+17*510)/566*G42*2.75*566/1000000</f>
        <v>18.155697371775616</v>
      </c>
      <c r="J37" s="132">
        <f>+I37+'5'!J37</f>
        <v>266.1217235905076</v>
      </c>
      <c r="K37" s="133" t="s">
        <v>76</v>
      </c>
      <c r="L37" s="429"/>
      <c r="M37" s="430"/>
    </row>
    <row r="38" spans="1:26" ht="17.45" customHeight="1">
      <c r="A38" s="793" t="s">
        <v>13</v>
      </c>
      <c r="B38" s="794"/>
      <c r="C38" s="171">
        <f>SUMIF($G$7:$G$31,"Process",$F$7:$F$31)</f>
        <v>33</v>
      </c>
      <c r="D38" s="125">
        <f>+C38+'5'!D38</f>
        <v>382</v>
      </c>
      <c r="E38" s="150">
        <f t="shared" ref="E38:E51" si="14">D38/60</f>
        <v>6.3666666666666663</v>
      </c>
      <c r="F38" s="368">
        <v>1140</v>
      </c>
      <c r="G38" s="368">
        <v>934.79999999999984</v>
      </c>
      <c r="H38" s="194" t="s">
        <v>77</v>
      </c>
      <c r="I38" s="551">
        <f>1.408+13.256</f>
        <v>14.664</v>
      </c>
      <c r="J38" s="134">
        <f>+I38+'5'!J38</f>
        <v>249.65299999999999</v>
      </c>
      <c r="K38" s="135" t="s">
        <v>76</v>
      </c>
      <c r="L38" s="431"/>
      <c r="M38" s="432"/>
    </row>
    <row r="39" spans="1:26" ht="17.45" customHeight="1">
      <c r="A39" s="789" t="s">
        <v>14</v>
      </c>
      <c r="B39" s="790"/>
      <c r="C39" s="171">
        <f>SUMIF($G$7:$G$31,"Cleaning",$F$7:$F$31)</f>
        <v>5</v>
      </c>
      <c r="D39" s="125">
        <f>+C39+'5'!D39</f>
        <v>42</v>
      </c>
      <c r="E39" s="150">
        <f t="shared" si="14"/>
        <v>0.7</v>
      </c>
      <c r="F39" s="368">
        <v>608.43373493975901</v>
      </c>
      <c r="G39" s="368">
        <v>517.16867469879514</v>
      </c>
      <c r="H39" s="194" t="s">
        <v>78</v>
      </c>
      <c r="I39" s="149"/>
      <c r="J39" s="136">
        <f>J37/G4</f>
        <v>44.353620598417933</v>
      </c>
      <c r="K39" s="137" t="s">
        <v>76</v>
      </c>
      <c r="L39" s="431"/>
      <c r="M39" s="432"/>
    </row>
    <row r="40" spans="1:26" ht="17.45" customHeight="1">
      <c r="A40" s="789" t="s">
        <v>79</v>
      </c>
      <c r="B40" s="790"/>
      <c r="C40" s="171">
        <f>SUMIF($G$7:$G$31,"Mechanical",$F$7:$F$31)</f>
        <v>0</v>
      </c>
      <c r="D40" s="125">
        <f>+C40+'5'!D40</f>
        <v>22</v>
      </c>
      <c r="E40" s="150">
        <f t="shared" si="14"/>
        <v>0.36666666666666664</v>
      </c>
      <c r="F40" s="368">
        <v>810</v>
      </c>
      <c r="G40" s="368">
        <v>664.2</v>
      </c>
      <c r="H40" s="194" t="s">
        <v>80</v>
      </c>
      <c r="I40" s="125">
        <f>(K34+L34)/1000</f>
        <v>13.914999999999999</v>
      </c>
      <c r="J40" s="138">
        <f>+I40+'5'!J40</f>
        <v>243.96599999999998</v>
      </c>
      <c r="K40" s="137" t="s">
        <v>76</v>
      </c>
      <c r="L40" s="431"/>
      <c r="M40" s="432"/>
    </row>
    <row r="41" spans="1:26" ht="17.45" customHeight="1">
      <c r="A41" s="789" t="s">
        <v>81</v>
      </c>
      <c r="B41" s="790"/>
      <c r="C41" s="171">
        <f>SUMIF($G$7:$G$31,"Electrical",$F$7:$F$31)</f>
        <v>0</v>
      </c>
      <c r="D41" s="125">
        <f>+C41+'5'!D41</f>
        <v>262</v>
      </c>
      <c r="E41" s="150">
        <f t="shared" si="14"/>
        <v>4.3666666666666663</v>
      </c>
      <c r="F41" s="368"/>
      <c r="G41" s="368"/>
      <c r="H41" s="194" t="s">
        <v>82</v>
      </c>
      <c r="I41" s="149"/>
      <c r="J41" s="136">
        <f>J40/G4</f>
        <v>40.660999999999994</v>
      </c>
      <c r="K41" s="137" t="s">
        <v>76</v>
      </c>
      <c r="L41" s="431"/>
      <c r="M41" s="432"/>
      <c r="X41" s="183">
        <f>SUM(X31:X39)</f>
        <v>510</v>
      </c>
      <c r="Y41" s="183">
        <f>SUM(Y31:Y39)</f>
        <v>412800</v>
      </c>
      <c r="Z41" s="183">
        <f>SUM(Z31:Z39)</f>
        <v>339216</v>
      </c>
    </row>
    <row r="42" spans="1:26" ht="17.45" customHeight="1">
      <c r="A42" s="789" t="s">
        <v>17</v>
      </c>
      <c r="B42" s="790"/>
      <c r="C42" s="171">
        <f>SUMIF($G$7:$G$31,"Instrument",$F$7:$F$31)</f>
        <v>0</v>
      </c>
      <c r="D42" s="125">
        <f>+C42+'5'!D42</f>
        <v>0</v>
      </c>
      <c r="E42" s="150">
        <f t="shared" si="14"/>
        <v>0</v>
      </c>
      <c r="F42" s="368">
        <f>+(3*F38+83*F39+480*F40)/566</f>
        <v>782.19081272084804</v>
      </c>
      <c r="G42" s="368">
        <f>+(3*G38+83*G39+480*G40)/566</f>
        <v>644.07314487632516</v>
      </c>
      <c r="H42" s="194" t="s">
        <v>83</v>
      </c>
      <c r="I42" s="253" t="s">
        <v>499</v>
      </c>
      <c r="J42" s="139"/>
      <c r="K42" s="137" t="s">
        <v>84</v>
      </c>
      <c r="L42" s="431"/>
      <c r="M42" s="432"/>
      <c r="Q42" s="183">
        <f>SUM(Q32:Q40)</f>
        <v>480</v>
      </c>
      <c r="R42" s="183">
        <f>SUM(R32:R40)</f>
        <v>388800</v>
      </c>
      <c r="S42" s="183">
        <f>SUM(S32:S40)</f>
        <v>318816</v>
      </c>
      <c r="X42" s="156">
        <f>480-X41</f>
        <v>-30</v>
      </c>
      <c r="Y42" s="183">
        <f>+Y41/X41</f>
        <v>809.41176470588232</v>
      </c>
      <c r="Z42" s="183">
        <f>+Z41/X41</f>
        <v>665.12941176470588</v>
      </c>
    </row>
    <row r="43" spans="1:26" ht="17.45" customHeight="1">
      <c r="A43" s="789" t="s">
        <v>85</v>
      </c>
      <c r="B43" s="790"/>
      <c r="C43" s="171">
        <f>SUMIF($G$7:$G$31,"Water",$F$7:$F$31)</f>
        <v>0</v>
      </c>
      <c r="D43" s="125">
        <f>+C43+'5'!D43</f>
        <v>0</v>
      </c>
      <c r="E43" s="150">
        <f t="shared" si="14"/>
        <v>0</v>
      </c>
      <c r="F43" s="368"/>
      <c r="G43" s="369"/>
      <c r="H43" s="195" t="s">
        <v>86</v>
      </c>
      <c r="I43" s="125">
        <f>+Report1!AH14</f>
        <v>31</v>
      </c>
      <c r="J43" s="140">
        <f>+I43+'5'!J43</f>
        <v>355.8</v>
      </c>
      <c r="K43" s="137" t="s">
        <v>76</v>
      </c>
      <c r="L43" s="433">
        <f>+Report1!AN14</f>
        <v>0</v>
      </c>
      <c r="M43" s="434">
        <f>+L43+'5'!M43</f>
        <v>9</v>
      </c>
      <c r="Q43" s="156">
        <f>480-Q42</f>
        <v>0</v>
      </c>
      <c r="R43" s="183">
        <f>+R42/Q42</f>
        <v>810</v>
      </c>
      <c r="S43" s="183">
        <f>+S42/Q42</f>
        <v>664.2</v>
      </c>
    </row>
    <row r="44" spans="1:26" ht="17.45" customHeight="1">
      <c r="A44" s="789" t="s">
        <v>18</v>
      </c>
      <c r="B44" s="790"/>
      <c r="C44" s="171">
        <f>SUMIF($G$7:$G$31,"PLN",$F$7:$F$31)</f>
        <v>0</v>
      </c>
      <c r="D44" s="125">
        <f>+C44+'5'!D44</f>
        <v>0</v>
      </c>
      <c r="E44" s="150">
        <f t="shared" si="14"/>
        <v>0</v>
      </c>
      <c r="F44" s="368"/>
      <c r="G44" s="369"/>
      <c r="H44" s="195" t="s">
        <v>87</v>
      </c>
      <c r="I44" s="125">
        <f>I43/I38</f>
        <v>2.1140207310420078</v>
      </c>
      <c r="J44" s="141">
        <f>J43/J38</f>
        <v>1.4251781472684086</v>
      </c>
      <c r="K44" s="137" t="s">
        <v>76</v>
      </c>
      <c r="L44" s="435">
        <f>+L43/I38</f>
        <v>0</v>
      </c>
      <c r="M44" s="436">
        <f>+M43/J38</f>
        <v>3.6050037451983354E-2</v>
      </c>
    </row>
    <row r="45" spans="1:26" ht="17.45" customHeight="1">
      <c r="A45" s="789" t="s">
        <v>19</v>
      </c>
      <c r="B45" s="790"/>
      <c r="C45" s="171">
        <f>SUMIF($G$7:$G$31,"Boiler",$F$7:$F$31)</f>
        <v>0</v>
      </c>
      <c r="D45" s="125">
        <f>+C45+'5'!D45</f>
        <v>0</v>
      </c>
      <c r="E45" s="150">
        <f t="shared" si="14"/>
        <v>0</v>
      </c>
      <c r="F45" s="368"/>
      <c r="G45" s="371"/>
      <c r="H45" s="195" t="s">
        <v>88</v>
      </c>
      <c r="I45" s="125">
        <f>I43/I40</f>
        <v>2.2278117139777218</v>
      </c>
      <c r="J45" s="141">
        <f>J43/J40</f>
        <v>1.4583999409753821</v>
      </c>
      <c r="K45" s="137" t="s">
        <v>76</v>
      </c>
      <c r="L45" s="435">
        <f>+L43/I40</f>
        <v>0</v>
      </c>
      <c r="M45" s="436">
        <f>+M43/J40</f>
        <v>3.6890386365313201E-2</v>
      </c>
      <c r="N45" s="156">
        <v>3</v>
      </c>
      <c r="P45" s="156" t="s">
        <v>451</v>
      </c>
      <c r="Q45" s="156">
        <v>1140</v>
      </c>
      <c r="R45" s="156">
        <v>934.8</v>
      </c>
      <c r="S45" s="156">
        <v>3</v>
      </c>
    </row>
    <row r="46" spans="1:26" ht="17.45" customHeight="1">
      <c r="A46" s="789" t="s">
        <v>89</v>
      </c>
      <c r="B46" s="790"/>
      <c r="C46" s="171">
        <f>SUMIF($G$7:$G$31,"Gas",$F$7:$F$31)</f>
        <v>0</v>
      </c>
      <c r="D46" s="125">
        <f>+C46+'5'!D46</f>
        <v>0</v>
      </c>
      <c r="E46" s="150">
        <f t="shared" si="14"/>
        <v>0</v>
      </c>
      <c r="F46" s="368"/>
      <c r="G46" s="369"/>
      <c r="H46" s="195" t="s">
        <v>90</v>
      </c>
      <c r="I46" s="147">
        <f>+SUMIF(Listrik!P13,"&gt;0")</f>
        <v>22668.379999999925</v>
      </c>
      <c r="J46" s="142">
        <f>+I46+'5'!J46</f>
        <v>228041.80000000002</v>
      </c>
      <c r="K46" s="137" t="s">
        <v>91</v>
      </c>
      <c r="L46" s="435">
        <f>+Listrik!AF13</f>
        <v>0</v>
      </c>
      <c r="M46" s="437">
        <f>+L46+'5'!M46</f>
        <v>0</v>
      </c>
      <c r="N46" s="156">
        <v>83</v>
      </c>
      <c r="P46" s="156" t="s">
        <v>493</v>
      </c>
      <c r="Q46" s="156">
        <v>500</v>
      </c>
      <c r="R46" s="156">
        <v>425</v>
      </c>
      <c r="S46" s="156">
        <v>53</v>
      </c>
    </row>
    <row r="47" spans="1:26" ht="17.45" customHeight="1">
      <c r="A47" s="789" t="s">
        <v>92</v>
      </c>
      <c r="B47" s="790"/>
      <c r="C47" s="171">
        <f>SUMIF($G$7:$G$31,"Gas",$F$7:$F$31)</f>
        <v>0</v>
      </c>
      <c r="D47" s="125">
        <f>+C47+'5'!D47</f>
        <v>0</v>
      </c>
      <c r="E47" s="150">
        <f t="shared" si="14"/>
        <v>0</v>
      </c>
      <c r="F47" s="368"/>
      <c r="G47" s="369"/>
      <c r="H47" s="195" t="s">
        <v>93</v>
      </c>
      <c r="I47" s="125">
        <f>I46/I38</f>
        <v>1545.8524277141248</v>
      </c>
      <c r="J47" s="142">
        <f>J46/J38</f>
        <v>913.43504784641095</v>
      </c>
      <c r="K47" s="137" t="s">
        <v>25</v>
      </c>
      <c r="L47" s="435">
        <f>+L46/I38</f>
        <v>0</v>
      </c>
      <c r="M47" s="436">
        <f>+M46/J38</f>
        <v>0</v>
      </c>
      <c r="N47" s="156">
        <v>480</v>
      </c>
      <c r="P47" s="156" t="s">
        <v>495</v>
      </c>
      <c r="Q47" s="156">
        <v>809.41176470588232</v>
      </c>
      <c r="R47" s="156">
        <v>665.12941176470588</v>
      </c>
      <c r="S47" s="156">
        <v>510</v>
      </c>
    </row>
    <row r="48" spans="1:26" ht="17.45" customHeight="1">
      <c r="A48" s="789" t="s">
        <v>15</v>
      </c>
      <c r="B48" s="790"/>
      <c r="C48" s="171">
        <f>SUMIF($G$7:$G$31,"Start Up",$F$7:$F$31)</f>
        <v>0</v>
      </c>
      <c r="D48" s="125">
        <f>+C48+'5'!D48</f>
        <v>0</v>
      </c>
      <c r="E48" s="150">
        <f t="shared" si="14"/>
        <v>0</v>
      </c>
      <c r="F48" s="368"/>
      <c r="G48" s="369"/>
      <c r="H48" s="195" t="s">
        <v>94</v>
      </c>
      <c r="I48" s="125">
        <f>I46/I40</f>
        <v>1629.0607258354241</v>
      </c>
      <c r="J48" s="142">
        <f>J46/J40</f>
        <v>934.72778993794236</v>
      </c>
      <c r="K48" s="137" t="s">
        <v>25</v>
      </c>
      <c r="L48" s="435">
        <f>+L46/I38</f>
        <v>0</v>
      </c>
      <c r="M48" s="436">
        <f>+M46/J40</f>
        <v>0</v>
      </c>
      <c r="N48" s="156">
        <f>+N45+N46+N47</f>
        <v>566</v>
      </c>
      <c r="S48" s="156">
        <f>+S45+S46+S47</f>
        <v>566</v>
      </c>
    </row>
    <row r="49" spans="1:13" ht="17.45" customHeight="1">
      <c r="A49" s="789" t="s">
        <v>21</v>
      </c>
      <c r="B49" s="790"/>
      <c r="C49" s="171">
        <f>SUMIF($G$7:$G$31,"Others",$F$7:$F$31)</f>
        <v>480</v>
      </c>
      <c r="D49" s="125">
        <f>+C49+'5'!D49</f>
        <v>480</v>
      </c>
      <c r="E49" s="150">
        <f t="shared" si="14"/>
        <v>8</v>
      </c>
      <c r="F49" s="192"/>
      <c r="H49" s="195" t="s">
        <v>182</v>
      </c>
      <c r="I49" s="125">
        <f>+Report1!AB14</f>
        <v>2262.5317017006114</v>
      </c>
      <c r="J49" s="142">
        <f>+I49+'5'!J49</f>
        <v>22491.160919746173</v>
      </c>
      <c r="K49" s="137" t="s">
        <v>96</v>
      </c>
      <c r="L49" s="431"/>
      <c r="M49" s="432"/>
    </row>
    <row r="50" spans="1:13" ht="17.45" customHeight="1">
      <c r="A50" s="789" t="s">
        <v>20</v>
      </c>
      <c r="B50" s="790"/>
      <c r="C50" s="171">
        <f>SUMIF($G$7:$G$31,"Steam",$F$7:$F$31)</f>
        <v>0</v>
      </c>
      <c r="D50" s="125">
        <f>+C50+'5'!D50</f>
        <v>0</v>
      </c>
      <c r="E50" s="150">
        <f t="shared" si="14"/>
        <v>0</v>
      </c>
      <c r="F50" s="192"/>
      <c r="H50" s="195" t="s">
        <v>97</v>
      </c>
      <c r="I50" s="147">
        <f>I49/I38</f>
        <v>154.29157813015627</v>
      </c>
      <c r="J50" s="140">
        <f>J49/J38</f>
        <v>90.08968816615932</v>
      </c>
      <c r="K50" s="137" t="s">
        <v>96</v>
      </c>
      <c r="L50" s="431"/>
      <c r="M50" s="432"/>
    </row>
    <row r="51" spans="1:13" ht="17.45" customHeight="1" thickBot="1">
      <c r="A51" s="791" t="s">
        <v>98</v>
      </c>
      <c r="B51" s="792"/>
      <c r="C51" s="171">
        <f>SUMIF($G$7:$G$31,"Planned shut",$F$7:$F$31)</f>
        <v>394</v>
      </c>
      <c r="D51" s="125">
        <f>+C51+'5'!D51</f>
        <v>394</v>
      </c>
      <c r="E51" s="150">
        <f t="shared" si="14"/>
        <v>6.5666666666666664</v>
      </c>
      <c r="F51" s="192"/>
      <c r="H51" s="197" t="s">
        <v>99</v>
      </c>
      <c r="I51" s="148">
        <f>I49/I40</f>
        <v>162.59660091272809</v>
      </c>
      <c r="J51" s="143">
        <f>J49/J40</f>
        <v>92.189735125985479</v>
      </c>
      <c r="K51" s="144" t="s">
        <v>96</v>
      </c>
      <c r="L51" s="431"/>
      <c r="M51" s="432"/>
    </row>
    <row r="52" spans="1:13" ht="13.5" thickBot="1">
      <c r="A52" s="793" t="s">
        <v>29</v>
      </c>
      <c r="B52" s="794"/>
      <c r="C52" s="151">
        <f>SUM(C38:C51)</f>
        <v>912</v>
      </c>
      <c r="D52" s="151">
        <f>SUM(D38:D51)</f>
        <v>1582</v>
      </c>
      <c r="E52" s="152">
        <f>SUM(E38:E51)</f>
        <v>26.366666666666664</v>
      </c>
      <c r="F52" s="192"/>
      <c r="H52" s="198"/>
      <c r="I52" s="199"/>
      <c r="J52" s="145"/>
      <c r="K52" s="146"/>
      <c r="L52" s="438"/>
      <c r="M52" s="439"/>
    </row>
    <row r="53" spans="1:13" ht="13.5" thickBot="1">
      <c r="A53" s="795"/>
      <c r="B53" s="796"/>
      <c r="C53" s="153">
        <f>C52/(24*60)</f>
        <v>0.6333333333333333</v>
      </c>
      <c r="D53" s="153">
        <f>D52/(24*60*G4)</f>
        <v>0.18310185185185185</v>
      </c>
      <c r="E53" s="154">
        <f>E52/(G4*24)</f>
        <v>0.18310185185185182</v>
      </c>
      <c r="F53" s="192"/>
    </row>
    <row r="54" spans="1:13">
      <c r="E54" s="200"/>
      <c r="F54" s="192"/>
    </row>
    <row r="55" spans="1:13">
      <c r="E55" s="200"/>
    </row>
    <row r="56" spans="1:13">
      <c r="A56" s="201" t="s">
        <v>100</v>
      </c>
      <c r="B56" s="202"/>
      <c r="C56" s="203"/>
      <c r="D56" s="203"/>
      <c r="E56" s="203"/>
      <c r="F56" s="204"/>
      <c r="G56" s="203"/>
      <c r="H56" s="205"/>
      <c r="I56" s="206" t="s">
        <v>101</v>
      </c>
      <c r="J56" s="207">
        <f>+D34+'5'!J56</f>
        <v>1840</v>
      </c>
      <c r="K56" s="208">
        <f>J56/(J40+J56/1000)/1000</f>
        <v>7.4855780574924948E-3</v>
      </c>
    </row>
    <row r="57" spans="1:13">
      <c r="A57" s="183"/>
      <c r="I57" s="206" t="s">
        <v>102</v>
      </c>
      <c r="J57" s="207">
        <f>+E34+'5'!J57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W61"/>
  <sheetViews>
    <sheetView view="pageBreakPreview" topLeftCell="A28" zoomScale="80" zoomScaleNormal="75" zoomScaleSheetLayoutView="80" workbookViewId="0">
      <selection activeCell="A7" sqref="A7:A32"/>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0.140625" style="156" bestFit="1" customWidth="1"/>
    <col min="11" max="11" width="14" style="156" customWidth="1"/>
    <col min="12" max="12" width="8.28515625" style="156" customWidth="1"/>
    <col min="13" max="13" width="15.5703125" style="156" bestFit="1" customWidth="1"/>
    <col min="14" max="16384" width="9.140625" style="156"/>
  </cols>
  <sheetData>
    <row r="1" spans="1:19" ht="15.75">
      <c r="A1" s="155"/>
    </row>
    <row r="2" spans="1:19" ht="15.75">
      <c r="A2" s="155" t="s">
        <v>183</v>
      </c>
    </row>
    <row r="3" spans="1:19" ht="15">
      <c r="A3" s="157"/>
    </row>
    <row r="4" spans="1:19" ht="20.25">
      <c r="A4" s="158" t="s">
        <v>5</v>
      </c>
      <c r="B4" s="159"/>
      <c r="F4" s="160" t="s">
        <v>30</v>
      </c>
      <c r="G4" s="161">
        <v>5</v>
      </c>
      <c r="H4" s="161" t="str">
        <f>+'1'!H4</f>
        <v>.01.26</v>
      </c>
      <c r="J4" s="156">
        <f>319+407.9+360.7</f>
        <v>1087.5999999999999</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451</v>
      </c>
      <c r="O6" s="156">
        <v>1160</v>
      </c>
      <c r="P6" s="156">
        <f>+O6-(O6*0.18)</f>
        <v>951.2</v>
      </c>
      <c r="Q6" s="156">
        <v>480</v>
      </c>
      <c r="R6" s="156">
        <f t="shared" ref="R6" si="0">+O6*Q6</f>
        <v>556800</v>
      </c>
      <c r="S6" s="156">
        <f t="shared" ref="S6" si="1">+P6*Q6</f>
        <v>456576</v>
      </c>
    </row>
    <row r="7" spans="1:19" ht="13.5" customHeight="1" thickBot="1">
      <c r="A7" s="800" t="s">
        <v>423</v>
      </c>
      <c r="B7" s="222" t="s">
        <v>459</v>
      </c>
      <c r="C7" s="223">
        <v>13507</v>
      </c>
      <c r="D7" s="224"/>
      <c r="E7" s="225"/>
      <c r="F7" s="235"/>
      <c r="G7" s="236" t="s">
        <v>13</v>
      </c>
      <c r="H7" s="237" t="s">
        <v>386</v>
      </c>
      <c r="I7" s="803" t="s">
        <v>471</v>
      </c>
      <c r="J7" s="221" t="str">
        <f>+'4'!J7</f>
        <v>T 13,5 RC HW</v>
      </c>
      <c r="K7" s="245"/>
      <c r="L7" s="249"/>
      <c r="M7" s="124">
        <f>+K7+'4'!M7+L7</f>
        <v>175686</v>
      </c>
    </row>
    <row r="8" spans="1:19" ht="13.5" thickBot="1">
      <c r="A8" s="801"/>
      <c r="B8" s="222"/>
      <c r="C8" s="223"/>
      <c r="D8" s="224"/>
      <c r="E8" s="226"/>
      <c r="F8" s="238">
        <v>5</v>
      </c>
      <c r="G8" s="582" t="s">
        <v>13</v>
      </c>
      <c r="H8" s="237" t="s">
        <v>437</v>
      </c>
      <c r="I8" s="804"/>
      <c r="J8" s="221" t="str">
        <f>+'4'!J8</f>
        <v>T 14,5 RC HW</v>
      </c>
      <c r="K8" s="246">
        <f>+C34</f>
        <v>48495</v>
      </c>
      <c r="L8" s="246"/>
      <c r="M8" s="124">
        <f>+K8+'4'!M8+L8</f>
        <v>54365</v>
      </c>
    </row>
    <row r="9" spans="1:19" ht="13.5" thickBot="1">
      <c r="A9" s="801"/>
      <c r="B9" s="222"/>
      <c r="C9" s="223"/>
      <c r="D9" s="224"/>
      <c r="E9" s="227"/>
      <c r="F9" s="235">
        <v>10</v>
      </c>
      <c r="G9" s="582" t="s">
        <v>13</v>
      </c>
      <c r="H9" s="240" t="s">
        <v>395</v>
      </c>
      <c r="I9" s="804"/>
      <c r="J9" s="221">
        <f>+'4'!J9</f>
        <v>0</v>
      </c>
      <c r="K9" s="246"/>
      <c r="L9" s="246"/>
      <c r="M9" s="124">
        <f>+K9+'4'!M9+L9</f>
        <v>0</v>
      </c>
    </row>
    <row r="10" spans="1:19" ht="26.25" thickBot="1">
      <c r="A10" s="801"/>
      <c r="B10" s="222"/>
      <c r="C10" s="223"/>
      <c r="D10" s="224"/>
      <c r="E10" s="226"/>
      <c r="F10" s="235"/>
      <c r="G10" s="244" t="s">
        <v>14</v>
      </c>
      <c r="H10" s="240" t="s">
        <v>467</v>
      </c>
      <c r="I10" s="804"/>
      <c r="J10" s="221">
        <f>+'4'!J10</f>
        <v>0</v>
      </c>
      <c r="K10" s="246"/>
      <c r="L10" s="246"/>
      <c r="M10" s="124">
        <f>+K10+'4'!M10+L10</f>
        <v>0</v>
      </c>
    </row>
    <row r="11" spans="1:19" ht="13.5" thickBot="1">
      <c r="A11" s="801"/>
      <c r="B11" s="222"/>
      <c r="C11" s="223"/>
      <c r="D11" s="224"/>
      <c r="E11" s="226"/>
      <c r="F11" s="235"/>
      <c r="G11" s="239"/>
      <c r="H11" s="240"/>
      <c r="I11" s="804"/>
      <c r="J11" s="221">
        <f>+'4'!J11</f>
        <v>0</v>
      </c>
      <c r="K11" s="246"/>
      <c r="L11" s="246"/>
      <c r="M11" s="124">
        <f>+K11+'4'!M11+L11</f>
        <v>0</v>
      </c>
    </row>
    <row r="12" spans="1:19" ht="13.5" thickBot="1">
      <c r="A12" s="801"/>
      <c r="B12" s="222"/>
      <c r="C12" s="223"/>
      <c r="D12" s="224"/>
      <c r="E12" s="226"/>
      <c r="F12" s="235"/>
      <c r="G12" s="239"/>
      <c r="H12" s="240"/>
      <c r="I12" s="804"/>
      <c r="J12" s="221">
        <f>+'4'!J12</f>
        <v>0</v>
      </c>
      <c r="K12" s="246"/>
      <c r="L12" s="246"/>
      <c r="M12" s="124">
        <f>+K12+'4'!M12+L12</f>
        <v>0</v>
      </c>
    </row>
    <row r="13" spans="1:19" ht="13.5" thickBot="1">
      <c r="A13" s="801"/>
      <c r="B13" s="222"/>
      <c r="C13" s="223"/>
      <c r="D13" s="223"/>
      <c r="E13" s="226"/>
      <c r="F13" s="235"/>
      <c r="G13" s="582"/>
      <c r="H13" s="240"/>
      <c r="I13" s="805"/>
      <c r="J13" s="221">
        <f>+'4'!J13</f>
        <v>0</v>
      </c>
      <c r="K13" s="246"/>
      <c r="L13" s="246"/>
      <c r="M13" s="124">
        <f>+K13+'4'!M13+L13</f>
        <v>0</v>
      </c>
    </row>
    <row r="14" spans="1:19" ht="13.5" thickBot="1">
      <c r="A14" s="802"/>
      <c r="B14" s="172"/>
      <c r="C14" s="106">
        <f>SUM(C7:C13)</f>
        <v>13507</v>
      </c>
      <c r="D14" s="118">
        <f>SUM(D7:D13)</f>
        <v>0</v>
      </c>
      <c r="E14" s="119">
        <f>SUM(E5:E13)</f>
        <v>0</v>
      </c>
      <c r="F14" s="109">
        <f>SUM(F6:F13)</f>
        <v>15</v>
      </c>
      <c r="G14" s="166"/>
      <c r="H14" s="173"/>
      <c r="I14" s="174"/>
      <c r="J14" s="221">
        <f>+'4'!J14</f>
        <v>0</v>
      </c>
      <c r="K14" s="246"/>
      <c r="L14" s="246"/>
      <c r="M14" s="124">
        <f>+K14+'4'!M14+L14</f>
        <v>0</v>
      </c>
    </row>
    <row r="15" spans="1:19" ht="13.5" customHeight="1" thickBot="1">
      <c r="A15" s="800" t="s">
        <v>425</v>
      </c>
      <c r="B15" s="172"/>
      <c r="C15" s="120">
        <f>C14/($C$23+$D$23+$E$23)</f>
        <v>0.78845368046231978</v>
      </c>
      <c r="D15" s="121">
        <f>D14/($C$23+$D$23+$E$23)</f>
        <v>0</v>
      </c>
      <c r="E15" s="122">
        <f>E14/($C$23+$D$23+$E$23)</f>
        <v>0</v>
      </c>
      <c r="F15" s="235">
        <v>5</v>
      </c>
      <c r="G15" s="236" t="s">
        <v>13</v>
      </c>
      <c r="H15" s="237" t="s">
        <v>394</v>
      </c>
      <c r="I15" s="803" t="s">
        <v>470</v>
      </c>
      <c r="J15" s="221">
        <f>+'4'!J15</f>
        <v>0</v>
      </c>
      <c r="K15" s="246"/>
      <c r="L15" s="246"/>
      <c r="M15" s="124">
        <f>+K15+'4'!M15+L15</f>
        <v>0</v>
      </c>
    </row>
    <row r="16" spans="1:19" ht="13.5" thickBot="1">
      <c r="A16" s="811"/>
      <c r="B16" s="222" t="s">
        <v>459</v>
      </c>
      <c r="C16" s="229">
        <v>17131</v>
      </c>
      <c r="D16" s="230"/>
      <c r="E16" s="231"/>
      <c r="F16" s="238">
        <v>6</v>
      </c>
      <c r="G16" s="582" t="s">
        <v>13</v>
      </c>
      <c r="H16" s="237" t="s">
        <v>415</v>
      </c>
      <c r="I16" s="804"/>
      <c r="J16" s="221">
        <f>+'4'!J16</f>
        <v>0</v>
      </c>
      <c r="K16" s="236"/>
      <c r="L16" s="236"/>
      <c r="M16" s="124">
        <f>+K16+'4'!M16+L16</f>
        <v>0</v>
      </c>
      <c r="Q16" s="183">
        <f>SUM(Q6:Q14)</f>
        <v>480</v>
      </c>
      <c r="R16" s="183">
        <f>SUM(R6:R14)</f>
        <v>556800</v>
      </c>
      <c r="S16" s="183">
        <f>SUM(S6:S14)</f>
        <v>456576</v>
      </c>
    </row>
    <row r="17" spans="1:19" ht="13.5" thickBot="1">
      <c r="A17" s="811"/>
      <c r="B17" s="222"/>
      <c r="C17" s="223"/>
      <c r="D17" s="224"/>
      <c r="E17" s="232"/>
      <c r="F17" s="235">
        <v>5</v>
      </c>
      <c r="G17" s="582" t="s">
        <v>13</v>
      </c>
      <c r="H17" s="240" t="s">
        <v>395</v>
      </c>
      <c r="I17" s="804"/>
      <c r="J17" s="221">
        <f>+'4'!J17</f>
        <v>0</v>
      </c>
      <c r="K17" s="236"/>
      <c r="L17" s="236"/>
      <c r="M17" s="124">
        <f>+K17+'4'!M17+L17</f>
        <v>0</v>
      </c>
      <c r="Q17" s="156">
        <f>480-Q16</f>
        <v>0</v>
      </c>
      <c r="R17" s="183">
        <f>+R16/Q16</f>
        <v>1160</v>
      </c>
      <c r="S17" s="183">
        <f>+S16/Q16</f>
        <v>951.2</v>
      </c>
    </row>
    <row r="18" spans="1:19" ht="26.25" thickBot="1">
      <c r="A18" s="811"/>
      <c r="B18" s="222"/>
      <c r="C18" s="223"/>
      <c r="D18" s="224"/>
      <c r="E18" s="232"/>
      <c r="F18" s="242">
        <v>7</v>
      </c>
      <c r="G18" s="244" t="s">
        <v>14</v>
      </c>
      <c r="H18" s="240" t="s">
        <v>468</v>
      </c>
      <c r="I18" s="804"/>
      <c r="J18" s="221">
        <f>+'4'!J18</f>
        <v>0</v>
      </c>
      <c r="K18" s="246"/>
      <c r="L18" s="246"/>
      <c r="M18" s="124">
        <f>+K18+'4'!M18+L18</f>
        <v>0</v>
      </c>
      <c r="N18" s="156" t="s">
        <v>451</v>
      </c>
      <c r="O18" s="156">
        <v>1150</v>
      </c>
      <c r="P18" s="156">
        <f>+O18-(O18*0.18)</f>
        <v>943</v>
      </c>
      <c r="Q18" s="156">
        <v>480</v>
      </c>
      <c r="R18" s="156">
        <f t="shared" ref="R18" si="2">+O18*Q18</f>
        <v>552000</v>
      </c>
      <c r="S18" s="156">
        <f t="shared" ref="S18" si="3">+P18*Q18</f>
        <v>452640</v>
      </c>
    </row>
    <row r="19" spans="1:19" ht="26.25" thickBot="1">
      <c r="A19" s="811"/>
      <c r="B19" s="222"/>
      <c r="C19" s="223"/>
      <c r="D19" s="224"/>
      <c r="E19" s="232"/>
      <c r="F19" s="235">
        <v>22</v>
      </c>
      <c r="G19" s="239" t="s">
        <v>79</v>
      </c>
      <c r="H19" s="240" t="s">
        <v>466</v>
      </c>
      <c r="I19" s="804"/>
      <c r="J19" s="221">
        <f>+'4'!J19</f>
        <v>0</v>
      </c>
      <c r="K19" s="246"/>
      <c r="L19" s="246"/>
      <c r="M19" s="124">
        <f>+K19+'4'!M19+L19</f>
        <v>0</v>
      </c>
    </row>
    <row r="20" spans="1:19" ht="13.5" thickBot="1">
      <c r="A20" s="811"/>
      <c r="B20" s="222"/>
      <c r="C20" s="223"/>
      <c r="D20" s="224"/>
      <c r="E20" s="232"/>
      <c r="F20" s="235"/>
      <c r="G20" s="239"/>
      <c r="H20" s="240"/>
      <c r="I20" s="804"/>
      <c r="J20" s="221">
        <f>+'4'!J20</f>
        <v>0</v>
      </c>
      <c r="K20" s="247"/>
      <c r="L20" s="247"/>
      <c r="M20" s="124">
        <f>+K20+'4'!M20+L20</f>
        <v>0</v>
      </c>
    </row>
    <row r="21" spans="1:19" ht="13.5" thickBot="1">
      <c r="A21" s="811"/>
      <c r="B21" s="222"/>
      <c r="C21" s="223"/>
      <c r="D21" s="224"/>
      <c r="E21" s="232"/>
      <c r="F21" s="238"/>
      <c r="G21" s="239"/>
      <c r="H21" s="240"/>
      <c r="I21" s="804"/>
      <c r="J21" s="221">
        <f>+'4'!J21</f>
        <v>0</v>
      </c>
      <c r="K21" s="246"/>
      <c r="L21" s="246"/>
      <c r="M21" s="124">
        <f>+K21+'4'!M21+L21</f>
        <v>0</v>
      </c>
    </row>
    <row r="22" spans="1:19" ht="13.5" thickBot="1">
      <c r="A22" s="811"/>
      <c r="B22" s="222"/>
      <c r="C22" s="223"/>
      <c r="D22" s="224"/>
      <c r="E22" s="232"/>
      <c r="F22" s="243"/>
      <c r="G22" s="239"/>
      <c r="H22" s="240"/>
      <c r="I22" s="805"/>
      <c r="J22" s="221">
        <f>+'4'!J22</f>
        <v>0</v>
      </c>
      <c r="K22" s="246"/>
      <c r="L22" s="246"/>
      <c r="M22" s="124">
        <f>+K22+'4'!M22+L22</f>
        <v>0</v>
      </c>
    </row>
    <row r="23" spans="1:19" ht="13.5" thickBot="1">
      <c r="A23" s="812"/>
      <c r="B23" s="172"/>
      <c r="C23" s="107">
        <f>SUM(C16:C22)</f>
        <v>17131</v>
      </c>
      <c r="D23" s="118">
        <f>SUM(D16:D22)</f>
        <v>0</v>
      </c>
      <c r="E23" s="119">
        <f>SUM(E18:E22)</f>
        <v>0</v>
      </c>
      <c r="F23" s="109">
        <f>SUM(F15:F22)</f>
        <v>45</v>
      </c>
      <c r="G23" s="166"/>
      <c r="H23" s="173"/>
      <c r="I23" s="176"/>
      <c r="J23" s="221">
        <f>+'4'!J23</f>
        <v>0</v>
      </c>
      <c r="K23" s="246"/>
      <c r="L23" s="246"/>
      <c r="M23" s="124">
        <f>+K23+'4'!M23+L23</f>
        <v>0</v>
      </c>
    </row>
    <row r="24" spans="1:19" ht="13.5" customHeight="1" thickBot="1">
      <c r="A24" s="800" t="s">
        <v>440</v>
      </c>
      <c r="B24" s="177"/>
      <c r="C24" s="120">
        <f>C23/($C$23+$D$23+$E$23)</f>
        <v>1</v>
      </c>
      <c r="D24" s="121">
        <f>D23/($C$23+$D$23+$E$23)</f>
        <v>0</v>
      </c>
      <c r="E24" s="122">
        <f>E23/($C$23+$D$23+$E$23)</f>
        <v>0</v>
      </c>
      <c r="F24" s="235"/>
      <c r="G24" s="236" t="s">
        <v>13</v>
      </c>
      <c r="H24" s="237" t="s">
        <v>386</v>
      </c>
      <c r="I24" s="803" t="s">
        <v>472</v>
      </c>
      <c r="J24" s="221">
        <f>+'4'!J24</f>
        <v>0</v>
      </c>
      <c r="K24" s="246"/>
      <c r="L24" s="246"/>
      <c r="M24" s="124">
        <f>+K24+'4'!M24+L24</f>
        <v>0</v>
      </c>
    </row>
    <row r="25" spans="1:19" ht="13.5" thickBot="1">
      <c r="A25" s="811"/>
      <c r="B25" s="222" t="s">
        <v>459</v>
      </c>
      <c r="C25" s="233">
        <v>17857</v>
      </c>
      <c r="D25" s="224"/>
      <c r="E25" s="232"/>
      <c r="F25" s="238">
        <v>6</v>
      </c>
      <c r="G25" s="582" t="s">
        <v>13</v>
      </c>
      <c r="H25" s="237" t="s">
        <v>414</v>
      </c>
      <c r="I25" s="804"/>
      <c r="J25" s="221">
        <f>+'4'!J25</f>
        <v>0</v>
      </c>
      <c r="K25" s="246"/>
      <c r="L25" s="246"/>
      <c r="M25" s="124">
        <f>+K25+'4'!M25+L25</f>
        <v>0</v>
      </c>
    </row>
    <row r="26" spans="1:19" ht="13.5" thickBot="1">
      <c r="A26" s="811"/>
      <c r="B26" s="222"/>
      <c r="C26" s="233"/>
      <c r="D26" s="224"/>
      <c r="E26" s="234"/>
      <c r="F26" s="235">
        <v>12</v>
      </c>
      <c r="G26" s="582" t="s">
        <v>13</v>
      </c>
      <c r="H26" s="240" t="s">
        <v>395</v>
      </c>
      <c r="I26" s="804"/>
      <c r="J26" s="221">
        <f>+'4'!J26</f>
        <v>0</v>
      </c>
      <c r="K26" s="246"/>
      <c r="L26" s="246"/>
      <c r="M26" s="124">
        <f>+K26+'4'!M26+L26</f>
        <v>0</v>
      </c>
    </row>
    <row r="27" spans="1:19" ht="26.25" thickBot="1">
      <c r="A27" s="811"/>
      <c r="B27" s="222"/>
      <c r="C27" s="223"/>
      <c r="D27" s="224"/>
      <c r="E27" s="232"/>
      <c r="F27" s="235"/>
      <c r="G27" s="244" t="s">
        <v>14</v>
      </c>
      <c r="H27" s="240" t="s">
        <v>469</v>
      </c>
      <c r="I27" s="804"/>
      <c r="J27" s="221">
        <f>+'4'!J27</f>
        <v>0</v>
      </c>
      <c r="K27" s="246"/>
      <c r="L27" s="246"/>
      <c r="M27" s="124">
        <f>+K27+'4'!M27+L27</f>
        <v>0</v>
      </c>
    </row>
    <row r="28" spans="1:19" ht="26.25" thickBot="1">
      <c r="A28" s="811"/>
      <c r="B28" s="222"/>
      <c r="C28" s="223"/>
      <c r="D28" s="224"/>
      <c r="E28" s="232"/>
      <c r="F28" s="238"/>
      <c r="G28" s="239"/>
      <c r="H28" s="240" t="s">
        <v>465</v>
      </c>
      <c r="I28" s="804"/>
      <c r="J28" s="221">
        <f>+'4'!J28</f>
        <v>0</v>
      </c>
      <c r="K28" s="246"/>
      <c r="L28" s="246"/>
      <c r="M28" s="124">
        <f>+K28+'4'!M28+L28</f>
        <v>0</v>
      </c>
      <c r="Q28" s="183">
        <f>SUM(Q18:Q26)</f>
        <v>480</v>
      </c>
      <c r="R28" s="183">
        <f>SUM(R18:R26)</f>
        <v>552000</v>
      </c>
      <c r="S28" s="183">
        <f>SUM(S18:S26)</f>
        <v>452640</v>
      </c>
    </row>
    <row r="29" spans="1:19" ht="13.5" thickBot="1">
      <c r="A29" s="811"/>
      <c r="B29" s="222"/>
      <c r="C29" s="223"/>
      <c r="D29" s="224"/>
      <c r="E29" s="232"/>
      <c r="F29" s="243"/>
      <c r="G29" s="239"/>
      <c r="H29" s="240"/>
      <c r="I29" s="804"/>
      <c r="J29" s="221">
        <f>+'4'!J29</f>
        <v>0</v>
      </c>
      <c r="K29" s="246"/>
      <c r="L29" s="246"/>
      <c r="M29" s="124">
        <f>+K29+'4'!M29+L29</f>
        <v>0</v>
      </c>
      <c r="Q29" s="156">
        <f>480-Q28</f>
        <v>0</v>
      </c>
      <c r="R29" s="183">
        <f>+R28/Q28</f>
        <v>1150</v>
      </c>
      <c r="S29" s="183">
        <f>+S28/Q28</f>
        <v>943</v>
      </c>
    </row>
    <row r="30" spans="1:19" ht="13.5" thickBot="1">
      <c r="A30" s="811"/>
      <c r="B30" s="222"/>
      <c r="C30" s="233"/>
      <c r="D30" s="224"/>
      <c r="E30" s="232"/>
      <c r="F30" s="243"/>
      <c r="G30" s="239"/>
      <c r="H30" s="240"/>
      <c r="I30" s="804"/>
      <c r="J30" s="221">
        <f>+'4'!J30</f>
        <v>0</v>
      </c>
      <c r="K30" s="246"/>
      <c r="L30" s="246"/>
      <c r="M30" s="124">
        <f>+K30+'4'!M30+L30</f>
        <v>0</v>
      </c>
      <c r="N30" s="156" t="s">
        <v>451</v>
      </c>
      <c r="O30" s="156">
        <f>1140-40</f>
        <v>1100</v>
      </c>
      <c r="P30" s="156">
        <f>+O30-(O30*0.18)</f>
        <v>902</v>
      </c>
      <c r="Q30" s="156">
        <v>480</v>
      </c>
      <c r="R30" s="156">
        <f t="shared" ref="R30" si="4">+O30*Q30</f>
        <v>528000</v>
      </c>
      <c r="S30" s="156">
        <f t="shared" ref="S30" si="5">+P30*Q30</f>
        <v>432960</v>
      </c>
    </row>
    <row r="31" spans="1:19" ht="13.5" thickBot="1">
      <c r="A31" s="811"/>
      <c r="B31" s="222"/>
      <c r="C31" s="233"/>
      <c r="D31" s="224"/>
      <c r="E31" s="232"/>
      <c r="F31" s="243"/>
      <c r="G31" s="244"/>
      <c r="H31" s="241"/>
      <c r="I31" s="805"/>
      <c r="J31" s="221">
        <f>+'4'!J31</f>
        <v>0</v>
      </c>
      <c r="K31" s="246"/>
      <c r="L31" s="246"/>
      <c r="M31" s="124">
        <f>+K31+'4'!M31+L31</f>
        <v>0</v>
      </c>
    </row>
    <row r="32" spans="1:19" ht="13.5" thickBot="1">
      <c r="A32" s="812"/>
      <c r="B32" s="172"/>
      <c r="C32" s="106">
        <f>SUM(C25:C31)</f>
        <v>17857</v>
      </c>
      <c r="D32" s="107">
        <f>SUM(D25:D31)</f>
        <v>0</v>
      </c>
      <c r="E32" s="108">
        <f>SUM(E25:E31)</f>
        <v>0</v>
      </c>
      <c r="F32" s="109">
        <f>SUM(F24:F31)</f>
        <v>18</v>
      </c>
      <c r="G32" s="178"/>
      <c r="H32" s="179"/>
      <c r="I32" s="176"/>
      <c r="J32" s="221">
        <f>+'4'!J32</f>
        <v>0</v>
      </c>
      <c r="K32" s="248"/>
      <c r="L32" s="250"/>
      <c r="M32" s="124">
        <f>+K32+'4'!M32+L32</f>
        <v>0</v>
      </c>
    </row>
    <row r="33" spans="1:23" ht="13.5" thickBot="1">
      <c r="A33" s="180"/>
      <c r="B33" s="181"/>
      <c r="C33" s="110">
        <f>C32/($C$32+$D$32+$E$32)</f>
        <v>1</v>
      </c>
      <c r="D33" s="111">
        <f>D32/($C$32+$D$32+$E$32)</f>
        <v>0</v>
      </c>
      <c r="E33" s="112">
        <f>E32/($C$32+$D$32+$E$32)</f>
        <v>0</v>
      </c>
      <c r="F33" s="113"/>
      <c r="G33" s="182"/>
      <c r="H33" s="183"/>
      <c r="I33" s="184"/>
      <c r="J33" s="128"/>
      <c r="K33" s="129"/>
      <c r="L33" s="220"/>
      <c r="M33" s="126"/>
    </row>
    <row r="34" spans="1:23" ht="13.5" thickBot="1">
      <c r="A34" s="808" t="s">
        <v>70</v>
      </c>
      <c r="B34" s="809"/>
      <c r="C34" s="114">
        <f>C14+C23+C32</f>
        <v>48495</v>
      </c>
      <c r="D34" s="114">
        <f>D14+D23+D32</f>
        <v>0</v>
      </c>
      <c r="E34" s="114">
        <f>E14+E23+E32</f>
        <v>0</v>
      </c>
      <c r="F34" s="115">
        <f>F14+F23+F32</f>
        <v>78</v>
      </c>
      <c r="H34" s="185"/>
      <c r="I34" s="185"/>
      <c r="J34" s="130" t="s">
        <v>29</v>
      </c>
      <c r="K34" s="131">
        <f>SUM(K7:K32)</f>
        <v>48495</v>
      </c>
      <c r="L34" s="219">
        <f>SUM(L7:L32)</f>
        <v>0</v>
      </c>
      <c r="M34" s="127">
        <f>SUM(M7:M32)</f>
        <v>230051</v>
      </c>
    </row>
    <row r="35" spans="1:23" ht="13.5" thickBot="1">
      <c r="A35" s="186"/>
      <c r="B35" s="187"/>
      <c r="C35" s="111">
        <f>C34/($C$34+$D$34+$E$34)</f>
        <v>1</v>
      </c>
      <c r="D35" s="111">
        <f>D34/($C$34+$D$34+$E$34)</f>
        <v>0</v>
      </c>
      <c r="E35" s="116">
        <f>E34/($C$34+$D$34+$E$34)</f>
        <v>0</v>
      </c>
      <c r="K35" s="162"/>
      <c r="L35" s="799" t="s">
        <v>184</v>
      </c>
      <c r="M35" s="799"/>
    </row>
    <row r="36" spans="1:23" ht="13.5" thickBot="1">
      <c r="A36" s="185"/>
      <c r="B36" s="185"/>
      <c r="C36" s="162"/>
      <c r="D36" s="162"/>
      <c r="E36" s="162"/>
      <c r="G36" s="162"/>
      <c r="H36" s="188"/>
      <c r="I36" s="169" t="s">
        <v>41</v>
      </c>
      <c r="J36" s="169" t="s">
        <v>42</v>
      </c>
      <c r="K36" s="189"/>
      <c r="L36" s="169" t="s">
        <v>41</v>
      </c>
      <c r="M36" s="169" t="s">
        <v>42</v>
      </c>
    </row>
    <row r="37" spans="1:23" ht="17.45" customHeight="1" thickBot="1">
      <c r="A37" s="797" t="s">
        <v>71</v>
      </c>
      <c r="B37" s="798"/>
      <c r="C37" s="169" t="s">
        <v>72</v>
      </c>
      <c r="D37" s="190" t="s">
        <v>73</v>
      </c>
      <c r="E37" s="191" t="s">
        <v>74</v>
      </c>
      <c r="F37" s="368"/>
      <c r="G37" s="370"/>
      <c r="H37" s="193" t="s">
        <v>75</v>
      </c>
      <c r="I37" s="251">
        <f>(14.5*1440)/1440*G42*2.75*1440/1000000</f>
        <v>53.519267999999997</v>
      </c>
      <c r="J37" s="132">
        <f>+I37+'4'!J37</f>
        <v>247.966026218732</v>
      </c>
      <c r="K37" s="133" t="s">
        <v>76</v>
      </c>
      <c r="L37" s="429"/>
      <c r="M37" s="430"/>
    </row>
    <row r="38" spans="1:23" ht="17.45" customHeight="1">
      <c r="A38" s="793" t="s">
        <v>13</v>
      </c>
      <c r="B38" s="794"/>
      <c r="C38" s="171">
        <f>SUMIF($G$7:$G$31,"Process",$F$7:$F$31)</f>
        <v>49</v>
      </c>
      <c r="D38" s="125">
        <f>+C38+'4'!D38</f>
        <v>349</v>
      </c>
      <c r="E38" s="150">
        <f t="shared" ref="E38:E51" si="6">D38/60</f>
        <v>5.8166666666666664</v>
      </c>
      <c r="F38" s="368">
        <v>1160</v>
      </c>
      <c r="G38" s="368">
        <v>951.2</v>
      </c>
      <c r="H38" s="194" t="s">
        <v>77</v>
      </c>
      <c r="I38" s="551">
        <f>18.604+16.498+15.924</f>
        <v>51.026000000000003</v>
      </c>
      <c r="J38" s="134">
        <f>+I38+'4'!J38</f>
        <v>234.989</v>
      </c>
      <c r="K38" s="135" t="s">
        <v>76</v>
      </c>
      <c r="L38" s="431"/>
      <c r="M38" s="432"/>
    </row>
    <row r="39" spans="1:23" ht="17.45" customHeight="1">
      <c r="A39" s="789" t="s">
        <v>14</v>
      </c>
      <c r="B39" s="790"/>
      <c r="C39" s="171">
        <f>SUMIF($G$7:$G$31,"Cleaning",$F$7:$F$31)</f>
        <v>7</v>
      </c>
      <c r="D39" s="125">
        <f>+C39+'4'!D39</f>
        <v>37</v>
      </c>
      <c r="E39" s="150">
        <f t="shared" si="6"/>
        <v>0.6166666666666667</v>
      </c>
      <c r="F39" s="368">
        <v>1150</v>
      </c>
      <c r="G39" s="368">
        <v>943</v>
      </c>
      <c r="H39" s="194" t="s">
        <v>78</v>
      </c>
      <c r="I39" s="149"/>
      <c r="J39" s="136">
        <f>J37/G4</f>
        <v>49.593205243746397</v>
      </c>
      <c r="K39" s="137" t="s">
        <v>76</v>
      </c>
      <c r="L39" s="431"/>
      <c r="M39" s="432"/>
    </row>
    <row r="40" spans="1:23" ht="17.45" customHeight="1">
      <c r="A40" s="789" t="s">
        <v>79</v>
      </c>
      <c r="B40" s="790"/>
      <c r="C40" s="171">
        <f>SUMIF($G$7:$G$31,"Mechanical",$F$7:$F$31)</f>
        <v>22</v>
      </c>
      <c r="D40" s="125">
        <f>+C40+'4'!D40</f>
        <v>22</v>
      </c>
      <c r="E40" s="150">
        <f t="shared" si="6"/>
        <v>0.36666666666666664</v>
      </c>
      <c r="F40" s="368">
        <v>1100</v>
      </c>
      <c r="G40" s="368">
        <v>902</v>
      </c>
      <c r="H40" s="194" t="s">
        <v>80</v>
      </c>
      <c r="I40" s="125">
        <f>(K34+L34)/1000</f>
        <v>48.494999999999997</v>
      </c>
      <c r="J40" s="138">
        <f>+I40+'4'!J40</f>
        <v>230.05099999999999</v>
      </c>
      <c r="K40" s="137" t="s">
        <v>76</v>
      </c>
      <c r="L40" s="431"/>
      <c r="M40" s="432"/>
      <c r="Q40" s="183">
        <f>SUM(Q30:Q38)</f>
        <v>480</v>
      </c>
      <c r="R40" s="183">
        <f>SUM(R30:R38)</f>
        <v>528000</v>
      </c>
      <c r="S40" s="183">
        <f>SUM(S30:S38)</f>
        <v>432960</v>
      </c>
    </row>
    <row r="41" spans="1:23" ht="17.45" customHeight="1">
      <c r="A41" s="789" t="s">
        <v>81</v>
      </c>
      <c r="B41" s="790"/>
      <c r="C41" s="171">
        <f>SUMIF($G$7:$G$31,"Electrical",$F$7:$F$31)</f>
        <v>0</v>
      </c>
      <c r="D41" s="125">
        <f>+C41+'4'!D41</f>
        <v>262</v>
      </c>
      <c r="E41" s="150">
        <f t="shared" si="6"/>
        <v>4.3666666666666663</v>
      </c>
      <c r="F41" s="368"/>
      <c r="G41" s="368"/>
      <c r="H41" s="194" t="s">
        <v>82</v>
      </c>
      <c r="I41" s="149"/>
      <c r="J41" s="136">
        <f>J40/G4</f>
        <v>46.010199999999998</v>
      </c>
      <c r="K41" s="137" t="s">
        <v>76</v>
      </c>
      <c r="L41" s="431"/>
      <c r="M41" s="432"/>
      <c r="Q41" s="156">
        <f>480-Q40</f>
        <v>0</v>
      </c>
      <c r="R41" s="183">
        <f>+R40/Q40</f>
        <v>1100</v>
      </c>
      <c r="S41" s="183">
        <f>+S40/Q40</f>
        <v>902</v>
      </c>
    </row>
    <row r="42" spans="1:23" ht="17.45" customHeight="1">
      <c r="A42" s="789" t="s">
        <v>17</v>
      </c>
      <c r="B42" s="790"/>
      <c r="C42" s="171">
        <f>SUMIF($G$7:$G$31,"Instrument",$F$7:$F$31)</f>
        <v>0</v>
      </c>
      <c r="D42" s="125">
        <f>+C42+'4'!D42</f>
        <v>0</v>
      </c>
      <c r="E42" s="150">
        <f t="shared" si="6"/>
        <v>0</v>
      </c>
      <c r="F42" s="368">
        <f>+(480*F38+480*F39+480*F40)/1440</f>
        <v>1136.6666666666667</v>
      </c>
      <c r="G42" s="368">
        <f>+(480*G38+480*G39+480*G40)/1440</f>
        <v>932.06666666666672</v>
      </c>
      <c r="H42" s="194" t="s">
        <v>83</v>
      </c>
      <c r="I42" s="253" t="s">
        <v>473</v>
      </c>
      <c r="J42" s="139"/>
      <c r="K42" s="137" t="s">
        <v>84</v>
      </c>
      <c r="L42" s="431"/>
      <c r="M42" s="432"/>
    </row>
    <row r="43" spans="1:23" ht="17.45" customHeight="1" thickBot="1">
      <c r="A43" s="789" t="s">
        <v>85</v>
      </c>
      <c r="B43" s="790"/>
      <c r="C43" s="171">
        <f>SUMIF($G$7:$G$31,"Water",$F$7:$F$31)</f>
        <v>0</v>
      </c>
      <c r="D43" s="125">
        <f>+C43+'4'!D43</f>
        <v>0</v>
      </c>
      <c r="E43" s="150">
        <f t="shared" si="6"/>
        <v>0</v>
      </c>
      <c r="F43" s="368"/>
      <c r="G43" s="369"/>
      <c r="H43" s="195" t="s">
        <v>86</v>
      </c>
      <c r="I43" s="125">
        <f>+Report1!AH13</f>
        <v>68.2</v>
      </c>
      <c r="J43" s="140">
        <f>+I43+'4'!J43</f>
        <v>324.8</v>
      </c>
      <c r="K43" s="137" t="s">
        <v>76</v>
      </c>
      <c r="L43" s="433">
        <f>+Report1!AN13</f>
        <v>0</v>
      </c>
      <c r="M43" s="434">
        <f>+L43+'4'!M43</f>
        <v>9</v>
      </c>
    </row>
    <row r="44" spans="1:23" ht="17.45" customHeight="1" thickBot="1">
      <c r="A44" s="789" t="s">
        <v>18</v>
      </c>
      <c r="B44" s="790"/>
      <c r="C44" s="171">
        <f>SUMIF($G$7:$G$31,"PLN",$F$7:$F$31)</f>
        <v>0</v>
      </c>
      <c r="D44" s="125">
        <f>+C44+'4'!D44</f>
        <v>0</v>
      </c>
      <c r="E44" s="150">
        <f t="shared" si="6"/>
        <v>0</v>
      </c>
      <c r="F44" s="368"/>
      <c r="G44" s="369"/>
      <c r="H44" s="195" t="s">
        <v>87</v>
      </c>
      <c r="I44" s="125">
        <f>I43/I38</f>
        <v>1.3365735115431348</v>
      </c>
      <c r="J44" s="141">
        <f>J43/J38</f>
        <v>1.3821923579401589</v>
      </c>
      <c r="K44" s="137" t="s">
        <v>76</v>
      </c>
      <c r="L44" s="435">
        <f>+L43/I38</f>
        <v>0</v>
      </c>
      <c r="M44" s="436">
        <f>+M43/J38</f>
        <v>3.829966509070637E-2</v>
      </c>
      <c r="N44" s="188" t="s">
        <v>106</v>
      </c>
      <c r="O44" s="601" t="s">
        <v>476</v>
      </c>
      <c r="P44" s="601" t="s">
        <v>477</v>
      </c>
      <c r="Q44" s="601" t="s">
        <v>478</v>
      </c>
      <c r="R44" s="601" t="s">
        <v>479</v>
      </c>
      <c r="S44" s="602" t="s">
        <v>480</v>
      </c>
      <c r="T44" s="601" t="s">
        <v>481</v>
      </c>
      <c r="U44" s="603" t="s">
        <v>482</v>
      </c>
      <c r="V44" s="601" t="s">
        <v>483</v>
      </c>
      <c r="W44" s="601" t="s">
        <v>484</v>
      </c>
    </row>
    <row r="45" spans="1:23" ht="17.45" customHeight="1" thickBot="1">
      <c r="A45" s="789" t="s">
        <v>19</v>
      </c>
      <c r="B45" s="790"/>
      <c r="C45" s="171">
        <f>SUMIF($G$7:$G$31,"Boiler",$F$7:$F$31)</f>
        <v>0</v>
      </c>
      <c r="D45" s="125">
        <f>+C45+'4'!D45</f>
        <v>0</v>
      </c>
      <c r="E45" s="150">
        <f t="shared" si="6"/>
        <v>0</v>
      </c>
      <c r="F45" s="368"/>
      <c r="G45" s="371"/>
      <c r="H45" s="195" t="s">
        <v>88</v>
      </c>
      <c r="I45" s="125">
        <f>I43/I40</f>
        <v>1.40633054954119</v>
      </c>
      <c r="J45" s="141">
        <f>J43/J40</f>
        <v>1.4118608482466932</v>
      </c>
      <c r="K45" s="137" t="s">
        <v>76</v>
      </c>
      <c r="L45" s="435">
        <f>+L43/I40</f>
        <v>0</v>
      </c>
      <c r="M45" s="436">
        <f>+M43/J40</f>
        <v>3.912175995757463E-2</v>
      </c>
      <c r="N45" s="604">
        <v>14.5</v>
      </c>
      <c r="O45" s="206">
        <v>1136.6666666666667</v>
      </c>
      <c r="P45" s="206">
        <v>1170</v>
      </c>
      <c r="Q45" s="156">
        <v>932.06666666666672</v>
      </c>
      <c r="R45" s="605">
        <f>1-(Q45/O45)</f>
        <v>0.18000000000000005</v>
      </c>
      <c r="S45" s="606">
        <v>22</v>
      </c>
      <c r="T45" s="607">
        <v>264</v>
      </c>
      <c r="U45" s="608">
        <f>(O45*(1-R45)*N45*T45*S45)/100000000</f>
        <v>0.78494926400000009</v>
      </c>
      <c r="V45" s="609">
        <f>+C52/1000</f>
        <v>7.8E-2</v>
      </c>
      <c r="W45" s="610">
        <f>SUM(V45:V47)/SUM(U45:U47)</f>
        <v>5.0162408385821124E-2</v>
      </c>
    </row>
    <row r="46" spans="1:23" ht="17.45" customHeight="1">
      <c r="A46" s="789" t="s">
        <v>89</v>
      </c>
      <c r="B46" s="790"/>
      <c r="C46" s="171">
        <f>SUMIF($G$7:$G$31,"Gas",$F$7:$F$31)</f>
        <v>0</v>
      </c>
      <c r="D46" s="125">
        <f>+C46+'4'!D46</f>
        <v>0</v>
      </c>
      <c r="E46" s="150">
        <f t="shared" si="6"/>
        <v>0</v>
      </c>
      <c r="F46" s="368"/>
      <c r="G46" s="369"/>
      <c r="H46" s="195" t="s">
        <v>90</v>
      </c>
      <c r="I46" s="147">
        <f>+SUMIF(Listrik!P12,"&gt;0")</f>
        <v>41777.780000000057</v>
      </c>
      <c r="J46" s="142">
        <f>+I46+'4'!J46</f>
        <v>205373.4200000001</v>
      </c>
      <c r="K46" s="137" t="s">
        <v>91</v>
      </c>
      <c r="L46" s="435">
        <f>+Listrik!AF12</f>
        <v>0</v>
      </c>
      <c r="M46" s="437">
        <f>+L46+'4'!M46</f>
        <v>0</v>
      </c>
      <c r="N46" s="604"/>
      <c r="O46" s="206"/>
      <c r="P46" s="206"/>
      <c r="Q46" s="206"/>
      <c r="R46" s="605"/>
      <c r="S46" s="611"/>
      <c r="T46" s="607"/>
      <c r="U46" s="608"/>
      <c r="V46" s="609"/>
      <c r="W46" s="612"/>
    </row>
    <row r="47" spans="1:23" ht="17.45" customHeight="1">
      <c r="A47" s="789" t="s">
        <v>92</v>
      </c>
      <c r="B47" s="790"/>
      <c r="C47" s="171">
        <f>SUMIF($G$7:$G$31,"Gas",$F$7:$F$31)</f>
        <v>0</v>
      </c>
      <c r="D47" s="125">
        <f>+C47+'4'!D47</f>
        <v>0</v>
      </c>
      <c r="E47" s="150">
        <f t="shared" si="6"/>
        <v>0</v>
      </c>
      <c r="F47" s="368"/>
      <c r="G47" s="369"/>
      <c r="H47" s="195" t="s">
        <v>93</v>
      </c>
      <c r="I47" s="125">
        <f>I46/I38</f>
        <v>818.75475247912937</v>
      </c>
      <c r="J47" s="142">
        <f>J46/J38</f>
        <v>873.97035605922019</v>
      </c>
      <c r="K47" s="137" t="s">
        <v>25</v>
      </c>
      <c r="L47" s="435">
        <f>+L46/I38</f>
        <v>0</v>
      </c>
      <c r="M47" s="436">
        <f>+M46/J38</f>
        <v>0</v>
      </c>
      <c r="U47" s="156">
        <f>770/1000</f>
        <v>0.77</v>
      </c>
    </row>
    <row r="48" spans="1:23" ht="17.45" customHeight="1">
      <c r="A48" s="789" t="s">
        <v>15</v>
      </c>
      <c r="B48" s="790"/>
      <c r="C48" s="171">
        <f>SUMIF($G$7:$G$31,"Start Up",$F$7:$F$31)</f>
        <v>0</v>
      </c>
      <c r="D48" s="125">
        <f>+C48+'4'!D48</f>
        <v>0</v>
      </c>
      <c r="E48" s="150">
        <f t="shared" si="6"/>
        <v>0</v>
      </c>
      <c r="F48" s="368"/>
      <c r="G48" s="369"/>
      <c r="H48" s="195" t="s">
        <v>94</v>
      </c>
      <c r="I48" s="125">
        <f>I46/I40</f>
        <v>861.48633879781539</v>
      </c>
      <c r="J48" s="142">
        <f>J46/J40</f>
        <v>892.72995987846218</v>
      </c>
      <c r="K48" s="137" t="s">
        <v>25</v>
      </c>
      <c r="L48" s="435">
        <f>+L46/I38</f>
        <v>0</v>
      </c>
      <c r="M48" s="436">
        <f>+M46/J40</f>
        <v>0</v>
      </c>
    </row>
    <row r="49" spans="1:13" ht="17.45" customHeight="1">
      <c r="A49" s="789" t="s">
        <v>21</v>
      </c>
      <c r="B49" s="790"/>
      <c r="C49" s="171">
        <f>SUMIF($G$7:$G$31,"Others",$F$7:$F$31)</f>
        <v>0</v>
      </c>
      <c r="D49" s="125">
        <f>+C49+'4'!D49</f>
        <v>0</v>
      </c>
      <c r="E49" s="150">
        <f t="shared" si="6"/>
        <v>0</v>
      </c>
      <c r="F49" s="192"/>
      <c r="H49" s="195" t="s">
        <v>182</v>
      </c>
      <c r="I49" s="125">
        <f>+Report1!AB13</f>
        <v>5248.7084387651821</v>
      </c>
      <c r="J49" s="142">
        <f>+I49+'4'!J49</f>
        <v>20228.62921804556</v>
      </c>
      <c r="K49" s="137" t="s">
        <v>96</v>
      </c>
      <c r="L49" s="431"/>
      <c r="M49" s="432"/>
    </row>
    <row r="50" spans="1:13" ht="17.45" customHeight="1">
      <c r="A50" s="789" t="s">
        <v>20</v>
      </c>
      <c r="B50" s="790"/>
      <c r="C50" s="171">
        <f>SUMIF($G$7:$G$31,"Steam",$F$7:$F$31)</f>
        <v>0</v>
      </c>
      <c r="D50" s="125">
        <f>+C50+'4'!D50</f>
        <v>0</v>
      </c>
      <c r="E50" s="150">
        <f t="shared" si="6"/>
        <v>0</v>
      </c>
      <c r="F50" s="192"/>
      <c r="H50" s="195" t="s">
        <v>97</v>
      </c>
      <c r="I50" s="147">
        <f>I49/I38</f>
        <v>102.86341156988951</v>
      </c>
      <c r="J50" s="140">
        <f>J49/J38</f>
        <v>86.083302699469172</v>
      </c>
      <c r="K50" s="137" t="s">
        <v>96</v>
      </c>
      <c r="L50" s="431"/>
      <c r="M50" s="432"/>
    </row>
    <row r="51" spans="1:13" ht="17.45" customHeight="1" thickBot="1">
      <c r="A51" s="791" t="s">
        <v>98</v>
      </c>
      <c r="B51" s="792"/>
      <c r="C51" s="171">
        <f>SUMIF($G$7:$G$31,"Planned shut",$F$7:$F$31)</f>
        <v>0</v>
      </c>
      <c r="D51" s="125">
        <f>+C51+'4'!D51</f>
        <v>0</v>
      </c>
      <c r="E51" s="150">
        <f t="shared" si="6"/>
        <v>0</v>
      </c>
      <c r="F51" s="192"/>
      <c r="H51" s="197" t="s">
        <v>99</v>
      </c>
      <c r="I51" s="148">
        <f>I49/I40</f>
        <v>108.23195048489912</v>
      </c>
      <c r="J51" s="143">
        <f>J49/J40</f>
        <v>87.931064059906547</v>
      </c>
      <c r="K51" s="144" t="s">
        <v>96</v>
      </c>
      <c r="L51" s="431"/>
      <c r="M51" s="432"/>
    </row>
    <row r="52" spans="1:13" ht="13.5" thickBot="1">
      <c r="A52" s="793" t="s">
        <v>29</v>
      </c>
      <c r="B52" s="794"/>
      <c r="C52" s="151">
        <f>SUM(C38:C51)</f>
        <v>78</v>
      </c>
      <c r="D52" s="151">
        <f>SUM(D38:D51)</f>
        <v>670</v>
      </c>
      <c r="E52" s="152">
        <f>SUM(E38:E51)</f>
        <v>11.166666666666666</v>
      </c>
      <c r="F52" s="192"/>
      <c r="H52" s="198"/>
      <c r="I52" s="199"/>
      <c r="J52" s="145"/>
      <c r="K52" s="146"/>
      <c r="L52" s="438"/>
      <c r="M52" s="439"/>
    </row>
    <row r="53" spans="1:13" ht="13.5" thickBot="1">
      <c r="A53" s="795"/>
      <c r="B53" s="796"/>
      <c r="C53" s="153">
        <f>C52/(24*60)</f>
        <v>5.4166666666666669E-2</v>
      </c>
      <c r="D53" s="153">
        <f>D52/(24*60*G4)</f>
        <v>9.3055555555555558E-2</v>
      </c>
      <c r="E53" s="154">
        <f>E52/(G4*24)</f>
        <v>9.3055555555555544E-2</v>
      </c>
      <c r="F53" s="192"/>
    </row>
    <row r="54" spans="1:13">
      <c r="E54" s="200"/>
      <c r="F54" s="192"/>
    </row>
    <row r="55" spans="1:13">
      <c r="E55" s="200"/>
    </row>
    <row r="56" spans="1:13">
      <c r="A56" s="201" t="s">
        <v>100</v>
      </c>
      <c r="B56" s="202"/>
      <c r="C56" s="203"/>
      <c r="D56" s="203"/>
      <c r="E56" s="203"/>
      <c r="F56" s="204"/>
      <c r="G56" s="203"/>
      <c r="H56" s="205"/>
      <c r="I56" s="206" t="s">
        <v>101</v>
      </c>
      <c r="J56" s="207">
        <f>+D34+'4'!J56</f>
        <v>1840</v>
      </c>
      <c r="K56" s="208">
        <f>J56/(J40+J56/1000)/1000</f>
        <v>7.9347624530490615E-3</v>
      </c>
    </row>
    <row r="57" spans="1:13">
      <c r="A57" s="183"/>
      <c r="I57" s="206" t="s">
        <v>102</v>
      </c>
      <c r="J57" s="207">
        <f>+E34+'4'!J57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4027777777777778" header="0" footer="0"/>
  <pageSetup paperSize="9" scale="59"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AA61"/>
  <sheetViews>
    <sheetView view="pageBreakPreview" topLeftCell="A25" zoomScale="80" zoomScaleNormal="75" zoomScaleSheetLayoutView="80" workbookViewId="0">
      <selection activeCell="A7" sqref="A7:A32"/>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0.140625" style="156" bestFit="1" customWidth="1"/>
    <col min="11" max="11" width="14" style="156" bestFit="1" customWidth="1"/>
    <col min="12" max="12" width="8.28515625" style="156" customWidth="1"/>
    <col min="13" max="13" width="14.5703125" style="156" bestFit="1" customWidth="1"/>
    <col min="14" max="16384" width="9.140625" style="156"/>
  </cols>
  <sheetData>
    <row r="1" spans="1:27" ht="15.75">
      <c r="A1" s="155"/>
    </row>
    <row r="2" spans="1:27" ht="15.75">
      <c r="A2" s="155" t="s">
        <v>183</v>
      </c>
    </row>
    <row r="3" spans="1:27" ht="15">
      <c r="A3" s="157"/>
    </row>
    <row r="4" spans="1:27" ht="20.25">
      <c r="A4" s="158" t="s">
        <v>5</v>
      </c>
      <c r="B4" s="159"/>
      <c r="F4" s="160" t="s">
        <v>30</v>
      </c>
      <c r="G4" s="161">
        <v>4</v>
      </c>
      <c r="H4" s="161" t="str">
        <f>+'5'!H4</f>
        <v>.01.26</v>
      </c>
      <c r="J4" s="156">
        <f>397.6+363.6+302.7</f>
        <v>1063.9000000000001</v>
      </c>
    </row>
    <row r="5" spans="1:27" ht="13.5" thickBot="1">
      <c r="C5" s="162"/>
      <c r="D5" s="162"/>
    </row>
    <row r="6" spans="1:27"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408</v>
      </c>
      <c r="O6" s="156">
        <v>1260</v>
      </c>
      <c r="P6" s="156">
        <f>+O6-(O6*0.22)</f>
        <v>982.8</v>
      </c>
      <c r="Q6" s="156">
        <v>42</v>
      </c>
      <c r="R6" s="156">
        <f t="shared" ref="R6" si="0">+O6*Q6</f>
        <v>52920</v>
      </c>
      <c r="S6" s="156">
        <f t="shared" ref="S6" si="1">+P6*Q6</f>
        <v>41277.599999999999</v>
      </c>
      <c r="V6" s="156" t="s">
        <v>408</v>
      </c>
      <c r="W6" s="156">
        <v>1260</v>
      </c>
      <c r="X6" s="156">
        <f>+W6-(W6*0.22)</f>
        <v>982.8</v>
      </c>
      <c r="Y6" s="156">
        <v>42</v>
      </c>
      <c r="Z6" s="156">
        <f t="shared" ref="Z6:Z14" si="2">+W6*Y6</f>
        <v>52920</v>
      </c>
      <c r="AA6" s="156">
        <f t="shared" ref="AA6:AA14" si="3">+X6*Y6</f>
        <v>41277.599999999999</v>
      </c>
    </row>
    <row r="7" spans="1:27" ht="13.5" customHeight="1" thickBot="1">
      <c r="A7" s="800" t="s">
        <v>423</v>
      </c>
      <c r="B7" s="222" t="s">
        <v>422</v>
      </c>
      <c r="C7" s="223">
        <v>13413</v>
      </c>
      <c r="D7" s="224"/>
      <c r="E7" s="225"/>
      <c r="F7" s="235"/>
      <c r="G7" s="236" t="s">
        <v>13</v>
      </c>
      <c r="H7" s="237" t="s">
        <v>386</v>
      </c>
      <c r="I7" s="803" t="s">
        <v>453</v>
      </c>
      <c r="J7" s="221" t="str">
        <f>+'3'!J7</f>
        <v>T 13,5 RC HW</v>
      </c>
      <c r="K7" s="245">
        <f>+C7+C16+C25</f>
        <v>42044</v>
      </c>
      <c r="L7" s="249"/>
      <c r="M7" s="124">
        <f>+K7+'3'!M7+L7</f>
        <v>175686</v>
      </c>
      <c r="O7" s="156">
        <v>1100</v>
      </c>
      <c r="P7" s="156">
        <f t="shared" ref="P7:P14" si="4">+O7-(O7*0.22)</f>
        <v>858</v>
      </c>
      <c r="Q7" s="156">
        <f>43-34</f>
        <v>9</v>
      </c>
      <c r="R7" s="156">
        <f t="shared" ref="R7:R14" si="5">+O7*Q7</f>
        <v>9900</v>
      </c>
      <c r="S7" s="156">
        <f t="shared" ref="S7:S14" si="6">+P7*Q7</f>
        <v>7722</v>
      </c>
      <c r="W7" s="156">
        <v>1100</v>
      </c>
      <c r="X7" s="156">
        <f t="shared" ref="X7:X14" si="7">+W7-(W7*0.22)</f>
        <v>858</v>
      </c>
      <c r="Y7" s="156">
        <f>43-34</f>
        <v>9</v>
      </c>
      <c r="Z7" s="156">
        <f t="shared" si="2"/>
        <v>9900</v>
      </c>
      <c r="AA7" s="156">
        <f t="shared" si="3"/>
        <v>7722</v>
      </c>
    </row>
    <row r="8" spans="1:27" ht="13.5" thickBot="1">
      <c r="A8" s="801"/>
      <c r="B8" s="222"/>
      <c r="C8" s="223"/>
      <c r="D8" s="224"/>
      <c r="E8" s="226"/>
      <c r="F8" s="238">
        <v>9</v>
      </c>
      <c r="G8" s="582" t="s">
        <v>13</v>
      </c>
      <c r="H8" s="237" t="s">
        <v>437</v>
      </c>
      <c r="I8" s="804"/>
      <c r="J8" s="221" t="s">
        <v>459</v>
      </c>
      <c r="K8" s="246">
        <f>+C26</f>
        <v>5870</v>
      </c>
      <c r="L8" s="246"/>
      <c r="M8" s="124">
        <f>+K8+'3'!M8+L8</f>
        <v>5870</v>
      </c>
      <c r="O8" s="156">
        <v>1120</v>
      </c>
      <c r="P8" s="156">
        <f t="shared" si="4"/>
        <v>873.6</v>
      </c>
      <c r="Q8" s="156">
        <f>60-43+27</f>
        <v>44</v>
      </c>
      <c r="R8" s="156">
        <f t="shared" si="5"/>
        <v>49280</v>
      </c>
      <c r="S8" s="156">
        <f t="shared" si="6"/>
        <v>38438.400000000001</v>
      </c>
      <c r="W8" s="156">
        <v>1120</v>
      </c>
      <c r="X8" s="156">
        <f t="shared" si="7"/>
        <v>873.6</v>
      </c>
      <c r="Y8" s="156">
        <f>60-43+27</f>
        <v>44</v>
      </c>
      <c r="Z8" s="156">
        <f t="shared" si="2"/>
        <v>49280</v>
      </c>
      <c r="AA8" s="156">
        <f t="shared" si="3"/>
        <v>38438.400000000001</v>
      </c>
    </row>
    <row r="9" spans="1:27" ht="13.5" thickBot="1">
      <c r="A9" s="801"/>
      <c r="B9" s="222"/>
      <c r="C9" s="223"/>
      <c r="D9" s="224"/>
      <c r="E9" s="227"/>
      <c r="F9" s="235">
        <f>24-9</f>
        <v>15</v>
      </c>
      <c r="G9" s="582" t="s">
        <v>13</v>
      </c>
      <c r="H9" s="240" t="s">
        <v>416</v>
      </c>
      <c r="I9" s="804"/>
      <c r="J9" s="221">
        <f>+'3'!J9</f>
        <v>0</v>
      </c>
      <c r="K9" s="246"/>
      <c r="L9" s="246"/>
      <c r="M9" s="124">
        <f>+K9+'3'!M9+L9</f>
        <v>0</v>
      </c>
      <c r="O9" s="156">
        <v>1140</v>
      </c>
      <c r="P9" s="156">
        <f t="shared" si="4"/>
        <v>889.2</v>
      </c>
      <c r="Q9" s="156">
        <f>60-27+17</f>
        <v>50</v>
      </c>
      <c r="R9" s="156">
        <f t="shared" si="5"/>
        <v>57000</v>
      </c>
      <c r="S9" s="156">
        <f t="shared" si="6"/>
        <v>44460</v>
      </c>
      <c r="W9" s="156">
        <v>1140</v>
      </c>
      <c r="X9" s="156">
        <f t="shared" si="7"/>
        <v>889.2</v>
      </c>
      <c r="Y9" s="156">
        <f>60-27+17</f>
        <v>50</v>
      </c>
      <c r="Z9" s="156">
        <f t="shared" si="2"/>
        <v>57000</v>
      </c>
      <c r="AA9" s="156">
        <f t="shared" si="3"/>
        <v>44460</v>
      </c>
    </row>
    <row r="10" spans="1:27" ht="26.25" thickBot="1">
      <c r="A10" s="801"/>
      <c r="B10" s="222"/>
      <c r="C10" s="223"/>
      <c r="D10" s="224"/>
      <c r="E10" s="226"/>
      <c r="F10" s="235"/>
      <c r="G10" s="244" t="s">
        <v>14</v>
      </c>
      <c r="H10" s="240" t="s">
        <v>446</v>
      </c>
      <c r="I10" s="804"/>
      <c r="J10" s="221">
        <f>+'3'!J10</f>
        <v>0</v>
      </c>
      <c r="K10" s="246"/>
      <c r="L10" s="246"/>
      <c r="M10" s="124">
        <f>+K10+'3'!M10+L10</f>
        <v>0</v>
      </c>
      <c r="O10" s="156">
        <v>1180</v>
      </c>
      <c r="P10" s="156">
        <f t="shared" si="4"/>
        <v>920.4</v>
      </c>
      <c r="Q10" s="156">
        <f>55-17</f>
        <v>38</v>
      </c>
      <c r="R10" s="156">
        <f t="shared" si="5"/>
        <v>44840</v>
      </c>
      <c r="S10" s="156">
        <f t="shared" si="6"/>
        <v>34975.199999999997</v>
      </c>
      <c r="W10" s="156">
        <v>1180</v>
      </c>
      <c r="X10" s="156">
        <f t="shared" si="7"/>
        <v>920.4</v>
      </c>
      <c r="Y10" s="156">
        <f>55-17</f>
        <v>38</v>
      </c>
      <c r="Z10" s="156">
        <f t="shared" si="2"/>
        <v>44840</v>
      </c>
      <c r="AA10" s="156">
        <f t="shared" si="3"/>
        <v>34975.199999999997</v>
      </c>
    </row>
    <row r="11" spans="1:27" ht="149.25" customHeight="1" thickBot="1">
      <c r="A11" s="801"/>
      <c r="B11" s="222"/>
      <c r="C11" s="223"/>
      <c r="D11" s="224"/>
      <c r="E11" s="226"/>
      <c r="F11" s="235">
        <f>60-42+34</f>
        <v>52</v>
      </c>
      <c r="G11" s="239" t="s">
        <v>81</v>
      </c>
      <c r="H11" s="240" t="s">
        <v>447</v>
      </c>
      <c r="I11" s="804"/>
      <c r="J11" s="221">
        <f>+'3'!J11</f>
        <v>0</v>
      </c>
      <c r="K11" s="246"/>
      <c r="L11" s="246"/>
      <c r="M11" s="124">
        <f>+K11+'3'!M11+L11</f>
        <v>0</v>
      </c>
      <c r="O11" s="156">
        <v>1220</v>
      </c>
      <c r="P11" s="156">
        <f t="shared" si="4"/>
        <v>951.6</v>
      </c>
      <c r="Q11" s="156">
        <f>60-55+59</f>
        <v>64</v>
      </c>
      <c r="R11" s="156">
        <f t="shared" si="5"/>
        <v>78080</v>
      </c>
      <c r="S11" s="156">
        <f t="shared" si="6"/>
        <v>60902.400000000001</v>
      </c>
      <c r="W11" s="156">
        <v>1220</v>
      </c>
      <c r="X11" s="156">
        <f t="shared" si="7"/>
        <v>951.6</v>
      </c>
      <c r="Y11" s="156">
        <f>60-55+59</f>
        <v>64</v>
      </c>
      <c r="Z11" s="156">
        <f t="shared" si="2"/>
        <v>78080</v>
      </c>
      <c r="AA11" s="156">
        <f t="shared" si="3"/>
        <v>60902.400000000001</v>
      </c>
    </row>
    <row r="12" spans="1:27" ht="13.5" thickBot="1">
      <c r="A12" s="801"/>
      <c r="B12" s="222"/>
      <c r="C12" s="223"/>
      <c r="D12" s="224"/>
      <c r="E12" s="226"/>
      <c r="F12" s="235"/>
      <c r="G12" s="239"/>
      <c r="H12" s="240"/>
      <c r="I12" s="804"/>
      <c r="J12" s="221">
        <f>+'3'!J12</f>
        <v>0</v>
      </c>
      <c r="K12" s="246"/>
      <c r="L12" s="246"/>
      <c r="M12" s="124">
        <f>+K12+'3'!M12+L12</f>
        <v>0</v>
      </c>
      <c r="O12" s="156">
        <v>1230</v>
      </c>
      <c r="P12" s="156">
        <f t="shared" si="4"/>
        <v>959.4</v>
      </c>
      <c r="Q12" s="156">
        <f>60-59+52</f>
        <v>53</v>
      </c>
      <c r="R12" s="156">
        <f t="shared" si="5"/>
        <v>65190</v>
      </c>
      <c r="S12" s="156">
        <f t="shared" si="6"/>
        <v>50848.2</v>
      </c>
      <c r="W12" s="156">
        <v>1230</v>
      </c>
      <c r="X12" s="156">
        <f t="shared" si="7"/>
        <v>959.4</v>
      </c>
      <c r="Y12" s="156">
        <f>60-59+52</f>
        <v>53</v>
      </c>
      <c r="Z12" s="156">
        <f t="shared" si="2"/>
        <v>65190</v>
      </c>
      <c r="AA12" s="156">
        <f t="shared" si="3"/>
        <v>50848.2</v>
      </c>
    </row>
    <row r="13" spans="1:27" ht="13.5" thickBot="1">
      <c r="A13" s="801"/>
      <c r="B13" s="222"/>
      <c r="C13" s="223"/>
      <c r="D13" s="223"/>
      <c r="E13" s="226"/>
      <c r="F13" s="235"/>
      <c r="G13" s="582"/>
      <c r="H13" s="240"/>
      <c r="I13" s="805"/>
      <c r="J13" s="221">
        <f>+'3'!J13</f>
        <v>0</v>
      </c>
      <c r="K13" s="246"/>
      <c r="L13" s="246"/>
      <c r="M13" s="124">
        <f>+K13+'3'!M13+L13</f>
        <v>0</v>
      </c>
      <c r="O13" s="156">
        <v>1250</v>
      </c>
      <c r="P13" s="156">
        <f t="shared" si="4"/>
        <v>975</v>
      </c>
      <c r="Q13" s="156">
        <f>60-52+55</f>
        <v>63</v>
      </c>
      <c r="R13" s="156">
        <f t="shared" si="5"/>
        <v>78750</v>
      </c>
      <c r="S13" s="156">
        <f t="shared" si="6"/>
        <v>61425</v>
      </c>
      <c r="W13" s="156">
        <v>1250</v>
      </c>
      <c r="X13" s="156">
        <f t="shared" si="7"/>
        <v>975</v>
      </c>
      <c r="Y13" s="156">
        <f>60-52+55</f>
        <v>63</v>
      </c>
      <c r="Z13" s="156">
        <f t="shared" si="2"/>
        <v>78750</v>
      </c>
      <c r="AA13" s="156">
        <f t="shared" si="3"/>
        <v>61425</v>
      </c>
    </row>
    <row r="14" spans="1:27" ht="13.5" thickBot="1">
      <c r="A14" s="802"/>
      <c r="B14" s="172"/>
      <c r="C14" s="106">
        <f>SUM(C7:C13)</f>
        <v>13413</v>
      </c>
      <c r="D14" s="118">
        <f>SUM(D7:D13)</f>
        <v>0</v>
      </c>
      <c r="E14" s="119">
        <f>SUM(E5:E13)</f>
        <v>0</v>
      </c>
      <c r="F14" s="109">
        <f>SUM(F6:F13)</f>
        <v>76</v>
      </c>
      <c r="G14" s="166"/>
      <c r="H14" s="173"/>
      <c r="I14" s="174"/>
      <c r="J14" s="221">
        <f>+'3'!J14</f>
        <v>0</v>
      </c>
      <c r="K14" s="246"/>
      <c r="L14" s="246"/>
      <c r="M14" s="124">
        <f>+K14+'3'!M14+L14</f>
        <v>0</v>
      </c>
      <c r="O14" s="156">
        <v>1260</v>
      </c>
      <c r="P14" s="156">
        <f t="shared" si="4"/>
        <v>982.8</v>
      </c>
      <c r="Q14" s="156">
        <f>60-55+60</f>
        <v>65</v>
      </c>
      <c r="R14" s="156">
        <f t="shared" si="5"/>
        <v>81900</v>
      </c>
      <c r="S14" s="156">
        <f t="shared" si="6"/>
        <v>63882</v>
      </c>
      <c r="W14" s="156">
        <v>1260</v>
      </c>
      <c r="X14" s="156">
        <f t="shared" si="7"/>
        <v>982.8</v>
      </c>
      <c r="Y14" s="156">
        <f>60-55+60</f>
        <v>65</v>
      </c>
      <c r="Z14" s="156">
        <f t="shared" si="2"/>
        <v>81900</v>
      </c>
      <c r="AA14" s="156">
        <f t="shared" si="3"/>
        <v>63882</v>
      </c>
    </row>
    <row r="15" spans="1:27" ht="13.5" customHeight="1" thickBot="1">
      <c r="A15" s="800" t="s">
        <v>425</v>
      </c>
      <c r="B15" s="172"/>
      <c r="C15" s="120">
        <f>C14/($C$23+$D$23+$E$23)</f>
        <v>0.77779066396056828</v>
      </c>
      <c r="D15" s="121">
        <f>D14/($C$23+$D$23+$E$23)</f>
        <v>0</v>
      </c>
      <c r="E15" s="122">
        <f>E14/($C$23+$D$23+$E$23)</f>
        <v>0</v>
      </c>
      <c r="F15" s="235"/>
      <c r="G15" s="236" t="s">
        <v>13</v>
      </c>
      <c r="H15" s="237" t="s">
        <v>386</v>
      </c>
      <c r="I15" s="803" t="s">
        <v>435</v>
      </c>
      <c r="J15" s="221">
        <f>+'3'!J15</f>
        <v>0</v>
      </c>
      <c r="K15" s="246"/>
      <c r="L15" s="246"/>
      <c r="M15" s="124">
        <f>+K15+'3'!M15+L15</f>
        <v>0</v>
      </c>
      <c r="V15" s="156" t="s">
        <v>408</v>
      </c>
      <c r="W15" s="156">
        <v>1260</v>
      </c>
      <c r="X15" s="156">
        <v>982.8</v>
      </c>
      <c r="Y15" s="156">
        <v>480</v>
      </c>
      <c r="Z15" s="156">
        <v>604800</v>
      </c>
      <c r="AA15" s="156">
        <v>471744</v>
      </c>
    </row>
    <row r="16" spans="1:27" ht="13.5" thickBot="1">
      <c r="A16" s="811"/>
      <c r="B16" s="222" t="s">
        <v>422</v>
      </c>
      <c r="C16" s="229">
        <v>17245</v>
      </c>
      <c r="D16" s="230"/>
      <c r="E16" s="231"/>
      <c r="F16" s="238">
        <v>3</v>
      </c>
      <c r="G16" s="582" t="s">
        <v>13</v>
      </c>
      <c r="H16" s="237" t="s">
        <v>414</v>
      </c>
      <c r="I16" s="804"/>
      <c r="J16" s="221">
        <f>+'3'!J16</f>
        <v>0</v>
      </c>
      <c r="K16" s="236"/>
      <c r="L16" s="236"/>
      <c r="M16" s="124">
        <f>+K16+'3'!M16+L16</f>
        <v>0</v>
      </c>
      <c r="Q16" s="183">
        <f>SUM(Q6:Q14)</f>
        <v>428</v>
      </c>
      <c r="R16" s="183">
        <f>SUM(R6:R14)</f>
        <v>517860</v>
      </c>
      <c r="S16" s="183">
        <f>SUM(S6:S14)</f>
        <v>403930.8</v>
      </c>
      <c r="V16" s="156" t="s">
        <v>408</v>
      </c>
      <c r="W16" s="156">
        <v>1260</v>
      </c>
      <c r="X16" s="156">
        <v>982.8</v>
      </c>
      <c r="Y16" s="156">
        <v>210</v>
      </c>
      <c r="Z16" s="156">
        <v>264600</v>
      </c>
      <c r="AA16" s="156">
        <v>206388</v>
      </c>
    </row>
    <row r="17" spans="1:27" ht="13.5" thickBot="1">
      <c r="A17" s="811"/>
      <c r="B17" s="222"/>
      <c r="C17" s="223"/>
      <c r="D17" s="224"/>
      <c r="E17" s="232"/>
      <c r="F17" s="235">
        <v>5</v>
      </c>
      <c r="G17" s="582" t="s">
        <v>13</v>
      </c>
      <c r="H17" s="240" t="s">
        <v>395</v>
      </c>
      <c r="I17" s="804"/>
      <c r="J17" s="221">
        <f>+'3'!J17</f>
        <v>0</v>
      </c>
      <c r="K17" s="236"/>
      <c r="L17" s="236"/>
      <c r="M17" s="124">
        <f>+K17+'3'!M17+L17</f>
        <v>0</v>
      </c>
      <c r="Q17" s="156">
        <f>480-Q16</f>
        <v>52</v>
      </c>
      <c r="R17" s="183">
        <f>+R16/Q16</f>
        <v>1209.9532710280373</v>
      </c>
      <c r="S17" s="183">
        <f>+S16/Q16</f>
        <v>943.76355140186911</v>
      </c>
    </row>
    <row r="18" spans="1:27" ht="26.25" thickBot="1">
      <c r="A18" s="811"/>
      <c r="B18" s="222"/>
      <c r="C18" s="223"/>
      <c r="D18" s="224"/>
      <c r="E18" s="232"/>
      <c r="F18" s="242">
        <v>7</v>
      </c>
      <c r="G18" s="244" t="s">
        <v>14</v>
      </c>
      <c r="H18" s="240" t="s">
        <v>445</v>
      </c>
      <c r="I18" s="804"/>
      <c r="J18" s="221">
        <f>+'3'!J18</f>
        <v>0</v>
      </c>
      <c r="K18" s="246"/>
      <c r="L18" s="246"/>
      <c r="M18" s="124">
        <f>+K18+'3'!M18+L18</f>
        <v>0</v>
      </c>
      <c r="N18" s="156" t="s">
        <v>408</v>
      </c>
      <c r="O18" s="156">
        <v>1260</v>
      </c>
      <c r="P18" s="156">
        <f>+O18-(O18*0.22)</f>
        <v>982.8</v>
      </c>
      <c r="Q18" s="156">
        <v>480</v>
      </c>
      <c r="R18" s="156">
        <f t="shared" ref="R18" si="8">+O18*Q18</f>
        <v>604800</v>
      </c>
      <c r="S18" s="156">
        <f t="shared" ref="S18" si="9">+P18*Q18</f>
        <v>471744</v>
      </c>
    </row>
    <row r="19" spans="1:27" ht="13.5" thickBot="1">
      <c r="A19" s="811"/>
      <c r="B19" s="222"/>
      <c r="C19" s="223"/>
      <c r="D19" s="224"/>
      <c r="E19" s="232"/>
      <c r="F19" s="235"/>
      <c r="G19" s="239"/>
      <c r="H19" s="240"/>
      <c r="I19" s="804"/>
      <c r="J19" s="221">
        <f>+'3'!J19</f>
        <v>0</v>
      </c>
      <c r="K19" s="246"/>
      <c r="L19" s="246"/>
      <c r="M19" s="124">
        <f>+K19+'3'!M19+L19</f>
        <v>0</v>
      </c>
    </row>
    <row r="20" spans="1:27" ht="13.5" thickBot="1">
      <c r="A20" s="811"/>
      <c r="B20" s="222"/>
      <c r="C20" s="223"/>
      <c r="D20" s="224"/>
      <c r="E20" s="232"/>
      <c r="F20" s="235"/>
      <c r="G20" s="239"/>
      <c r="H20" s="240"/>
      <c r="I20" s="804"/>
      <c r="J20" s="221">
        <f>+'3'!J20</f>
        <v>0</v>
      </c>
      <c r="K20" s="247"/>
      <c r="L20" s="247"/>
      <c r="M20" s="124">
        <f>+K20+'3'!M20+L20</f>
        <v>0</v>
      </c>
    </row>
    <row r="21" spans="1:27" ht="13.5" thickBot="1">
      <c r="A21" s="811"/>
      <c r="B21" s="222"/>
      <c r="C21" s="223"/>
      <c r="D21" s="224"/>
      <c r="E21" s="232"/>
      <c r="F21" s="238"/>
      <c r="G21" s="239"/>
      <c r="H21" s="240"/>
      <c r="I21" s="804"/>
      <c r="J21" s="221">
        <f>+'3'!J21</f>
        <v>0</v>
      </c>
      <c r="K21" s="246"/>
      <c r="L21" s="246"/>
      <c r="M21" s="124">
        <f>+K21+'3'!M21+L21</f>
        <v>0</v>
      </c>
      <c r="Y21" s="183">
        <f>SUM(Y6:Y16)</f>
        <v>1118</v>
      </c>
      <c r="Z21" s="183">
        <f>SUM(Z6:Z16)</f>
        <v>1387260</v>
      </c>
      <c r="AA21" s="183">
        <f>SUM(AA6:AA16)</f>
        <v>1082062.8</v>
      </c>
    </row>
    <row r="22" spans="1:27" ht="13.5" thickBot="1">
      <c r="A22" s="811"/>
      <c r="B22" s="222"/>
      <c r="C22" s="223"/>
      <c r="D22" s="224"/>
      <c r="E22" s="232"/>
      <c r="F22" s="243"/>
      <c r="G22" s="239"/>
      <c r="H22" s="240"/>
      <c r="I22" s="805"/>
      <c r="J22" s="221">
        <f>+'3'!J22</f>
        <v>0</v>
      </c>
      <c r="K22" s="246"/>
      <c r="L22" s="246"/>
      <c r="M22" s="124">
        <f>+K22+'3'!M22+L22</f>
        <v>0</v>
      </c>
      <c r="Y22" s="156">
        <f>480-Y21</f>
        <v>-638</v>
      </c>
      <c r="Z22" s="183">
        <f>+Z21/Y21</f>
        <v>1240.8407871198569</v>
      </c>
      <c r="AA22" s="183">
        <f>+AA21/Y21</f>
        <v>967.85581395348845</v>
      </c>
    </row>
    <row r="23" spans="1:27" ht="13.5" thickBot="1">
      <c r="A23" s="812"/>
      <c r="B23" s="172"/>
      <c r="C23" s="107">
        <f>SUM(C16:C22)</f>
        <v>17245</v>
      </c>
      <c r="D23" s="118">
        <f>SUM(D16:D22)</f>
        <v>0</v>
      </c>
      <c r="E23" s="119">
        <f>SUM(E18:E22)</f>
        <v>0</v>
      </c>
      <c r="F23" s="109">
        <f>SUM(F15:F22)</f>
        <v>15</v>
      </c>
      <c r="G23" s="166"/>
      <c r="H23" s="173"/>
      <c r="I23" s="176"/>
      <c r="J23" s="221">
        <f>+'3'!J23</f>
        <v>0</v>
      </c>
      <c r="K23" s="246"/>
      <c r="L23" s="246"/>
      <c r="M23" s="124">
        <f>+K23+'3'!M23+L23</f>
        <v>0</v>
      </c>
    </row>
    <row r="24" spans="1:27" ht="13.5" customHeight="1" thickBot="1">
      <c r="A24" s="800" t="s">
        <v>440</v>
      </c>
      <c r="B24" s="177"/>
      <c r="C24" s="120">
        <f>C23/($C$23+$D$23+$E$23)</f>
        <v>1</v>
      </c>
      <c r="D24" s="121">
        <f>D23/($C$23+$D$23+$E$23)</f>
        <v>0</v>
      </c>
      <c r="E24" s="122">
        <f>E23/($C$23+$D$23+$E$23)</f>
        <v>0</v>
      </c>
      <c r="F24" s="235"/>
      <c r="G24" s="236" t="s">
        <v>13</v>
      </c>
      <c r="H24" s="237" t="s">
        <v>386</v>
      </c>
      <c r="I24" s="803" t="s">
        <v>452</v>
      </c>
      <c r="J24" s="221">
        <f>+'3'!J24</f>
        <v>0</v>
      </c>
      <c r="K24" s="246"/>
      <c r="L24" s="246"/>
      <c r="M24" s="124">
        <f>+K24+'3'!M24+L24</f>
        <v>0</v>
      </c>
    </row>
    <row r="25" spans="1:27" ht="13.5" thickBot="1">
      <c r="A25" s="811"/>
      <c r="B25" s="222" t="s">
        <v>422</v>
      </c>
      <c r="C25" s="233">
        <v>11386</v>
      </c>
      <c r="D25" s="224"/>
      <c r="E25" s="232"/>
      <c r="F25" s="238"/>
      <c r="G25" s="582" t="s">
        <v>13</v>
      </c>
      <c r="H25" s="237" t="s">
        <v>387</v>
      </c>
      <c r="I25" s="804"/>
      <c r="J25" s="221">
        <f>+'3'!J25</f>
        <v>0</v>
      </c>
      <c r="K25" s="246"/>
      <c r="L25" s="246"/>
      <c r="M25" s="124">
        <f>+K25+'3'!M25+L25</f>
        <v>0</v>
      </c>
    </row>
    <row r="26" spans="1:27" ht="13.5" thickBot="1">
      <c r="A26" s="811"/>
      <c r="B26" s="222" t="s">
        <v>459</v>
      </c>
      <c r="C26" s="233">
        <v>5870</v>
      </c>
      <c r="D26" s="224"/>
      <c r="E26" s="234"/>
      <c r="F26" s="235">
        <v>16</v>
      </c>
      <c r="G26" s="582" t="s">
        <v>13</v>
      </c>
      <c r="H26" s="240" t="s">
        <v>416</v>
      </c>
      <c r="I26" s="804"/>
      <c r="J26" s="221">
        <f>+'3'!J26</f>
        <v>0</v>
      </c>
      <c r="K26" s="246"/>
      <c r="L26" s="246"/>
      <c r="M26" s="124">
        <f>+K26+'3'!M26+L26</f>
        <v>0</v>
      </c>
    </row>
    <row r="27" spans="1:27" ht="26.25" thickBot="1">
      <c r="A27" s="811"/>
      <c r="B27" s="222"/>
      <c r="C27" s="223"/>
      <c r="D27" s="224"/>
      <c r="E27" s="232"/>
      <c r="F27" s="235"/>
      <c r="G27" s="244" t="s">
        <v>14</v>
      </c>
      <c r="H27" s="240" t="s">
        <v>443</v>
      </c>
      <c r="I27" s="804"/>
      <c r="J27" s="221">
        <f>+'3'!J27</f>
        <v>0</v>
      </c>
      <c r="K27" s="246"/>
      <c r="L27" s="246"/>
      <c r="M27" s="124">
        <f>+K27+'3'!M27+L27</f>
        <v>0</v>
      </c>
    </row>
    <row r="28" spans="1:27" ht="13.5" thickBot="1">
      <c r="A28" s="811"/>
      <c r="B28" s="222"/>
      <c r="C28" s="223"/>
      <c r="D28" s="224"/>
      <c r="E28" s="232"/>
      <c r="F28" s="238"/>
      <c r="G28" s="239"/>
      <c r="H28" s="240" t="s">
        <v>444</v>
      </c>
      <c r="I28" s="804"/>
      <c r="J28" s="221">
        <f>+'3'!J28</f>
        <v>0</v>
      </c>
      <c r="K28" s="246"/>
      <c r="L28" s="246"/>
      <c r="M28" s="124">
        <f>+K28+'3'!M28+L28</f>
        <v>0</v>
      </c>
      <c r="Q28" s="183">
        <f>SUM(Q18:Q26)</f>
        <v>480</v>
      </c>
      <c r="R28" s="183">
        <f>SUM(R18:R26)</f>
        <v>604800</v>
      </c>
      <c r="S28" s="183">
        <f>SUM(S18:S26)</f>
        <v>471744</v>
      </c>
    </row>
    <row r="29" spans="1:27" ht="13.5" thickBot="1">
      <c r="A29" s="811"/>
      <c r="B29" s="222"/>
      <c r="C29" s="223"/>
      <c r="D29" s="224"/>
      <c r="E29" s="232"/>
      <c r="F29" s="243"/>
      <c r="G29" s="239"/>
      <c r="H29" s="240"/>
      <c r="I29" s="804"/>
      <c r="J29" s="221">
        <f>+'3'!J29</f>
        <v>0</v>
      </c>
      <c r="K29" s="246"/>
      <c r="L29" s="246"/>
      <c r="M29" s="124">
        <f>+K29+'3'!M29+L29</f>
        <v>0</v>
      </c>
      <c r="Q29" s="156">
        <f>480-Q28</f>
        <v>0</v>
      </c>
      <c r="R29" s="183">
        <f>+R28/Q28</f>
        <v>1260</v>
      </c>
      <c r="S29" s="183">
        <f>+S28/Q28</f>
        <v>982.8</v>
      </c>
    </row>
    <row r="30" spans="1:27" ht="13.5" thickBot="1">
      <c r="A30" s="811"/>
      <c r="B30" s="222"/>
      <c r="C30" s="233"/>
      <c r="D30" s="224"/>
      <c r="E30" s="232"/>
      <c r="F30" s="243"/>
      <c r="G30" s="239"/>
      <c r="H30" s="240"/>
      <c r="I30" s="804"/>
      <c r="J30" s="221">
        <f>+'3'!J30</f>
        <v>0</v>
      </c>
      <c r="K30" s="246"/>
      <c r="L30" s="246"/>
      <c r="M30" s="124">
        <f>+K30+'3'!M30+L30</f>
        <v>0</v>
      </c>
      <c r="N30" s="156" t="s">
        <v>408</v>
      </c>
      <c r="O30" s="156">
        <v>1260</v>
      </c>
      <c r="P30" s="156">
        <f>+O30-(O30*0.22)</f>
        <v>982.8</v>
      </c>
      <c r="Q30" s="156">
        <f>60*3+30</f>
        <v>210</v>
      </c>
      <c r="R30" s="156">
        <f t="shared" ref="R30:R31" si="10">+O30*Q30</f>
        <v>264600</v>
      </c>
      <c r="S30" s="156">
        <f t="shared" ref="S30:S31" si="11">+P30*Q30</f>
        <v>206388</v>
      </c>
    </row>
    <row r="31" spans="1:27" ht="13.5" thickBot="1">
      <c r="A31" s="811"/>
      <c r="B31" s="222"/>
      <c r="C31" s="233"/>
      <c r="D31" s="224"/>
      <c r="E31" s="232"/>
      <c r="F31" s="243"/>
      <c r="G31" s="244"/>
      <c r="H31" s="241"/>
      <c r="I31" s="805"/>
      <c r="J31" s="221">
        <f>+'3'!J31</f>
        <v>0</v>
      </c>
      <c r="K31" s="246"/>
      <c r="L31" s="246"/>
      <c r="M31" s="124">
        <f>+K31+'3'!M31+L31</f>
        <v>0</v>
      </c>
      <c r="N31" s="156" t="s">
        <v>451</v>
      </c>
      <c r="O31" s="156">
        <v>1160</v>
      </c>
      <c r="P31" s="156">
        <f>+O31-(O31*0.18)</f>
        <v>951.2</v>
      </c>
      <c r="Q31" s="156">
        <f>480-Q30</f>
        <v>270</v>
      </c>
      <c r="R31" s="156">
        <f t="shared" si="10"/>
        <v>313200</v>
      </c>
      <c r="S31" s="156">
        <f t="shared" si="11"/>
        <v>256824</v>
      </c>
    </row>
    <row r="32" spans="1:27" ht="13.5" thickBot="1">
      <c r="A32" s="812"/>
      <c r="B32" s="172"/>
      <c r="C32" s="106">
        <f>SUM(C25:C31)</f>
        <v>17256</v>
      </c>
      <c r="D32" s="107">
        <f>SUM(D25:D31)</f>
        <v>0</v>
      </c>
      <c r="E32" s="108">
        <f>SUM(E25:E31)</f>
        <v>0</v>
      </c>
      <c r="F32" s="109">
        <f>SUM(F24:F31)</f>
        <v>16</v>
      </c>
      <c r="G32" s="178"/>
      <c r="H32" s="179"/>
      <c r="I32" s="176"/>
      <c r="J32" s="221">
        <f>+'3'!J32</f>
        <v>0</v>
      </c>
      <c r="K32" s="248"/>
      <c r="L32" s="250"/>
      <c r="M32" s="124">
        <f>+K32+'3'!M32+L32</f>
        <v>0</v>
      </c>
    </row>
    <row r="33" spans="1:19" ht="13.5" thickBot="1">
      <c r="A33" s="180"/>
      <c r="B33" s="181"/>
      <c r="C33" s="110">
        <f>C32/($C$32+$D$32+$E$32)</f>
        <v>1</v>
      </c>
      <c r="D33" s="111">
        <f>D32/($C$32+$D$32+$E$32)</f>
        <v>0</v>
      </c>
      <c r="E33" s="112">
        <f>E32/($C$32+$D$32+$E$32)</f>
        <v>0</v>
      </c>
      <c r="F33" s="113"/>
      <c r="G33" s="182"/>
      <c r="H33" s="183"/>
      <c r="I33" s="184"/>
      <c r="J33" s="128"/>
      <c r="K33" s="129"/>
      <c r="L33" s="220"/>
      <c r="M33" s="126"/>
    </row>
    <row r="34" spans="1:19" ht="13.5" thickBot="1">
      <c r="A34" s="808" t="s">
        <v>70</v>
      </c>
      <c r="B34" s="809"/>
      <c r="C34" s="114">
        <f>C14+C23+C32</f>
        <v>47914</v>
      </c>
      <c r="D34" s="114">
        <f>D14+D23+D32</f>
        <v>0</v>
      </c>
      <c r="E34" s="114">
        <f>E14+E23+E32</f>
        <v>0</v>
      </c>
      <c r="F34" s="115">
        <f>F14+F23+F32</f>
        <v>107</v>
      </c>
      <c r="H34" s="185"/>
      <c r="I34" s="185"/>
      <c r="J34" s="130" t="s">
        <v>29</v>
      </c>
      <c r="K34" s="131">
        <f>SUM(K7:K32)</f>
        <v>47914</v>
      </c>
      <c r="L34" s="219">
        <f>SUM(L7:L32)</f>
        <v>0</v>
      </c>
      <c r="M34" s="127">
        <f>SUM(M7:M32)</f>
        <v>181556</v>
      </c>
    </row>
    <row r="35" spans="1:19" ht="13.5" thickBot="1">
      <c r="A35" s="186"/>
      <c r="B35" s="187"/>
      <c r="C35" s="111">
        <f>C34/($C$34+$D$34+$E$34)</f>
        <v>1</v>
      </c>
      <c r="D35" s="111">
        <f>D34/($C$34+$D$34+$E$34)</f>
        <v>0</v>
      </c>
      <c r="E35" s="116">
        <f>E34/($C$34+$D$34+$E$34)</f>
        <v>0</v>
      </c>
      <c r="K35" s="162"/>
      <c r="L35" s="799" t="s">
        <v>184</v>
      </c>
      <c r="M35" s="799"/>
    </row>
    <row r="36" spans="1:19" ht="13.5" thickBot="1">
      <c r="A36" s="185"/>
      <c r="B36" s="185"/>
      <c r="C36" s="162"/>
      <c r="D36" s="162"/>
      <c r="E36" s="162"/>
      <c r="G36" s="162"/>
      <c r="H36" s="188"/>
      <c r="I36" s="169" t="s">
        <v>41</v>
      </c>
      <c r="J36" s="169" t="s">
        <v>42</v>
      </c>
      <c r="K36" s="189"/>
      <c r="L36" s="169" t="s">
        <v>41</v>
      </c>
      <c r="M36" s="169" t="s">
        <v>42</v>
      </c>
    </row>
    <row r="37" spans="1:19" ht="17.45" customHeight="1" thickBot="1">
      <c r="A37" s="797" t="s">
        <v>71</v>
      </c>
      <c r="B37" s="798"/>
      <c r="C37" s="169" t="s">
        <v>72</v>
      </c>
      <c r="D37" s="190" t="s">
        <v>73</v>
      </c>
      <c r="E37" s="191" t="s">
        <v>74</v>
      </c>
      <c r="F37" s="368"/>
      <c r="G37" s="370"/>
      <c r="H37" s="193" t="s">
        <v>75</v>
      </c>
      <c r="I37" s="251">
        <f>(13.5*1118+270*14.5)/1388*G42*2.75*1388/1000000</f>
        <v>50.422399718732002</v>
      </c>
      <c r="J37" s="132">
        <f>+I37+'3'!J37</f>
        <v>194.44675821873201</v>
      </c>
      <c r="K37" s="133" t="s">
        <v>76</v>
      </c>
      <c r="L37" s="429"/>
      <c r="M37" s="430"/>
    </row>
    <row r="38" spans="1:19" ht="17.45" customHeight="1">
      <c r="A38" s="793" t="s">
        <v>13</v>
      </c>
      <c r="B38" s="794"/>
      <c r="C38" s="171">
        <f>SUMIF($G$7:$G$31,"Process",$F$7:$F$31)</f>
        <v>48</v>
      </c>
      <c r="D38" s="125">
        <f>+C38+'3'!D38</f>
        <v>300</v>
      </c>
      <c r="E38" s="150">
        <f t="shared" ref="E38:E51" si="12">D38/60</f>
        <v>5</v>
      </c>
      <c r="F38" s="368">
        <v>1209.9532710280373</v>
      </c>
      <c r="G38" s="368">
        <v>943.76355140186911</v>
      </c>
      <c r="H38" s="194" t="s">
        <v>77</v>
      </c>
      <c r="I38" s="551">
        <f>14.768+17.148+14.811</f>
        <v>46.727000000000004</v>
      </c>
      <c r="J38" s="134">
        <f>+I38+'3'!J38</f>
        <v>183.96299999999999</v>
      </c>
      <c r="K38" s="135" t="s">
        <v>76</v>
      </c>
      <c r="L38" s="431"/>
      <c r="M38" s="432"/>
    </row>
    <row r="39" spans="1:19" ht="17.45" customHeight="1">
      <c r="A39" s="789" t="s">
        <v>14</v>
      </c>
      <c r="B39" s="790"/>
      <c r="C39" s="171">
        <f>SUMIF($G$7:$G$31,"Cleaning",$F$7:$F$31)</f>
        <v>7</v>
      </c>
      <c r="D39" s="125">
        <f>+C39+'3'!D39</f>
        <v>30</v>
      </c>
      <c r="E39" s="150">
        <f t="shared" si="12"/>
        <v>0.5</v>
      </c>
      <c r="F39" s="368">
        <v>1260</v>
      </c>
      <c r="G39" s="368">
        <v>982.8</v>
      </c>
      <c r="H39" s="194" t="s">
        <v>78</v>
      </c>
      <c r="I39" s="149"/>
      <c r="J39" s="136">
        <f>J37/G4</f>
        <v>48.611689554683004</v>
      </c>
      <c r="K39" s="137" t="s">
        <v>76</v>
      </c>
      <c r="L39" s="431"/>
      <c r="M39" s="432"/>
    </row>
    <row r="40" spans="1:19" ht="17.45" customHeight="1">
      <c r="A40" s="789" t="s">
        <v>79</v>
      </c>
      <c r="B40" s="790"/>
      <c r="C40" s="171">
        <f>SUMIF($G$7:$G$31,"Mechanical",$F$7:$F$31)</f>
        <v>0</v>
      </c>
      <c r="D40" s="125">
        <f>+C40+'3'!D40</f>
        <v>0</v>
      </c>
      <c r="E40" s="150">
        <f t="shared" si="12"/>
        <v>0</v>
      </c>
      <c r="F40" s="368">
        <v>1203.75</v>
      </c>
      <c r="G40" s="368">
        <v>965.02499999999998</v>
      </c>
      <c r="H40" s="194" t="s">
        <v>80</v>
      </c>
      <c r="I40" s="125">
        <f>(K34+L34)/1000</f>
        <v>47.914000000000001</v>
      </c>
      <c r="J40" s="138">
        <f>+I40+'3'!J40</f>
        <v>181.55599999999998</v>
      </c>
      <c r="K40" s="137" t="s">
        <v>76</v>
      </c>
      <c r="L40" s="431"/>
      <c r="M40" s="432"/>
      <c r="Q40" s="183">
        <f>SUM(Q30:Q38)</f>
        <v>480</v>
      </c>
      <c r="R40" s="183">
        <f>SUM(R30:R38)</f>
        <v>577800</v>
      </c>
      <c r="S40" s="183">
        <f>SUM(S30:S38)</f>
        <v>463212</v>
      </c>
    </row>
    <row r="41" spans="1:19" ht="17.45" customHeight="1">
      <c r="A41" s="789" t="s">
        <v>81</v>
      </c>
      <c r="B41" s="790"/>
      <c r="C41" s="171">
        <f>SUMIF($G$7:$G$31,"Electrical",$F$7:$F$31)</f>
        <v>52</v>
      </c>
      <c r="D41" s="125">
        <f>+C41+'3'!D41</f>
        <v>262</v>
      </c>
      <c r="E41" s="150">
        <f t="shared" si="12"/>
        <v>4.3666666666666663</v>
      </c>
      <c r="F41" s="368"/>
      <c r="G41" s="368"/>
      <c r="H41" s="194" t="s">
        <v>82</v>
      </c>
      <c r="I41" s="149"/>
      <c r="J41" s="136">
        <f>J40/G4</f>
        <v>45.388999999999996</v>
      </c>
      <c r="K41" s="137" t="s">
        <v>76</v>
      </c>
      <c r="L41" s="431"/>
      <c r="M41" s="432"/>
      <c r="Q41" s="156">
        <f>480-Q40</f>
        <v>0</v>
      </c>
      <c r="R41" s="183">
        <f>+R40/Q40</f>
        <v>1203.75</v>
      </c>
      <c r="S41" s="183">
        <f>+S40/Q40</f>
        <v>965.02499999999998</v>
      </c>
    </row>
    <row r="42" spans="1:19" ht="17.45" customHeight="1">
      <c r="A42" s="789" t="s">
        <v>17</v>
      </c>
      <c r="B42" s="790"/>
      <c r="C42" s="171">
        <f>SUMIF($G$7:$G$31,"Instrument",$F$7:$F$31)</f>
        <v>0</v>
      </c>
      <c r="D42" s="125">
        <f>+C42+'3'!D42</f>
        <v>0</v>
      </c>
      <c r="E42" s="150">
        <f t="shared" si="12"/>
        <v>0</v>
      </c>
      <c r="F42" s="368">
        <f>+(428*F38+480*F39+480*F40)/1388</f>
        <v>1225.1152737752161</v>
      </c>
      <c r="G42" s="368">
        <f>+(428*G38+480*G39+480*G40)/1388</f>
        <v>964.61585014409229</v>
      </c>
      <c r="H42" s="194" t="s">
        <v>83</v>
      </c>
      <c r="I42" s="253" t="s">
        <v>454</v>
      </c>
      <c r="J42" s="139"/>
      <c r="K42" s="137" t="s">
        <v>84</v>
      </c>
      <c r="L42" s="431"/>
      <c r="M42" s="432"/>
    </row>
    <row r="43" spans="1:19" ht="17.45" customHeight="1">
      <c r="A43" s="789" t="s">
        <v>199</v>
      </c>
      <c r="B43" s="790"/>
      <c r="C43" s="171">
        <f>SUMIF($G$7:$G$31,"Change Grade",$F$7:$F$31)</f>
        <v>0</v>
      </c>
      <c r="D43" s="125">
        <f>+C43+'3'!D43</f>
        <v>0</v>
      </c>
      <c r="E43" s="150">
        <f t="shared" si="12"/>
        <v>0</v>
      </c>
      <c r="F43" s="368"/>
      <c r="G43" s="369"/>
      <c r="H43" s="195" t="s">
        <v>86</v>
      </c>
      <c r="I43" s="125">
        <f>+Report1!AH12</f>
        <v>66.5</v>
      </c>
      <c r="J43" s="140">
        <f>+I43+'3'!J43</f>
        <v>256.60000000000002</v>
      </c>
      <c r="K43" s="137" t="s">
        <v>76</v>
      </c>
      <c r="L43" s="433">
        <f>+Report1!AN12</f>
        <v>0</v>
      </c>
      <c r="M43" s="434">
        <f>+L43+'3'!M43</f>
        <v>9</v>
      </c>
      <c r="N43" s="156">
        <f>480-52</f>
        <v>428</v>
      </c>
    </row>
    <row r="44" spans="1:19" ht="17.45" customHeight="1">
      <c r="A44" s="789" t="s">
        <v>18</v>
      </c>
      <c r="B44" s="790"/>
      <c r="C44" s="171">
        <f>SUMIF($G$7:$G$31,"PLN",$F$7:$F$31)</f>
        <v>0</v>
      </c>
      <c r="D44" s="125">
        <f>+C44+'3'!D44</f>
        <v>0</v>
      </c>
      <c r="E44" s="150">
        <f t="shared" si="12"/>
        <v>0</v>
      </c>
      <c r="F44" s="368"/>
      <c r="G44" s="369"/>
      <c r="H44" s="195" t="s">
        <v>87</v>
      </c>
      <c r="I44" s="125">
        <f>I43/I38</f>
        <v>1.4231600573544203</v>
      </c>
      <c r="J44" s="141">
        <f>J43/J38</f>
        <v>1.3948457026684715</v>
      </c>
      <c r="K44" s="137" t="s">
        <v>76</v>
      </c>
      <c r="L44" s="435">
        <f>+L43/I38</f>
        <v>0</v>
      </c>
      <c r="M44" s="436">
        <f>+M43/J38</f>
        <v>4.8922881231552001E-2</v>
      </c>
      <c r="N44" s="156">
        <v>480</v>
      </c>
      <c r="P44" s="156" t="s">
        <v>408</v>
      </c>
      <c r="Q44" s="156">
        <v>1240.8407871198569</v>
      </c>
      <c r="R44" s="156">
        <v>967.85581395348845</v>
      </c>
      <c r="S44" s="156">
        <v>1118</v>
      </c>
    </row>
    <row r="45" spans="1:19" ht="17.45" customHeight="1">
      <c r="A45" s="789" t="s">
        <v>19</v>
      </c>
      <c r="B45" s="790"/>
      <c r="C45" s="171">
        <f>SUMIF($G$7:$G$31,"Boiler",$F$7:$F$31)</f>
        <v>0</v>
      </c>
      <c r="D45" s="125">
        <f>+C45+'3'!D45</f>
        <v>0</v>
      </c>
      <c r="E45" s="150">
        <f t="shared" si="12"/>
        <v>0</v>
      </c>
      <c r="F45" s="368"/>
      <c r="G45" s="371"/>
      <c r="H45" s="195" t="s">
        <v>88</v>
      </c>
      <c r="I45" s="125">
        <f>I43/I40</f>
        <v>1.387903326793839</v>
      </c>
      <c r="J45" s="141">
        <f>J43/J40</f>
        <v>1.4133380334442269</v>
      </c>
      <c r="K45" s="137" t="s">
        <v>76</v>
      </c>
      <c r="L45" s="435">
        <f>+L43/I40</f>
        <v>0</v>
      </c>
      <c r="M45" s="436">
        <f>+M43/J40</f>
        <v>4.9571482077155261E-2</v>
      </c>
      <c r="N45" s="156">
        <v>480</v>
      </c>
      <c r="P45" s="156" t="s">
        <v>451</v>
      </c>
      <c r="Q45" s="156">
        <v>1160</v>
      </c>
      <c r="R45" s="156">
        <v>951.2</v>
      </c>
      <c r="S45" s="156">
        <v>270</v>
      </c>
    </row>
    <row r="46" spans="1:19" ht="17.45" customHeight="1">
      <c r="A46" s="789" t="s">
        <v>89</v>
      </c>
      <c r="B46" s="790"/>
      <c r="C46" s="171">
        <f>SUMIF($G$7:$G$31,"Gas",$F$7:$F$31)</f>
        <v>0</v>
      </c>
      <c r="D46" s="125">
        <f>+C46+'3'!D46</f>
        <v>0</v>
      </c>
      <c r="E46" s="150">
        <f t="shared" si="12"/>
        <v>0</v>
      </c>
      <c r="F46" s="368"/>
      <c r="G46" s="369"/>
      <c r="H46" s="195" t="s">
        <v>90</v>
      </c>
      <c r="I46" s="147">
        <f>+SUMIF(Listrik!P11,"&gt;0")</f>
        <v>42217.000000000051</v>
      </c>
      <c r="J46" s="142">
        <f>+I46+'3'!J46</f>
        <v>163595.64000000004</v>
      </c>
      <c r="K46" s="137" t="s">
        <v>91</v>
      </c>
      <c r="L46" s="435">
        <f>+Listrik!AF11</f>
        <v>0</v>
      </c>
      <c r="M46" s="437">
        <f>+L46+'3'!M46</f>
        <v>0</v>
      </c>
      <c r="N46" s="156">
        <f>+N43+N44+N45</f>
        <v>1388</v>
      </c>
      <c r="S46" s="156">
        <f>+S44+S45</f>
        <v>1388</v>
      </c>
    </row>
    <row r="47" spans="1:19" ht="17.45" customHeight="1">
      <c r="A47" s="789" t="s">
        <v>92</v>
      </c>
      <c r="B47" s="790"/>
      <c r="C47" s="171">
        <f>SUMIF($G$7:$G$31,"Gas",$F$7:$F$31)</f>
        <v>0</v>
      </c>
      <c r="D47" s="125">
        <f>+C47+'3'!D47</f>
        <v>0</v>
      </c>
      <c r="E47" s="150">
        <f t="shared" si="12"/>
        <v>0</v>
      </c>
      <c r="F47" s="368"/>
      <c r="G47" s="369"/>
      <c r="H47" s="195" t="s">
        <v>93</v>
      </c>
      <c r="I47" s="125">
        <f>I46/I38</f>
        <v>903.48192693731778</v>
      </c>
      <c r="J47" s="142">
        <f>J46/J38</f>
        <v>889.2855628577488</v>
      </c>
      <c r="K47" s="137" t="s">
        <v>25</v>
      </c>
      <c r="L47" s="431">
        <f>+L46/I38</f>
        <v>0</v>
      </c>
      <c r="M47" s="436">
        <f>+M46/J38</f>
        <v>0</v>
      </c>
    </row>
    <row r="48" spans="1:19" ht="17.45" customHeight="1">
      <c r="A48" s="789" t="s">
        <v>15</v>
      </c>
      <c r="B48" s="790"/>
      <c r="C48" s="171">
        <f>SUMIF($G$7:$G$31,"Start Up",$F$7:$F$31)</f>
        <v>0</v>
      </c>
      <c r="D48" s="125">
        <f>+C48+'3'!D48</f>
        <v>0</v>
      </c>
      <c r="E48" s="150">
        <f t="shared" si="12"/>
        <v>0</v>
      </c>
      <c r="F48" s="368"/>
      <c r="G48" s="369"/>
      <c r="H48" s="195" t="s">
        <v>94</v>
      </c>
      <c r="I48" s="125">
        <f>I46/I40</f>
        <v>881.09946988354238</v>
      </c>
      <c r="J48" s="142">
        <f>J46/J40</f>
        <v>901.07537068452746</v>
      </c>
      <c r="K48" s="137" t="s">
        <v>25</v>
      </c>
      <c r="L48" s="435">
        <f>+L46/I38</f>
        <v>0</v>
      </c>
      <c r="M48" s="436">
        <f>+M46/J40</f>
        <v>0</v>
      </c>
    </row>
    <row r="49" spans="1:13" ht="17.45" customHeight="1">
      <c r="A49" s="789" t="s">
        <v>21</v>
      </c>
      <c r="B49" s="790"/>
      <c r="C49" s="171">
        <f>SUMIF($G$7:$G$31,"Others",$F$7:$F$31)</f>
        <v>0</v>
      </c>
      <c r="D49" s="125">
        <f>+C49+'3'!D49</f>
        <v>0</v>
      </c>
      <c r="E49" s="150">
        <f t="shared" si="12"/>
        <v>0</v>
      </c>
      <c r="F49" s="192"/>
      <c r="H49" s="195" t="s">
        <v>182</v>
      </c>
      <c r="I49" s="125">
        <f>+Report1!AB12</f>
        <v>4954.3705482401765</v>
      </c>
      <c r="J49" s="142">
        <f>+I49+'3'!J49</f>
        <v>14979.920779280377</v>
      </c>
      <c r="K49" s="137" t="s">
        <v>96</v>
      </c>
      <c r="L49" s="431"/>
      <c r="M49" s="432"/>
    </row>
    <row r="50" spans="1:13" ht="17.45" customHeight="1">
      <c r="A50" s="789" t="s">
        <v>20</v>
      </c>
      <c r="B50" s="790"/>
      <c r="C50" s="171">
        <f>SUMIF($G$7:$G$31,"Steam",$F$7:$F$31)</f>
        <v>0</v>
      </c>
      <c r="D50" s="125">
        <f>+C50+'3'!D50</f>
        <v>0</v>
      </c>
      <c r="E50" s="150">
        <f t="shared" si="12"/>
        <v>0</v>
      </c>
      <c r="F50" s="192"/>
      <c r="H50" s="195" t="s">
        <v>97</v>
      </c>
      <c r="I50" s="147">
        <f>I49/I38</f>
        <v>106.02800411411339</v>
      </c>
      <c r="J50" s="140">
        <f>J49/J38</f>
        <v>81.42898723808797</v>
      </c>
      <c r="K50" s="137" t="s">
        <v>96</v>
      </c>
      <c r="L50" s="431"/>
      <c r="M50" s="432"/>
    </row>
    <row r="51" spans="1:13" ht="17.45" customHeight="1" thickBot="1">
      <c r="A51" s="791" t="s">
        <v>98</v>
      </c>
      <c r="B51" s="792"/>
      <c r="C51" s="171">
        <f>SUMIF($G$7:$G$31,"Planned shut",$F$7:$F$31)</f>
        <v>0</v>
      </c>
      <c r="D51" s="125">
        <f>+C51+'3'!D51</f>
        <v>0</v>
      </c>
      <c r="E51" s="150">
        <f t="shared" si="12"/>
        <v>0</v>
      </c>
      <c r="F51" s="192"/>
      <c r="H51" s="197" t="s">
        <v>99</v>
      </c>
      <c r="I51" s="148">
        <f>I49/I40</f>
        <v>103.40131377551815</v>
      </c>
      <c r="J51" s="143">
        <f>J49/J40</f>
        <v>82.508541603033663</v>
      </c>
      <c r="K51" s="144" t="s">
        <v>96</v>
      </c>
      <c r="L51" s="431"/>
      <c r="M51" s="432"/>
    </row>
    <row r="52" spans="1:13" ht="13.5" thickBot="1">
      <c r="A52" s="793" t="s">
        <v>29</v>
      </c>
      <c r="B52" s="794"/>
      <c r="C52" s="151">
        <f>SUM(C38:C51)</f>
        <v>107</v>
      </c>
      <c r="D52" s="151">
        <f>SUM(D38:D51)</f>
        <v>592</v>
      </c>
      <c r="E52" s="152">
        <f>SUM(E38:E51)</f>
        <v>9.8666666666666671</v>
      </c>
      <c r="F52" s="192"/>
      <c r="H52" s="198"/>
      <c r="I52" s="199"/>
      <c r="J52" s="145"/>
      <c r="K52" s="146"/>
      <c r="L52" s="438"/>
      <c r="M52" s="439"/>
    </row>
    <row r="53" spans="1:13" ht="13.5" thickBot="1">
      <c r="A53" s="795"/>
      <c r="B53" s="796"/>
      <c r="C53" s="153">
        <f>C52/(24*60)</f>
        <v>7.4305555555555555E-2</v>
      </c>
      <c r="D53" s="153">
        <f>D52/(24*60*G4)</f>
        <v>0.10277777777777777</v>
      </c>
      <c r="E53" s="154">
        <f>E52/(G4*24)</f>
        <v>0.10277777777777779</v>
      </c>
      <c r="F53" s="192"/>
    </row>
    <row r="54" spans="1:13">
      <c r="E54" s="200"/>
      <c r="F54" s="192"/>
    </row>
    <row r="55" spans="1:13">
      <c r="E55" s="200"/>
    </row>
    <row r="56" spans="1:13">
      <c r="A56" s="201" t="s">
        <v>100</v>
      </c>
      <c r="B56" s="202"/>
      <c r="C56" s="203"/>
      <c r="D56" s="203"/>
      <c r="E56" s="203"/>
      <c r="F56" s="204"/>
      <c r="G56" s="203"/>
      <c r="H56" s="205"/>
      <c r="I56" s="206" t="s">
        <v>101</v>
      </c>
      <c r="J56" s="207">
        <f>+D34+'3'!J56</f>
        <v>1840</v>
      </c>
      <c r="K56" s="208">
        <f>J56/(J40+J56/1000)/1000</f>
        <v>1.0032934197038105E-2</v>
      </c>
    </row>
    <row r="57" spans="1:13">
      <c r="A57" s="183"/>
      <c r="I57" s="206" t="s">
        <v>102</v>
      </c>
      <c r="J57" s="207">
        <f>+E34+'3'!J57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T61"/>
  <sheetViews>
    <sheetView view="pageBreakPreview" topLeftCell="A25" zoomScale="80" zoomScaleNormal="75" zoomScaleSheetLayoutView="80" workbookViewId="0">
      <selection activeCell="I37" sqref="I37"/>
    </sheetView>
  </sheetViews>
  <sheetFormatPr defaultColWidth="9.140625" defaultRowHeight="12.75"/>
  <cols>
    <col min="1" max="1" width="8" style="156" customWidth="1"/>
    <col min="2" max="2" width="7" style="156" bestFit="1" customWidth="1"/>
    <col min="3" max="3" width="14.85546875" style="156" bestFit="1" customWidth="1"/>
    <col min="4" max="4" width="12.710937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20.140625" style="156" bestFit="1" customWidth="1"/>
    <col min="11" max="11" width="13.7109375" style="156" bestFit="1" customWidth="1"/>
    <col min="12" max="12" width="8.28515625" style="156" customWidth="1"/>
    <col min="13" max="13" width="14.5703125" style="156" bestFit="1" customWidth="1"/>
    <col min="14" max="16384" width="9.140625" style="156"/>
  </cols>
  <sheetData>
    <row r="1" spans="1:20" ht="15.75">
      <c r="A1" s="155"/>
    </row>
    <row r="2" spans="1:20" ht="15.75">
      <c r="A2" s="155" t="s">
        <v>183</v>
      </c>
    </row>
    <row r="3" spans="1:20" ht="15">
      <c r="A3" s="157"/>
    </row>
    <row r="4" spans="1:20" ht="20.25">
      <c r="A4" s="158" t="s">
        <v>5</v>
      </c>
      <c r="B4" s="159"/>
      <c r="F4" s="160" t="s">
        <v>30</v>
      </c>
      <c r="G4" s="161">
        <v>3</v>
      </c>
      <c r="H4" s="161" t="str">
        <f>+'1'!H4</f>
        <v>.01.26</v>
      </c>
      <c r="J4" s="156">
        <f>288+324.7+349.3</f>
        <v>962</v>
      </c>
    </row>
    <row r="5" spans="1:20" ht="13.5" thickBot="1">
      <c r="C5" s="162"/>
      <c r="D5" s="162"/>
    </row>
    <row r="6" spans="1:20"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O6" s="156" t="s">
        <v>408</v>
      </c>
      <c r="P6" s="156">
        <v>1260</v>
      </c>
      <c r="Q6" s="156">
        <f>+P6-(P6*0.22)</f>
        <v>982.8</v>
      </c>
      <c r="R6" s="156">
        <v>480</v>
      </c>
      <c r="S6" s="156">
        <f t="shared" ref="S6" si="0">+P6*R6</f>
        <v>604800</v>
      </c>
      <c r="T6" s="156">
        <f t="shared" ref="T6" si="1">+Q6*R6</f>
        <v>471744</v>
      </c>
    </row>
    <row r="7" spans="1:20" ht="13.5" customHeight="1" thickBot="1">
      <c r="A7" s="800" t="s">
        <v>423</v>
      </c>
      <c r="B7" s="222" t="s">
        <v>422</v>
      </c>
      <c r="C7" s="223">
        <v>16190</v>
      </c>
      <c r="D7" s="224">
        <v>600</v>
      </c>
      <c r="E7" s="225"/>
      <c r="F7" s="235"/>
      <c r="G7" s="236" t="s">
        <v>13</v>
      </c>
      <c r="H7" s="237" t="s">
        <v>386</v>
      </c>
      <c r="I7" s="803" t="s">
        <v>435</v>
      </c>
      <c r="J7" s="221" t="str">
        <f>+'2'!J7</f>
        <v>T 13,5 RC HW</v>
      </c>
      <c r="K7" s="245">
        <f>+C34</f>
        <v>43020</v>
      </c>
      <c r="L7" s="249"/>
      <c r="M7" s="124">
        <f>+K7+'2'!M7+L7</f>
        <v>133642</v>
      </c>
    </row>
    <row r="8" spans="1:20" ht="13.5" thickBot="1">
      <c r="A8" s="801"/>
      <c r="B8" s="222"/>
      <c r="C8" s="223"/>
      <c r="D8" s="224"/>
      <c r="E8" s="226"/>
      <c r="F8" s="238">
        <v>4</v>
      </c>
      <c r="G8" s="582" t="s">
        <v>13</v>
      </c>
      <c r="H8" s="237" t="s">
        <v>415</v>
      </c>
      <c r="I8" s="804"/>
      <c r="J8" s="221">
        <f>+'2'!J8</f>
        <v>0</v>
      </c>
      <c r="K8" s="246"/>
      <c r="L8" s="246"/>
      <c r="M8" s="124">
        <f>+K8+'2'!M8+L8</f>
        <v>0</v>
      </c>
    </row>
    <row r="9" spans="1:20" ht="13.5" thickBot="1">
      <c r="A9" s="801"/>
      <c r="B9" s="222"/>
      <c r="C9" s="223"/>
      <c r="D9" s="224"/>
      <c r="E9" s="227"/>
      <c r="F9" s="235">
        <v>9</v>
      </c>
      <c r="G9" s="582" t="s">
        <v>13</v>
      </c>
      <c r="H9" s="240" t="s">
        <v>395</v>
      </c>
      <c r="I9" s="804"/>
      <c r="J9" s="221">
        <f>+'2'!J9</f>
        <v>0</v>
      </c>
      <c r="K9" s="246"/>
      <c r="L9" s="246"/>
      <c r="M9" s="124">
        <f>+K9+'2'!M9+L9</f>
        <v>0</v>
      </c>
    </row>
    <row r="10" spans="1:20" ht="26.25" thickBot="1">
      <c r="A10" s="801"/>
      <c r="B10" s="222"/>
      <c r="C10" s="223"/>
      <c r="D10" s="224"/>
      <c r="E10" s="226"/>
      <c r="F10" s="235"/>
      <c r="G10" s="244" t="s">
        <v>14</v>
      </c>
      <c r="H10" s="240" t="s">
        <v>446</v>
      </c>
      <c r="I10" s="804"/>
      <c r="J10" s="221">
        <f>+'2'!J10</f>
        <v>0</v>
      </c>
      <c r="K10" s="246"/>
      <c r="L10" s="246"/>
      <c r="M10" s="124">
        <f>+K10+'2'!M10+L10</f>
        <v>0</v>
      </c>
    </row>
    <row r="11" spans="1:20" ht="13.5" thickBot="1">
      <c r="A11" s="801"/>
      <c r="B11" s="222"/>
      <c r="C11" s="223"/>
      <c r="D11" s="224"/>
      <c r="E11" s="226"/>
      <c r="F11" s="235"/>
      <c r="G11" s="239"/>
      <c r="H11" s="240"/>
      <c r="I11" s="804"/>
      <c r="J11" s="221">
        <f>+'2'!J11</f>
        <v>0</v>
      </c>
      <c r="K11" s="246"/>
      <c r="L11" s="246"/>
      <c r="M11" s="124">
        <f>+K11+'2'!M11+L11</f>
        <v>0</v>
      </c>
    </row>
    <row r="12" spans="1:20" ht="13.5" thickBot="1">
      <c r="A12" s="801"/>
      <c r="B12" s="222"/>
      <c r="C12" s="223"/>
      <c r="D12" s="224"/>
      <c r="E12" s="226"/>
      <c r="F12" s="235"/>
      <c r="G12" s="239"/>
      <c r="H12" s="240"/>
      <c r="I12" s="804"/>
      <c r="J12" s="221">
        <f>+'2'!J12</f>
        <v>0</v>
      </c>
      <c r="K12" s="246"/>
      <c r="L12" s="246"/>
      <c r="M12" s="124">
        <f>+K12+'2'!M12+L12</f>
        <v>0</v>
      </c>
    </row>
    <row r="13" spans="1:20" ht="13.5" thickBot="1">
      <c r="A13" s="801"/>
      <c r="B13" s="222"/>
      <c r="C13" s="223"/>
      <c r="D13" s="223"/>
      <c r="E13" s="226"/>
      <c r="F13" s="235"/>
      <c r="G13" s="582"/>
      <c r="H13" s="240"/>
      <c r="I13" s="805"/>
      <c r="J13" s="221">
        <f>+'2'!J13</f>
        <v>0</v>
      </c>
      <c r="K13" s="246"/>
      <c r="L13" s="246"/>
      <c r="M13" s="124">
        <f>+K13+'2'!M13+L13</f>
        <v>0</v>
      </c>
    </row>
    <row r="14" spans="1:20" ht="13.5" thickBot="1">
      <c r="A14" s="802"/>
      <c r="B14" s="172"/>
      <c r="C14" s="106">
        <f>SUM(C7:C13)</f>
        <v>16190</v>
      </c>
      <c r="D14" s="118">
        <f>SUM(D7:D13)</f>
        <v>600</v>
      </c>
      <c r="E14" s="119">
        <f>SUM(E5:E13)</f>
        <v>0</v>
      </c>
      <c r="F14" s="109">
        <f>SUM(F6:F13)</f>
        <v>13</v>
      </c>
      <c r="G14" s="166"/>
      <c r="H14" s="173"/>
      <c r="I14" s="174"/>
      <c r="J14" s="221">
        <f>+'2'!J14</f>
        <v>0</v>
      </c>
      <c r="K14" s="246"/>
      <c r="L14" s="246"/>
      <c r="M14" s="124">
        <f>+K14+'2'!M14+L14</f>
        <v>0</v>
      </c>
      <c r="R14" s="183">
        <f>SUM(R6:R11)</f>
        <v>480</v>
      </c>
      <c r="S14" s="183">
        <f>SUM(S6:S11)</f>
        <v>604800</v>
      </c>
      <c r="T14" s="183">
        <f>SUM(T6:T11)</f>
        <v>471744</v>
      </c>
    </row>
    <row r="15" spans="1:20" ht="13.5" customHeight="1" thickBot="1">
      <c r="A15" s="800" t="s">
        <v>424</v>
      </c>
      <c r="B15" s="172"/>
      <c r="C15" s="120">
        <f>C14/($C$23+$D$23+$E$23)</f>
        <v>1.4923034381048945</v>
      </c>
      <c r="D15" s="121">
        <f>D14/($C$23+$D$23+$E$23)</f>
        <v>5.5304636372015853E-2</v>
      </c>
      <c r="E15" s="122">
        <f>E14/($C$23+$D$23+$E$23)</f>
        <v>0</v>
      </c>
      <c r="F15" s="235"/>
      <c r="G15" s="236" t="s">
        <v>13</v>
      </c>
      <c r="H15" s="237" t="s">
        <v>386</v>
      </c>
      <c r="I15" s="803" t="s">
        <v>435</v>
      </c>
      <c r="J15" s="221">
        <f>+'2'!J15</f>
        <v>0</v>
      </c>
      <c r="K15" s="246"/>
      <c r="L15" s="246"/>
      <c r="M15" s="124">
        <f>+K15+'2'!M15+L15</f>
        <v>0</v>
      </c>
      <c r="R15" s="156">
        <f>480-R14</f>
        <v>0</v>
      </c>
      <c r="S15" s="183">
        <f>+S14/R14</f>
        <v>1260</v>
      </c>
      <c r="T15" s="183">
        <f>+T14/R14</f>
        <v>982.8</v>
      </c>
    </row>
    <row r="16" spans="1:20" ht="13.5" thickBot="1">
      <c r="A16" s="811"/>
      <c r="B16" s="222" t="s">
        <v>422</v>
      </c>
      <c r="C16" s="229">
        <v>10849</v>
      </c>
      <c r="D16" s="230"/>
      <c r="E16" s="231"/>
      <c r="F16" s="238">
        <v>4</v>
      </c>
      <c r="G16" s="582" t="s">
        <v>13</v>
      </c>
      <c r="H16" s="237" t="s">
        <v>414</v>
      </c>
      <c r="I16" s="804"/>
      <c r="J16" s="221">
        <f>+'2'!J16</f>
        <v>0</v>
      </c>
      <c r="K16" s="236"/>
      <c r="L16" s="236"/>
      <c r="M16" s="124">
        <f>+K16+'2'!M16+L16</f>
        <v>0</v>
      </c>
      <c r="O16" s="156" t="s">
        <v>408</v>
      </c>
      <c r="P16" s="156">
        <v>1260</v>
      </c>
      <c r="Q16" s="156">
        <f>+P16-(P16*0.22)</f>
        <v>982.8</v>
      </c>
      <c r="R16" s="156">
        <v>10</v>
      </c>
      <c r="S16" s="156">
        <f t="shared" ref="S16:S17" si="2">+P16*R16</f>
        <v>12600</v>
      </c>
      <c r="T16" s="156">
        <f t="shared" ref="T16:T17" si="3">+Q16*R16</f>
        <v>9828</v>
      </c>
    </row>
    <row r="17" spans="1:20" ht="13.5" thickBot="1">
      <c r="A17" s="811"/>
      <c r="B17" s="222"/>
      <c r="C17" s="223"/>
      <c r="D17" s="224"/>
      <c r="E17" s="232"/>
      <c r="F17" s="235">
        <v>8</v>
      </c>
      <c r="G17" s="582" t="s">
        <v>13</v>
      </c>
      <c r="H17" s="240" t="s">
        <v>450</v>
      </c>
      <c r="I17" s="804"/>
      <c r="J17" s="221">
        <f>+'2'!J17</f>
        <v>0</v>
      </c>
      <c r="K17" s="236"/>
      <c r="L17" s="236"/>
      <c r="M17" s="124">
        <f>+K17+'2'!M17+L17</f>
        <v>0</v>
      </c>
      <c r="P17" s="156">
        <v>1260</v>
      </c>
      <c r="Q17" s="156">
        <f>+P17-(P17*0.22)</f>
        <v>982.8</v>
      </c>
      <c r="R17" s="156">
        <f>60-40+240</f>
        <v>260</v>
      </c>
      <c r="S17" s="156">
        <f t="shared" si="2"/>
        <v>327600</v>
      </c>
      <c r="T17" s="156">
        <f t="shared" si="3"/>
        <v>255528</v>
      </c>
    </row>
    <row r="18" spans="1:20" ht="26.25" thickBot="1">
      <c r="A18" s="811"/>
      <c r="B18" s="222"/>
      <c r="C18" s="223"/>
      <c r="D18" s="224"/>
      <c r="E18" s="232"/>
      <c r="F18" s="242"/>
      <c r="G18" s="244" t="s">
        <v>14</v>
      </c>
      <c r="H18" s="240" t="s">
        <v>433</v>
      </c>
      <c r="I18" s="804"/>
      <c r="J18" s="221">
        <f>+'2'!J18</f>
        <v>0</v>
      </c>
      <c r="K18" s="246"/>
      <c r="L18" s="246"/>
      <c r="M18" s="124">
        <f>+K18+'2'!M18+L18</f>
        <v>0</v>
      </c>
    </row>
    <row r="19" spans="1:20" ht="149.25" customHeight="1" thickBot="1">
      <c r="A19" s="811"/>
      <c r="B19" s="222"/>
      <c r="C19" s="223"/>
      <c r="D19" s="224"/>
      <c r="E19" s="232"/>
      <c r="F19" s="235">
        <f>60-10+120+40</f>
        <v>210</v>
      </c>
      <c r="G19" s="582" t="s">
        <v>81</v>
      </c>
      <c r="H19" s="240" t="s">
        <v>449</v>
      </c>
      <c r="I19" s="804"/>
      <c r="J19" s="221">
        <f>+'2'!J19</f>
        <v>0</v>
      </c>
      <c r="K19" s="246"/>
      <c r="L19" s="246"/>
      <c r="M19" s="124">
        <f>+K19+'2'!M19+L19</f>
        <v>0</v>
      </c>
    </row>
    <row r="20" spans="1:20" ht="13.5" thickBot="1">
      <c r="A20" s="811"/>
      <c r="B20" s="222"/>
      <c r="C20" s="223"/>
      <c r="D20" s="224"/>
      <c r="E20" s="232"/>
      <c r="F20" s="235"/>
      <c r="G20" s="239"/>
      <c r="H20" s="240"/>
      <c r="I20" s="804"/>
      <c r="J20" s="221">
        <f>+'2'!J20</f>
        <v>0</v>
      </c>
      <c r="K20" s="247"/>
      <c r="L20" s="247"/>
      <c r="M20" s="124">
        <f>+K20+'2'!M20+L20</f>
        <v>0</v>
      </c>
    </row>
    <row r="21" spans="1:20" ht="13.5" thickBot="1">
      <c r="A21" s="811"/>
      <c r="B21" s="222"/>
      <c r="C21" s="223"/>
      <c r="D21" s="224"/>
      <c r="E21" s="232"/>
      <c r="F21" s="238"/>
      <c r="G21" s="239"/>
      <c r="H21" s="240"/>
      <c r="I21" s="804"/>
      <c r="J21" s="221">
        <f>+'2'!J21</f>
        <v>0</v>
      </c>
      <c r="K21" s="246"/>
      <c r="L21" s="246"/>
      <c r="M21" s="124">
        <f>+K21+'2'!M21+L21</f>
        <v>0</v>
      </c>
    </row>
    <row r="22" spans="1:20" ht="13.5" thickBot="1">
      <c r="A22" s="811"/>
      <c r="B22" s="222"/>
      <c r="C22" s="223"/>
      <c r="D22" s="224"/>
      <c r="E22" s="232"/>
      <c r="F22" s="243"/>
      <c r="G22" s="239"/>
      <c r="H22" s="240"/>
      <c r="I22" s="805"/>
      <c r="J22" s="221">
        <f>+'2'!J22</f>
        <v>0</v>
      </c>
      <c r="K22" s="246"/>
      <c r="L22" s="246"/>
      <c r="M22" s="124">
        <f>+K22+'2'!M22+L22</f>
        <v>0</v>
      </c>
    </row>
    <row r="23" spans="1:20" ht="13.5" thickBot="1">
      <c r="A23" s="812"/>
      <c r="B23" s="172"/>
      <c r="C23" s="107">
        <f>SUM(C16:C22)</f>
        <v>10849</v>
      </c>
      <c r="D23" s="118">
        <f>SUM(D16:D22)</f>
        <v>0</v>
      </c>
      <c r="E23" s="119">
        <f>SUM(E18:E22)</f>
        <v>0</v>
      </c>
      <c r="F23" s="109">
        <f>SUM(F15:F22)</f>
        <v>222</v>
      </c>
      <c r="G23" s="166"/>
      <c r="H23" s="173"/>
      <c r="I23" s="176"/>
      <c r="J23" s="221">
        <f>+'2'!J23</f>
        <v>0</v>
      </c>
      <c r="K23" s="246"/>
      <c r="L23" s="246"/>
      <c r="M23" s="124">
        <f>+K23+'2'!M23+L23</f>
        <v>0</v>
      </c>
    </row>
    <row r="24" spans="1:20" ht="13.5" customHeight="1" thickBot="1">
      <c r="A24" s="800" t="s">
        <v>440</v>
      </c>
      <c r="B24" s="177"/>
      <c r="C24" s="120">
        <f>C23/($C$23+$D$23+$E$23)</f>
        <v>1</v>
      </c>
      <c r="D24" s="121">
        <f>D23/($C$23+$D$23+$E$23)</f>
        <v>0</v>
      </c>
      <c r="E24" s="122">
        <f>E23/($C$23+$D$23+$E$23)</f>
        <v>0</v>
      </c>
      <c r="F24" s="235"/>
      <c r="G24" s="236" t="s">
        <v>13</v>
      </c>
      <c r="H24" s="237" t="s">
        <v>386</v>
      </c>
      <c r="I24" s="803" t="s">
        <v>435</v>
      </c>
      <c r="J24" s="221">
        <f>+'2'!J24</f>
        <v>0</v>
      </c>
      <c r="K24" s="246"/>
      <c r="L24" s="246"/>
      <c r="M24" s="124">
        <f>+K24+'2'!M24+L24</f>
        <v>0</v>
      </c>
      <c r="R24" s="183">
        <f>SUM(R16:R21)</f>
        <v>270</v>
      </c>
      <c r="S24" s="183">
        <f>SUM(S16:S21)</f>
        <v>340200</v>
      </c>
      <c r="T24" s="183">
        <f>SUM(T16:T21)</f>
        <v>265356</v>
      </c>
    </row>
    <row r="25" spans="1:20" ht="13.5" thickBot="1">
      <c r="A25" s="811"/>
      <c r="B25" s="222" t="s">
        <v>422</v>
      </c>
      <c r="C25" s="233">
        <v>15981</v>
      </c>
      <c r="D25" s="224"/>
      <c r="E25" s="232"/>
      <c r="F25" s="238">
        <v>8</v>
      </c>
      <c r="G25" s="582" t="s">
        <v>13</v>
      </c>
      <c r="H25" s="237" t="s">
        <v>415</v>
      </c>
      <c r="I25" s="804"/>
      <c r="J25" s="221">
        <f>+'2'!J25</f>
        <v>0</v>
      </c>
      <c r="K25" s="246"/>
      <c r="L25" s="246"/>
      <c r="M25" s="124">
        <f>+K25+'2'!M25+L25</f>
        <v>0</v>
      </c>
      <c r="R25" s="156">
        <f>480-R24</f>
        <v>210</v>
      </c>
      <c r="S25" s="183">
        <f>+S24/R24</f>
        <v>1260</v>
      </c>
      <c r="T25" s="183">
        <f>+T24/R24</f>
        <v>982.8</v>
      </c>
    </row>
    <row r="26" spans="1:20" ht="13.5" thickBot="1">
      <c r="A26" s="811"/>
      <c r="B26" s="222"/>
      <c r="C26" s="233"/>
      <c r="D26" s="224"/>
      <c r="E26" s="234"/>
      <c r="F26" s="235">
        <v>10</v>
      </c>
      <c r="G26" s="582" t="s">
        <v>13</v>
      </c>
      <c r="H26" s="240" t="s">
        <v>395</v>
      </c>
      <c r="I26" s="804"/>
      <c r="J26" s="221">
        <f>+'2'!J26</f>
        <v>0</v>
      </c>
      <c r="K26" s="246"/>
      <c r="L26" s="246"/>
      <c r="M26" s="124">
        <f>+K26+'2'!M26+L26</f>
        <v>0</v>
      </c>
    </row>
    <row r="27" spans="1:20" ht="26.25" thickBot="1">
      <c r="A27" s="811"/>
      <c r="B27" s="222"/>
      <c r="C27" s="223"/>
      <c r="D27" s="224"/>
      <c r="E27" s="232"/>
      <c r="F27" s="235"/>
      <c r="G27" s="244" t="s">
        <v>14</v>
      </c>
      <c r="H27" s="240" t="s">
        <v>448</v>
      </c>
      <c r="I27" s="804"/>
      <c r="J27" s="221">
        <f>+'2'!J27</f>
        <v>0</v>
      </c>
      <c r="K27" s="246"/>
      <c r="L27" s="246"/>
      <c r="M27" s="124">
        <f>+K27+'2'!M27+L27</f>
        <v>0</v>
      </c>
      <c r="O27" s="156" t="s">
        <v>408</v>
      </c>
      <c r="P27" s="156">
        <v>1260</v>
      </c>
      <c r="Q27" s="156">
        <f>+P27-(P27*0.22)</f>
        <v>982.8</v>
      </c>
      <c r="R27" s="156">
        <v>480</v>
      </c>
      <c r="S27" s="156">
        <f t="shared" ref="S27" si="4">+P27*R27</f>
        <v>604800</v>
      </c>
      <c r="T27" s="156">
        <f t="shared" ref="T27" si="5">+Q27*R27</f>
        <v>471744</v>
      </c>
    </row>
    <row r="28" spans="1:20" ht="13.5" thickBot="1">
      <c r="A28" s="811"/>
      <c r="B28" s="222"/>
      <c r="C28" s="223"/>
      <c r="D28" s="224"/>
      <c r="E28" s="232"/>
      <c r="F28" s="238"/>
      <c r="G28" s="239"/>
      <c r="H28" s="240"/>
      <c r="I28" s="804"/>
      <c r="J28" s="221">
        <f>+'2'!J28</f>
        <v>0</v>
      </c>
      <c r="K28" s="246"/>
      <c r="L28" s="246"/>
      <c r="M28" s="124">
        <f>+K28+'2'!M28+L28</f>
        <v>0</v>
      </c>
    </row>
    <row r="29" spans="1:20" ht="13.5" thickBot="1">
      <c r="A29" s="811"/>
      <c r="B29" s="222"/>
      <c r="C29" s="223"/>
      <c r="D29" s="224"/>
      <c r="E29" s="232"/>
      <c r="F29" s="243"/>
      <c r="G29" s="239"/>
      <c r="H29" s="240"/>
      <c r="I29" s="804"/>
      <c r="J29" s="221">
        <f>+'2'!J29</f>
        <v>0</v>
      </c>
      <c r="K29" s="246"/>
      <c r="L29" s="246"/>
      <c r="M29" s="124">
        <f>+K29+'2'!M29+L29</f>
        <v>0</v>
      </c>
    </row>
    <row r="30" spans="1:20" ht="13.5" thickBot="1">
      <c r="A30" s="811"/>
      <c r="B30" s="222"/>
      <c r="C30" s="233"/>
      <c r="D30" s="224"/>
      <c r="E30" s="232"/>
      <c r="F30" s="243"/>
      <c r="G30" s="239"/>
      <c r="H30" s="240"/>
      <c r="I30" s="804"/>
      <c r="J30" s="221">
        <f>+'2'!J30</f>
        <v>0</v>
      </c>
      <c r="K30" s="246"/>
      <c r="L30" s="246"/>
      <c r="M30" s="124">
        <f>+K30+'2'!M30+L30</f>
        <v>0</v>
      </c>
      <c r="N30" s="162"/>
    </row>
    <row r="31" spans="1:20" ht="13.5" thickBot="1">
      <c r="A31" s="811"/>
      <c r="B31" s="222"/>
      <c r="C31" s="233"/>
      <c r="D31" s="224"/>
      <c r="E31" s="232"/>
      <c r="F31" s="243"/>
      <c r="G31" s="244"/>
      <c r="H31" s="241"/>
      <c r="I31" s="805"/>
      <c r="J31" s="221">
        <f>+'2'!J31</f>
        <v>0</v>
      </c>
      <c r="K31" s="246"/>
      <c r="L31" s="246"/>
      <c r="M31" s="124">
        <f>+K31+'2'!M31+L31</f>
        <v>0</v>
      </c>
    </row>
    <row r="32" spans="1:20" ht="13.5" thickBot="1">
      <c r="A32" s="812"/>
      <c r="B32" s="172"/>
      <c r="C32" s="106">
        <f>SUM(C25:C31)</f>
        <v>15981</v>
      </c>
      <c r="D32" s="107">
        <f>SUM(D25:D31)</f>
        <v>0</v>
      </c>
      <c r="E32" s="108">
        <f>SUM(E25:E31)</f>
        <v>0</v>
      </c>
      <c r="F32" s="109">
        <f>SUM(F24:F31)</f>
        <v>18</v>
      </c>
      <c r="G32" s="178"/>
      <c r="H32" s="179"/>
      <c r="I32" s="176"/>
      <c r="J32" s="221">
        <f>+'2'!J32</f>
        <v>0</v>
      </c>
      <c r="K32" s="248"/>
      <c r="L32" s="250"/>
      <c r="M32" s="124">
        <f>+K32+'2'!M32+L32</f>
        <v>0</v>
      </c>
    </row>
    <row r="33" spans="1:20" ht="13.5" thickBot="1">
      <c r="A33" s="180"/>
      <c r="B33" s="181"/>
      <c r="C33" s="110">
        <f>C32/($C$32+$D$32+$E$32)</f>
        <v>1</v>
      </c>
      <c r="D33" s="111">
        <f>D32/($C$32+$D$32+$E$32)</f>
        <v>0</v>
      </c>
      <c r="E33" s="112">
        <f>E32/($C$32+$D$32+$E$32)</f>
        <v>0</v>
      </c>
      <c r="F33" s="113"/>
      <c r="G33" s="182"/>
      <c r="H33" s="183"/>
      <c r="I33" s="184"/>
      <c r="J33" s="128"/>
      <c r="K33" s="129"/>
      <c r="L33" s="220"/>
      <c r="M33" s="126"/>
    </row>
    <row r="34" spans="1:20" ht="13.5" thickBot="1">
      <c r="A34" s="808" t="s">
        <v>70</v>
      </c>
      <c r="B34" s="809"/>
      <c r="C34" s="114">
        <f>C14+C23+C32</f>
        <v>43020</v>
      </c>
      <c r="D34" s="114">
        <f>D14+D23+D32</f>
        <v>600</v>
      </c>
      <c r="E34" s="114">
        <f>E14+E23+E32</f>
        <v>0</v>
      </c>
      <c r="F34" s="115">
        <f>F14+F23+F32</f>
        <v>253</v>
      </c>
      <c r="H34" s="185"/>
      <c r="I34" s="185"/>
      <c r="J34" s="130" t="s">
        <v>29</v>
      </c>
      <c r="K34" s="131">
        <f>SUM(K7:K32)</f>
        <v>43020</v>
      </c>
      <c r="L34" s="219">
        <f>SUM(L7:L32)</f>
        <v>0</v>
      </c>
      <c r="M34" s="127">
        <f>SUM(M7:M32)</f>
        <v>133642</v>
      </c>
      <c r="N34" s="162"/>
    </row>
    <row r="35" spans="1:20" ht="13.5" thickBot="1">
      <c r="A35" s="186"/>
      <c r="B35" s="187"/>
      <c r="C35" s="111">
        <f>C34/($C$34+$D$34+$E$34)</f>
        <v>0.98624484181568084</v>
      </c>
      <c r="D35" s="111">
        <f>D34/($C$34+$D$34+$E$34)</f>
        <v>1.3755158184319119E-2</v>
      </c>
      <c r="E35" s="116">
        <f>E34/($C$34+$D$34+$E$34)</f>
        <v>0</v>
      </c>
      <c r="K35" s="162"/>
      <c r="L35" s="799" t="s">
        <v>184</v>
      </c>
      <c r="M35" s="799"/>
      <c r="R35" s="183">
        <f>SUM(R27:R32)</f>
        <v>480</v>
      </c>
      <c r="S35" s="183">
        <f>SUM(S27:S32)</f>
        <v>604800</v>
      </c>
      <c r="T35" s="183">
        <f>SUM(T27:T32)</f>
        <v>471744</v>
      </c>
    </row>
    <row r="36" spans="1:20" ht="13.5" thickBot="1">
      <c r="A36" s="185"/>
      <c r="B36" s="185"/>
      <c r="C36" s="162"/>
      <c r="D36" s="162"/>
      <c r="E36" s="162"/>
      <c r="G36" s="162"/>
      <c r="H36" s="188"/>
      <c r="I36" s="169" t="s">
        <v>41</v>
      </c>
      <c r="J36" s="169" t="s">
        <v>42</v>
      </c>
      <c r="K36" s="189"/>
      <c r="L36" s="169" t="s">
        <v>41</v>
      </c>
      <c r="M36" s="169" t="s">
        <v>42</v>
      </c>
      <c r="R36" s="156">
        <f>480-R35</f>
        <v>0</v>
      </c>
      <c r="S36" s="183">
        <f>+S35/R35</f>
        <v>1260</v>
      </c>
      <c r="T36" s="183">
        <f>+T35/R35</f>
        <v>982.8</v>
      </c>
    </row>
    <row r="37" spans="1:20" ht="17.45" customHeight="1" thickBot="1">
      <c r="A37" s="797" t="s">
        <v>71</v>
      </c>
      <c r="B37" s="798"/>
      <c r="C37" s="169" t="s">
        <v>72</v>
      </c>
      <c r="D37" s="190" t="s">
        <v>73</v>
      </c>
      <c r="E37" s="191" t="s">
        <v>74</v>
      </c>
      <c r="F37" s="368"/>
      <c r="G37" s="370"/>
      <c r="H37" s="193" t="s">
        <v>75</v>
      </c>
      <c r="I37" s="251">
        <f>(13.5*1230)/1230*G42*2.75*1230/1000000</f>
        <v>44.878333499999997</v>
      </c>
      <c r="J37" s="132">
        <f>+I37+'2'!J37</f>
        <v>144.02435850000001</v>
      </c>
      <c r="K37" s="133" t="s">
        <v>76</v>
      </c>
      <c r="L37" s="429"/>
      <c r="M37" s="430"/>
      <c r="N37" s="552"/>
    </row>
    <row r="38" spans="1:20" ht="17.45" customHeight="1">
      <c r="A38" s="793" t="s">
        <v>13</v>
      </c>
      <c r="B38" s="794"/>
      <c r="C38" s="171">
        <f>SUMIF($G$7:$G$31,"Process",$F$7:$F$31)</f>
        <v>43</v>
      </c>
      <c r="D38" s="125">
        <f>+C38+'2'!D38</f>
        <v>252</v>
      </c>
      <c r="E38" s="150">
        <f t="shared" ref="E38:E51" si="6">D38/60</f>
        <v>4.2</v>
      </c>
      <c r="F38" s="368">
        <v>1260</v>
      </c>
      <c r="G38" s="368">
        <v>982.8</v>
      </c>
      <c r="H38" s="194" t="s">
        <v>77</v>
      </c>
      <c r="I38" s="551">
        <f>15.989+10.884+16.026</f>
        <v>42.899000000000001</v>
      </c>
      <c r="J38" s="134">
        <f>+I38+'2'!J38</f>
        <v>137.23599999999999</v>
      </c>
      <c r="K38" s="135" t="s">
        <v>76</v>
      </c>
      <c r="L38" s="431"/>
      <c r="M38" s="432"/>
      <c r="N38" s="156">
        <v>480</v>
      </c>
    </row>
    <row r="39" spans="1:20" ht="17.45" customHeight="1">
      <c r="A39" s="789" t="s">
        <v>14</v>
      </c>
      <c r="B39" s="790"/>
      <c r="C39" s="171">
        <f>SUMIF($G$7:$G$31,"Cleaning",$F$7:$F$31)</f>
        <v>0</v>
      </c>
      <c r="D39" s="125">
        <f>+C39+'2'!D39</f>
        <v>23</v>
      </c>
      <c r="E39" s="150">
        <f t="shared" si="6"/>
        <v>0.38333333333333336</v>
      </c>
      <c r="F39" s="368">
        <v>1260</v>
      </c>
      <c r="G39" s="368">
        <v>982.8</v>
      </c>
      <c r="H39" s="194" t="s">
        <v>78</v>
      </c>
      <c r="I39" s="149"/>
      <c r="J39" s="136">
        <f>J37/G4</f>
        <v>48.008119499999999</v>
      </c>
      <c r="K39" s="137" t="s">
        <v>76</v>
      </c>
      <c r="L39" s="431"/>
      <c r="M39" s="432"/>
      <c r="N39" s="156">
        <f>480-210</f>
        <v>270</v>
      </c>
    </row>
    <row r="40" spans="1:20" ht="17.45" customHeight="1">
      <c r="A40" s="789" t="s">
        <v>79</v>
      </c>
      <c r="B40" s="790"/>
      <c r="C40" s="171">
        <f>SUMIF($G$7:$G$31,"Mechanical",$F$7:$F$31)</f>
        <v>0</v>
      </c>
      <c r="D40" s="125">
        <f>+C40+'2'!D40</f>
        <v>0</v>
      </c>
      <c r="E40" s="150">
        <f t="shared" si="6"/>
        <v>0</v>
      </c>
      <c r="F40" s="368">
        <v>1260</v>
      </c>
      <c r="G40" s="368">
        <v>982.8</v>
      </c>
      <c r="H40" s="194" t="s">
        <v>80</v>
      </c>
      <c r="I40" s="125">
        <f>(K34+L34)/1000</f>
        <v>43.02</v>
      </c>
      <c r="J40" s="138">
        <f>+I40+'2'!J40</f>
        <v>133.642</v>
      </c>
      <c r="K40" s="137" t="s">
        <v>76</v>
      </c>
      <c r="L40" s="431"/>
      <c r="M40" s="432"/>
      <c r="N40" s="156">
        <v>480</v>
      </c>
    </row>
    <row r="41" spans="1:20" ht="17.45" customHeight="1">
      <c r="A41" s="789" t="s">
        <v>81</v>
      </c>
      <c r="B41" s="790"/>
      <c r="C41" s="171">
        <f>SUMIF($G$7:$G$31,"Electrical",$F$7:$F$31)</f>
        <v>210</v>
      </c>
      <c r="D41" s="125">
        <f>+C41+'2'!D41</f>
        <v>210</v>
      </c>
      <c r="E41" s="150">
        <f t="shared" si="6"/>
        <v>3.5</v>
      </c>
      <c r="F41" s="368"/>
      <c r="G41" s="368"/>
      <c r="H41" s="194" t="s">
        <v>82</v>
      </c>
      <c r="I41" s="149"/>
      <c r="J41" s="136">
        <f>J40/G4</f>
        <v>44.547333333333334</v>
      </c>
      <c r="K41" s="137" t="s">
        <v>76</v>
      </c>
      <c r="L41" s="431"/>
      <c r="M41" s="432"/>
      <c r="N41" s="156">
        <f>+N38+N39+N40</f>
        <v>1230</v>
      </c>
    </row>
    <row r="42" spans="1:20" ht="17.45" customHeight="1">
      <c r="A42" s="789" t="s">
        <v>17</v>
      </c>
      <c r="B42" s="790"/>
      <c r="C42" s="171">
        <f>SUMIF($G$7:$G$31,"Instrument",$F$7:$F$31)</f>
        <v>0</v>
      </c>
      <c r="D42" s="125">
        <f>+C42+'2'!D42</f>
        <v>0</v>
      </c>
      <c r="E42" s="150">
        <f t="shared" si="6"/>
        <v>0</v>
      </c>
      <c r="F42" s="368">
        <f>+(480*F38+270*F39+480*F40)/1230</f>
        <v>1260</v>
      </c>
      <c r="G42" s="368">
        <f>+(480*G38+270*G39+480*G40)/1230</f>
        <v>982.8</v>
      </c>
      <c r="H42" s="194" t="s">
        <v>83</v>
      </c>
      <c r="I42" s="253" t="s">
        <v>435</v>
      </c>
      <c r="J42" s="139"/>
      <c r="K42" s="137" t="s">
        <v>84</v>
      </c>
      <c r="L42" s="431"/>
      <c r="M42" s="432"/>
    </row>
    <row r="43" spans="1:20" ht="17.45" customHeight="1">
      <c r="A43" s="789" t="s">
        <v>199</v>
      </c>
      <c r="B43" s="790"/>
      <c r="C43" s="171">
        <f>SUMIF($G$7:$G$31,"Change Grade",$F$7:$F$31)</f>
        <v>0</v>
      </c>
      <c r="D43" s="125">
        <f>+C43+'2'!D43</f>
        <v>0</v>
      </c>
      <c r="E43" s="150">
        <f t="shared" si="6"/>
        <v>0</v>
      </c>
      <c r="F43" s="368"/>
      <c r="G43" s="369"/>
      <c r="H43" s="195" t="s">
        <v>86</v>
      </c>
      <c r="I43" s="125">
        <f>+Report1!AH11</f>
        <v>62.2</v>
      </c>
      <c r="J43" s="140">
        <f>+I43+'2'!J43</f>
        <v>190.10000000000002</v>
      </c>
      <c r="K43" s="137" t="s">
        <v>76</v>
      </c>
      <c r="L43" s="433">
        <f>+Report1!AN11</f>
        <v>0</v>
      </c>
      <c r="M43" s="434">
        <f>+L43+'2'!M43</f>
        <v>9</v>
      </c>
    </row>
    <row r="44" spans="1:20" ht="17.45" customHeight="1">
      <c r="A44" s="789" t="s">
        <v>18</v>
      </c>
      <c r="B44" s="790"/>
      <c r="C44" s="171">
        <f>SUMIF($G$7:$G$31,"PLN",$F$7:$F$31)</f>
        <v>0</v>
      </c>
      <c r="D44" s="125">
        <f>+C44+'2'!D44</f>
        <v>0</v>
      </c>
      <c r="E44" s="150">
        <f t="shared" si="6"/>
        <v>0</v>
      </c>
      <c r="F44" s="368"/>
      <c r="G44" s="369"/>
      <c r="H44" s="195" t="s">
        <v>87</v>
      </c>
      <c r="I44" s="125">
        <f>I43/I38</f>
        <v>1.4499172474882864</v>
      </c>
      <c r="J44" s="141">
        <f>J43/J38</f>
        <v>1.385205048238072</v>
      </c>
      <c r="K44" s="137" t="s">
        <v>76</v>
      </c>
      <c r="L44" s="435">
        <f>+L43/I38</f>
        <v>0</v>
      </c>
      <c r="M44" s="436">
        <f>+M43/J38</f>
        <v>6.5580459937625707E-2</v>
      </c>
    </row>
    <row r="45" spans="1:20" ht="17.45" customHeight="1">
      <c r="A45" s="789" t="s">
        <v>19</v>
      </c>
      <c r="B45" s="790"/>
      <c r="C45" s="171">
        <f>SUMIF($G$7:$G$31,"Boiler",$F$7:$F$31)</f>
        <v>0</v>
      </c>
      <c r="D45" s="125">
        <f>+C45+'2'!D45</f>
        <v>0</v>
      </c>
      <c r="E45" s="150">
        <f t="shared" si="6"/>
        <v>0</v>
      </c>
      <c r="F45" s="368"/>
      <c r="G45" s="371"/>
      <c r="H45" s="195" t="s">
        <v>88</v>
      </c>
      <c r="I45" s="125">
        <f>I43/I40</f>
        <v>1.4458391445839145</v>
      </c>
      <c r="J45" s="141">
        <f>J43/J40</f>
        <v>1.4224570120171804</v>
      </c>
      <c r="K45" s="137" t="s">
        <v>76</v>
      </c>
      <c r="L45" s="435">
        <f>+L43/I40</f>
        <v>0</v>
      </c>
      <c r="M45" s="436">
        <f>+M43/J40</f>
        <v>6.7344098412175812E-2</v>
      </c>
    </row>
    <row r="46" spans="1:20" ht="17.45" customHeight="1">
      <c r="A46" s="789" t="s">
        <v>89</v>
      </c>
      <c r="B46" s="790"/>
      <c r="C46" s="171">
        <f>SUMIF($G$7:$G$31,"Gas",$F$7:$F$31)</f>
        <v>0</v>
      </c>
      <c r="D46" s="125">
        <f>+C46+'2'!D46</f>
        <v>0</v>
      </c>
      <c r="E46" s="150">
        <f t="shared" si="6"/>
        <v>0</v>
      </c>
      <c r="F46" s="368"/>
      <c r="G46" s="369"/>
      <c r="H46" s="195" t="s">
        <v>90</v>
      </c>
      <c r="I46" s="147">
        <f>+SUMIF(Listrik!P10,"&gt;0")</f>
        <v>39396.55999999991</v>
      </c>
      <c r="J46" s="142">
        <f>+I46+'2'!J46</f>
        <v>121378.63999999998</v>
      </c>
      <c r="K46" s="137" t="s">
        <v>91</v>
      </c>
      <c r="L46" s="435">
        <f>+Listrik!AF10</f>
        <v>0</v>
      </c>
      <c r="M46" s="437">
        <f>+L46+'2'!M46</f>
        <v>0</v>
      </c>
    </row>
    <row r="47" spans="1:20" ht="17.45" customHeight="1">
      <c r="A47" s="789" t="s">
        <v>92</v>
      </c>
      <c r="B47" s="790"/>
      <c r="C47" s="171">
        <f>SUMIF($G$7:$G$31,"Gas",$F$7:$F$31)</f>
        <v>0</v>
      </c>
      <c r="D47" s="125">
        <f>+C47+'2'!D47</f>
        <v>0</v>
      </c>
      <c r="E47" s="150">
        <f t="shared" si="6"/>
        <v>0</v>
      </c>
      <c r="F47" s="368"/>
      <c r="G47" s="369"/>
      <c r="H47" s="195" t="s">
        <v>93</v>
      </c>
      <c r="I47" s="125">
        <f>I46/I38</f>
        <v>918.35613883773306</v>
      </c>
      <c r="J47" s="142">
        <f>J46/J38</f>
        <v>884.45189308927684</v>
      </c>
      <c r="K47" s="137" t="s">
        <v>25</v>
      </c>
      <c r="L47" s="431">
        <f>+L46/I38</f>
        <v>0</v>
      </c>
      <c r="M47" s="436">
        <f>+M46/J38</f>
        <v>0</v>
      </c>
    </row>
    <row r="48" spans="1:20" ht="17.45" customHeight="1">
      <c r="A48" s="789" t="s">
        <v>15</v>
      </c>
      <c r="B48" s="790"/>
      <c r="C48" s="171">
        <f>SUMIF($G$7:$G$31,"Start Up",$F$7:$F$31)</f>
        <v>0</v>
      </c>
      <c r="D48" s="125">
        <f>+C48+'2'!D48</f>
        <v>0</v>
      </c>
      <c r="E48" s="150">
        <f t="shared" si="6"/>
        <v>0</v>
      </c>
      <c r="F48" s="368"/>
      <c r="G48" s="369"/>
      <c r="H48" s="195" t="s">
        <v>94</v>
      </c>
      <c r="I48" s="125">
        <f>I46/I40</f>
        <v>915.77312877731072</v>
      </c>
      <c r="J48" s="142">
        <f>J46/J40</f>
        <v>908.23723081067317</v>
      </c>
      <c r="K48" s="137" t="s">
        <v>25</v>
      </c>
      <c r="L48" s="435">
        <f>+L46/I38</f>
        <v>0</v>
      </c>
      <c r="M48" s="436">
        <f>+M46/J40</f>
        <v>0</v>
      </c>
    </row>
    <row r="49" spans="1:13" ht="17.45" customHeight="1">
      <c r="A49" s="789" t="s">
        <v>21</v>
      </c>
      <c r="B49" s="790"/>
      <c r="C49" s="171">
        <f>SUMIF($G$7:$G$31,"Others",$F$7:$F$31)</f>
        <v>0</v>
      </c>
      <c r="D49" s="125">
        <f>+C49+'2'!D49</f>
        <v>0</v>
      </c>
      <c r="E49" s="150">
        <f t="shared" si="6"/>
        <v>0</v>
      </c>
      <c r="F49" s="192"/>
      <c r="H49" s="195" t="s">
        <v>182</v>
      </c>
      <c r="I49" s="125">
        <f>+Report1!AB11</f>
        <v>4809.8780033999492</v>
      </c>
      <c r="J49" s="142">
        <f>+I49+'2'!J49</f>
        <v>10025.550231040201</v>
      </c>
      <c r="K49" s="137" t="s">
        <v>96</v>
      </c>
      <c r="L49" s="431"/>
      <c r="M49" s="432"/>
    </row>
    <row r="50" spans="1:13" ht="17.45" customHeight="1">
      <c r="A50" s="789" t="s">
        <v>20</v>
      </c>
      <c r="B50" s="790"/>
      <c r="C50" s="171">
        <f>SUMIF($G$7:$G$31,"Steam",$F$7:$F$31)</f>
        <v>0</v>
      </c>
      <c r="D50" s="125">
        <f>+C50+'2'!D50</f>
        <v>0</v>
      </c>
      <c r="E50" s="150">
        <f t="shared" si="6"/>
        <v>0</v>
      </c>
      <c r="F50" s="192"/>
      <c r="H50" s="195" t="s">
        <v>97</v>
      </c>
      <c r="I50" s="147">
        <f>I49/I38</f>
        <v>112.1209819203233</v>
      </c>
      <c r="J50" s="140">
        <f>J49/J38</f>
        <v>73.053355031042884</v>
      </c>
      <c r="K50" s="137" t="s">
        <v>96</v>
      </c>
      <c r="L50" s="431"/>
      <c r="M50" s="432"/>
    </row>
    <row r="51" spans="1:13" ht="17.45" customHeight="1" thickBot="1">
      <c r="A51" s="791" t="s">
        <v>98</v>
      </c>
      <c r="B51" s="792"/>
      <c r="C51" s="171">
        <f>SUMIF($G$7:$G$31,"Planned shut",$F$7:$F$31)</f>
        <v>0</v>
      </c>
      <c r="D51" s="125">
        <f>+C51+'2'!D51</f>
        <v>0</v>
      </c>
      <c r="E51" s="150">
        <f t="shared" si="6"/>
        <v>0</v>
      </c>
      <c r="F51" s="192"/>
      <c r="H51" s="197" t="s">
        <v>99</v>
      </c>
      <c r="I51" s="148">
        <f>I49/I40</f>
        <v>111.80562536959435</v>
      </c>
      <c r="J51" s="143">
        <f>J49/J40</f>
        <v>75.017960155042587</v>
      </c>
      <c r="K51" s="144" t="s">
        <v>96</v>
      </c>
      <c r="L51" s="431"/>
      <c r="M51" s="432"/>
    </row>
    <row r="52" spans="1:13" ht="13.5" thickBot="1">
      <c r="A52" s="793" t="s">
        <v>29</v>
      </c>
      <c r="B52" s="794"/>
      <c r="C52" s="151">
        <f>SUM(C38:C51)</f>
        <v>253</v>
      </c>
      <c r="D52" s="151">
        <f>SUM(D38:D51)</f>
        <v>485</v>
      </c>
      <c r="E52" s="152">
        <f>SUM(E38:E51)</f>
        <v>8.0833333333333339</v>
      </c>
      <c r="F52" s="192"/>
      <c r="H52" s="198"/>
      <c r="I52" s="199"/>
      <c r="J52" s="145"/>
      <c r="K52" s="146"/>
      <c r="L52" s="438"/>
      <c r="M52" s="439"/>
    </row>
    <row r="53" spans="1:13" ht="13.5" thickBot="1">
      <c r="A53" s="795"/>
      <c r="B53" s="796"/>
      <c r="C53" s="153">
        <f>C52/(24*60)</f>
        <v>0.17569444444444443</v>
      </c>
      <c r="D53" s="153">
        <f>D52/(24*60*G4)</f>
        <v>0.11226851851851852</v>
      </c>
      <c r="E53" s="154">
        <f>E52/(G4*24)</f>
        <v>0.11226851851851853</v>
      </c>
      <c r="F53" s="192"/>
    </row>
    <row r="54" spans="1:13">
      <c r="E54" s="200"/>
      <c r="F54" s="192"/>
    </row>
    <row r="55" spans="1:13">
      <c r="E55" s="200"/>
    </row>
    <row r="56" spans="1:13">
      <c r="A56" s="201" t="s">
        <v>100</v>
      </c>
      <c r="B56" s="202"/>
      <c r="C56" s="203"/>
      <c r="D56" s="203"/>
      <c r="E56" s="203"/>
      <c r="F56" s="204"/>
      <c r="G56" s="203"/>
      <c r="H56" s="205"/>
      <c r="I56" s="206" t="s">
        <v>101</v>
      </c>
      <c r="J56" s="207">
        <f>+D34+'2'!J56</f>
        <v>1840</v>
      </c>
      <c r="K56" s="208">
        <f>J56/(J40+J56/1000)/1000</f>
        <v>1.3581139930027606E-2</v>
      </c>
    </row>
    <row r="57" spans="1:13">
      <c r="A57" s="183"/>
      <c r="I57" s="206" t="s">
        <v>102</v>
      </c>
      <c r="J57" s="207">
        <f>+E34+'2'!J57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5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S61"/>
  <sheetViews>
    <sheetView view="pageBreakPreview" topLeftCell="A28" zoomScale="80" zoomScaleNormal="75" zoomScaleSheetLayoutView="80" workbookViewId="0">
      <selection activeCell="A7" sqref="A7:A32"/>
    </sheetView>
  </sheetViews>
  <sheetFormatPr defaultColWidth="9.140625" defaultRowHeight="12.75"/>
  <cols>
    <col min="1" max="1" width="8" style="156" customWidth="1"/>
    <col min="2" max="2" width="7" style="156" bestFit="1" customWidth="1"/>
    <col min="3" max="3" width="14.85546875" style="156" bestFit="1" customWidth="1"/>
    <col min="4" max="4" width="12.5703125" style="156" bestFit="1" customWidth="1"/>
    <col min="5" max="5" width="13.85546875" style="156" bestFit="1" customWidth="1"/>
    <col min="6" max="6" width="14" style="117" bestFit="1" customWidth="1"/>
    <col min="7" max="7" width="11.42578125" style="156" bestFit="1" customWidth="1"/>
    <col min="8" max="8" width="64.85546875" style="156" customWidth="1"/>
    <col min="9" max="9" width="14.7109375" style="156" bestFit="1" customWidth="1"/>
    <col min="10" max="10" width="20.140625" style="156" bestFit="1" customWidth="1"/>
    <col min="11" max="11" width="13.7109375" style="156" bestFit="1" customWidth="1"/>
    <col min="12" max="12" width="11.5703125" style="156" customWidth="1"/>
    <col min="13" max="13" width="14.42578125" style="156" bestFit="1" customWidth="1"/>
    <col min="14" max="16384" width="9.140625" style="156"/>
  </cols>
  <sheetData>
    <row r="1" spans="1:19" ht="15.75">
      <c r="A1" s="155"/>
    </row>
    <row r="2" spans="1:19" ht="15.75">
      <c r="A2" s="155" t="s">
        <v>183</v>
      </c>
    </row>
    <row r="3" spans="1:19" ht="15">
      <c r="A3" s="157"/>
    </row>
    <row r="4" spans="1:19" ht="20.25">
      <c r="A4" s="158" t="s">
        <v>5</v>
      </c>
      <c r="B4" s="159"/>
      <c r="F4" s="160" t="s">
        <v>30</v>
      </c>
      <c r="G4" s="161">
        <v>2</v>
      </c>
      <c r="H4" s="161" t="str">
        <f>+'1'!H4</f>
        <v>.01.26</v>
      </c>
      <c r="J4" s="156">
        <f>336.8+287+392</f>
        <v>1015.8</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408</v>
      </c>
      <c r="O6" s="156">
        <v>1230</v>
      </c>
      <c r="P6" s="156">
        <f>+O6-(O6*0.22)</f>
        <v>959.4</v>
      </c>
      <c r="Q6" s="156">
        <v>480</v>
      </c>
      <c r="R6" s="156">
        <f t="shared" ref="R6:R8" si="0">+O6*Q6</f>
        <v>590400</v>
      </c>
      <c r="S6" s="156">
        <f t="shared" ref="S6:S8" si="1">+P6*Q6</f>
        <v>460512</v>
      </c>
    </row>
    <row r="7" spans="1:19" ht="13.5" customHeight="1" thickBot="1">
      <c r="A7" s="800" t="s">
        <v>423</v>
      </c>
      <c r="B7" s="222" t="s">
        <v>422</v>
      </c>
      <c r="C7" s="223">
        <v>13354</v>
      </c>
      <c r="D7" s="224">
        <v>1240</v>
      </c>
      <c r="E7" s="225"/>
      <c r="F7" s="235"/>
      <c r="G7" s="236" t="s">
        <v>13</v>
      </c>
      <c r="H7" s="237" t="s">
        <v>386</v>
      </c>
      <c r="I7" s="803" t="s">
        <v>410</v>
      </c>
      <c r="J7" s="221" t="str">
        <f>+'1'!J7</f>
        <v>T 13,5 RC HW</v>
      </c>
      <c r="K7" s="245">
        <f>+C34</f>
        <v>46394</v>
      </c>
      <c r="L7" s="249"/>
      <c r="M7" s="124">
        <f>+K7+'1'!M7+L7</f>
        <v>90622</v>
      </c>
      <c r="O7" s="156">
        <v>1260</v>
      </c>
      <c r="P7" s="156">
        <f>+O7-(O7*0.22)</f>
        <v>982.8</v>
      </c>
      <c r="Q7" s="156">
        <v>480</v>
      </c>
      <c r="R7" s="156">
        <f t="shared" si="0"/>
        <v>604800</v>
      </c>
      <c r="S7" s="156">
        <f t="shared" si="1"/>
        <v>471744</v>
      </c>
    </row>
    <row r="8" spans="1:19" ht="13.5" thickBot="1">
      <c r="A8" s="801"/>
      <c r="B8" s="222"/>
      <c r="C8" s="223"/>
      <c r="D8" s="224"/>
      <c r="E8" s="226"/>
      <c r="F8" s="238"/>
      <c r="G8" s="582" t="s">
        <v>13</v>
      </c>
      <c r="H8" s="237" t="s">
        <v>387</v>
      </c>
      <c r="I8" s="804"/>
      <c r="J8" s="221">
        <f>+'1'!J8</f>
        <v>0</v>
      </c>
      <c r="K8" s="246"/>
      <c r="L8" s="246"/>
      <c r="M8" s="124">
        <f>+K8+'1'!M8+L8</f>
        <v>0</v>
      </c>
      <c r="O8" s="156">
        <v>1260</v>
      </c>
      <c r="P8" s="156">
        <f>+O8-(O8*0.22)</f>
        <v>982.8</v>
      </c>
      <c r="Q8" s="156">
        <v>480</v>
      </c>
      <c r="R8" s="156">
        <f t="shared" si="0"/>
        <v>604800</v>
      </c>
      <c r="S8" s="156">
        <f t="shared" si="1"/>
        <v>471744</v>
      </c>
    </row>
    <row r="9" spans="1:19" ht="13.5" thickBot="1">
      <c r="A9" s="801"/>
      <c r="B9" s="222"/>
      <c r="C9" s="223"/>
      <c r="D9" s="224"/>
      <c r="E9" s="227"/>
      <c r="F9" s="235">
        <v>14</v>
      </c>
      <c r="G9" s="582" t="s">
        <v>13</v>
      </c>
      <c r="H9" s="240" t="s">
        <v>395</v>
      </c>
      <c r="I9" s="804"/>
      <c r="J9" s="221">
        <f>+'1'!J9</f>
        <v>0</v>
      </c>
      <c r="K9" s="246"/>
      <c r="L9" s="246"/>
      <c r="M9" s="124">
        <f>+K9+'1'!M9+L9</f>
        <v>0</v>
      </c>
    </row>
    <row r="10" spans="1:19" ht="26.25" thickBot="1">
      <c r="A10" s="801"/>
      <c r="B10" s="222"/>
      <c r="C10" s="223"/>
      <c r="D10" s="224"/>
      <c r="E10" s="226"/>
      <c r="F10" s="235"/>
      <c r="G10" s="244" t="s">
        <v>14</v>
      </c>
      <c r="H10" s="240" t="s">
        <v>434</v>
      </c>
      <c r="I10" s="804"/>
      <c r="J10" s="221">
        <f>+'1'!J10</f>
        <v>0</v>
      </c>
      <c r="K10" s="246"/>
      <c r="L10" s="246"/>
      <c r="M10" s="124">
        <f>+K10+'1'!M10+L10</f>
        <v>0</v>
      </c>
    </row>
    <row r="11" spans="1:19" ht="13.5" thickBot="1">
      <c r="A11" s="801"/>
      <c r="B11" s="222"/>
      <c r="C11" s="223"/>
      <c r="D11" s="224"/>
      <c r="E11" s="226"/>
      <c r="F11" s="235"/>
      <c r="G11" s="239"/>
      <c r="H11" s="240"/>
      <c r="I11" s="804"/>
      <c r="J11" s="221">
        <f>+'1'!J11</f>
        <v>0</v>
      </c>
      <c r="K11" s="246"/>
      <c r="L11" s="246"/>
      <c r="M11" s="124">
        <f>+K11+'1'!M11+L11</f>
        <v>0</v>
      </c>
    </row>
    <row r="12" spans="1:19" ht="13.5" thickBot="1">
      <c r="A12" s="801"/>
      <c r="B12" s="222"/>
      <c r="C12" s="223"/>
      <c r="D12" s="224"/>
      <c r="E12" s="226"/>
      <c r="F12" s="235"/>
      <c r="G12" s="239"/>
      <c r="H12" s="240"/>
      <c r="I12" s="804"/>
      <c r="J12" s="221">
        <f>+'1'!J12</f>
        <v>0</v>
      </c>
      <c r="K12" s="246"/>
      <c r="L12" s="246"/>
      <c r="M12" s="124">
        <f>+K12+'1'!M12+L12</f>
        <v>0</v>
      </c>
    </row>
    <row r="13" spans="1:19" ht="13.5" thickBot="1">
      <c r="A13" s="801"/>
      <c r="B13" s="222"/>
      <c r="C13" s="223"/>
      <c r="D13" s="223"/>
      <c r="E13" s="226"/>
      <c r="F13" s="235"/>
      <c r="G13" s="582"/>
      <c r="H13" s="240"/>
      <c r="I13" s="805"/>
      <c r="J13" s="221">
        <f>+'1'!J13</f>
        <v>0</v>
      </c>
      <c r="K13" s="246"/>
      <c r="L13" s="246"/>
      <c r="M13" s="124">
        <f>+K13+'1'!M13+L13</f>
        <v>0</v>
      </c>
    </row>
    <row r="14" spans="1:19" ht="13.5" thickBot="1">
      <c r="A14" s="802"/>
      <c r="B14" s="172"/>
      <c r="C14" s="106">
        <f>SUM(C7:C13)</f>
        <v>13354</v>
      </c>
      <c r="D14" s="118">
        <f>SUM(D7:D13)</f>
        <v>1240</v>
      </c>
      <c r="E14" s="119">
        <f>SUM(E5:E13)</f>
        <v>0</v>
      </c>
      <c r="F14" s="109">
        <f>SUM(F6:F13)</f>
        <v>14</v>
      </c>
      <c r="G14" s="166"/>
      <c r="H14" s="173"/>
      <c r="I14" s="174"/>
      <c r="J14" s="221">
        <f>+'1'!J14</f>
        <v>0</v>
      </c>
      <c r="K14" s="246"/>
      <c r="L14" s="246"/>
      <c r="M14" s="124">
        <f>+K14+'1'!M14+L14</f>
        <v>0</v>
      </c>
      <c r="Q14" s="183">
        <f>SUM(Q6:Q11)</f>
        <v>1440</v>
      </c>
      <c r="R14" s="183">
        <f>SUM(R6:R11)</f>
        <v>1800000</v>
      </c>
      <c r="S14" s="183">
        <f>SUM(S6:S11)</f>
        <v>1404000</v>
      </c>
    </row>
    <row r="15" spans="1:19" ht="13.5" customHeight="1" thickBot="1">
      <c r="A15" s="800" t="s">
        <v>424</v>
      </c>
      <c r="B15" s="172"/>
      <c r="C15" s="120">
        <f>C14/($C$23+$D$23+$E$23)</f>
        <v>0.74599184403105967</v>
      </c>
      <c r="D15" s="121">
        <f>D14/($C$23+$D$23+$E$23)</f>
        <v>6.9269873191441816E-2</v>
      </c>
      <c r="E15" s="122">
        <f>E14/($C$23+$D$23+$E$23)</f>
        <v>0</v>
      </c>
      <c r="F15" s="235"/>
      <c r="G15" s="236" t="s">
        <v>13</v>
      </c>
      <c r="H15" s="237" t="s">
        <v>386</v>
      </c>
      <c r="I15" s="803" t="s">
        <v>435</v>
      </c>
      <c r="J15" s="221">
        <f>+'1'!J15</f>
        <v>0</v>
      </c>
      <c r="K15" s="246"/>
      <c r="L15" s="246"/>
      <c r="M15" s="124">
        <f>+K15+'1'!M15+L15</f>
        <v>0</v>
      </c>
      <c r="Q15" s="156">
        <f>480-Q14</f>
        <v>-960</v>
      </c>
      <c r="R15" s="183">
        <f>+R14/Q14</f>
        <v>1250</v>
      </c>
      <c r="S15" s="183">
        <f>+S14/Q14</f>
        <v>975</v>
      </c>
    </row>
    <row r="16" spans="1:19" ht="13.5" thickBot="1">
      <c r="A16" s="811"/>
      <c r="B16" s="222" t="s">
        <v>422</v>
      </c>
      <c r="C16" s="229">
        <v>17901</v>
      </c>
      <c r="D16" s="230"/>
      <c r="E16" s="231"/>
      <c r="F16" s="238">
        <v>6</v>
      </c>
      <c r="G16" s="582" t="s">
        <v>13</v>
      </c>
      <c r="H16" s="237" t="s">
        <v>437</v>
      </c>
      <c r="I16" s="804"/>
      <c r="J16" s="221">
        <f>+'1'!J16</f>
        <v>0</v>
      </c>
      <c r="K16" s="236"/>
      <c r="L16" s="236"/>
      <c r="M16" s="124">
        <f>+K16+'1'!M16+L16</f>
        <v>0</v>
      </c>
      <c r="Q16" s="183"/>
      <c r="R16" s="183"/>
    </row>
    <row r="17" spans="1:14" ht="13.5" thickBot="1">
      <c r="A17" s="811"/>
      <c r="B17" s="222"/>
      <c r="C17" s="223"/>
      <c r="D17" s="224"/>
      <c r="E17" s="232"/>
      <c r="F17" s="235">
        <v>10</v>
      </c>
      <c r="G17" s="582" t="s">
        <v>13</v>
      </c>
      <c r="H17" s="240" t="s">
        <v>395</v>
      </c>
      <c r="I17" s="804"/>
      <c r="J17" s="221">
        <f>+'1'!J17</f>
        <v>0</v>
      </c>
      <c r="K17" s="236"/>
      <c r="L17" s="236"/>
      <c r="M17" s="124">
        <f>+K17+'1'!M17+L17</f>
        <v>0</v>
      </c>
    </row>
    <row r="18" spans="1:14" ht="26.25" thickBot="1">
      <c r="A18" s="811"/>
      <c r="B18" s="222"/>
      <c r="C18" s="223"/>
      <c r="D18" s="224"/>
      <c r="E18" s="232"/>
      <c r="F18" s="242">
        <v>8</v>
      </c>
      <c r="G18" s="244" t="s">
        <v>14</v>
      </c>
      <c r="H18" s="240" t="s">
        <v>433</v>
      </c>
      <c r="I18" s="804"/>
      <c r="J18" s="221">
        <f>+'1'!J18</f>
        <v>0</v>
      </c>
      <c r="K18" s="246"/>
      <c r="L18" s="246"/>
      <c r="M18" s="124">
        <f>+K18+'1'!M18+L18</f>
        <v>0</v>
      </c>
    </row>
    <row r="19" spans="1:14" ht="13.5" thickBot="1">
      <c r="A19" s="811"/>
      <c r="B19" s="222"/>
      <c r="C19" s="223"/>
      <c r="D19" s="224"/>
      <c r="E19" s="232"/>
      <c r="F19" s="235"/>
      <c r="G19" s="239"/>
      <c r="H19" s="240"/>
      <c r="I19" s="804"/>
      <c r="J19" s="221">
        <f>+'1'!J19</f>
        <v>0</v>
      </c>
      <c r="K19" s="246"/>
      <c r="L19" s="246"/>
      <c r="M19" s="124">
        <f>+K19+'1'!M19+L19</f>
        <v>0</v>
      </c>
    </row>
    <row r="20" spans="1:14" ht="13.5" thickBot="1">
      <c r="A20" s="811"/>
      <c r="B20" s="222"/>
      <c r="C20" s="223"/>
      <c r="D20" s="224"/>
      <c r="E20" s="232"/>
      <c r="F20" s="235"/>
      <c r="G20" s="239"/>
      <c r="H20" s="240"/>
      <c r="I20" s="804"/>
      <c r="J20" s="221">
        <f>+'1'!J20</f>
        <v>0</v>
      </c>
      <c r="K20" s="247"/>
      <c r="L20" s="247"/>
      <c r="M20" s="124">
        <f>+K20+'1'!M20+L20</f>
        <v>0</v>
      </c>
    </row>
    <row r="21" spans="1:14" ht="13.5" thickBot="1">
      <c r="A21" s="811"/>
      <c r="B21" s="222"/>
      <c r="C21" s="223"/>
      <c r="D21" s="224"/>
      <c r="E21" s="232"/>
      <c r="F21" s="238"/>
      <c r="G21" s="239"/>
      <c r="H21" s="240"/>
      <c r="I21" s="804"/>
      <c r="J21" s="221">
        <f>+'1'!J21</f>
        <v>0</v>
      </c>
      <c r="K21" s="246"/>
      <c r="L21" s="246"/>
      <c r="M21" s="124">
        <f>+K21+'1'!M21+L21</f>
        <v>0</v>
      </c>
    </row>
    <row r="22" spans="1:14" ht="13.5" thickBot="1">
      <c r="A22" s="811"/>
      <c r="B22" s="222"/>
      <c r="C22" s="223"/>
      <c r="D22" s="224"/>
      <c r="E22" s="232"/>
      <c r="F22" s="243"/>
      <c r="G22" s="239"/>
      <c r="H22" s="240"/>
      <c r="I22" s="805"/>
      <c r="J22" s="221">
        <f>+'1'!J22</f>
        <v>0</v>
      </c>
      <c r="K22" s="246"/>
      <c r="L22" s="246"/>
      <c r="M22" s="124">
        <f>+K22+'1'!M22+L22</f>
        <v>0</v>
      </c>
    </row>
    <row r="23" spans="1:14" ht="13.5" thickBot="1">
      <c r="A23" s="812"/>
      <c r="B23" s="172"/>
      <c r="C23" s="107">
        <f>SUM(C16:C22)</f>
        <v>17901</v>
      </c>
      <c r="D23" s="118">
        <f>SUM(D16:D22)</f>
        <v>0</v>
      </c>
      <c r="E23" s="119">
        <f>SUM(E18:E22)</f>
        <v>0</v>
      </c>
      <c r="F23" s="109">
        <f>SUM(F15:F22)</f>
        <v>24</v>
      </c>
      <c r="G23" s="166"/>
      <c r="H23" s="173"/>
      <c r="I23" s="176"/>
      <c r="J23" s="221">
        <f>+'1'!J23</f>
        <v>0</v>
      </c>
      <c r="K23" s="246"/>
      <c r="L23" s="246"/>
      <c r="M23" s="124">
        <f>+K23+'1'!M23+L23</f>
        <v>0</v>
      </c>
    </row>
    <row r="24" spans="1:14" ht="13.5" customHeight="1" thickBot="1">
      <c r="A24" s="800" t="s">
        <v>440</v>
      </c>
      <c r="B24" s="177"/>
      <c r="C24" s="120">
        <f>C23/($C$23+$D$23+$E$23)</f>
        <v>1</v>
      </c>
      <c r="D24" s="121">
        <f>D23/($C$23+$D$23+$E$23)</f>
        <v>0</v>
      </c>
      <c r="E24" s="122">
        <f>E23/($C$23+$D$23+$E$23)</f>
        <v>0</v>
      </c>
      <c r="F24" s="235"/>
      <c r="G24" s="236" t="s">
        <v>13</v>
      </c>
      <c r="H24" s="237" t="s">
        <v>386</v>
      </c>
      <c r="I24" s="803" t="s">
        <v>435</v>
      </c>
      <c r="J24" s="221">
        <f>+'1'!J24</f>
        <v>0</v>
      </c>
      <c r="K24" s="246"/>
      <c r="L24" s="246"/>
      <c r="M24" s="124">
        <f>+K24+'1'!M24+L24</f>
        <v>0</v>
      </c>
    </row>
    <row r="25" spans="1:14" ht="13.5" customHeight="1" thickBot="1">
      <c r="A25" s="811"/>
      <c r="B25" s="222" t="s">
        <v>422</v>
      </c>
      <c r="C25" s="233">
        <v>15139</v>
      </c>
      <c r="D25" s="224"/>
      <c r="E25" s="232"/>
      <c r="F25" s="238">
        <v>6</v>
      </c>
      <c r="G25" s="582" t="s">
        <v>13</v>
      </c>
      <c r="H25" s="237" t="s">
        <v>414</v>
      </c>
      <c r="I25" s="804"/>
      <c r="J25" s="221">
        <f>+'1'!J25</f>
        <v>0</v>
      </c>
      <c r="K25" s="246"/>
      <c r="L25" s="246"/>
      <c r="M25" s="124">
        <f>+K25+'1'!M25+L25</f>
        <v>0</v>
      </c>
    </row>
    <row r="26" spans="1:14" ht="13.5" customHeight="1" thickBot="1">
      <c r="A26" s="811"/>
      <c r="B26" s="222"/>
      <c r="C26" s="233"/>
      <c r="D26" s="224"/>
      <c r="E26" s="234"/>
      <c r="F26" s="235">
        <v>11</v>
      </c>
      <c r="G26" s="582" t="s">
        <v>13</v>
      </c>
      <c r="H26" s="240" t="s">
        <v>416</v>
      </c>
      <c r="I26" s="804"/>
      <c r="J26" s="221">
        <f>+'1'!J26</f>
        <v>0</v>
      </c>
      <c r="K26" s="246"/>
      <c r="L26" s="246"/>
      <c r="M26" s="124">
        <f>+K26+'1'!M26+L26</f>
        <v>0</v>
      </c>
    </row>
    <row r="27" spans="1:14" ht="32.25" customHeight="1" thickBot="1">
      <c r="A27" s="811"/>
      <c r="B27" s="222"/>
      <c r="C27" s="223"/>
      <c r="D27" s="224"/>
      <c r="E27" s="232"/>
      <c r="F27" s="235"/>
      <c r="G27" s="244" t="s">
        <v>14</v>
      </c>
      <c r="H27" s="240" t="s">
        <v>433</v>
      </c>
      <c r="I27" s="804"/>
      <c r="J27" s="221">
        <f>+'1'!J27</f>
        <v>0</v>
      </c>
      <c r="K27" s="246"/>
      <c r="L27" s="246"/>
      <c r="M27" s="124">
        <f>+K27+'1'!M27+L27</f>
        <v>0</v>
      </c>
    </row>
    <row r="28" spans="1:14" ht="13.5" customHeight="1" thickBot="1">
      <c r="A28" s="811"/>
      <c r="B28" s="222"/>
      <c r="C28" s="223"/>
      <c r="D28" s="224"/>
      <c r="E28" s="232"/>
      <c r="F28" s="238"/>
      <c r="G28" s="239"/>
      <c r="H28" s="240"/>
      <c r="I28" s="804"/>
      <c r="J28" s="221">
        <f>+'1'!J28</f>
        <v>0</v>
      </c>
      <c r="K28" s="246"/>
      <c r="L28" s="246"/>
      <c r="M28" s="124">
        <f>+K28+'1'!M28+L28</f>
        <v>0</v>
      </c>
    </row>
    <row r="29" spans="1:14" ht="13.5" customHeight="1" thickBot="1">
      <c r="A29" s="811"/>
      <c r="B29" s="222"/>
      <c r="C29" s="223"/>
      <c r="D29" s="224"/>
      <c r="E29" s="232"/>
      <c r="F29" s="243"/>
      <c r="G29" s="239"/>
      <c r="H29" s="240"/>
      <c r="I29" s="804"/>
      <c r="J29" s="221">
        <f>+'1'!J29</f>
        <v>0</v>
      </c>
      <c r="K29" s="246"/>
      <c r="L29" s="246"/>
      <c r="M29" s="124">
        <f>+K29+'1'!M29+L29</f>
        <v>0</v>
      </c>
    </row>
    <row r="30" spans="1:14" ht="13.5" customHeight="1" thickBot="1">
      <c r="A30" s="811"/>
      <c r="B30" s="222"/>
      <c r="C30" s="233"/>
      <c r="D30" s="224"/>
      <c r="E30" s="232"/>
      <c r="F30" s="243"/>
      <c r="G30" s="239"/>
      <c r="H30" s="240"/>
      <c r="I30" s="804"/>
      <c r="J30" s="221">
        <f>+'1'!J30</f>
        <v>0</v>
      </c>
      <c r="K30" s="246"/>
      <c r="L30" s="246"/>
      <c r="M30" s="124">
        <f>+K30+'1'!M30+L30</f>
        <v>0</v>
      </c>
      <c r="N30" s="162"/>
    </row>
    <row r="31" spans="1:14" ht="13.5" customHeight="1" thickBot="1">
      <c r="A31" s="811"/>
      <c r="B31" s="222"/>
      <c r="C31" s="233"/>
      <c r="D31" s="224"/>
      <c r="E31" s="232"/>
      <c r="F31" s="243"/>
      <c r="G31" s="244"/>
      <c r="H31" s="241"/>
      <c r="I31" s="805"/>
      <c r="J31" s="221">
        <f>+'1'!J31</f>
        <v>0</v>
      </c>
      <c r="K31" s="246"/>
      <c r="L31" s="246"/>
      <c r="M31" s="124">
        <f>+K31+'1'!M31+L31</f>
        <v>0</v>
      </c>
    </row>
    <row r="32" spans="1:14" ht="13.5" customHeight="1" thickBot="1">
      <c r="A32" s="812"/>
      <c r="B32" s="172"/>
      <c r="C32" s="106">
        <f>SUM(C25:C31)</f>
        <v>15139</v>
      </c>
      <c r="D32" s="107">
        <f>SUM(D25:D31)</f>
        <v>0</v>
      </c>
      <c r="E32" s="108">
        <f>SUM(E25:E31)</f>
        <v>0</v>
      </c>
      <c r="F32" s="109">
        <f>SUM(F24:F31)</f>
        <v>17</v>
      </c>
      <c r="G32" s="178"/>
      <c r="H32" s="179"/>
      <c r="I32" s="176"/>
      <c r="J32" s="221">
        <f>+'1'!J32</f>
        <v>0</v>
      </c>
      <c r="K32" s="248"/>
      <c r="L32" s="250"/>
      <c r="M32" s="124">
        <f>+K32+'1'!M32+L32</f>
        <v>0</v>
      </c>
    </row>
    <row r="33" spans="1:14" ht="13.5" thickBot="1">
      <c r="A33" s="180"/>
      <c r="B33" s="181"/>
      <c r="C33" s="110">
        <f>C32/($C$32+$D$32+$E$32)</f>
        <v>1</v>
      </c>
      <c r="D33" s="111">
        <f>D32/($C$32+$D$32+$E$32)</f>
        <v>0</v>
      </c>
      <c r="E33" s="112">
        <f>E32/($C$32+$D$32+$E$32)</f>
        <v>0</v>
      </c>
      <c r="F33" s="113"/>
      <c r="G33" s="182"/>
      <c r="H33" s="183"/>
      <c r="I33" s="184"/>
      <c r="J33" s="128"/>
      <c r="K33" s="129"/>
      <c r="L33" s="220"/>
      <c r="M33" s="126"/>
    </row>
    <row r="34" spans="1:14" ht="13.5" thickBot="1">
      <c r="A34" s="808" t="s">
        <v>70</v>
      </c>
      <c r="B34" s="809"/>
      <c r="C34" s="114">
        <f>C14+C23+C32</f>
        <v>46394</v>
      </c>
      <c r="D34" s="114">
        <f>D14+D23+D32</f>
        <v>1240</v>
      </c>
      <c r="E34" s="114">
        <f>E14+E23+E32</f>
        <v>0</v>
      </c>
      <c r="F34" s="115">
        <f>F14+F23+F32</f>
        <v>55</v>
      </c>
      <c r="H34" s="185"/>
      <c r="I34" s="185"/>
      <c r="J34" s="130" t="s">
        <v>29</v>
      </c>
      <c r="K34" s="131">
        <f>SUM(K7:K32)</f>
        <v>46394</v>
      </c>
      <c r="L34" s="219">
        <f>SUM(L7:L32)</f>
        <v>0</v>
      </c>
      <c r="M34" s="127">
        <f>SUM(M7:M32)</f>
        <v>90622</v>
      </c>
      <c r="N34" s="162"/>
    </row>
    <row r="35" spans="1:14" ht="13.5" thickBot="1">
      <c r="A35" s="186"/>
      <c r="B35" s="187"/>
      <c r="C35" s="111">
        <f>C34/($C$34+$D$34+$E$34)</f>
        <v>0.9739681739933661</v>
      </c>
      <c r="D35" s="111">
        <f>D34/($C$34+$D$34+$E$34)</f>
        <v>2.6031826006633917E-2</v>
      </c>
      <c r="E35" s="116">
        <f>E34/($C$34+$D$34+$E$34)</f>
        <v>0</v>
      </c>
      <c r="K35" s="162"/>
      <c r="L35" s="799" t="s">
        <v>184</v>
      </c>
      <c r="M35" s="799"/>
    </row>
    <row r="36" spans="1:14" ht="13.5" thickBot="1">
      <c r="A36" s="185"/>
      <c r="B36" s="185"/>
      <c r="C36" s="162"/>
      <c r="D36" s="162"/>
      <c r="E36" s="162"/>
      <c r="G36" s="162"/>
      <c r="H36" s="188"/>
      <c r="I36" s="169" t="s">
        <v>41</v>
      </c>
      <c r="J36" s="169" t="s">
        <v>42</v>
      </c>
      <c r="K36" s="189"/>
      <c r="L36" s="169" t="s">
        <v>41</v>
      </c>
      <c r="M36" s="169" t="s">
        <v>42</v>
      </c>
    </row>
    <row r="37" spans="1:14" ht="17.45" customHeight="1" thickBot="1">
      <c r="A37" s="797" t="s">
        <v>71</v>
      </c>
      <c r="B37" s="798"/>
      <c r="C37" s="169" t="s">
        <v>72</v>
      </c>
      <c r="D37" s="190" t="s">
        <v>73</v>
      </c>
      <c r="E37" s="191" t="s">
        <v>74</v>
      </c>
      <c r="F37" s="368"/>
      <c r="G37" s="370"/>
      <c r="H37" s="193" t="s">
        <v>75</v>
      </c>
      <c r="I37" s="251">
        <f>(13.5*1440)/1440*G42*2.75*1440/1000000</f>
        <v>52.1235</v>
      </c>
      <c r="J37" s="132">
        <f>+I37+'1'!J37</f>
        <v>99.146025000000009</v>
      </c>
      <c r="K37" s="133" t="s">
        <v>76</v>
      </c>
      <c r="L37" s="429"/>
      <c r="M37" s="430"/>
    </row>
    <row r="38" spans="1:14" ht="17.45" customHeight="1">
      <c r="A38" s="793" t="s">
        <v>13</v>
      </c>
      <c r="B38" s="794"/>
      <c r="C38" s="171">
        <f>SUMIF($G$7:$G$31,"Process",$F$7:$F$31)</f>
        <v>47</v>
      </c>
      <c r="D38" s="125">
        <f>+C38+'1'!D38</f>
        <v>209</v>
      </c>
      <c r="E38" s="150">
        <f t="shared" ref="E38:E51" si="2">D38/60</f>
        <v>3.4833333333333334</v>
      </c>
      <c r="F38" s="368">
        <v>1230</v>
      </c>
      <c r="G38" s="368">
        <v>959.4</v>
      </c>
      <c r="H38" s="194" t="s">
        <v>77</v>
      </c>
      <c r="I38" s="551">
        <f>15.541+17.775+16.396</f>
        <v>49.712000000000003</v>
      </c>
      <c r="J38" s="134">
        <f>+I38+'1'!J38</f>
        <v>94.337000000000003</v>
      </c>
      <c r="K38" s="135" t="s">
        <v>76</v>
      </c>
      <c r="L38" s="431"/>
      <c r="M38" s="432"/>
    </row>
    <row r="39" spans="1:14" ht="17.45" customHeight="1">
      <c r="A39" s="789" t="s">
        <v>14</v>
      </c>
      <c r="B39" s="790"/>
      <c r="C39" s="171">
        <f>SUMIF($G$7:$G$31,"Cleaning",$F$7:$F$31)</f>
        <v>8</v>
      </c>
      <c r="D39" s="125">
        <f>+C39+'1'!D39</f>
        <v>23</v>
      </c>
      <c r="E39" s="150">
        <f t="shared" si="2"/>
        <v>0.38333333333333336</v>
      </c>
      <c r="F39" s="368">
        <v>1260</v>
      </c>
      <c r="G39" s="368">
        <v>982.8</v>
      </c>
      <c r="H39" s="194" t="s">
        <v>78</v>
      </c>
      <c r="I39" s="149"/>
      <c r="J39" s="136">
        <f>J37/G4</f>
        <v>49.573012500000004</v>
      </c>
      <c r="K39" s="137" t="s">
        <v>76</v>
      </c>
      <c r="L39" s="431"/>
      <c r="M39" s="432"/>
    </row>
    <row r="40" spans="1:14" ht="17.45" customHeight="1">
      <c r="A40" s="789" t="s">
        <v>79</v>
      </c>
      <c r="B40" s="790"/>
      <c r="C40" s="171">
        <f>SUMIF($G$7:$G$31,"Mechanical",$F$7:$F$31)</f>
        <v>0</v>
      </c>
      <c r="D40" s="125">
        <f>+C40+'1'!D40</f>
        <v>0</v>
      </c>
      <c r="E40" s="150">
        <f t="shared" si="2"/>
        <v>0</v>
      </c>
      <c r="F40" s="368">
        <v>1260</v>
      </c>
      <c r="G40" s="368">
        <v>982.8</v>
      </c>
      <c r="H40" s="194" t="s">
        <v>80</v>
      </c>
      <c r="I40" s="125">
        <f>(K34+L34)/1000</f>
        <v>46.393999999999998</v>
      </c>
      <c r="J40" s="138">
        <f>+I40+'1'!J40</f>
        <v>90.622</v>
      </c>
      <c r="K40" s="137" t="s">
        <v>76</v>
      </c>
      <c r="L40" s="431"/>
      <c r="M40" s="432"/>
    </row>
    <row r="41" spans="1:14" ht="17.45" customHeight="1">
      <c r="A41" s="789" t="s">
        <v>81</v>
      </c>
      <c r="B41" s="790"/>
      <c r="C41" s="171">
        <f>SUMIF($G$7:$G$31,"Electrical",$F$7:$F$31)</f>
        <v>0</v>
      </c>
      <c r="D41" s="125">
        <f>+C41+'1'!D41</f>
        <v>0</v>
      </c>
      <c r="E41" s="150">
        <f t="shared" si="2"/>
        <v>0</v>
      </c>
      <c r="F41" s="368"/>
      <c r="G41" s="368"/>
      <c r="H41" s="194" t="s">
        <v>82</v>
      </c>
      <c r="I41" s="149"/>
      <c r="J41" s="136">
        <f>J40/G4</f>
        <v>45.311</v>
      </c>
      <c r="K41" s="137" t="s">
        <v>76</v>
      </c>
      <c r="L41" s="431"/>
      <c r="M41" s="432"/>
    </row>
    <row r="42" spans="1:14" ht="17.45" customHeight="1">
      <c r="A42" s="789" t="s">
        <v>17</v>
      </c>
      <c r="B42" s="790"/>
      <c r="C42" s="171">
        <f>SUMIF($G$7:$G$31,"Instrument",$F$7:$F$31)</f>
        <v>0</v>
      </c>
      <c r="D42" s="125">
        <f>+C42+'1'!D42</f>
        <v>0</v>
      </c>
      <c r="E42" s="150">
        <f t="shared" si="2"/>
        <v>0</v>
      </c>
      <c r="F42" s="368">
        <f>+(480*F38+480*F39+480*F40)/1440</f>
        <v>1250</v>
      </c>
      <c r="G42" s="368">
        <f>+(480*G38+480*G39+480*G40)/1440</f>
        <v>975</v>
      </c>
      <c r="H42" s="194" t="s">
        <v>83</v>
      </c>
      <c r="I42" s="253" t="s">
        <v>436</v>
      </c>
      <c r="J42" s="139"/>
      <c r="K42" s="137" t="s">
        <v>84</v>
      </c>
      <c r="L42" s="431"/>
      <c r="M42" s="432"/>
    </row>
    <row r="43" spans="1:14" ht="17.45" customHeight="1">
      <c r="A43" s="789" t="s">
        <v>85</v>
      </c>
      <c r="B43" s="790"/>
      <c r="C43" s="171">
        <f>SUMIF($G$7:$G$31,"Water",$F$7:$F$31)</f>
        <v>0</v>
      </c>
      <c r="D43" s="125">
        <f>+C43+'1'!D43</f>
        <v>0</v>
      </c>
      <c r="E43" s="150">
        <f t="shared" si="2"/>
        <v>0</v>
      </c>
      <c r="F43" s="368"/>
      <c r="G43" s="369"/>
      <c r="H43" s="195" t="s">
        <v>86</v>
      </c>
      <c r="I43" s="125">
        <f>+Report1!AH10</f>
        <v>65.400000000000006</v>
      </c>
      <c r="J43" s="140">
        <f>+I43+'1'!J43</f>
        <v>127.9</v>
      </c>
      <c r="K43" s="137" t="s">
        <v>76</v>
      </c>
      <c r="L43" s="433">
        <f>+Report1!AN10</f>
        <v>4.0999999999999996</v>
      </c>
      <c r="M43" s="434">
        <f>+L43+'1'!M43</f>
        <v>9</v>
      </c>
    </row>
    <row r="44" spans="1:14" ht="17.45" customHeight="1">
      <c r="A44" s="789" t="s">
        <v>18</v>
      </c>
      <c r="B44" s="790"/>
      <c r="C44" s="171">
        <f>SUMIF($G$7:$G$31,"PLN",$F$7:$F$31)</f>
        <v>0</v>
      </c>
      <c r="D44" s="125">
        <f>+C44+'1'!D44</f>
        <v>0</v>
      </c>
      <c r="E44" s="150">
        <f t="shared" si="2"/>
        <v>0</v>
      </c>
      <c r="F44" s="368"/>
      <c r="G44" s="369"/>
      <c r="H44" s="195" t="s">
        <v>87</v>
      </c>
      <c r="I44" s="125">
        <f>I43/I38</f>
        <v>1.315577727711619</v>
      </c>
      <c r="J44" s="141">
        <f>J43/J38</f>
        <v>1.3557776906197991</v>
      </c>
      <c r="K44" s="137" t="s">
        <v>76</v>
      </c>
      <c r="L44" s="435">
        <f>+L43/I38</f>
        <v>8.2475056324428697E-2</v>
      </c>
      <c r="M44" s="436">
        <f>+M43/J38</f>
        <v>9.540265219373098E-2</v>
      </c>
    </row>
    <row r="45" spans="1:14" ht="17.45" customHeight="1">
      <c r="A45" s="789" t="s">
        <v>19</v>
      </c>
      <c r="B45" s="790"/>
      <c r="C45" s="171">
        <f>SUMIF($G$7:$G$31,"Boiler",$F$7:$F$31)</f>
        <v>0</v>
      </c>
      <c r="D45" s="125">
        <f>+C45+'1'!D45</f>
        <v>0</v>
      </c>
      <c r="E45" s="150">
        <f t="shared" si="2"/>
        <v>0</v>
      </c>
      <c r="F45" s="368"/>
      <c r="G45" s="371"/>
      <c r="H45" s="195" t="s">
        <v>88</v>
      </c>
      <c r="I45" s="125">
        <f>I43/I40</f>
        <v>1.4096650428934778</v>
      </c>
      <c r="J45" s="141">
        <f>J43/J40</f>
        <v>1.4113570656132066</v>
      </c>
      <c r="K45" s="137" t="s">
        <v>76</v>
      </c>
      <c r="L45" s="435">
        <f>+L43/I40</f>
        <v>8.8373496572832694E-2</v>
      </c>
      <c r="M45" s="436">
        <f>+M43/J40</f>
        <v>9.931363245128115E-2</v>
      </c>
    </row>
    <row r="46" spans="1:14" ht="17.45" customHeight="1">
      <c r="A46" s="789" t="s">
        <v>89</v>
      </c>
      <c r="B46" s="790"/>
      <c r="C46" s="171">
        <f>SUMIF($G$7:$G$31,"Gas",$F$7:$F$31)</f>
        <v>0</v>
      </c>
      <c r="D46" s="125">
        <f>+C46+'1'!D46</f>
        <v>0</v>
      </c>
      <c r="E46" s="150">
        <f t="shared" si="2"/>
        <v>0</v>
      </c>
      <c r="F46" s="368"/>
      <c r="G46" s="369"/>
      <c r="H46" s="195" t="s">
        <v>90</v>
      </c>
      <c r="I46" s="147">
        <f>+SUMIF(Listrik!P9,"&gt;0")</f>
        <v>43610.800000000068</v>
      </c>
      <c r="J46" s="142">
        <f>+I46+'1'!J46</f>
        <v>81982.080000000075</v>
      </c>
      <c r="K46" s="137" t="s">
        <v>91</v>
      </c>
      <c r="L46" s="435">
        <f>+Listrik!AF9</f>
        <v>0</v>
      </c>
      <c r="M46" s="437">
        <f>+L46+'1'!M46</f>
        <v>0</v>
      </c>
    </row>
    <row r="47" spans="1:14" ht="17.45" customHeight="1">
      <c r="A47" s="789" t="s">
        <v>92</v>
      </c>
      <c r="B47" s="790"/>
      <c r="C47" s="171">
        <f>SUMIF($G$7:$G$31,"Gas",$F$7:$F$31)</f>
        <v>0</v>
      </c>
      <c r="D47" s="125">
        <f>+C47+'1'!D47</f>
        <v>0</v>
      </c>
      <c r="E47" s="150">
        <f t="shared" si="2"/>
        <v>0</v>
      </c>
      <c r="F47" s="368"/>
      <c r="G47" s="369"/>
      <c r="H47" s="195" t="s">
        <v>93</v>
      </c>
      <c r="I47" s="125">
        <f>I46/I38</f>
        <v>877.26906984229288</v>
      </c>
      <c r="J47" s="142">
        <f>J46/J38</f>
        <v>869.03420715095956</v>
      </c>
      <c r="K47" s="137" t="s">
        <v>25</v>
      </c>
      <c r="L47" s="431">
        <f>+L46/I38</f>
        <v>0</v>
      </c>
      <c r="M47" s="436">
        <f>+M46/J38</f>
        <v>0</v>
      </c>
    </row>
    <row r="48" spans="1:14" ht="17.45" customHeight="1">
      <c r="A48" s="789" t="s">
        <v>15</v>
      </c>
      <c r="B48" s="790"/>
      <c r="C48" s="171">
        <f>SUMIF($G$7:$G$31,"Start Up",$F$7:$F$31)</f>
        <v>0</v>
      </c>
      <c r="D48" s="125">
        <f>+C48+'1'!D48</f>
        <v>0</v>
      </c>
      <c r="E48" s="150">
        <f t="shared" si="2"/>
        <v>0</v>
      </c>
      <c r="F48" s="368"/>
      <c r="G48" s="369"/>
      <c r="H48" s="195" t="s">
        <v>94</v>
      </c>
      <c r="I48" s="125">
        <f>I46/I40</f>
        <v>940.00948398499952</v>
      </c>
      <c r="J48" s="142">
        <f>J46/J40</f>
        <v>904.65979563461497</v>
      </c>
      <c r="K48" s="137" t="s">
        <v>25</v>
      </c>
      <c r="L48" s="435">
        <f>+L46/I38</f>
        <v>0</v>
      </c>
      <c r="M48" s="436">
        <f>+M46/J40</f>
        <v>0</v>
      </c>
    </row>
    <row r="49" spans="1:13" ht="17.45" customHeight="1">
      <c r="A49" s="789" t="s">
        <v>21</v>
      </c>
      <c r="B49" s="790"/>
      <c r="C49" s="171">
        <f>SUMIF($G$7:$G$31,"Others",$F$7:$F$31)</f>
        <v>0</v>
      </c>
      <c r="D49" s="125">
        <f>+C49+'1'!D49</f>
        <v>0</v>
      </c>
      <c r="E49" s="150">
        <f t="shared" si="2"/>
        <v>0</v>
      </c>
      <c r="F49" s="192"/>
      <c r="H49" s="195" t="s">
        <v>182</v>
      </c>
      <c r="I49" s="125">
        <f>+Report1!AB10</f>
        <v>5215.6722276402515</v>
      </c>
      <c r="J49" s="142">
        <f>+I49+'1'!J49</f>
        <v>5215.6722276402515</v>
      </c>
      <c r="K49" s="137" t="s">
        <v>96</v>
      </c>
      <c r="L49" s="431"/>
      <c r="M49" s="432"/>
    </row>
    <row r="50" spans="1:13" ht="17.45" customHeight="1">
      <c r="A50" s="789" t="s">
        <v>20</v>
      </c>
      <c r="B50" s="790"/>
      <c r="C50" s="171">
        <f>SUMIF($G$7:$G$31,"Steam",$F$7:$F$31)</f>
        <v>0</v>
      </c>
      <c r="D50" s="125">
        <f>+C50+'1'!D50</f>
        <v>0</v>
      </c>
      <c r="E50" s="150">
        <f t="shared" si="2"/>
        <v>0</v>
      </c>
      <c r="F50" s="192"/>
      <c r="H50" s="195" t="s">
        <v>97</v>
      </c>
      <c r="I50" s="147">
        <f>I49/I38</f>
        <v>104.91777091326543</v>
      </c>
      <c r="J50" s="140">
        <f>J49/J38</f>
        <v>55.287662610007224</v>
      </c>
      <c r="K50" s="137" t="s">
        <v>96</v>
      </c>
      <c r="L50" s="431"/>
      <c r="M50" s="432"/>
    </row>
    <row r="51" spans="1:13" ht="17.45" customHeight="1" thickBot="1">
      <c r="A51" s="791" t="s">
        <v>98</v>
      </c>
      <c r="B51" s="792"/>
      <c r="C51" s="171">
        <f>SUMIF($G$7:$G$31,"Planned shut",$F$7:$F$31)</f>
        <v>0</v>
      </c>
      <c r="D51" s="125">
        <f>+C51+'1'!D51</f>
        <v>0</v>
      </c>
      <c r="E51" s="150">
        <f t="shared" si="2"/>
        <v>0</v>
      </c>
      <c r="F51" s="192"/>
      <c r="H51" s="197" t="s">
        <v>99</v>
      </c>
      <c r="I51" s="148">
        <f>I49/I40</f>
        <v>112.42126627667913</v>
      </c>
      <c r="J51" s="143">
        <f>J49/J40</f>
        <v>57.554150511357633</v>
      </c>
      <c r="K51" s="144" t="s">
        <v>96</v>
      </c>
      <c r="L51" s="431"/>
      <c r="M51" s="432"/>
    </row>
    <row r="52" spans="1:13" ht="13.5" thickBot="1">
      <c r="A52" s="793" t="s">
        <v>29</v>
      </c>
      <c r="B52" s="794"/>
      <c r="C52" s="151">
        <f>SUM(C38:C51)</f>
        <v>55</v>
      </c>
      <c r="D52" s="151">
        <f>SUM(D38:D51)</f>
        <v>232</v>
      </c>
      <c r="E52" s="152">
        <f>SUM(E38:E51)</f>
        <v>3.8666666666666667</v>
      </c>
      <c r="F52" s="192"/>
      <c r="H52" s="198"/>
      <c r="I52" s="199"/>
      <c r="J52" s="145"/>
      <c r="K52" s="146"/>
      <c r="L52" s="438"/>
      <c r="M52" s="439"/>
    </row>
    <row r="53" spans="1:13" ht="13.5" thickBot="1">
      <c r="A53" s="795"/>
      <c r="B53" s="796"/>
      <c r="C53" s="153">
        <f>C52/(24*60)</f>
        <v>3.8194444444444448E-2</v>
      </c>
      <c r="D53" s="153">
        <f>D52/(24*60*G4)</f>
        <v>8.0555555555555561E-2</v>
      </c>
      <c r="E53" s="154">
        <f>E52/(G4*24)</f>
        <v>8.0555555555555561E-2</v>
      </c>
      <c r="F53" s="192"/>
    </row>
    <row r="54" spans="1:13">
      <c r="E54" s="200"/>
      <c r="F54" s="192"/>
    </row>
    <row r="55" spans="1:13">
      <c r="E55" s="200"/>
    </row>
    <row r="56" spans="1:13">
      <c r="A56" s="201" t="s">
        <v>100</v>
      </c>
      <c r="B56" s="202"/>
      <c r="C56" s="203"/>
      <c r="D56" s="203"/>
      <c r="E56" s="203"/>
      <c r="F56" s="204"/>
      <c r="G56" s="203"/>
      <c r="H56" s="205"/>
      <c r="I56" s="206" t="s">
        <v>101</v>
      </c>
      <c r="J56" s="207">
        <f>+D34+'1'!J56</f>
        <v>1240</v>
      </c>
      <c r="K56" s="208">
        <f>J56/(J40+J56/1000)/1000</f>
        <v>1.3498508632513988E-2</v>
      </c>
    </row>
    <row r="57" spans="1:13">
      <c r="A57" s="183"/>
      <c r="I57" s="206" t="s">
        <v>102</v>
      </c>
      <c r="J57" s="207">
        <f>+E34+'1'!J57</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I7:I13"/>
    <mergeCell ref="I15:I22"/>
    <mergeCell ref="A7:A14"/>
    <mergeCell ref="A15:A23"/>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61"/>
  <sheetViews>
    <sheetView view="pageBreakPreview" topLeftCell="A31" zoomScale="80" zoomScaleNormal="75" zoomScaleSheetLayoutView="80" workbookViewId="0">
      <selection activeCell="G40" sqref="G40"/>
    </sheetView>
  </sheetViews>
  <sheetFormatPr defaultColWidth="9.140625" defaultRowHeight="12.75"/>
  <cols>
    <col min="1" max="1" width="8" style="156" customWidth="1"/>
    <col min="2" max="2" width="7" style="156" bestFit="1" customWidth="1"/>
    <col min="3" max="3" width="14.85546875" style="156" bestFit="1" customWidth="1"/>
    <col min="4" max="4" width="12.7109375" style="156" bestFit="1" customWidth="1"/>
    <col min="5" max="5" width="13.85546875" style="156" bestFit="1" customWidth="1"/>
    <col min="6" max="6" width="12.140625" style="117" bestFit="1" customWidth="1"/>
    <col min="7" max="7" width="11.42578125" style="156" bestFit="1" customWidth="1"/>
    <col min="8" max="8" width="64.85546875" style="156" customWidth="1"/>
    <col min="9" max="9" width="14.7109375" style="156" bestFit="1" customWidth="1"/>
    <col min="10" max="10" width="18.7109375" style="156" bestFit="1" customWidth="1"/>
    <col min="11" max="11" width="14" style="156" bestFit="1" customWidth="1"/>
    <col min="12" max="12" width="8.28515625" style="156" customWidth="1"/>
    <col min="13" max="13" width="14.42578125" style="156" bestFit="1" customWidth="1"/>
    <col min="14" max="14" width="11.28515625" style="156" bestFit="1" customWidth="1"/>
    <col min="15" max="16384" width="9.140625" style="156"/>
  </cols>
  <sheetData>
    <row r="1" spans="1:19" ht="15.75">
      <c r="A1" s="155"/>
    </row>
    <row r="2" spans="1:19" ht="15.75">
      <c r="A2" s="155" t="s">
        <v>183</v>
      </c>
    </row>
    <row r="3" spans="1:19" ht="15">
      <c r="A3" s="157"/>
    </row>
    <row r="4" spans="1:19" ht="20.25">
      <c r="A4" s="158" t="s">
        <v>5</v>
      </c>
      <c r="B4" s="159"/>
      <c r="F4" s="160" t="s">
        <v>30</v>
      </c>
      <c r="G4" s="161">
        <v>1</v>
      </c>
      <c r="H4" s="161" t="s">
        <v>403</v>
      </c>
      <c r="J4" s="156">
        <f>377.9+336+387.1</f>
        <v>1101</v>
      </c>
    </row>
    <row r="5" spans="1:19" ht="13.5" thickBot="1">
      <c r="C5" s="162"/>
      <c r="D5" s="162"/>
    </row>
    <row r="6" spans="1:19" ht="26.25" thickBot="1">
      <c r="A6" s="163" t="s">
        <v>60</v>
      </c>
      <c r="B6" s="164" t="s">
        <v>10</v>
      </c>
      <c r="C6" s="164" t="s">
        <v>61</v>
      </c>
      <c r="D6" s="164" t="s">
        <v>62</v>
      </c>
      <c r="E6" s="165" t="s">
        <v>63</v>
      </c>
      <c r="F6" s="109" t="s">
        <v>64</v>
      </c>
      <c r="G6" s="164" t="s">
        <v>65</v>
      </c>
      <c r="H6" s="166" t="s">
        <v>66</v>
      </c>
      <c r="I6" s="167" t="s">
        <v>67</v>
      </c>
      <c r="J6" s="168" t="s">
        <v>10</v>
      </c>
      <c r="K6" s="169" t="s">
        <v>68</v>
      </c>
      <c r="L6" s="217" t="s">
        <v>155</v>
      </c>
      <c r="M6" s="170" t="s">
        <v>69</v>
      </c>
      <c r="N6" s="156" t="s">
        <v>408</v>
      </c>
      <c r="O6" s="156">
        <v>1230</v>
      </c>
      <c r="P6" s="156">
        <f>+O6-(O6*0.2)</f>
        <v>984</v>
      </c>
      <c r="Q6" s="156">
        <f>480-125</f>
        <v>355</v>
      </c>
      <c r="R6" s="156">
        <f t="shared" ref="R6:R8" si="0">+O6*Q6</f>
        <v>436650</v>
      </c>
      <c r="S6" s="156">
        <f t="shared" ref="S6:S8" si="1">+P6*Q6</f>
        <v>349320</v>
      </c>
    </row>
    <row r="7" spans="1:19" ht="13.5" customHeight="1" thickBot="1">
      <c r="A7" s="800" t="s">
        <v>423</v>
      </c>
      <c r="B7" s="222" t="s">
        <v>422</v>
      </c>
      <c r="C7" s="223">
        <v>12029</v>
      </c>
      <c r="D7" s="224"/>
      <c r="E7" s="225"/>
      <c r="F7" s="235"/>
      <c r="G7" s="236" t="s">
        <v>13</v>
      </c>
      <c r="H7" s="237" t="s">
        <v>386</v>
      </c>
      <c r="I7" s="803" t="s">
        <v>412</v>
      </c>
      <c r="J7" s="256" t="s">
        <v>422</v>
      </c>
      <c r="K7" s="245">
        <f>+C34</f>
        <v>44228</v>
      </c>
      <c r="L7" s="249"/>
      <c r="M7" s="124">
        <f>+K7+L7</f>
        <v>44228</v>
      </c>
      <c r="P7" s="156">
        <f t="shared" ref="P7:P8" si="2">+O7-(O7*0.24)</f>
        <v>0</v>
      </c>
      <c r="R7" s="156">
        <f t="shared" si="0"/>
        <v>0</v>
      </c>
      <c r="S7" s="156">
        <f t="shared" si="1"/>
        <v>0</v>
      </c>
    </row>
    <row r="8" spans="1:19" ht="13.5" thickBot="1">
      <c r="A8" s="801"/>
      <c r="B8" s="222"/>
      <c r="C8" s="223"/>
      <c r="D8" s="224"/>
      <c r="E8" s="226"/>
      <c r="F8" s="238">
        <v>3</v>
      </c>
      <c r="G8" s="582" t="s">
        <v>13</v>
      </c>
      <c r="H8" s="237" t="s">
        <v>414</v>
      </c>
      <c r="I8" s="804"/>
      <c r="J8" s="257"/>
      <c r="K8" s="246"/>
      <c r="L8" s="246"/>
      <c r="M8" s="124">
        <f t="shared" ref="M8:M32" si="3">+K8+L8</f>
        <v>0</v>
      </c>
      <c r="P8" s="156">
        <f t="shared" si="2"/>
        <v>0</v>
      </c>
      <c r="R8" s="156">
        <f t="shared" si="0"/>
        <v>0</v>
      </c>
      <c r="S8" s="156">
        <f t="shared" si="1"/>
        <v>0</v>
      </c>
    </row>
    <row r="9" spans="1:19" ht="13.5" thickBot="1">
      <c r="A9" s="801"/>
      <c r="B9" s="222"/>
      <c r="C9" s="223"/>
      <c r="D9" s="224"/>
      <c r="E9" s="227"/>
      <c r="F9" s="235">
        <v>7</v>
      </c>
      <c r="G9" s="582" t="s">
        <v>13</v>
      </c>
      <c r="H9" s="240" t="s">
        <v>413</v>
      </c>
      <c r="I9" s="804"/>
      <c r="J9" s="257"/>
      <c r="K9" s="246"/>
      <c r="L9" s="246"/>
      <c r="M9" s="124">
        <f t="shared" si="3"/>
        <v>0</v>
      </c>
    </row>
    <row r="10" spans="1:19" ht="26.25" thickBot="1">
      <c r="A10" s="801"/>
      <c r="B10" s="222"/>
      <c r="C10" s="223"/>
      <c r="D10" s="224"/>
      <c r="E10" s="226"/>
      <c r="F10" s="235"/>
      <c r="G10" s="244" t="s">
        <v>14</v>
      </c>
      <c r="H10" s="240" t="s">
        <v>406</v>
      </c>
      <c r="I10" s="804"/>
      <c r="J10" s="256"/>
      <c r="K10" s="246"/>
      <c r="L10" s="246"/>
      <c r="M10" s="124">
        <f t="shared" si="3"/>
        <v>0</v>
      </c>
    </row>
    <row r="11" spans="1:19" ht="77.25" thickBot="1">
      <c r="A11" s="801"/>
      <c r="B11" s="222"/>
      <c r="C11" s="223"/>
      <c r="D11" s="224"/>
      <c r="E11" s="226"/>
      <c r="F11" s="235">
        <v>125</v>
      </c>
      <c r="G11" s="582" t="s">
        <v>13</v>
      </c>
      <c r="H11" s="240" t="s">
        <v>407</v>
      </c>
      <c r="I11" s="804"/>
      <c r="J11" s="256"/>
      <c r="K11" s="246"/>
      <c r="L11" s="246"/>
      <c r="M11" s="124">
        <f t="shared" si="3"/>
        <v>0</v>
      </c>
    </row>
    <row r="12" spans="1:19" ht="13.5" thickBot="1">
      <c r="A12" s="801"/>
      <c r="B12" s="222"/>
      <c r="C12" s="223"/>
      <c r="D12" s="224"/>
      <c r="E12" s="226"/>
      <c r="F12" s="235"/>
      <c r="G12" s="239"/>
      <c r="H12" s="240"/>
      <c r="I12" s="804"/>
      <c r="J12" s="256"/>
      <c r="K12" s="246"/>
      <c r="L12" s="246"/>
      <c r="M12" s="124">
        <f t="shared" si="3"/>
        <v>0</v>
      </c>
    </row>
    <row r="13" spans="1:19" ht="13.5" thickBot="1">
      <c r="A13" s="801"/>
      <c r="B13" s="222"/>
      <c r="C13" s="223"/>
      <c r="D13" s="223"/>
      <c r="E13" s="226"/>
      <c r="F13" s="235"/>
      <c r="G13" s="239"/>
      <c r="H13" s="240"/>
      <c r="I13" s="805"/>
      <c r="J13" s="256"/>
      <c r="K13" s="246"/>
      <c r="L13" s="246"/>
      <c r="M13" s="124">
        <f t="shared" si="3"/>
        <v>0</v>
      </c>
    </row>
    <row r="14" spans="1:19" ht="13.5" thickBot="1">
      <c r="A14" s="802"/>
      <c r="B14" s="172" t="s">
        <v>3</v>
      </c>
      <c r="C14" s="106">
        <f>SUM(C7:C13)</f>
        <v>12029</v>
      </c>
      <c r="D14" s="118">
        <f>SUM(D7:D13)</f>
        <v>0</v>
      </c>
      <c r="E14" s="119">
        <f>SUM(E5:E13)</f>
        <v>0</v>
      </c>
      <c r="F14" s="109">
        <f>SUM(F6:F13)</f>
        <v>135</v>
      </c>
      <c r="G14" s="166"/>
      <c r="H14" s="173"/>
      <c r="I14" s="174"/>
      <c r="J14" s="256"/>
      <c r="K14" s="246"/>
      <c r="L14" s="246"/>
      <c r="M14" s="124">
        <f t="shared" si="3"/>
        <v>0</v>
      </c>
      <c r="Q14" s="183">
        <f>SUM(Q6:Q11)</f>
        <v>355</v>
      </c>
      <c r="R14" s="183">
        <f>SUM(R6:R11)</f>
        <v>436650</v>
      </c>
      <c r="S14" s="183">
        <f>SUM(S6:S11)</f>
        <v>349320</v>
      </c>
    </row>
    <row r="15" spans="1:19" ht="13.5" customHeight="1" thickBot="1">
      <c r="A15" s="800" t="s">
        <v>424</v>
      </c>
      <c r="B15" s="172"/>
      <c r="C15" s="120">
        <f>C14/($C$23+$D$23+$E$23)</f>
        <v>0.79101729466692972</v>
      </c>
      <c r="D15" s="121">
        <f>D14/($C$23+$D$23+$E$23)</f>
        <v>0</v>
      </c>
      <c r="E15" s="122">
        <f>E14/($C$23+$D$23+$E$23)</f>
        <v>0</v>
      </c>
      <c r="F15" s="235"/>
      <c r="G15" s="236" t="s">
        <v>13</v>
      </c>
      <c r="H15" s="237" t="s">
        <v>386</v>
      </c>
      <c r="I15" s="803" t="s">
        <v>411</v>
      </c>
      <c r="J15" s="256"/>
      <c r="K15" s="246"/>
      <c r="L15" s="246"/>
      <c r="M15" s="124">
        <f t="shared" si="3"/>
        <v>0</v>
      </c>
      <c r="Q15" s="156">
        <f>480-Q14</f>
        <v>125</v>
      </c>
      <c r="R15" s="183">
        <f>+R14/Q14</f>
        <v>1230</v>
      </c>
      <c r="S15" s="183">
        <f>+S14/Q14</f>
        <v>984</v>
      </c>
    </row>
    <row r="16" spans="1:19" ht="13.5" thickBot="1">
      <c r="A16" s="811"/>
      <c r="B16" s="222" t="s">
        <v>422</v>
      </c>
      <c r="C16" s="229">
        <v>15207</v>
      </c>
      <c r="D16" s="230"/>
      <c r="E16" s="231"/>
      <c r="F16" s="238">
        <v>4</v>
      </c>
      <c r="G16" s="582" t="s">
        <v>13</v>
      </c>
      <c r="H16" s="237" t="s">
        <v>415</v>
      </c>
      <c r="I16" s="804"/>
      <c r="J16" s="256"/>
      <c r="K16" s="236"/>
      <c r="L16" s="236"/>
      <c r="M16" s="124">
        <f t="shared" si="3"/>
        <v>0</v>
      </c>
      <c r="Q16" s="183"/>
      <c r="R16" s="183"/>
    </row>
    <row r="17" spans="1:19" ht="13.5" thickBot="1">
      <c r="A17" s="811"/>
      <c r="B17" s="222"/>
      <c r="C17" s="223"/>
      <c r="D17" s="224"/>
      <c r="E17" s="232"/>
      <c r="F17" s="235">
        <v>10</v>
      </c>
      <c r="G17" s="582" t="s">
        <v>13</v>
      </c>
      <c r="H17" s="240" t="s">
        <v>395</v>
      </c>
      <c r="I17" s="804"/>
      <c r="J17" s="256"/>
      <c r="K17" s="236"/>
      <c r="L17" s="236"/>
      <c r="M17" s="124">
        <f t="shared" si="3"/>
        <v>0</v>
      </c>
      <c r="N17" s="156" t="s">
        <v>408</v>
      </c>
      <c r="O17" s="156">
        <v>1220</v>
      </c>
      <c r="P17" s="156">
        <f>+O17-(O17*0.22)</f>
        <v>951.6</v>
      </c>
      <c r="Q17" s="156">
        <v>480</v>
      </c>
      <c r="R17" s="156">
        <f t="shared" ref="R17:R19" si="4">+O17*Q17</f>
        <v>585600</v>
      </c>
      <c r="S17" s="156">
        <f t="shared" ref="S17:S19" si="5">+P17*Q17</f>
        <v>456768</v>
      </c>
    </row>
    <row r="18" spans="1:19" ht="26.25" thickBot="1">
      <c r="A18" s="811"/>
      <c r="B18" s="222"/>
      <c r="C18" s="223"/>
      <c r="D18" s="224"/>
      <c r="E18" s="232"/>
      <c r="F18" s="235">
        <v>8</v>
      </c>
      <c r="G18" s="244" t="s">
        <v>14</v>
      </c>
      <c r="H18" s="240" t="s">
        <v>405</v>
      </c>
      <c r="I18" s="804"/>
      <c r="J18" s="256"/>
      <c r="K18" s="246"/>
      <c r="L18" s="246"/>
      <c r="M18" s="124">
        <f t="shared" si="3"/>
        <v>0</v>
      </c>
      <c r="P18" s="156">
        <f t="shared" ref="P18:P19" si="6">+O18-(O18*0.24)</f>
        <v>0</v>
      </c>
      <c r="R18" s="156">
        <f t="shared" si="4"/>
        <v>0</v>
      </c>
      <c r="S18" s="156">
        <f t="shared" si="5"/>
        <v>0</v>
      </c>
    </row>
    <row r="19" spans="1:19" ht="13.5" thickBot="1">
      <c r="A19" s="811"/>
      <c r="B19" s="222"/>
      <c r="C19" s="223"/>
      <c r="D19" s="224"/>
      <c r="E19" s="232"/>
      <c r="F19" s="242"/>
      <c r="G19" s="239"/>
      <c r="H19" s="240"/>
      <c r="I19" s="804"/>
      <c r="J19" s="256"/>
      <c r="K19" s="246"/>
      <c r="L19" s="246"/>
      <c r="M19" s="124">
        <f t="shared" si="3"/>
        <v>0</v>
      </c>
      <c r="P19" s="156">
        <f t="shared" si="6"/>
        <v>0</v>
      </c>
      <c r="R19" s="156">
        <f t="shared" si="4"/>
        <v>0</v>
      </c>
      <c r="S19" s="156">
        <f t="shared" si="5"/>
        <v>0</v>
      </c>
    </row>
    <row r="20" spans="1:19" ht="13.5" thickBot="1">
      <c r="A20" s="811"/>
      <c r="B20" s="222"/>
      <c r="C20" s="223"/>
      <c r="D20" s="224"/>
      <c r="E20" s="232"/>
      <c r="F20" s="235"/>
      <c r="G20" s="239"/>
      <c r="H20" s="240"/>
      <c r="I20" s="804"/>
      <c r="J20" s="256"/>
      <c r="K20" s="247"/>
      <c r="L20" s="247"/>
      <c r="M20" s="124">
        <f t="shared" si="3"/>
        <v>0</v>
      </c>
    </row>
    <row r="21" spans="1:19" ht="13.5" thickBot="1">
      <c r="A21" s="811"/>
      <c r="B21" s="222"/>
      <c r="C21" s="223"/>
      <c r="D21" s="224"/>
      <c r="E21" s="232"/>
      <c r="F21" s="238"/>
      <c r="G21" s="239"/>
      <c r="H21" s="240"/>
      <c r="I21" s="804"/>
      <c r="J21" s="256"/>
      <c r="K21" s="246"/>
      <c r="L21" s="246"/>
      <c r="M21" s="124">
        <f t="shared" si="3"/>
        <v>0</v>
      </c>
    </row>
    <row r="22" spans="1:19" ht="13.5" thickBot="1">
      <c r="A22" s="811"/>
      <c r="B22" s="222"/>
      <c r="C22" s="223"/>
      <c r="D22" s="224"/>
      <c r="E22" s="232"/>
      <c r="F22" s="243"/>
      <c r="G22" s="239"/>
      <c r="H22" s="240"/>
      <c r="I22" s="805"/>
      <c r="J22" s="256"/>
      <c r="K22" s="246"/>
      <c r="L22" s="246"/>
      <c r="M22" s="124">
        <f t="shared" si="3"/>
        <v>0</v>
      </c>
    </row>
    <row r="23" spans="1:19" ht="13.5" thickBot="1">
      <c r="A23" s="812"/>
      <c r="B23" s="172" t="s">
        <v>3</v>
      </c>
      <c r="C23" s="107">
        <f>SUM(C16:C22)</f>
        <v>15207</v>
      </c>
      <c r="D23" s="118">
        <f>SUM(D16:D22)</f>
        <v>0</v>
      </c>
      <c r="E23" s="119">
        <f>SUM(E18:E22)</f>
        <v>0</v>
      </c>
      <c r="F23" s="109">
        <f>SUM(F15:F22)</f>
        <v>22</v>
      </c>
      <c r="G23" s="166"/>
      <c r="H23" s="173"/>
      <c r="I23" s="176"/>
      <c r="J23" s="256"/>
      <c r="K23" s="246"/>
      <c r="L23" s="246"/>
      <c r="M23" s="124">
        <f t="shared" si="3"/>
        <v>0</v>
      </c>
    </row>
    <row r="24" spans="1:19" ht="13.5" customHeight="1" thickBot="1">
      <c r="A24" s="800" t="s">
        <v>425</v>
      </c>
      <c r="B24" s="177"/>
      <c r="C24" s="120">
        <f>C23/($C$23+$D$23+$E$23)</f>
        <v>1</v>
      </c>
      <c r="D24" s="121">
        <f>D23/($C$23+$D$23+$E$23)</f>
        <v>0</v>
      </c>
      <c r="E24" s="122">
        <f>E23/($C$23+$D$23+$E$23)</f>
        <v>0</v>
      </c>
      <c r="F24" s="235">
        <v>4</v>
      </c>
      <c r="G24" s="236" t="s">
        <v>13</v>
      </c>
      <c r="H24" s="237" t="s">
        <v>394</v>
      </c>
      <c r="I24" s="803" t="s">
        <v>410</v>
      </c>
      <c r="J24" s="256"/>
      <c r="K24" s="246"/>
      <c r="L24" s="246"/>
      <c r="M24" s="124">
        <f t="shared" si="3"/>
        <v>0</v>
      </c>
    </row>
    <row r="25" spans="1:19" ht="13.5" thickBot="1">
      <c r="A25" s="811"/>
      <c r="B25" s="222" t="s">
        <v>422</v>
      </c>
      <c r="C25" s="233">
        <v>16992</v>
      </c>
      <c r="D25" s="224"/>
      <c r="E25" s="232"/>
      <c r="F25" s="238">
        <v>4</v>
      </c>
      <c r="G25" s="582" t="s">
        <v>13</v>
      </c>
      <c r="H25" s="237" t="s">
        <v>415</v>
      </c>
      <c r="I25" s="804"/>
      <c r="J25" s="256"/>
      <c r="K25" s="246"/>
      <c r="L25" s="246"/>
      <c r="M25" s="124">
        <f t="shared" si="3"/>
        <v>0</v>
      </c>
      <c r="Q25" s="183">
        <f>SUM(Q17:Q22)</f>
        <v>480</v>
      </c>
      <c r="R25" s="183">
        <f>SUM(R17:R22)</f>
        <v>585600</v>
      </c>
      <c r="S25" s="183">
        <f>SUM(S17:S22)</f>
        <v>456768</v>
      </c>
    </row>
    <row r="26" spans="1:19" ht="13.5" thickBot="1">
      <c r="A26" s="811"/>
      <c r="B26" s="222"/>
      <c r="C26" s="233"/>
      <c r="D26" s="224"/>
      <c r="E26" s="234"/>
      <c r="F26" s="235">
        <v>5</v>
      </c>
      <c r="G26" s="582" t="s">
        <v>13</v>
      </c>
      <c r="H26" s="240" t="s">
        <v>416</v>
      </c>
      <c r="I26" s="804"/>
      <c r="J26" s="256"/>
      <c r="K26" s="246"/>
      <c r="L26" s="246"/>
      <c r="M26" s="124">
        <f t="shared" si="3"/>
        <v>0</v>
      </c>
      <c r="Q26" s="156">
        <f>480-Q25</f>
        <v>0</v>
      </c>
      <c r="R26" s="183">
        <f>+R25/Q25</f>
        <v>1220</v>
      </c>
      <c r="S26" s="183">
        <f>+S25/Q25</f>
        <v>951.6</v>
      </c>
    </row>
    <row r="27" spans="1:19" ht="26.25" thickBot="1">
      <c r="A27" s="811"/>
      <c r="B27" s="222"/>
      <c r="C27" s="223"/>
      <c r="D27" s="224"/>
      <c r="E27" s="232"/>
      <c r="F27" s="235">
        <v>7</v>
      </c>
      <c r="G27" s="244" t="s">
        <v>14</v>
      </c>
      <c r="H27" s="240" t="s">
        <v>404</v>
      </c>
      <c r="I27" s="804"/>
      <c r="J27" s="256"/>
      <c r="K27" s="246"/>
      <c r="L27" s="246"/>
      <c r="M27" s="124">
        <f t="shared" si="3"/>
        <v>0</v>
      </c>
      <c r="N27" s="156" t="s">
        <v>408</v>
      </c>
      <c r="O27" s="156">
        <v>1230</v>
      </c>
      <c r="P27" s="156">
        <f>+O27-(O27*0.22)</f>
        <v>959.4</v>
      </c>
      <c r="Q27" s="156">
        <v>480</v>
      </c>
      <c r="R27" s="156">
        <f t="shared" ref="R27:R29" si="7">+O27*Q27</f>
        <v>590400</v>
      </c>
      <c r="S27" s="156">
        <f t="shared" ref="S27:S29" si="8">+P27*Q27</f>
        <v>460512</v>
      </c>
    </row>
    <row r="28" spans="1:19" ht="13.5" thickBot="1">
      <c r="A28" s="811"/>
      <c r="B28" s="222"/>
      <c r="C28" s="223"/>
      <c r="D28" s="224"/>
      <c r="E28" s="232"/>
      <c r="F28" s="238"/>
      <c r="G28" s="239"/>
      <c r="H28" s="240"/>
      <c r="I28" s="804"/>
      <c r="J28" s="256"/>
      <c r="K28" s="246"/>
      <c r="L28" s="246"/>
      <c r="M28" s="124">
        <f t="shared" si="3"/>
        <v>0</v>
      </c>
      <c r="P28" s="156">
        <f t="shared" ref="P28:P29" si="9">+O28-(O28*0.24)</f>
        <v>0</v>
      </c>
      <c r="R28" s="156">
        <f t="shared" si="7"/>
        <v>0</v>
      </c>
      <c r="S28" s="156">
        <f t="shared" si="8"/>
        <v>0</v>
      </c>
    </row>
    <row r="29" spans="1:19" ht="13.5" thickBot="1">
      <c r="A29" s="811"/>
      <c r="B29" s="222"/>
      <c r="C29" s="223"/>
      <c r="D29" s="224"/>
      <c r="E29" s="232"/>
      <c r="F29" s="243"/>
      <c r="G29" s="239"/>
      <c r="H29" s="240"/>
      <c r="I29" s="804"/>
      <c r="J29" s="256"/>
      <c r="K29" s="246"/>
      <c r="L29" s="246"/>
      <c r="M29" s="124">
        <f t="shared" si="3"/>
        <v>0</v>
      </c>
      <c r="P29" s="156">
        <f t="shared" si="9"/>
        <v>0</v>
      </c>
      <c r="R29" s="156">
        <f t="shared" si="7"/>
        <v>0</v>
      </c>
      <c r="S29" s="156">
        <f t="shared" si="8"/>
        <v>0</v>
      </c>
    </row>
    <row r="30" spans="1:19" ht="13.5" thickBot="1">
      <c r="A30" s="811"/>
      <c r="B30" s="222"/>
      <c r="C30" s="233"/>
      <c r="D30" s="224"/>
      <c r="E30" s="232"/>
      <c r="F30" s="243"/>
      <c r="G30" s="239"/>
      <c r="H30" s="240"/>
      <c r="I30" s="804"/>
      <c r="J30" s="256"/>
      <c r="K30" s="246"/>
      <c r="L30" s="246"/>
      <c r="M30" s="124">
        <f t="shared" si="3"/>
        <v>0</v>
      </c>
    </row>
    <row r="31" spans="1:19" ht="13.5" thickBot="1">
      <c r="A31" s="811"/>
      <c r="B31" s="222"/>
      <c r="C31" s="233"/>
      <c r="D31" s="224"/>
      <c r="E31" s="232"/>
      <c r="F31" s="243"/>
      <c r="G31" s="244"/>
      <c r="H31" s="241"/>
      <c r="I31" s="805"/>
      <c r="J31" s="256"/>
      <c r="K31" s="246"/>
      <c r="L31" s="246"/>
      <c r="M31" s="124">
        <f t="shared" si="3"/>
        <v>0</v>
      </c>
    </row>
    <row r="32" spans="1:19" ht="13.5" thickBot="1">
      <c r="A32" s="812"/>
      <c r="B32" s="172" t="s">
        <v>3</v>
      </c>
      <c r="C32" s="106">
        <f>SUM(C25:C31)</f>
        <v>16992</v>
      </c>
      <c r="D32" s="107">
        <f>SUM(D25:D31)</f>
        <v>0</v>
      </c>
      <c r="E32" s="108">
        <f>SUM(E25:E31)</f>
        <v>0</v>
      </c>
      <c r="F32" s="109">
        <f>SUM(F24:F31)</f>
        <v>20</v>
      </c>
      <c r="G32" s="178"/>
      <c r="H32" s="179"/>
      <c r="I32" s="176"/>
      <c r="J32" s="258"/>
      <c r="K32" s="248"/>
      <c r="L32" s="250"/>
      <c r="M32" s="124">
        <f t="shared" si="3"/>
        <v>0</v>
      </c>
    </row>
    <row r="33" spans="1:19" ht="13.5" thickBot="1">
      <c r="A33" s="180"/>
      <c r="B33" s="181"/>
      <c r="C33" s="110">
        <f>C32/($C$32+$D$32+$E$32)</f>
        <v>1</v>
      </c>
      <c r="D33" s="111">
        <f>D32/($C$32+$D$32+$E$32)</f>
        <v>0</v>
      </c>
      <c r="E33" s="112">
        <f>E32/($C$32+$D$32+$E$32)</f>
        <v>0</v>
      </c>
      <c r="F33" s="113"/>
      <c r="G33" s="182"/>
      <c r="H33" s="183"/>
      <c r="I33" s="184"/>
      <c r="J33" s="128"/>
      <c r="K33" s="129"/>
      <c r="L33" s="220"/>
      <c r="M33" s="126"/>
    </row>
    <row r="34" spans="1:19" ht="13.5" thickBot="1">
      <c r="A34" s="808" t="s">
        <v>70</v>
      </c>
      <c r="B34" s="809"/>
      <c r="C34" s="114">
        <f>C14+C23+C32</f>
        <v>44228</v>
      </c>
      <c r="D34" s="114">
        <f>D14+D23+D32</f>
        <v>0</v>
      </c>
      <c r="E34" s="114">
        <f>E14+E23+E32</f>
        <v>0</v>
      </c>
      <c r="F34" s="115">
        <f>F14+F23+F32</f>
        <v>177</v>
      </c>
      <c r="H34" s="185"/>
      <c r="I34" s="185"/>
      <c r="J34" s="130" t="s">
        <v>29</v>
      </c>
      <c r="K34" s="131">
        <f>SUM(K7:K32)</f>
        <v>44228</v>
      </c>
      <c r="L34" s="219">
        <f>SUM(L7:L32)</f>
        <v>0</v>
      </c>
      <c r="M34" s="127">
        <f>SUM(M7:M32)</f>
        <v>44228</v>
      </c>
    </row>
    <row r="35" spans="1:19" ht="13.5" thickBot="1">
      <c r="A35" s="186"/>
      <c r="B35" s="187"/>
      <c r="C35" s="111">
        <f>C34/($C$34+$D$34+$E$34)</f>
        <v>1</v>
      </c>
      <c r="D35" s="111">
        <f>D34/($C$34+$D$34+$E$34)</f>
        <v>0</v>
      </c>
      <c r="E35" s="116">
        <f>E34/($C$34+$D$34+$E$34)</f>
        <v>0</v>
      </c>
      <c r="K35" s="162"/>
      <c r="L35" s="799" t="s">
        <v>184</v>
      </c>
      <c r="M35" s="799"/>
      <c r="Q35" s="183">
        <f>SUM(Q27:Q32)</f>
        <v>480</v>
      </c>
      <c r="R35" s="183">
        <f>SUM(R27:R32)</f>
        <v>590400</v>
      </c>
      <c r="S35" s="183">
        <f>SUM(S27:S32)</f>
        <v>460512</v>
      </c>
    </row>
    <row r="36" spans="1:19" ht="13.5" thickBot="1">
      <c r="A36" s="185"/>
      <c r="B36" s="185"/>
      <c r="C36" s="162"/>
      <c r="D36" s="162"/>
      <c r="E36" s="162"/>
      <c r="G36" s="162"/>
      <c r="H36" s="188"/>
      <c r="I36" s="169" t="s">
        <v>41</v>
      </c>
      <c r="J36" s="169" t="s">
        <v>42</v>
      </c>
      <c r="K36" s="189"/>
      <c r="L36" s="169" t="s">
        <v>41</v>
      </c>
      <c r="M36" s="169" t="s">
        <v>42</v>
      </c>
      <c r="Q36" s="156">
        <f>480-Q35</f>
        <v>0</v>
      </c>
      <c r="R36" s="183">
        <f>+R35/Q35</f>
        <v>1230</v>
      </c>
      <c r="S36" s="183">
        <f>+S35/Q35</f>
        <v>959.4</v>
      </c>
    </row>
    <row r="37" spans="1:19" ht="17.45" customHeight="1" thickBot="1">
      <c r="A37" s="797" t="s">
        <v>71</v>
      </c>
      <c r="B37" s="798"/>
      <c r="C37" s="169" t="s">
        <v>72</v>
      </c>
      <c r="D37" s="190" t="s">
        <v>73</v>
      </c>
      <c r="E37" s="191" t="s">
        <v>74</v>
      </c>
      <c r="F37" s="192"/>
      <c r="G37" s="162"/>
      <c r="H37" s="193" t="s">
        <v>75</v>
      </c>
      <c r="I37" s="251">
        <f>(13.5*1315)/1315*G42*2.75*1315/1000000</f>
        <v>47.022525000000002</v>
      </c>
      <c r="J37" s="132">
        <f>I37</f>
        <v>47.022525000000002</v>
      </c>
      <c r="K37" s="133" t="s">
        <v>76</v>
      </c>
      <c r="L37" s="429"/>
      <c r="M37" s="430"/>
    </row>
    <row r="38" spans="1:19" ht="17.45" customHeight="1">
      <c r="A38" s="793" t="s">
        <v>13</v>
      </c>
      <c r="B38" s="794"/>
      <c r="C38" s="171">
        <f>SUMIF($G$7:$G$31,"Process",$F$7:$F$31)</f>
        <v>162</v>
      </c>
      <c r="D38" s="125">
        <f>C38</f>
        <v>162</v>
      </c>
      <c r="E38" s="150">
        <f t="shared" ref="E38:E51" si="10">D38/60</f>
        <v>2.7</v>
      </c>
      <c r="F38" s="192">
        <v>1230</v>
      </c>
      <c r="G38" s="192">
        <v>984</v>
      </c>
      <c r="H38" s="194" t="s">
        <v>77</v>
      </c>
      <c r="I38" s="551">
        <f>11.382+16.657+16.586</f>
        <v>44.625</v>
      </c>
      <c r="J38" s="134">
        <f>I38</f>
        <v>44.625</v>
      </c>
      <c r="K38" s="135" t="s">
        <v>76</v>
      </c>
      <c r="L38" s="431"/>
      <c r="M38" s="432"/>
      <c r="N38" s="552">
        <v>355</v>
      </c>
    </row>
    <row r="39" spans="1:19" ht="17.45" customHeight="1">
      <c r="A39" s="789" t="s">
        <v>14</v>
      </c>
      <c r="B39" s="790"/>
      <c r="C39" s="171">
        <f>SUMIF($G$7:$G$31,"Cleaning",$F$7:$F$31)</f>
        <v>15</v>
      </c>
      <c r="D39" s="125">
        <f>C39</f>
        <v>15</v>
      </c>
      <c r="E39" s="150">
        <f t="shared" si="10"/>
        <v>0.25</v>
      </c>
      <c r="F39" s="192">
        <v>1220</v>
      </c>
      <c r="G39" s="192">
        <v>951.6</v>
      </c>
      <c r="H39" s="194" t="s">
        <v>78</v>
      </c>
      <c r="I39" s="149"/>
      <c r="J39" s="136">
        <f>J37/G4</f>
        <v>47.022525000000002</v>
      </c>
      <c r="K39" s="137" t="s">
        <v>76</v>
      </c>
      <c r="L39" s="431"/>
      <c r="M39" s="432"/>
      <c r="N39" s="156">
        <v>480</v>
      </c>
    </row>
    <row r="40" spans="1:19" ht="17.45" customHeight="1">
      <c r="A40" s="789" t="s">
        <v>79</v>
      </c>
      <c r="B40" s="790"/>
      <c r="C40" s="171">
        <f>SUMIF($G$7:$G$31,"Mechanical",$F$7:$F$31)</f>
        <v>0</v>
      </c>
      <c r="D40" s="125">
        <f t="shared" ref="D40:D51" si="11">C40</f>
        <v>0</v>
      </c>
      <c r="E40" s="150">
        <f t="shared" si="10"/>
        <v>0</v>
      </c>
      <c r="F40" s="192">
        <v>1230</v>
      </c>
      <c r="G40" s="192">
        <v>959.4</v>
      </c>
      <c r="H40" s="194" t="s">
        <v>80</v>
      </c>
      <c r="I40" s="125">
        <f>(K34+L34)/1000</f>
        <v>44.228000000000002</v>
      </c>
      <c r="J40" s="138">
        <f>M34/1000</f>
        <v>44.228000000000002</v>
      </c>
      <c r="K40" s="137" t="s">
        <v>76</v>
      </c>
      <c r="L40" s="431"/>
      <c r="M40" s="432"/>
      <c r="N40" s="156">
        <v>480</v>
      </c>
    </row>
    <row r="41" spans="1:19" ht="17.45" customHeight="1">
      <c r="A41" s="789" t="s">
        <v>81</v>
      </c>
      <c r="B41" s="790"/>
      <c r="C41" s="171">
        <f>SUMIF($G$7:$G$31,"Electrical",$F$7:$F$31)</f>
        <v>0</v>
      </c>
      <c r="D41" s="125">
        <f t="shared" si="11"/>
        <v>0</v>
      </c>
      <c r="E41" s="150">
        <f t="shared" si="10"/>
        <v>0</v>
      </c>
      <c r="F41" s="192"/>
      <c r="G41" s="192"/>
      <c r="H41" s="194" t="s">
        <v>82</v>
      </c>
      <c r="I41" s="149"/>
      <c r="J41" s="136">
        <f>J40/G4</f>
        <v>44.228000000000002</v>
      </c>
      <c r="K41" s="137" t="s">
        <v>76</v>
      </c>
      <c r="L41" s="431"/>
      <c r="M41" s="432"/>
      <c r="N41" s="552">
        <f>+N38+N39+N40</f>
        <v>1315</v>
      </c>
    </row>
    <row r="42" spans="1:19" ht="17.45" customHeight="1">
      <c r="A42" s="789" t="s">
        <v>17</v>
      </c>
      <c r="B42" s="790"/>
      <c r="C42" s="171">
        <f>SUMIF($G$7:$G$31,"Instrument",$F$7:$F$31)</f>
        <v>0</v>
      </c>
      <c r="D42" s="125">
        <f t="shared" si="11"/>
        <v>0</v>
      </c>
      <c r="E42" s="150">
        <f t="shared" si="10"/>
        <v>0</v>
      </c>
      <c r="F42" s="192">
        <f>+(355*F38+480*F39+480*F40)/1315</f>
        <v>1226.3498098859316</v>
      </c>
      <c r="G42" s="192">
        <f>+(355*G38+480*G39+480*G40)/1315</f>
        <v>963.19391634980991</v>
      </c>
      <c r="H42" s="194" t="s">
        <v>83</v>
      </c>
      <c r="I42" s="253" t="s">
        <v>409</v>
      </c>
      <c r="J42" s="139"/>
      <c r="K42" s="137" t="s">
        <v>84</v>
      </c>
      <c r="L42" s="431"/>
      <c r="M42" s="432"/>
    </row>
    <row r="43" spans="1:19" ht="17.45" customHeight="1">
      <c r="A43" s="789" t="s">
        <v>199</v>
      </c>
      <c r="B43" s="790"/>
      <c r="C43" s="171">
        <f>SUMIF($G$7:$G$31,"Change Grade",$F$7:$F$31)</f>
        <v>0</v>
      </c>
      <c r="D43" s="125">
        <f t="shared" si="11"/>
        <v>0</v>
      </c>
      <c r="E43" s="150">
        <f t="shared" si="10"/>
        <v>0</v>
      </c>
      <c r="F43" s="192"/>
      <c r="H43" s="195" t="s">
        <v>86</v>
      </c>
      <c r="I43" s="125">
        <f>+Report1!AH9</f>
        <v>62.5</v>
      </c>
      <c r="J43" s="140">
        <f>I43</f>
        <v>62.5</v>
      </c>
      <c r="K43" s="137" t="s">
        <v>76</v>
      </c>
      <c r="L43" s="433">
        <f>+Report1!AN9</f>
        <v>4.9000000000000004</v>
      </c>
      <c r="M43" s="434">
        <f>+L43</f>
        <v>4.9000000000000004</v>
      </c>
    </row>
    <row r="44" spans="1:19" ht="17.45" customHeight="1">
      <c r="A44" s="789" t="s">
        <v>18</v>
      </c>
      <c r="B44" s="790"/>
      <c r="C44" s="171">
        <f>SUMIF($G$7:$G$31,"PLN",$F$7:$F$31)</f>
        <v>0</v>
      </c>
      <c r="D44" s="125">
        <f>C44</f>
        <v>0</v>
      </c>
      <c r="E44" s="150">
        <f t="shared" si="10"/>
        <v>0</v>
      </c>
      <c r="F44" s="192"/>
      <c r="H44" s="195" t="s">
        <v>87</v>
      </c>
      <c r="I44" s="125">
        <f>I43/I38</f>
        <v>1.4005602240896358</v>
      </c>
      <c r="J44" s="141">
        <f>J43/J38</f>
        <v>1.4005602240896358</v>
      </c>
      <c r="K44" s="137" t="s">
        <v>76</v>
      </c>
      <c r="L44" s="435">
        <f>+L43/I38</f>
        <v>0.10980392156862746</v>
      </c>
      <c r="M44" s="436">
        <f>+M43/J38</f>
        <v>0.10980392156862746</v>
      </c>
    </row>
    <row r="45" spans="1:19" ht="17.45" customHeight="1">
      <c r="A45" s="789" t="s">
        <v>19</v>
      </c>
      <c r="B45" s="790"/>
      <c r="C45" s="171">
        <f>SUMIF($G$7:$G$31,"Boiler",$F$7:$F$31)</f>
        <v>0</v>
      </c>
      <c r="D45" s="125">
        <f t="shared" si="11"/>
        <v>0</v>
      </c>
      <c r="E45" s="150">
        <f t="shared" si="10"/>
        <v>0</v>
      </c>
      <c r="F45" s="192"/>
      <c r="G45" s="183"/>
      <c r="H45" s="195" t="s">
        <v>88</v>
      </c>
      <c r="I45" s="125">
        <f>I43/I40</f>
        <v>1.4131319526092068</v>
      </c>
      <c r="J45" s="141">
        <f>J43/J40</f>
        <v>1.4131319526092068</v>
      </c>
      <c r="K45" s="137" t="s">
        <v>76</v>
      </c>
      <c r="L45" s="435">
        <f>+L43/I40</f>
        <v>0.11078954508456182</v>
      </c>
      <c r="M45" s="436">
        <f>+M43/J40</f>
        <v>0.11078954508456182</v>
      </c>
    </row>
    <row r="46" spans="1:19" ht="17.45" customHeight="1">
      <c r="A46" s="789" t="s">
        <v>89</v>
      </c>
      <c r="B46" s="790"/>
      <c r="C46" s="171">
        <f>SUMIF($G$7:$G$31,"Gas",$F$7:$F$31)</f>
        <v>0</v>
      </c>
      <c r="D46" s="125">
        <f t="shared" si="11"/>
        <v>0</v>
      </c>
      <c r="E46" s="150">
        <f t="shared" si="10"/>
        <v>0</v>
      </c>
      <c r="F46" s="192"/>
      <c r="H46" s="195" t="s">
        <v>90</v>
      </c>
      <c r="I46" s="147">
        <f>+SUMIF(Listrik!P8,"&gt;0")</f>
        <v>38371.280000000013</v>
      </c>
      <c r="J46" s="142">
        <f>I46</f>
        <v>38371.280000000013</v>
      </c>
      <c r="K46" s="137" t="s">
        <v>91</v>
      </c>
      <c r="L46" s="435">
        <f>+Listrik!AF8</f>
        <v>0</v>
      </c>
      <c r="M46" s="437">
        <f>+L46</f>
        <v>0</v>
      </c>
    </row>
    <row r="47" spans="1:19" ht="17.45" customHeight="1">
      <c r="A47" s="789" t="s">
        <v>92</v>
      </c>
      <c r="B47" s="790"/>
      <c r="C47" s="171">
        <f>SUMIF($G$7:$G$31,"Gas",$F$7:$F$31)</f>
        <v>0</v>
      </c>
      <c r="D47" s="125">
        <f t="shared" si="11"/>
        <v>0</v>
      </c>
      <c r="E47" s="150">
        <f t="shared" si="10"/>
        <v>0</v>
      </c>
      <c r="F47" s="192"/>
      <c r="H47" s="195" t="s">
        <v>93</v>
      </c>
      <c r="I47" s="125">
        <f>I46/I38</f>
        <v>859.86061624649892</v>
      </c>
      <c r="J47" s="142">
        <f>J46/J38</f>
        <v>859.86061624649892</v>
      </c>
      <c r="K47" s="137" t="s">
        <v>25</v>
      </c>
      <c r="L47" s="435">
        <f>+L46/I38</f>
        <v>0</v>
      </c>
      <c r="M47" s="436">
        <f>+M46/J38</f>
        <v>0</v>
      </c>
    </row>
    <row r="48" spans="1:19" ht="17.45" customHeight="1">
      <c r="A48" s="789" t="s">
        <v>15</v>
      </c>
      <c r="B48" s="790"/>
      <c r="C48" s="171">
        <f>SUMIF($G$7:$G$31,"Start Up",$F$7:$F$31)</f>
        <v>0</v>
      </c>
      <c r="D48" s="125">
        <f t="shared" si="11"/>
        <v>0</v>
      </c>
      <c r="E48" s="150">
        <f t="shared" si="10"/>
        <v>0</v>
      </c>
      <c r="F48" s="192"/>
      <c r="H48" s="195" t="s">
        <v>94</v>
      </c>
      <c r="I48" s="125">
        <f>I46/I40</f>
        <v>867.57890928823394</v>
      </c>
      <c r="J48" s="142">
        <f>J46/J40</f>
        <v>867.57890928823394</v>
      </c>
      <c r="K48" s="137" t="s">
        <v>25</v>
      </c>
      <c r="L48" s="435">
        <f>+L46/I38</f>
        <v>0</v>
      </c>
      <c r="M48" s="436">
        <f>+M46/J40</f>
        <v>0</v>
      </c>
    </row>
    <row r="49" spans="1:13" ht="17.45" customHeight="1">
      <c r="A49" s="789" t="s">
        <v>21</v>
      </c>
      <c r="B49" s="790"/>
      <c r="C49" s="171">
        <f>SUMIF($G$7:$G$31,"Others",$F$7:$F$31)</f>
        <v>0</v>
      </c>
      <c r="D49" s="125">
        <f t="shared" si="11"/>
        <v>0</v>
      </c>
      <c r="E49" s="150">
        <f t="shared" si="10"/>
        <v>0</v>
      </c>
      <c r="F49" s="192"/>
      <c r="H49" s="195" t="s">
        <v>182</v>
      </c>
      <c r="I49" s="125"/>
      <c r="J49" s="142">
        <f>I49</f>
        <v>0</v>
      </c>
      <c r="K49" s="137" t="s">
        <v>96</v>
      </c>
      <c r="L49" s="431"/>
      <c r="M49" s="432"/>
    </row>
    <row r="50" spans="1:13" ht="17.45" customHeight="1">
      <c r="A50" s="789" t="s">
        <v>20</v>
      </c>
      <c r="B50" s="790"/>
      <c r="C50" s="171">
        <f>SUMIF($G$7:$G$31,"Steam",$F$7:$F$31)</f>
        <v>0</v>
      </c>
      <c r="D50" s="125">
        <f t="shared" si="11"/>
        <v>0</v>
      </c>
      <c r="E50" s="150">
        <f t="shared" si="10"/>
        <v>0</v>
      </c>
      <c r="F50" s="192"/>
      <c r="H50" s="195" t="s">
        <v>97</v>
      </c>
      <c r="I50" s="147">
        <f>I49/I38</f>
        <v>0</v>
      </c>
      <c r="J50" s="140">
        <f>J49/J38</f>
        <v>0</v>
      </c>
      <c r="K50" s="137" t="s">
        <v>96</v>
      </c>
      <c r="L50" s="431"/>
      <c r="M50" s="432"/>
    </row>
    <row r="51" spans="1:13" ht="17.45" customHeight="1" thickBot="1">
      <c r="A51" s="791" t="s">
        <v>98</v>
      </c>
      <c r="B51" s="792"/>
      <c r="C51" s="171">
        <f>SUMIF($G$7:$G$31,"Planned shut",$F$7:$F$31)</f>
        <v>0</v>
      </c>
      <c r="D51" s="125">
        <f t="shared" si="11"/>
        <v>0</v>
      </c>
      <c r="E51" s="150">
        <f t="shared" si="10"/>
        <v>0</v>
      </c>
      <c r="F51" s="192"/>
      <c r="H51" s="197" t="s">
        <v>99</v>
      </c>
      <c r="I51" s="148">
        <f>I49/I40</f>
        <v>0</v>
      </c>
      <c r="J51" s="143">
        <f>J49/J40</f>
        <v>0</v>
      </c>
      <c r="K51" s="144" t="s">
        <v>96</v>
      </c>
      <c r="L51" s="431"/>
      <c r="M51" s="432"/>
    </row>
    <row r="52" spans="1:13" ht="13.5" thickBot="1">
      <c r="A52" s="793" t="s">
        <v>29</v>
      </c>
      <c r="B52" s="794"/>
      <c r="C52" s="151">
        <f>SUM(C38:C51)</f>
        <v>177</v>
      </c>
      <c r="D52" s="151">
        <f>SUM(D38:D51)</f>
        <v>177</v>
      </c>
      <c r="E52" s="152">
        <f>SUM(E38:E51)</f>
        <v>2.95</v>
      </c>
      <c r="F52" s="192"/>
      <c r="H52" s="198"/>
      <c r="I52" s="199"/>
      <c r="J52" s="145"/>
      <c r="K52" s="146"/>
      <c r="L52" s="438"/>
      <c r="M52" s="439"/>
    </row>
    <row r="53" spans="1:13" ht="13.5" thickBot="1">
      <c r="A53" s="795"/>
      <c r="B53" s="796"/>
      <c r="C53" s="153">
        <f>C52/(24*60)</f>
        <v>0.12291666666666666</v>
      </c>
      <c r="D53" s="153">
        <f>D52/(24*60*G4)</f>
        <v>0.12291666666666666</v>
      </c>
      <c r="E53" s="154">
        <f>E52/(G4*24)</f>
        <v>0.12291666666666667</v>
      </c>
      <c r="F53" s="192"/>
    </row>
    <row r="54" spans="1:13">
      <c r="E54" s="200"/>
      <c r="F54" s="192"/>
    </row>
    <row r="55" spans="1:13">
      <c r="E55" s="200"/>
    </row>
    <row r="56" spans="1:13">
      <c r="A56" s="201" t="s">
        <v>100</v>
      </c>
      <c r="B56" s="202"/>
      <c r="C56" s="203"/>
      <c r="D56" s="203"/>
      <c r="E56" s="203"/>
      <c r="F56" s="204"/>
      <c r="G56" s="203"/>
      <c r="H56" s="205"/>
      <c r="I56" s="206" t="s">
        <v>101</v>
      </c>
      <c r="J56" s="207">
        <f>D34</f>
        <v>0</v>
      </c>
      <c r="K56" s="208">
        <f>J56/(J40+J56/1000)/1000</f>
        <v>0</v>
      </c>
    </row>
    <row r="57" spans="1:13">
      <c r="A57" s="183"/>
      <c r="I57" s="206" t="s">
        <v>102</v>
      </c>
      <c r="J57" s="207">
        <f>+E34</f>
        <v>0</v>
      </c>
      <c r="K57" s="208">
        <f>J57/(J40+J57/1000)/1000</f>
        <v>0</v>
      </c>
    </row>
    <row r="58" spans="1:13">
      <c r="A58" s="209"/>
      <c r="B58" s="210"/>
      <c r="F58" s="192"/>
      <c r="H58" s="211"/>
    </row>
    <row r="59" spans="1:13">
      <c r="A59" s="212"/>
      <c r="B59" s="183"/>
      <c r="C59" s="183"/>
      <c r="D59" s="183"/>
      <c r="E59" s="183"/>
      <c r="F59" s="196"/>
      <c r="G59" s="183"/>
      <c r="H59" s="211"/>
    </row>
    <row r="60" spans="1:13">
      <c r="H60" s="211"/>
    </row>
    <row r="61" spans="1:13">
      <c r="A61" s="213"/>
      <c r="B61" s="214"/>
      <c r="C61" s="214"/>
      <c r="D61" s="214"/>
      <c r="E61" s="214"/>
      <c r="F61" s="215"/>
      <c r="G61" s="214"/>
      <c r="H61" s="216"/>
    </row>
  </sheetData>
  <mergeCells count="25">
    <mergeCell ref="A52:B52"/>
    <mergeCell ref="A53:B53"/>
    <mergeCell ref="A42:B42"/>
    <mergeCell ref="A43:B43"/>
    <mergeCell ref="A44:B44"/>
    <mergeCell ref="A45:B45"/>
    <mergeCell ref="A46:B46"/>
    <mergeCell ref="A47:B47"/>
    <mergeCell ref="A50:B50"/>
    <mergeCell ref="A51:B51"/>
    <mergeCell ref="A7:A14"/>
    <mergeCell ref="I7:I13"/>
    <mergeCell ref="A15:A23"/>
    <mergeCell ref="I15:I22"/>
    <mergeCell ref="A34:B34"/>
    <mergeCell ref="A24:A32"/>
    <mergeCell ref="I24:I31"/>
    <mergeCell ref="L35:M35"/>
    <mergeCell ref="A48:B48"/>
    <mergeCell ref="A49:B49"/>
    <mergeCell ref="A40:B40"/>
    <mergeCell ref="A41:B41"/>
    <mergeCell ref="A38:B38"/>
    <mergeCell ref="A39:B39"/>
    <mergeCell ref="A37:B37"/>
  </mergeCells>
  <phoneticPr fontId="30" type="noConversion"/>
  <printOptions horizontalCentered="1"/>
  <pageMargins left="0.15625" right="0.15625" top="0.17" bottom="0.16" header="0" footer="0"/>
  <pageSetup paperSize="9" scale="6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2026-02-04T01:04:34Z</cp:lastPrinted>
  <dcterms:created xsi:type="dcterms:W3CDTF">2007-07-30T03:52:39Z</dcterms:created>
  <dcterms:modified xsi:type="dcterms:W3CDTF">2026-02-11T08:34:27Z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